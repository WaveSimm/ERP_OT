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ude\ERP_OT\"/>
    </mc:Choice>
  </mc:AlternateContent>
  <xr:revisionPtr revIDLastSave="0" documentId="8_{5A5A38C8-3796-4210-B54A-8A94FAD34806}" xr6:coauthVersionLast="47" xr6:coauthVersionMax="47" xr10:uidLastSave="{00000000-0000-0000-0000-000000000000}"/>
  <bookViews>
    <workbookView xWindow="2205" yWindow="750" windowWidth="34650" windowHeight="15450" xr2:uid="{158F9772-DF60-492D-9BBD-123740B39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D30" i="1"/>
  <c r="H30" i="1" s="1"/>
  <c r="D31" i="1"/>
  <c r="H31" i="1" s="1"/>
  <c r="D32" i="1"/>
  <c r="H32" i="1" s="1"/>
  <c r="D33" i="1"/>
  <c r="H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EX-2512-D001</author>
    <author>영업 1</author>
    <author>2312-D001</author>
    <author>현 지윤</author>
    <author>ocean</author>
  </authors>
  <commentList>
    <comment ref="F8" authorId="0" shapeId="0" xr:uid="{D97E36C8-27B9-43FA-96A6-0618606C6F5A}">
      <text>
        <r>
          <rPr>
            <b/>
            <sz val="9"/>
            <color indexed="81"/>
            <rFont val="돋움"/>
            <family val="3"/>
            <charset val="129"/>
          </rPr>
          <t>발주총액</t>
        </r>
        <r>
          <rPr>
            <b/>
            <sz val="9"/>
            <color indexed="81"/>
            <rFont val="Tahoma"/>
            <family val="2"/>
          </rPr>
          <t xml:space="preserve"> EUR 77,499.00</t>
        </r>
        <r>
          <rPr>
            <b/>
            <sz val="9"/>
            <color indexed="81"/>
            <rFont val="돋움"/>
            <family val="3"/>
            <charset val="129"/>
          </rPr>
          <t xml:space="preserve">
선금</t>
        </r>
        <r>
          <rPr>
            <b/>
            <sz val="9"/>
            <color indexed="81"/>
            <rFont val="Tahoma"/>
            <family val="2"/>
          </rPr>
          <t xml:space="preserve"> 30% ; 23,249.70
</t>
        </r>
        <r>
          <rPr>
            <b/>
            <sz val="9"/>
            <color indexed="81"/>
            <rFont val="돋움"/>
            <family val="3"/>
            <charset val="129"/>
          </rPr>
          <t>잔금</t>
        </r>
        <r>
          <rPr>
            <b/>
            <sz val="9"/>
            <color indexed="81"/>
            <rFont val="Tahoma"/>
            <family val="2"/>
          </rPr>
          <t xml:space="preserve"> 70% ; 54,249.30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H8" authorId="1" shapeId="0" xr:uid="{BBA1CBA7-7DC1-4F77-82C6-5CFC0E41AA0F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1/23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2/2
</t>
        </r>
      </text>
    </comment>
    <comment ref="N8" authorId="0" shapeId="0" xr:uid="{8B2D37CB-A684-441E-BF7E-43148D2DDC47}">
      <text>
        <r>
          <rPr>
            <b/>
            <sz val="9"/>
            <color indexed="81"/>
            <rFont val="Tahoma"/>
            <family val="2"/>
          </rPr>
          <t xml:space="preserve">30% </t>
        </r>
        <r>
          <rPr>
            <b/>
            <sz val="9"/>
            <color indexed="81"/>
            <rFont val="돋움"/>
            <family val="3"/>
            <charset val="129"/>
          </rPr>
          <t>선금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인보이스</t>
        </r>
        <r>
          <rPr>
            <b/>
            <sz val="9"/>
            <color indexed="81"/>
            <rFont val="Tahoma"/>
            <family val="2"/>
          </rPr>
          <t xml:space="preserve"> #09968</t>
        </r>
      </text>
    </comment>
    <comment ref="H9" authorId="2" shapeId="0" xr:uid="{B452F201-063E-456E-995E-EA8A103CB5F5}">
      <text>
        <r>
          <rPr>
            <sz val="11"/>
            <rFont val="돋움"/>
            <family val="3"/>
            <charset val="129"/>
          </rPr>
          <t>영업 1:
기존 선적일 ; 4/2
변경 선적일 ; 3/27</t>
        </r>
      </text>
    </comment>
    <comment ref="F10" authorId="3" shapeId="0" xr:uid="{96056415-D8EB-44C0-BBC6-D9DB8A247642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총액</t>
        </r>
        <r>
          <rPr>
            <sz val="9"/>
            <color indexed="81"/>
            <rFont val="Tahoma"/>
            <family val="2"/>
          </rPr>
          <t xml:space="preserve"> 162,000.00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48,600.00
</t>
        </r>
        <r>
          <rPr>
            <sz val="9"/>
            <color indexed="81"/>
            <rFont val="돋움"/>
            <family val="3"/>
            <charset val="129"/>
          </rPr>
          <t>선적전</t>
        </r>
        <r>
          <rPr>
            <sz val="9"/>
            <color indexed="81"/>
            <rFont val="Tahoma"/>
            <family val="2"/>
          </rPr>
          <t xml:space="preserve"> 30% 48,600
</t>
        </r>
        <r>
          <rPr>
            <sz val="9"/>
            <color indexed="81"/>
            <rFont val="돋움"/>
            <family val="3"/>
            <charset val="129"/>
          </rPr>
          <t>잔금</t>
        </r>
        <r>
          <rPr>
            <sz val="9"/>
            <color indexed="81"/>
            <rFont val="Tahoma"/>
            <family val="2"/>
          </rPr>
          <t xml:space="preserve"> SAT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40% 64,800 </t>
        </r>
      </text>
    </comment>
    <comment ref="F18" authorId="4" shapeId="0" xr:uid="{E1FE159E-733B-4F9B-BD59-9E2F53977E0C}">
      <text>
        <r>
          <rPr>
            <sz val="11"/>
            <rFont val="돋움"/>
            <family val="3"/>
            <charset val="129"/>
          </rPr>
          <t>현 지윤:
변경전 5780
변경후 5815.70
customs clearance fee 추가</t>
        </r>
      </text>
    </comment>
    <comment ref="F26" authorId="5" shapeId="0" xr:uid="{D57F4F7A-B113-49BB-9AF9-EE54C3815471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67,500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 30% ; 20,250
</t>
        </r>
        <r>
          <rPr>
            <sz val="9"/>
            <color indexed="81"/>
            <rFont val="돋움"/>
            <family val="3"/>
            <charset val="129"/>
          </rPr>
          <t>선적전</t>
        </r>
        <r>
          <rPr>
            <sz val="9"/>
            <color indexed="81"/>
            <rFont val="Tahoma"/>
            <family val="2"/>
          </rPr>
          <t xml:space="preserve"> 60% ; 40,500
</t>
        </r>
        <r>
          <rPr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10% ; 6,750
</t>
        </r>
      </text>
    </comment>
    <comment ref="H26" authorId="1" shapeId="0" xr:uid="{FA6FAEB7-EB70-4B46-BF70-03DF086733BD}">
      <text>
        <r>
          <rPr>
            <b/>
            <sz val="9"/>
            <color indexed="81"/>
            <rFont val="Tahoma"/>
            <family val="2"/>
          </rPr>
          <t>EX-2512-D001: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기존선적일</t>
        </r>
        <r>
          <rPr>
            <sz val="9"/>
            <color indexed="81"/>
            <rFont val="Tahoma"/>
            <family val="2"/>
          </rPr>
          <t xml:space="preserve"> ; 1/30
</t>
        </r>
        <r>
          <rPr>
            <sz val="9"/>
            <color indexed="81"/>
            <rFont val="돋움"/>
            <family val="3"/>
            <charset val="129"/>
          </rPr>
          <t>변경선적일</t>
        </r>
        <r>
          <rPr>
            <sz val="9"/>
            <color indexed="81"/>
            <rFont val="Tahoma"/>
            <family val="2"/>
          </rPr>
          <t xml:space="preserve"> ; </t>
        </r>
        <r>
          <rPr>
            <sz val="9"/>
            <color indexed="81"/>
            <rFont val="돋움"/>
            <family val="3"/>
            <charset val="129"/>
          </rPr>
          <t xml:space="preserve">미정
</t>
        </r>
      </text>
    </comment>
    <comment ref="C43" authorId="5" shapeId="0" xr:uid="{046CE955-746A-4C1E-AAAF-D6B73C1AD110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오스트리아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</t>
        </r>
        <r>
          <rPr>
            <sz val="9"/>
            <color indexed="81"/>
            <rFont val="Tahoma"/>
            <family val="2"/>
          </rPr>
          <t xml:space="preserve"> Sommer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데모장비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빌리는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건인데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말레이시아에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데모장비가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말레이시아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말레이시아에서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들어오는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말레이시아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회사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이름이</t>
        </r>
        <r>
          <rPr>
            <sz val="9"/>
            <color indexed="81"/>
            <rFont val="Tahoma"/>
            <family val="2"/>
          </rPr>
          <t xml:space="preserve"> Vanguard electronic SDN BHD </t>
        </r>
        <r>
          <rPr>
            <sz val="9"/>
            <color indexed="81"/>
            <rFont val="돋움"/>
            <family val="3"/>
            <charset val="129"/>
          </rPr>
          <t>입니다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44" authorId="5" shapeId="0" xr:uid="{909A6E45-5934-4905-811C-69A7068322EA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발주서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심부장님께서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발주하신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..</t>
        </r>
      </text>
    </comment>
    <comment ref="H44" authorId="5" shapeId="0" xr:uid="{623A30FB-3AEA-4A06-AF58-0FF6F655D37C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목록통관으로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본사로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되었습니다</t>
        </r>
        <r>
          <rPr>
            <sz val="9"/>
            <color indexed="81"/>
            <rFont val="Tahoma"/>
            <family val="2"/>
          </rPr>
          <t>..</t>
        </r>
      </text>
    </comment>
    <comment ref="F47" authorId="5" shapeId="0" xr:uid="{DF81A28A-5282-402E-8CEA-7C158ABC39BE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물품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; 50,360
</t>
        </r>
        <r>
          <rPr>
            <sz val="9"/>
            <color indexed="81"/>
            <rFont val="돋움"/>
            <family val="3"/>
            <charset val="129"/>
          </rPr>
          <t>픽업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지연비</t>
        </r>
        <r>
          <rPr>
            <sz val="9"/>
            <color indexed="81"/>
            <rFont val="Tahoma"/>
            <family val="2"/>
          </rPr>
          <t xml:space="preserve"> ; 300</t>
        </r>
      </text>
    </comment>
    <comment ref="H47" authorId="5" shapeId="0" xr:uid="{4815D738-5575-4755-BBAE-E66BC7B03123}">
      <text>
        <r>
          <rPr>
            <b/>
            <sz val="9"/>
            <color indexed="81"/>
            <rFont val="Tahoma"/>
            <family val="2"/>
          </rPr>
          <t>ocean: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기존선적일</t>
        </r>
        <r>
          <rPr>
            <sz val="9"/>
            <color indexed="81"/>
            <rFont val="Tahoma"/>
            <family val="2"/>
          </rPr>
          <t xml:space="preserve"> ; 12/15
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선적일</t>
        </r>
        <r>
          <rPr>
            <sz val="9"/>
            <color indexed="81"/>
            <rFont val="Tahoma"/>
            <family val="2"/>
          </rPr>
          <t xml:space="preserve"> ; 12/23
</t>
        </r>
      </text>
    </comment>
  </commentList>
</comments>
</file>

<file path=xl/sharedStrings.xml><?xml version="1.0" encoding="utf-8"?>
<sst xmlns="http://schemas.openxmlformats.org/spreadsheetml/2006/main" count="283" uniqueCount="196">
  <si>
    <t>25/02/5 송금완료(EUR 3,290.35)</t>
    <phoneticPr fontId="0" type="Hiragana"/>
  </si>
  <si>
    <t>ESH-656461</t>
    <phoneticPr fontId="0" type="Hiragana"/>
  </si>
  <si>
    <t>CD2570100008</t>
    <phoneticPr fontId="0" type="Hiragana"/>
  </si>
  <si>
    <t>현지윤</t>
    <phoneticPr fontId="0" type="Hiragana"/>
  </si>
  <si>
    <t>지사</t>
    <phoneticPr fontId="0" type="Hiragana"/>
  </si>
  <si>
    <t>EUR</t>
    <phoneticPr fontId="0" type="Hiragana"/>
  </si>
  <si>
    <t>Repair for TOGS1</t>
    <phoneticPr fontId="0" type="Hiragana"/>
  </si>
  <si>
    <t>Reson</t>
    <phoneticPr fontId="0" type="Hiragana"/>
  </si>
  <si>
    <t>지오뷰</t>
    <phoneticPr fontId="0" type="Hiragana"/>
  </si>
  <si>
    <t>#24-342</t>
    <phoneticPr fontId="0" type="Hiragana"/>
  </si>
  <si>
    <t>12413/24</t>
    <phoneticPr fontId="0" type="Hiragana"/>
  </si>
  <si>
    <t>하선종</t>
    <phoneticPr fontId="0" type="Hiragana"/>
  </si>
  <si>
    <t>본사</t>
    <phoneticPr fontId="0" type="Hiragana"/>
  </si>
  <si>
    <t>Vindta 3C</t>
    <phoneticPr fontId="0" type="Hiragana"/>
  </si>
  <si>
    <t>Marianda</t>
    <phoneticPr fontId="0" type="Hiragana"/>
  </si>
  <si>
    <t>오션사이언스</t>
    <phoneticPr fontId="0" type="Hiragana"/>
  </si>
  <si>
    <t>#24-307</t>
    <phoneticPr fontId="0" type="Hiragana"/>
  </si>
  <si>
    <t>EUR</t>
    <phoneticPr fontId="2" type="noConversion"/>
  </si>
  <si>
    <t>제조사에서 따로 송금 하라고 연락오진 않았습니다..</t>
    <phoneticPr fontId="0" type="Hiragana"/>
  </si>
  <si>
    <t>2043</t>
    <phoneticPr fontId="0" type="Hiragana"/>
  </si>
  <si>
    <t>목록 통관, 제조사에서 무상으로 제공해줌(송금하라는 알림이 없었음)</t>
    <phoneticPr fontId="2" type="noConversion"/>
  </si>
  <si>
    <t>본사</t>
    <phoneticPr fontId="2" type="noConversion"/>
  </si>
  <si>
    <t>Stainless steel Fitting for Itrax</t>
    <phoneticPr fontId="0" type="Hiragana"/>
  </si>
  <si>
    <t>Cox</t>
    <phoneticPr fontId="0" type="Hiragana"/>
  </si>
  <si>
    <t>KIOST(이사부)</t>
    <phoneticPr fontId="0" type="Hiragana"/>
  </si>
  <si>
    <t>2달간 데모로 대여 - 2달 뒤 다시 반출할 예정 (샘플통관)</t>
    <phoneticPr fontId="2" type="noConversion"/>
  </si>
  <si>
    <t>오원진</t>
    <phoneticPr fontId="2" type="noConversion"/>
  </si>
  <si>
    <t>RQ-30</t>
    <phoneticPr fontId="2" type="noConversion"/>
  </si>
  <si>
    <t>Sommer(Vanguard)</t>
    <phoneticPr fontId="2" type="noConversion"/>
  </si>
  <si>
    <t>오션데모</t>
    <phoneticPr fontId="2" type="noConversion"/>
  </si>
  <si>
    <t>12월에 새로 산 Trilux 값이 안좋아서 제조사에서 무상으로 보냄</t>
    <phoneticPr fontId="2" type="noConversion"/>
  </si>
  <si>
    <t>Trilux</t>
    <phoneticPr fontId="2" type="noConversion"/>
  </si>
  <si>
    <t>IDRONAUT</t>
    <phoneticPr fontId="2" type="noConversion"/>
  </si>
  <si>
    <t>군산대</t>
    <phoneticPr fontId="2" type="noConversion"/>
  </si>
  <si>
    <t>stainless steel Fitting for Itrax</t>
    <phoneticPr fontId="2" type="noConversion"/>
  </si>
  <si>
    <t>Cox</t>
    <phoneticPr fontId="2" type="noConversion"/>
  </si>
  <si>
    <t>KIOST(이사부호)</t>
    <phoneticPr fontId="2" type="noConversion"/>
  </si>
  <si>
    <t>무상 샘플</t>
    <phoneticPr fontId="2" type="noConversion"/>
  </si>
  <si>
    <t>이학용</t>
    <phoneticPr fontId="2" type="noConversion"/>
  </si>
  <si>
    <t>Alcaline Battery</t>
    <phoneticPr fontId="2" type="noConversion"/>
  </si>
  <si>
    <t>SARL Technicap</t>
    <phoneticPr fontId="2" type="noConversion"/>
  </si>
  <si>
    <t>서울대</t>
    <phoneticPr fontId="2" type="noConversion"/>
  </si>
  <si>
    <t>무상 수리 후 재반입</t>
    <phoneticPr fontId="2" type="noConversion"/>
  </si>
  <si>
    <t>CTD (sn. 0420783)</t>
    <phoneticPr fontId="2" type="noConversion"/>
  </si>
  <si>
    <t>국토해양환경기술단</t>
    <phoneticPr fontId="2" type="noConversion"/>
  </si>
  <si>
    <t>수리불가로 수리 없이 반입</t>
    <phoneticPr fontId="2" type="noConversion"/>
  </si>
  <si>
    <t xml:space="preserve"> HMP155 s/n G3040009 </t>
    <phoneticPr fontId="2" type="noConversion"/>
  </si>
  <si>
    <t>VISALA</t>
    <phoneticPr fontId="2" type="noConversion"/>
  </si>
  <si>
    <t>한국해양조사협회</t>
    <phoneticPr fontId="2" type="noConversion"/>
  </si>
  <si>
    <t>EU</t>
    <phoneticPr fontId="0" type="Hiragana"/>
  </si>
  <si>
    <t>비고</t>
    <phoneticPr fontId="0" type="Hiragana"/>
  </si>
  <si>
    <t>통관담당</t>
    <phoneticPr fontId="0" type="Hiragana"/>
  </si>
  <si>
    <t>담당자</t>
    <phoneticPr fontId="0" type="Hiragana"/>
  </si>
  <si>
    <t>입고위치</t>
    <phoneticPr fontId="0" type="Hiragana"/>
  </si>
  <si>
    <t>입고</t>
    <phoneticPr fontId="0" type="Hiragana"/>
  </si>
  <si>
    <t>통관</t>
    <phoneticPr fontId="0" type="Hiragana"/>
  </si>
  <si>
    <t>통관금액</t>
    <phoneticPr fontId="0" type="Hiragana"/>
  </si>
  <si>
    <t>통화</t>
    <phoneticPr fontId="0" type="Hiragana"/>
  </si>
  <si>
    <t xml:space="preserve"> 품목</t>
    <phoneticPr fontId="0" type="Hiragana"/>
  </si>
  <si>
    <t>제작사</t>
    <phoneticPr fontId="0" type="Hiragana"/>
  </si>
  <si>
    <t>거래처</t>
    <phoneticPr fontId="0" type="Hiragana"/>
  </si>
  <si>
    <t>계약#</t>
    <phoneticPr fontId="0" type="Hiragana"/>
  </si>
  <si>
    <t>CAD</t>
    <phoneticPr fontId="0" type="Hiragana"/>
  </si>
  <si>
    <t>HN</t>
    <phoneticPr fontId="0" type="Hiragana"/>
  </si>
  <si>
    <t xml:space="preserve"> </t>
    <phoneticPr fontId="0" type="Hiragana"/>
  </si>
  <si>
    <t>GBP</t>
    <phoneticPr fontId="0" type="Hiragana"/>
  </si>
  <si>
    <t>USD</t>
    <phoneticPr fontId="0" type="Hiragana"/>
  </si>
  <si>
    <t>추가필요금액</t>
    <phoneticPr fontId="0" type="Hiragana"/>
  </si>
  <si>
    <t>통장잔고</t>
    <phoneticPr fontId="0" type="Hiragana"/>
  </si>
  <si>
    <t>** 발주금액 **</t>
    <phoneticPr fontId="0" type="Hiragana"/>
  </si>
  <si>
    <t>종합</t>
    <phoneticPr fontId="0" type="Hiragana"/>
  </si>
  <si>
    <r>
      <t xml:space="preserve">유니코 진행 예정
 </t>
    </r>
    <r>
      <rPr>
        <sz val="10"/>
        <rFont val="맑은 고딕"/>
        <family val="3"/>
        <charset val="129"/>
      </rPr>
      <t>25/08/05 30% 선송금완료($20,250.00)</t>
    </r>
    <phoneticPr fontId="0" type="Hiragana"/>
  </si>
  <si>
    <t>M25-911</t>
    <phoneticPr fontId="0" type="Hiragana"/>
  </si>
  <si>
    <t>선금 30% 완료</t>
    <phoneticPr fontId="0" type="Hiragana"/>
  </si>
  <si>
    <t>현지윤2</t>
    <phoneticPr fontId="0" type="Hiragana"/>
  </si>
  <si>
    <t>4월초</t>
  </si>
  <si>
    <t>Depth test system</t>
    <phoneticPr fontId="0" type="Hiragana"/>
  </si>
  <si>
    <t>Lanhe</t>
    <phoneticPr fontId="0" type="Hiragana"/>
  </si>
  <si>
    <t>오션데모</t>
    <phoneticPr fontId="0" type="Hiragana"/>
  </si>
  <si>
    <t>US</t>
    <phoneticPr fontId="0" type="Hiragana"/>
  </si>
  <si>
    <t>현지윤</t>
  </si>
  <si>
    <t>GBP</t>
  </si>
  <si>
    <t>GMX501</t>
  </si>
  <si>
    <t>Gill</t>
  </si>
  <si>
    <t>고려조선</t>
  </si>
  <si>
    <t>#26-4</t>
  </si>
  <si>
    <t>W</t>
    <phoneticPr fontId="0" type="Hiragana"/>
  </si>
  <si>
    <t>GB</t>
    <phoneticPr fontId="0" type="Hiragana"/>
  </si>
  <si>
    <t>오원진</t>
  </si>
  <si>
    <t>EUR</t>
  </si>
  <si>
    <t>ELP790 2식</t>
  </si>
  <si>
    <t>SIG</t>
  </si>
  <si>
    <t>MIT</t>
  </si>
  <si>
    <t>#26-106</t>
  </si>
  <si>
    <t>강성화</t>
  </si>
  <si>
    <t>50meters Calypso piston corer</t>
  </si>
  <si>
    <t>Kley</t>
  </si>
  <si>
    <t>KOPRI(제2쇄빙선)</t>
  </si>
  <si>
    <t>#26-10</t>
  </si>
  <si>
    <t>Calibration for DCS4830 SN310</t>
  </si>
  <si>
    <t>AADI</t>
  </si>
  <si>
    <t>한국수자원공사</t>
  </si>
  <si>
    <t>26/4/2 전체금액 송금완료(EUR5,560.00)</t>
    <phoneticPr fontId="0" type="Hiragana"/>
  </si>
  <si>
    <t>3/30,
4/24</t>
  </si>
  <si>
    <t>15113(30%),
15114(70%)</t>
  </si>
  <si>
    <t>본사</t>
  </si>
  <si>
    <t>Piston wire rope socket</t>
  </si>
  <si>
    <t>KIGAM</t>
  </si>
  <si>
    <t>#26-</t>
  </si>
  <si>
    <t>N2612015</t>
  </si>
  <si>
    <t>CT5819 2식, CT 1m 케이블 6식</t>
  </si>
  <si>
    <t>KHOA, 오재</t>
  </si>
  <si>
    <t>#26-47</t>
  </si>
  <si>
    <t>N2611024</t>
  </si>
  <si>
    <t>현지윤2</t>
  </si>
  <si>
    <t>Turbidity sensor</t>
    <phoneticPr fontId="0" type="Hiragana"/>
  </si>
  <si>
    <t>볼시스</t>
  </si>
  <si>
    <t>#25-410</t>
  </si>
  <si>
    <t>이학용</t>
  </si>
  <si>
    <t>TV-Grab 배터리</t>
  </si>
  <si>
    <t>Oktopus</t>
  </si>
  <si>
    <t>KIOST</t>
  </si>
  <si>
    <t>#26-79</t>
  </si>
  <si>
    <t>현지윤</t>
    <phoneticPr fontId="1" type="Hiragana"/>
  </si>
  <si>
    <t>QuickStitch</t>
  </si>
  <si>
    <t>EIVA</t>
  </si>
  <si>
    <t>#26-71</t>
  </si>
  <si>
    <t>한성, 삼정 진행</t>
  </si>
  <si>
    <t>OPP-39656</t>
  </si>
  <si>
    <t>CD2670100281</t>
  </si>
  <si>
    <t>T50-R</t>
    <phoneticPr fontId="0" type="Hiragana"/>
  </si>
  <si>
    <t>Reson</t>
  </si>
  <si>
    <t>KHOA</t>
  </si>
  <si>
    <t>#26-49</t>
  </si>
  <si>
    <t>최소주문 금액 미달로 홀딩중</t>
  </si>
  <si>
    <t>TC4034-1</t>
  </si>
  <si>
    <t>경원산업</t>
  </si>
  <si>
    <t>#26-66</t>
  </si>
  <si>
    <t>4월 중순</t>
    <phoneticPr fontId="0" type="Hiragana"/>
  </si>
  <si>
    <t>VITROVEX floatation sphere 48식</t>
    <phoneticPr fontId="0" type="Hiragana"/>
  </si>
  <si>
    <t>Nautilus</t>
    <phoneticPr fontId="0" type="Hiragana"/>
  </si>
  <si>
    <t>오션테크 재고</t>
    <phoneticPr fontId="0" type="Hiragana"/>
  </si>
  <si>
    <t>한성, 삼정 진행
26/4/2 송금완료(EUR13,336.50)</t>
    <phoneticPr fontId="0" type="Hiragana"/>
  </si>
  <si>
    <t>13MA26</t>
  </si>
  <si>
    <t>오원진</t>
    <phoneticPr fontId="0" type="Hiragana"/>
  </si>
  <si>
    <t>Reverspark 2000</t>
    <phoneticPr fontId="0" type="Hiragana"/>
  </si>
  <si>
    <t>SIG</t>
    <phoneticPr fontId="0" type="Hiragana"/>
  </si>
  <si>
    <t>KIOST</t>
    <phoneticPr fontId="0" type="Hiragana"/>
  </si>
  <si>
    <t>#26-52</t>
    <phoneticPr fontId="0" type="Hiragana"/>
  </si>
  <si>
    <t>26/1/14 선송금30%완료(EUR46,800.00)</t>
    <phoneticPr fontId="0" type="Hiragana"/>
  </si>
  <si>
    <t>OV00017026-1</t>
    <phoneticPr fontId="0" type="Hiragana"/>
  </si>
  <si>
    <t>30%선송금완료</t>
    <phoneticPr fontId="0" type="Hiragana"/>
  </si>
  <si>
    <t>FFA002148 (선금 30%)</t>
    <phoneticPr fontId="0" type="Hiragana"/>
  </si>
  <si>
    <t>R7 ROV</t>
    <phoneticPr fontId="0" type="Hiragana"/>
  </si>
  <si>
    <t>Exail</t>
    <phoneticPr fontId="0" type="Hiragana"/>
  </si>
  <si>
    <t>고려조선</t>
    <phoneticPr fontId="0" type="Hiragana"/>
  </si>
  <si>
    <t>#25-426</t>
    <phoneticPr fontId="0" type="Hiragana"/>
  </si>
  <si>
    <t>OPP-37971</t>
    <phoneticPr fontId="0" type="Hiragana"/>
  </si>
  <si>
    <t>협의중</t>
  </si>
  <si>
    <t>CD2670100335</t>
  </si>
  <si>
    <t>T51-R</t>
    <phoneticPr fontId="0" type="Hiragana"/>
  </si>
  <si>
    <t>#25-431</t>
    <phoneticPr fontId="0" type="Hiragana"/>
  </si>
  <si>
    <r>
      <rPr>
        <b/>
        <sz val="10"/>
        <rFont val="맑은 고딕"/>
        <family val="3"/>
        <charset val="129"/>
      </rPr>
      <t xml:space="preserve">레누스, 삼정 해상 진행
</t>
    </r>
    <r>
      <rPr>
        <sz val="10"/>
        <rFont val="맑은 고딕"/>
        <family val="3"/>
        <charset val="129"/>
      </rPr>
      <t>25/10/13 30%선송금 완료(EUR23,349.70)
26/3/10 잔금송금완료(EUR54,249.30)</t>
    </r>
    <phoneticPr fontId="0" type="Hiragana"/>
  </si>
  <si>
    <t>선금30% 완료
잔금70% 완료</t>
    <phoneticPr fontId="0" type="Hiragana"/>
  </si>
  <si>
    <t>09968 (선금 30%),
10121 (잔금 70%)</t>
    <phoneticPr fontId="0" type="Hiragana"/>
  </si>
  <si>
    <t>4/5 
입고 예상</t>
  </si>
  <si>
    <t>Umbilical cable</t>
    <phoneticPr fontId="0" type="Hiragana"/>
  </si>
  <si>
    <t>DeRegt</t>
    <phoneticPr fontId="0" type="Hiragana"/>
  </si>
  <si>
    <t>#25-274</t>
    <phoneticPr fontId="0" type="Hiragana"/>
  </si>
  <si>
    <t>2024-11-22
송금불가</t>
    <phoneticPr fontId="0" type="Hiragana"/>
  </si>
  <si>
    <t>fatt-185-24</t>
    <phoneticPr fontId="0" type="Hiragana"/>
  </si>
  <si>
    <t>OS OEM Modules</t>
    <phoneticPr fontId="0" type="Hiragana"/>
  </si>
  <si>
    <t>Idronaut</t>
    <phoneticPr fontId="0" type="Hiragana"/>
  </si>
  <si>
    <t>엔이비</t>
    <phoneticPr fontId="0" type="Hiragana"/>
  </si>
  <si>
    <t>#24-257</t>
    <phoneticPr fontId="0" type="Hiragana"/>
  </si>
  <si>
    <t>OA#</t>
    <phoneticPr fontId="0" type="Hiragana"/>
  </si>
  <si>
    <t>due date</t>
    <phoneticPr fontId="0" type="Hiragana"/>
  </si>
  <si>
    <t>invoice #</t>
    <phoneticPr fontId="0" type="Hiragana"/>
  </si>
  <si>
    <t>발주담당자</t>
    <phoneticPr fontId="0" type="Hiragana"/>
  </si>
  <si>
    <t>선적일</t>
    <phoneticPr fontId="0" type="Hiragana"/>
  </si>
  <si>
    <t>선적예정</t>
    <phoneticPr fontId="0" type="Hiragana"/>
  </si>
  <si>
    <t>발주일</t>
    <phoneticPr fontId="0" type="Hiragana"/>
  </si>
  <si>
    <t>발주금액</t>
    <phoneticPr fontId="0" type="Hiragana"/>
  </si>
  <si>
    <t>품목</t>
    <phoneticPr fontId="0" type="Hiragana"/>
  </si>
  <si>
    <t>송금대기중</t>
    <phoneticPr fontId="0" type="Hiragana"/>
  </si>
  <si>
    <t>체크요망!!</t>
    <phoneticPr fontId="0" type="Hiragana"/>
  </si>
  <si>
    <t>정보입력요망</t>
    <phoneticPr fontId="0" type="Hiragana"/>
  </si>
  <si>
    <t>금주선적예정</t>
    <phoneticPr fontId="0" type="Hiragana"/>
  </si>
  <si>
    <t>차주 선적예정</t>
    <phoneticPr fontId="0" type="Hiragana"/>
  </si>
  <si>
    <t>금주 송금예정</t>
    <phoneticPr fontId="0" type="Hiragana"/>
  </si>
  <si>
    <t>선적일 다가옴</t>
    <phoneticPr fontId="0" type="Hiragana"/>
  </si>
  <si>
    <t>선적일 지남/확인필요</t>
    <phoneticPr fontId="0" type="Hiragana"/>
  </si>
  <si>
    <t>선적일 체크요청</t>
    <phoneticPr fontId="0" type="Hiragana"/>
  </si>
  <si>
    <t>차주 송금예정</t>
    <phoneticPr fontId="0" type="Hiragana"/>
  </si>
  <si>
    <t>s</t>
    <phoneticPr fontId="0" type="Hiragana"/>
  </si>
  <si>
    <t>연구비계정에서 지출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</si>
</sst>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mm&quot;월&quot;\ dd&quot;일&quot;"/>
    <numFmt numFmtId="177" formatCode="m&quot;/&quot;d;@"/>
    <numFmt numFmtId="178" formatCode="#,##0.00_);[Red]\(#,##0.00\)"/>
    <numFmt numFmtId="179" formatCode="m\/d"/>
    <numFmt numFmtId="180" formatCode="0_);[Red]\(0\)"/>
    <numFmt numFmtId="181" formatCode="#,##0_);[Red]\(#,##0\)"/>
    <numFmt numFmtId="182" formatCode="#,##0.00_ ;[Red]\-#,##0.00\ "/>
    <numFmt numFmtId="183" formatCode="yyyy&quot;년&quot;\ m&quot;월&quot;\ d&quot;일&quot;;@"/>
  </numFmts>
  <fonts count="3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72"/>
      <name val="돋움"/>
      <family val="3"/>
      <charset val="129"/>
    </font>
    <font>
      <b/>
      <sz val="28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0"/>
      <color rgb="FFFF0000"/>
      <name val="맑은 고딕"/>
      <family val="3"/>
      <charset val="129"/>
    </font>
    <font>
      <b/>
      <sz val="11"/>
      <name val="돋움"/>
      <family val="3"/>
      <charset val="129"/>
    </font>
    <font>
      <b/>
      <sz val="1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9"/>
      <name val="맑은 고딕"/>
      <family val="3"/>
      <charset val="129"/>
    </font>
    <font>
      <b/>
      <sz val="24"/>
      <color theme="0" tint="-0.249977111117893"/>
      <name val="맑은 고딕"/>
      <family val="3"/>
      <charset val="129"/>
    </font>
    <font>
      <b/>
      <sz val="24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0"/>
      <color theme="3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theme="3"/>
      <name val="맑은 고딕"/>
      <family val="3"/>
      <charset val="129"/>
    </font>
    <font>
      <b/>
      <sz val="10"/>
      <color theme="8" tint="-0.499984740745262"/>
      <name val="맑은 고딕"/>
      <family val="3"/>
      <charset val="129"/>
    </font>
    <font>
      <b/>
      <sz val="10"/>
      <color theme="9" tint="-0.499984740745262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00B050"/>
      <name val="맑은 고딕"/>
      <family val="3"/>
      <charset val="129"/>
    </font>
    <font>
      <sz val="10"/>
      <color rgb="FF00B05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CF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</cellStyleXfs>
  <cellXfs count="22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3" fillId="0" borderId="0" xfId="0" quotePrefix="1" applyNumberFormat="1" applyFont="1" applyAlignment="1">
      <alignment horizontal="center" vertical="center"/>
    </xf>
    <xf numFmtId="178" fontId="3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>
      <alignment vertical="center"/>
    </xf>
    <xf numFmtId="0" fontId="8" fillId="4" borderId="2" xfId="0" applyFont="1" applyFill="1" applyBorder="1" applyAlignment="1">
      <alignment horizontal="left" vertical="center"/>
    </xf>
    <xf numFmtId="179" fontId="3" fillId="4" borderId="3" xfId="0" applyNumberFormat="1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left" vertical="center"/>
    </xf>
    <xf numFmtId="179" fontId="3" fillId="4" borderId="2" xfId="0" applyNumberFormat="1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4" borderId="5" xfId="0" applyNumberFormat="1" applyFont="1" applyFill="1" applyBorder="1" applyAlignment="1">
      <alignment horizontal="center" vertical="center"/>
    </xf>
    <xf numFmtId="178" fontId="3" fillId="4" borderId="3" xfId="0" applyNumberFormat="1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10" fillId="0" borderId="0" xfId="0" applyNumberFormat="1" applyFont="1" applyAlignment="1">
      <alignment horizontal="left" vertical="center"/>
    </xf>
    <xf numFmtId="176" fontId="11" fillId="0" borderId="4" xfId="0" applyNumberFormat="1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179" fontId="12" fillId="0" borderId="2" xfId="0" applyNumberFormat="1" applyFont="1" applyBorder="1" applyAlignment="1">
      <alignment horizontal="center" vertical="center"/>
    </xf>
    <xf numFmtId="178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" fontId="13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left" vertical="center"/>
    </xf>
    <xf numFmtId="0" fontId="15" fillId="0" borderId="4" xfId="0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center" vertical="center"/>
    </xf>
    <xf numFmtId="178" fontId="15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4" fontId="16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left" vertical="center"/>
    </xf>
    <xf numFmtId="179" fontId="12" fillId="3" borderId="2" xfId="0" applyNumberFormat="1" applyFont="1" applyFill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5" borderId="4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179" fontId="15" fillId="5" borderId="2" xfId="0" applyNumberFormat="1" applyFont="1" applyFill="1" applyBorder="1" applyAlignment="1">
      <alignment horizontal="center" vertical="center"/>
    </xf>
    <xf numFmtId="178" fontId="17" fillId="5" borderId="2" xfId="0" applyNumberFormat="1" applyFont="1" applyFill="1" applyBorder="1" applyAlignment="1" applyProtection="1">
      <alignment horizontal="center" vertical="center"/>
      <protection locked="0"/>
    </xf>
    <xf numFmtId="178" fontId="18" fillId="5" borderId="2" xfId="0" applyNumberFormat="1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177" fontId="12" fillId="0" borderId="4" xfId="0" applyNumberFormat="1" applyFont="1" applyBorder="1" applyAlignment="1">
      <alignment horizontal="center" vertical="center"/>
    </xf>
    <xf numFmtId="180" fontId="12" fillId="0" borderId="2" xfId="0" applyNumberFormat="1" applyFont="1" applyBorder="1" applyAlignment="1">
      <alignment horizontal="center" vertical="center"/>
    </xf>
    <xf numFmtId="178" fontId="12" fillId="4" borderId="2" xfId="0" applyNumberFormat="1" applyFont="1" applyFill="1" applyBorder="1" applyAlignment="1">
      <alignment horizontal="center" vertical="center"/>
    </xf>
    <xf numFmtId="4" fontId="12" fillId="0" borderId="2" xfId="0" applyNumberFormat="1" applyFont="1" applyBorder="1" applyAlignment="1" applyProtection="1">
      <alignment horizontal="center" vertical="center"/>
      <protection locked="0"/>
    </xf>
    <xf numFmtId="4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6" fillId="0" borderId="4" xfId="0" applyFont="1" applyBorder="1">
      <alignment vertical="center"/>
    </xf>
    <xf numFmtId="0" fontId="15" fillId="0" borderId="2" xfId="0" applyFont="1" applyBorder="1" applyAlignment="1">
      <alignment horizontal="center" vertical="center"/>
    </xf>
    <xf numFmtId="179" fontId="19" fillId="0" borderId="2" xfId="0" applyNumberFormat="1" applyFont="1" applyBorder="1" applyAlignment="1">
      <alignment horizontal="center" vertical="center"/>
    </xf>
    <xf numFmtId="181" fontId="15" fillId="6" borderId="2" xfId="0" applyNumberFormat="1" applyFont="1" applyFill="1" applyBorder="1" applyAlignment="1">
      <alignment horizontal="center" vertical="center"/>
    </xf>
    <xf numFmtId="181" fontId="20" fillId="7" borderId="2" xfId="0" applyNumberFormat="1" applyFont="1" applyFill="1" applyBorder="1" applyAlignment="1">
      <alignment horizontal="center" vertical="center"/>
    </xf>
    <xf numFmtId="178" fontId="15" fillId="7" borderId="2" xfId="0" applyNumberFormat="1" applyFont="1" applyFill="1" applyBorder="1" applyAlignment="1">
      <alignment horizontal="center"/>
    </xf>
    <xf numFmtId="181" fontId="15" fillId="7" borderId="2" xfId="0" applyNumberFormat="1" applyFont="1" applyFill="1" applyBorder="1" applyAlignment="1">
      <alignment horizontal="center" vertical="center"/>
    </xf>
    <xf numFmtId="181" fontId="12" fillId="7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4" xfId="0" applyFont="1" applyBorder="1" applyAlignment="1">
      <alignment horizontal="left" vertical="center"/>
    </xf>
    <xf numFmtId="178" fontId="14" fillId="0" borderId="0" xfId="0" applyNumberFormat="1" applyFont="1">
      <alignment vertical="center"/>
    </xf>
    <xf numFmtId="181" fontId="20" fillId="7" borderId="0" xfId="0" applyNumberFormat="1" applyFont="1" applyFill="1" applyAlignment="1">
      <alignment horizontal="center" vertical="center"/>
    </xf>
    <xf numFmtId="178" fontId="15" fillId="7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41" fontId="15" fillId="0" borderId="0" xfId="1" applyFont="1">
      <alignment vertical="center"/>
    </xf>
    <xf numFmtId="178" fontId="15" fillId="0" borderId="0" xfId="0" applyNumberFormat="1" applyFont="1">
      <alignment vertical="center"/>
    </xf>
    <xf numFmtId="41" fontId="21" fillId="0" borderId="0" xfId="1" applyFont="1">
      <alignment vertical="center"/>
    </xf>
    <xf numFmtId="182" fontId="15" fillId="0" borderId="0" xfId="0" applyNumberFormat="1" applyFont="1">
      <alignment vertical="center"/>
    </xf>
    <xf numFmtId="181" fontId="22" fillId="7" borderId="2" xfId="0" applyNumberFormat="1" applyFont="1" applyFill="1" applyBorder="1" applyAlignment="1">
      <alignment horizontal="center" vertical="center"/>
    </xf>
    <xf numFmtId="181" fontId="23" fillId="7" borderId="2" xfId="0" applyNumberFormat="1" applyFont="1" applyFill="1" applyBorder="1" applyAlignment="1">
      <alignment horizontal="center" vertical="center"/>
    </xf>
    <xf numFmtId="181" fontId="12" fillId="7" borderId="2" xfId="0" applyNumberFormat="1" applyFont="1" applyFill="1" applyBorder="1" applyAlignment="1">
      <alignment horizontal="center" vertical="center"/>
    </xf>
    <xf numFmtId="181" fontId="24" fillId="7" borderId="2" xfId="0" applyNumberFormat="1" applyFont="1" applyFill="1" applyBorder="1" applyAlignment="1" applyProtection="1">
      <alignment horizontal="center" vertical="center"/>
      <protection locked="0"/>
    </xf>
    <xf numFmtId="181" fontId="24" fillId="7" borderId="2" xfId="0" applyNumberFormat="1" applyFont="1" applyFill="1" applyBorder="1" applyAlignment="1">
      <alignment horizontal="center" vertical="center"/>
    </xf>
    <xf numFmtId="0" fontId="13" fillId="5" borderId="4" xfId="0" applyFont="1" applyFill="1" applyBorder="1">
      <alignment vertical="center"/>
    </xf>
    <xf numFmtId="177" fontId="15" fillId="5" borderId="4" xfId="0" applyNumberFormat="1" applyFont="1" applyFill="1" applyBorder="1" applyAlignment="1">
      <alignment horizontal="center" vertical="center"/>
    </xf>
    <xf numFmtId="177" fontId="15" fillId="5" borderId="2" xfId="0" applyNumberFormat="1" applyFont="1" applyFill="1" applyBorder="1" applyAlignment="1">
      <alignment horizontal="center" vertical="center"/>
    </xf>
    <xf numFmtId="179" fontId="12" fillId="5" borderId="2" xfId="0" applyNumberFormat="1" applyFont="1" applyFill="1" applyBorder="1" applyAlignment="1">
      <alignment horizontal="center" vertical="center"/>
    </xf>
    <xf numFmtId="180" fontId="15" fillId="5" borderId="2" xfId="0" applyNumberFormat="1" applyFont="1" applyFill="1" applyBorder="1" applyAlignment="1">
      <alignment horizontal="center" vertical="center"/>
    </xf>
    <xf numFmtId="49" fontId="15" fillId="5" borderId="2" xfId="0" applyNumberFormat="1" applyFont="1" applyFill="1" applyBorder="1" applyAlignment="1">
      <alignment horizontal="center" vertical="center"/>
    </xf>
    <xf numFmtId="0" fontId="14" fillId="5" borderId="0" xfId="0" applyFont="1" applyFill="1">
      <alignment vertical="center"/>
    </xf>
    <xf numFmtId="177" fontId="25" fillId="5" borderId="3" xfId="0" applyNumberFormat="1" applyFont="1" applyFill="1" applyBorder="1" applyAlignment="1">
      <alignment horizontal="center" vertical="center"/>
    </xf>
    <xf numFmtId="4" fontId="18" fillId="5" borderId="3" xfId="0" applyNumberFormat="1" applyFont="1" applyFill="1" applyBorder="1" applyAlignment="1" applyProtection="1">
      <alignment horizontal="center" vertical="center"/>
      <protection locked="0"/>
    </xf>
    <xf numFmtId="4" fontId="18" fillId="5" borderId="3" xfId="0" applyNumberFormat="1" applyFont="1" applyFill="1" applyBorder="1" applyAlignment="1">
      <alignment horizontal="center" vertical="center"/>
    </xf>
    <xf numFmtId="4" fontId="16" fillId="5" borderId="3" xfId="0" applyNumberFormat="1" applyFont="1" applyFill="1" applyBorder="1" applyAlignment="1">
      <alignment horizontal="center" vertical="center"/>
    </xf>
    <xf numFmtId="0" fontId="16" fillId="5" borderId="0" xfId="0" applyFont="1" applyFill="1">
      <alignment vertical="center"/>
    </xf>
    <xf numFmtId="0" fontId="14" fillId="5" borderId="0" xfId="0" applyFont="1" applyFill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177" fontId="15" fillId="0" borderId="7" xfId="0" quotePrefix="1" applyNumberFormat="1" applyFont="1" applyBorder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78" fontId="15" fillId="0" borderId="0" xfId="2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left" vertical="center" wrapText="1"/>
    </xf>
    <xf numFmtId="0" fontId="16" fillId="5" borderId="4" xfId="0" applyFont="1" applyFill="1" applyBorder="1">
      <alignment vertical="center"/>
    </xf>
    <xf numFmtId="179" fontId="12" fillId="5" borderId="3" xfId="0" applyNumberFormat="1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177" fontId="25" fillId="5" borderId="2" xfId="0" applyNumberFormat="1" applyFont="1" applyFill="1" applyBorder="1" applyAlignment="1">
      <alignment horizontal="center" vertical="center"/>
    </xf>
    <xf numFmtId="178" fontId="15" fillId="5" borderId="3" xfId="0" applyNumberFormat="1" applyFont="1" applyFill="1" applyBorder="1" applyAlignment="1">
      <alignment horizontal="center" vertical="center"/>
    </xf>
    <xf numFmtId="178" fontId="17" fillId="5" borderId="3" xfId="0" applyNumberFormat="1" applyFont="1" applyFill="1" applyBorder="1" applyAlignment="1" applyProtection="1">
      <alignment horizontal="center" vertical="center"/>
      <protection locked="0"/>
    </xf>
    <xf numFmtId="178" fontId="18" fillId="5" borderId="3" xfId="0" applyNumberFormat="1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left" vertical="center"/>
    </xf>
    <xf numFmtId="177" fontId="3" fillId="8" borderId="0" xfId="0" applyNumberFormat="1" applyFont="1" applyFill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left" vertical="center"/>
    </xf>
    <xf numFmtId="178" fontId="15" fillId="5" borderId="2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7" fontId="26" fillId="8" borderId="0" xfId="0" applyNumberFormat="1" applyFont="1" applyFill="1">
      <alignment vertical="center"/>
    </xf>
    <xf numFmtId="180" fontId="26" fillId="8" borderId="0" xfId="0" applyNumberFormat="1" applyFont="1" applyFill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 wrapText="1"/>
    </xf>
    <xf numFmtId="49" fontId="26" fillId="8" borderId="0" xfId="0" applyNumberFormat="1" applyFont="1" applyFill="1" applyAlignment="1">
      <alignment horizontal="center" vertical="center"/>
    </xf>
    <xf numFmtId="178" fontId="27" fillId="9" borderId="0" xfId="2" applyNumberFormat="1" applyFont="1" applyFill="1" applyBorder="1" applyAlignment="1">
      <alignment horizontal="center" vertical="center"/>
    </xf>
    <xf numFmtId="177" fontId="27" fillId="9" borderId="0" xfId="0" applyNumberFormat="1" applyFont="1" applyFill="1" applyAlignment="1">
      <alignment horizontal="center" vertical="center"/>
    </xf>
    <xf numFmtId="177" fontId="27" fillId="9" borderId="0" xfId="0" applyNumberFormat="1" applyFont="1" applyFill="1" applyAlignment="1">
      <alignment horizontal="left" vertical="center"/>
    </xf>
    <xf numFmtId="177" fontId="26" fillId="0" borderId="0" xfId="0" applyNumberFormat="1" applyFont="1" applyAlignment="1">
      <alignment horizontal="center" vertical="center"/>
    </xf>
    <xf numFmtId="180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78" fontId="12" fillId="0" borderId="0" xfId="2" applyNumberFormat="1" applyFont="1" applyFill="1" applyBorder="1" applyAlignment="1">
      <alignment horizontal="center" vertical="center"/>
    </xf>
    <xf numFmtId="177" fontId="26" fillId="0" borderId="0" xfId="0" applyNumberFormat="1" applyFont="1" applyAlignment="1">
      <alignment horizontal="left" vertical="center"/>
    </xf>
    <xf numFmtId="177" fontId="27" fillId="9" borderId="0" xfId="0" applyNumberFormat="1" applyFont="1" applyFill="1" applyAlignment="1">
      <alignment horizontal="left" vertical="center" wrapText="1"/>
    </xf>
    <xf numFmtId="177" fontId="28" fillId="9" borderId="0" xfId="0" applyNumberFormat="1" applyFont="1" applyFill="1" applyAlignment="1">
      <alignment horizontal="center" vertical="center"/>
    </xf>
    <xf numFmtId="49" fontId="27" fillId="9" borderId="0" xfId="0" applyNumberFormat="1" applyFont="1" applyFill="1" applyAlignment="1">
      <alignment horizontal="center" vertical="center"/>
    </xf>
    <xf numFmtId="0" fontId="15" fillId="10" borderId="0" xfId="0" applyFont="1" applyFill="1">
      <alignment vertical="center"/>
    </xf>
    <xf numFmtId="0" fontId="12" fillId="11" borderId="0" xfId="0" applyFont="1" applyFill="1">
      <alignment vertical="center"/>
    </xf>
    <xf numFmtId="0" fontId="15" fillId="10" borderId="0" xfId="0" applyFont="1" applyFill="1" applyAlignment="1">
      <alignment horizontal="center" vertical="center"/>
    </xf>
    <xf numFmtId="176" fontId="15" fillId="10" borderId="0" xfId="0" applyNumberFormat="1" applyFont="1" applyFill="1" applyAlignment="1">
      <alignment horizontal="center" vertical="center"/>
    </xf>
    <xf numFmtId="49" fontId="15" fillId="10" borderId="0" xfId="0" applyNumberFormat="1" applyFont="1" applyFill="1" applyAlignment="1">
      <alignment horizontal="center" vertical="center"/>
    </xf>
    <xf numFmtId="177" fontId="3" fillId="0" borderId="0" xfId="0" quotePrefix="1" applyNumberFormat="1" applyFont="1" applyAlignment="1">
      <alignment horizontal="left" vertical="center"/>
    </xf>
    <xf numFmtId="178" fontId="15" fillId="10" borderId="0" xfId="2" applyNumberFormat="1" applyFont="1" applyFill="1" applyBorder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49" fontId="15" fillId="10" borderId="0" xfId="0" applyNumberFormat="1" applyFont="1" applyFill="1" applyAlignment="1">
      <alignment horizontal="left" vertical="center" wrapText="1"/>
    </xf>
    <xf numFmtId="0" fontId="3" fillId="8" borderId="0" xfId="0" applyFont="1" applyFill="1">
      <alignment vertical="center"/>
    </xf>
    <xf numFmtId="0" fontId="3" fillId="8" borderId="0" xfId="0" applyFont="1" applyFill="1" applyAlignment="1">
      <alignment vertical="center" wrapText="1"/>
    </xf>
    <xf numFmtId="0" fontId="3" fillId="8" borderId="0" xfId="0" applyFont="1" applyFill="1" applyAlignment="1">
      <alignment horizontal="center" vertical="center"/>
    </xf>
    <xf numFmtId="176" fontId="3" fillId="8" borderId="0" xfId="0" applyNumberFormat="1" applyFont="1" applyFill="1" applyAlignment="1">
      <alignment horizontal="center" vertical="center"/>
    </xf>
    <xf numFmtId="49" fontId="3" fillId="8" borderId="0" xfId="0" applyNumberFormat="1" applyFont="1" applyFill="1" applyAlignment="1">
      <alignment horizontal="center" vertical="center"/>
    </xf>
    <xf numFmtId="177" fontId="3" fillId="8" borderId="0" xfId="0" quotePrefix="1" applyNumberFormat="1" applyFont="1" applyFill="1" applyAlignment="1">
      <alignment horizontal="center" vertical="center"/>
    </xf>
    <xf numFmtId="178" fontId="15" fillId="8" borderId="0" xfId="2" applyNumberFormat="1" applyFont="1" applyFill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49" fontId="3" fillId="8" borderId="0" xfId="0" applyNumberFormat="1" applyFont="1" applyFill="1" applyAlignment="1">
      <alignment horizontal="left" vertical="center" wrapText="1"/>
    </xf>
    <xf numFmtId="0" fontId="15" fillId="8" borderId="0" xfId="0" applyFont="1" applyFill="1">
      <alignment vertical="center"/>
    </xf>
    <xf numFmtId="0" fontId="15" fillId="8" borderId="0" xfId="0" applyFont="1" applyFill="1" applyAlignment="1">
      <alignment vertical="center" wrapText="1"/>
    </xf>
    <xf numFmtId="176" fontId="15" fillId="8" borderId="0" xfId="0" applyNumberFormat="1" applyFont="1" applyFill="1" applyAlignment="1">
      <alignment horizontal="center" vertical="center" wrapText="1"/>
    </xf>
    <xf numFmtId="49" fontId="15" fillId="8" borderId="0" xfId="0" quotePrefix="1" applyNumberFormat="1" applyFont="1" applyFill="1" applyAlignment="1">
      <alignment horizontal="center" vertical="center" wrapText="1"/>
    </xf>
    <xf numFmtId="49" fontId="15" fillId="8" borderId="0" xfId="0" applyNumberFormat="1" applyFont="1" applyFill="1" applyAlignment="1">
      <alignment horizontal="center" vertical="center"/>
    </xf>
    <xf numFmtId="177" fontId="15" fillId="8" borderId="0" xfId="0" applyNumberFormat="1" applyFont="1" applyFill="1" applyAlignment="1">
      <alignment horizontal="center" vertical="center"/>
    </xf>
    <xf numFmtId="177" fontId="15" fillId="8" borderId="0" xfId="0" applyNumberFormat="1" applyFont="1" applyFill="1" applyAlignment="1">
      <alignment horizontal="center" vertical="center" wrapText="1"/>
    </xf>
    <xf numFmtId="177" fontId="15" fillId="8" borderId="0" xfId="0" quotePrefix="1" applyNumberFormat="1" applyFont="1" applyFill="1" applyAlignment="1">
      <alignment horizontal="center" vertical="center"/>
    </xf>
    <xf numFmtId="0" fontId="16" fillId="8" borderId="0" xfId="0" applyFont="1" applyFill="1" applyAlignment="1">
      <alignment horizontal="center" vertical="center"/>
    </xf>
    <xf numFmtId="49" fontId="15" fillId="8" borderId="0" xfId="0" applyNumberFormat="1" applyFont="1" applyFill="1" applyAlignment="1">
      <alignment horizontal="left" vertical="center" wrapText="1"/>
    </xf>
    <xf numFmtId="0" fontId="12" fillId="4" borderId="0" xfId="0" applyFont="1" applyFill="1">
      <alignment vertical="center"/>
    </xf>
    <xf numFmtId="0" fontId="12" fillId="4" borderId="0" xfId="0" applyFont="1" applyFill="1" applyAlignment="1">
      <alignment horizontal="center" vertical="center"/>
    </xf>
    <xf numFmtId="176" fontId="12" fillId="4" borderId="0" xfId="0" applyNumberFormat="1" applyFont="1" applyFill="1" applyAlignment="1">
      <alignment horizontal="left" vertical="center"/>
    </xf>
    <xf numFmtId="49" fontId="12" fillId="4" borderId="0" xfId="0" applyNumberFormat="1" applyFont="1" applyFill="1" applyAlignment="1">
      <alignment horizontal="center" vertical="center" wrapText="1"/>
    </xf>
    <xf numFmtId="49" fontId="12" fillId="4" borderId="0" xfId="0" applyNumberFormat="1" applyFont="1" applyFill="1" applyAlignment="1">
      <alignment horizontal="center" vertical="center"/>
    </xf>
    <xf numFmtId="177" fontId="12" fillId="4" borderId="0" xfId="0" applyNumberFormat="1" applyFont="1" applyFill="1" applyAlignment="1">
      <alignment horizontal="center" vertical="center"/>
    </xf>
    <xf numFmtId="178" fontId="12" fillId="4" borderId="0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 wrapText="1"/>
    </xf>
    <xf numFmtId="0" fontId="15" fillId="5" borderId="8" xfId="0" applyFont="1" applyFill="1" applyBorder="1" applyAlignment="1">
      <alignment horizontal="center" vertical="center"/>
    </xf>
    <xf numFmtId="178" fontId="17" fillId="5" borderId="8" xfId="0" applyNumberFormat="1" applyFont="1" applyFill="1" applyBorder="1" applyAlignment="1" applyProtection="1">
      <alignment horizontal="center" vertical="center"/>
      <protection locked="0"/>
    </xf>
    <xf numFmtId="178" fontId="18" fillId="5" borderId="8" xfId="0" applyNumberFormat="1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left" vertical="center"/>
    </xf>
    <xf numFmtId="0" fontId="13" fillId="0" borderId="4" xfId="0" applyFont="1" applyBorder="1">
      <alignment vertical="center"/>
    </xf>
    <xf numFmtId="177" fontId="12" fillId="0" borderId="2" xfId="0" applyNumberFormat="1" applyFont="1" applyBorder="1" applyAlignment="1">
      <alignment horizontal="center" vertical="center"/>
    </xf>
    <xf numFmtId="180" fontId="15" fillId="0" borderId="2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13" fillId="4" borderId="4" xfId="0" applyFont="1" applyFill="1" applyBorder="1">
      <alignment vertical="center"/>
    </xf>
    <xf numFmtId="177" fontId="19" fillId="12" borderId="4" xfId="0" applyNumberFormat="1" applyFont="1" applyFill="1" applyBorder="1" applyAlignment="1">
      <alignment horizontal="center" vertical="center"/>
    </xf>
    <xf numFmtId="177" fontId="19" fillId="12" borderId="2" xfId="0" applyNumberFormat="1" applyFont="1" applyFill="1" applyBorder="1" applyAlignment="1">
      <alignment horizontal="center" vertical="center"/>
    </xf>
    <xf numFmtId="179" fontId="29" fillId="12" borderId="2" xfId="0" applyNumberFormat="1" applyFont="1" applyFill="1" applyBorder="1" applyAlignment="1">
      <alignment horizontal="center" vertical="center"/>
    </xf>
    <xf numFmtId="180" fontId="30" fillId="4" borderId="2" xfId="0" applyNumberFormat="1" applyFont="1" applyFill="1" applyBorder="1" applyAlignment="1">
      <alignment horizontal="center" vertical="center"/>
    </xf>
    <xf numFmtId="180" fontId="31" fillId="4" borderId="2" xfId="0" applyNumberFormat="1" applyFont="1" applyFill="1" applyBorder="1" applyAlignment="1">
      <alignment horizontal="center" vertical="center"/>
    </xf>
    <xf numFmtId="179" fontId="30" fillId="4" borderId="2" xfId="0" applyNumberFormat="1" applyFont="1" applyFill="1" applyBorder="1" applyAlignment="1">
      <alignment horizontal="center" vertical="center"/>
    </xf>
    <xf numFmtId="179" fontId="11" fillId="3" borderId="2" xfId="0" applyNumberFormat="1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 vertical="center"/>
    </xf>
    <xf numFmtId="183" fontId="12" fillId="0" borderId="2" xfId="0" applyNumberFormat="1" applyFont="1" applyBorder="1" applyAlignment="1">
      <alignment horizontal="center" vertical="center"/>
    </xf>
    <xf numFmtId="178" fontId="32" fillId="0" borderId="0" xfId="0" applyNumberFormat="1" applyFont="1">
      <alignment vertical="center"/>
    </xf>
    <xf numFmtId="0" fontId="16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177" fontId="15" fillId="4" borderId="4" xfId="0" applyNumberFormat="1" applyFont="1" applyFill="1" applyBorder="1" applyAlignment="1">
      <alignment horizontal="center" vertical="center"/>
    </xf>
    <xf numFmtId="177" fontId="15" fillId="4" borderId="2" xfId="0" applyNumberFormat="1" applyFont="1" applyFill="1" applyBorder="1" applyAlignment="1">
      <alignment horizontal="center" vertical="center"/>
    </xf>
    <xf numFmtId="179" fontId="29" fillId="13" borderId="2" xfId="0" applyNumberFormat="1" applyFont="1" applyFill="1" applyBorder="1" applyAlignment="1">
      <alignment horizontal="center" vertical="center"/>
    </xf>
    <xf numFmtId="179" fontId="11" fillId="8" borderId="2" xfId="0" applyNumberFormat="1" applyFont="1" applyFill="1" applyBorder="1" applyAlignment="1">
      <alignment horizontal="center" vertical="center"/>
    </xf>
    <xf numFmtId="49" fontId="12" fillId="4" borderId="2" xfId="0" applyNumberFormat="1" applyFont="1" applyFill="1" applyBorder="1" applyAlignment="1">
      <alignment horizontal="center" vertical="center"/>
    </xf>
    <xf numFmtId="179" fontId="15" fillId="14" borderId="2" xfId="0" applyNumberFormat="1" applyFont="1" applyFill="1" applyBorder="1" applyAlignment="1">
      <alignment horizontal="center" vertical="center"/>
    </xf>
    <xf numFmtId="49" fontId="15" fillId="4" borderId="2" xfId="0" applyNumberFormat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179" fontId="15" fillId="15" borderId="2" xfId="0" applyNumberFormat="1" applyFont="1" applyFill="1" applyBorder="1" applyAlignment="1">
      <alignment horizontal="center" vertical="center"/>
    </xf>
    <xf numFmtId="180" fontId="15" fillId="4" borderId="2" xfId="0" applyNumberFormat="1" applyFont="1" applyFill="1" applyBorder="1" applyAlignment="1">
      <alignment horizontal="center" vertical="center"/>
    </xf>
    <xf numFmtId="179" fontId="12" fillId="16" borderId="2" xfId="0" applyNumberFormat="1" applyFont="1" applyFill="1" applyBorder="1" applyAlignment="1">
      <alignment horizontal="center" vertical="center"/>
    </xf>
    <xf numFmtId="0" fontId="10" fillId="16" borderId="0" xfId="0" applyFont="1" applyFill="1" applyAlignment="1">
      <alignment horizontal="left" vertical="center"/>
    </xf>
    <xf numFmtId="179" fontId="15" fillId="17" borderId="2" xfId="0" applyNumberFormat="1" applyFont="1" applyFill="1" applyBorder="1" applyAlignment="1">
      <alignment horizontal="center" vertical="center"/>
    </xf>
  </cellXfs>
  <cellStyles count="3">
    <cellStyle name="메모" xfId="2" builtinId="10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01DF2-7E76-40B0-8A6C-FC2D884956D9}">
  <dimension ref="A1:AC48"/>
  <sheetViews>
    <sheetView tabSelected="1" topLeftCell="A26" workbookViewId="0">
      <selection activeCell="A46" sqref="A46:XFD48"/>
    </sheetView>
  </sheetViews>
  <sheetFormatPr defaultRowHeight="13.5"/>
  <sheetData>
    <row r="1" spans="1:18" s="72" customFormat="1" ht="16.899999999999999">
      <c r="A1" s="208"/>
      <c r="B1" s="207"/>
      <c r="C1" s="50" t="s">
        <v>64</v>
      </c>
      <c r="F1" s="68"/>
      <c r="G1" s="205"/>
      <c r="H1" s="215" t="s">
        <v>180</v>
      </c>
      <c r="I1" s="215"/>
      <c r="J1" s="222" t="s">
        <v>55</v>
      </c>
      <c r="K1" s="222" t="s">
        <v>54</v>
      </c>
      <c r="L1" s="222" t="s">
        <v>53</v>
      </c>
      <c r="M1" s="74"/>
      <c r="N1" s="221" t="s">
        <v>195</v>
      </c>
      <c r="O1" s="220"/>
      <c r="P1" s="210"/>
      <c r="Q1" s="209"/>
      <c r="R1" s="196" t="s">
        <v>194</v>
      </c>
    </row>
    <row r="2" spans="1:18" s="72" customFormat="1" ht="16.899999999999999">
      <c r="A2" s="208"/>
      <c r="B2" s="207"/>
      <c r="C2" s="116"/>
      <c r="G2" s="205"/>
      <c r="H2" s="219" t="s">
        <v>193</v>
      </c>
      <c r="I2" s="219"/>
      <c r="J2" s="218"/>
      <c r="K2" s="218"/>
      <c r="L2" s="218"/>
      <c r="M2" s="71" t="s">
        <v>192</v>
      </c>
      <c r="N2" s="217" t="s">
        <v>191</v>
      </c>
      <c r="O2" s="216" t="s">
        <v>190</v>
      </c>
      <c r="P2" s="210"/>
      <c r="Q2" s="209"/>
      <c r="R2" s="196"/>
    </row>
    <row r="3" spans="1:18" s="72" customFormat="1" ht="16.899999999999999">
      <c r="A3" s="208"/>
      <c r="B3" s="207"/>
      <c r="C3" s="116"/>
      <c r="D3" s="82"/>
      <c r="G3" s="205"/>
      <c r="H3" s="215" t="s">
        <v>189</v>
      </c>
      <c r="I3" s="215"/>
      <c r="J3" s="214"/>
      <c r="K3" s="214"/>
      <c r="L3" s="214"/>
      <c r="M3" s="213" t="s">
        <v>188</v>
      </c>
      <c r="N3" s="212" t="s">
        <v>187</v>
      </c>
      <c r="O3" s="211" t="s">
        <v>186</v>
      </c>
      <c r="P3" s="210"/>
      <c r="Q3" s="209"/>
      <c r="R3" s="196"/>
    </row>
    <row r="4" spans="1:18" s="72" customFormat="1" ht="16.899999999999999">
      <c r="A4" s="208"/>
      <c r="B4" s="207"/>
      <c r="C4" s="116"/>
      <c r="D4" s="206"/>
      <c r="G4" s="205"/>
      <c r="H4" s="204" t="s">
        <v>52</v>
      </c>
      <c r="I4" s="204"/>
      <c r="J4" s="203" t="s">
        <v>185</v>
      </c>
      <c r="K4" s="202"/>
      <c r="L4" s="202"/>
      <c r="M4" s="201"/>
      <c r="N4" s="200"/>
      <c r="O4" s="199" t="s">
        <v>184</v>
      </c>
      <c r="P4" s="198"/>
      <c r="Q4" s="197"/>
      <c r="R4" s="196"/>
    </row>
    <row r="5" spans="1:18" s="72" customFormat="1" ht="16.899999999999999">
      <c r="A5" s="71" t="s">
        <v>61</v>
      </c>
      <c r="B5" s="40" t="s">
        <v>60</v>
      </c>
      <c r="C5" s="39" t="s">
        <v>59</v>
      </c>
      <c r="D5" s="70" t="s">
        <v>183</v>
      </c>
      <c r="E5" s="69" t="s">
        <v>57</v>
      </c>
      <c r="F5" s="68" t="s">
        <v>182</v>
      </c>
      <c r="G5" s="193" t="s">
        <v>181</v>
      </c>
      <c r="H5" s="195" t="s">
        <v>180</v>
      </c>
      <c r="I5" s="195" t="s">
        <v>179</v>
      </c>
      <c r="J5" s="35" t="s">
        <v>55</v>
      </c>
      <c r="K5" s="35" t="s">
        <v>54</v>
      </c>
      <c r="L5" s="35" t="s">
        <v>53</v>
      </c>
      <c r="M5" s="194" t="s">
        <v>178</v>
      </c>
      <c r="N5" s="67" t="s">
        <v>177</v>
      </c>
      <c r="O5" s="35" t="s">
        <v>176</v>
      </c>
      <c r="P5" s="193" t="s">
        <v>175</v>
      </c>
      <c r="Q5" s="66" t="s">
        <v>51</v>
      </c>
      <c r="R5" s="192" t="s">
        <v>50</v>
      </c>
    </row>
    <row r="6" spans="1:18" s="72" customFormat="1" ht="40.5" customHeight="1">
      <c r="A6" s="191"/>
      <c r="B6" s="190"/>
      <c r="C6" s="190"/>
      <c r="D6" s="189" t="s">
        <v>5</v>
      </c>
      <c r="E6" s="188" t="s">
        <v>49</v>
      </c>
      <c r="F6" s="187"/>
      <c r="G6" s="121">
        <v>36526</v>
      </c>
      <c r="H6" s="100"/>
      <c r="I6" s="100"/>
      <c r="J6" s="59"/>
      <c r="K6" s="59"/>
      <c r="L6" s="59"/>
      <c r="M6" s="58"/>
      <c r="N6" s="58"/>
      <c r="O6" s="98"/>
      <c r="P6" s="58"/>
      <c r="Q6" s="57"/>
      <c r="R6" s="118"/>
    </row>
    <row r="7" spans="1:18" s="177" customFormat="1" ht="15.75" customHeight="1">
      <c r="A7" s="186" t="s">
        <v>174</v>
      </c>
      <c r="B7" s="185" t="s">
        <v>173</v>
      </c>
      <c r="C7" s="185" t="s">
        <v>172</v>
      </c>
      <c r="D7" s="184" t="s">
        <v>171</v>
      </c>
      <c r="E7" s="178" t="s">
        <v>5</v>
      </c>
      <c r="F7" s="183">
        <v>28800</v>
      </c>
      <c r="G7" s="182">
        <v>45538</v>
      </c>
      <c r="H7" s="182">
        <v>45590</v>
      </c>
      <c r="I7" s="182"/>
      <c r="J7" s="182">
        <v>45607</v>
      </c>
      <c r="K7" s="182">
        <v>45608</v>
      </c>
      <c r="L7" s="182" t="s">
        <v>12</v>
      </c>
      <c r="M7" s="181" t="s">
        <v>3</v>
      </c>
      <c r="N7" s="180" t="s">
        <v>170</v>
      </c>
      <c r="O7" s="179" t="s">
        <v>169</v>
      </c>
      <c r="P7" s="178"/>
      <c r="Q7" s="178"/>
    </row>
    <row r="8" spans="1:18" s="167" customFormat="1" ht="41.25" customHeight="1">
      <c r="A8" s="176" t="s">
        <v>168</v>
      </c>
      <c r="B8" s="171" t="s">
        <v>147</v>
      </c>
      <c r="C8" s="171" t="s">
        <v>167</v>
      </c>
      <c r="D8" s="175" t="s">
        <v>166</v>
      </c>
      <c r="E8" s="164" t="s">
        <v>5</v>
      </c>
      <c r="F8" s="163">
        <v>54249.3</v>
      </c>
      <c r="G8" s="172">
        <v>45901</v>
      </c>
      <c r="H8" s="174">
        <v>46055</v>
      </c>
      <c r="I8" s="174">
        <v>46068</v>
      </c>
      <c r="J8" s="173" t="s">
        <v>165</v>
      </c>
      <c r="K8" s="172"/>
      <c r="L8" s="172"/>
      <c r="M8" s="171" t="s">
        <v>144</v>
      </c>
      <c r="N8" s="170" t="s">
        <v>164</v>
      </c>
      <c r="O8" s="169" t="s">
        <v>163</v>
      </c>
      <c r="P8" s="164"/>
      <c r="Q8" s="164"/>
      <c r="R8" s="168" t="s">
        <v>162</v>
      </c>
    </row>
    <row r="9" spans="1:18" s="157" customFormat="1" ht="15.75" customHeight="1">
      <c r="A9" s="166" t="s">
        <v>161</v>
      </c>
      <c r="B9" s="161" t="s">
        <v>155</v>
      </c>
      <c r="C9" s="161" t="s">
        <v>7</v>
      </c>
      <c r="D9" s="165" t="s">
        <v>160</v>
      </c>
      <c r="E9" s="164" t="s">
        <v>5</v>
      </c>
      <c r="F9" s="163">
        <v>185446</v>
      </c>
      <c r="G9" s="127">
        <v>46009</v>
      </c>
      <c r="H9" s="162">
        <v>46108</v>
      </c>
      <c r="I9" s="162">
        <v>46111</v>
      </c>
      <c r="J9" s="127"/>
      <c r="K9" s="127"/>
      <c r="L9" s="127"/>
      <c r="M9" s="161" t="s">
        <v>74</v>
      </c>
      <c r="N9" s="161" t="s">
        <v>159</v>
      </c>
      <c r="O9" s="160" t="s">
        <v>158</v>
      </c>
      <c r="P9" s="159" t="s">
        <v>157</v>
      </c>
      <c r="Q9" s="159"/>
      <c r="R9" s="158"/>
    </row>
    <row r="10" spans="1:18" s="148" customFormat="1" ht="15.75" customHeight="1">
      <c r="A10" s="156" t="s">
        <v>156</v>
      </c>
      <c r="B10" s="152" t="s">
        <v>155</v>
      </c>
      <c r="C10" s="152" t="s">
        <v>154</v>
      </c>
      <c r="D10" s="155" t="s">
        <v>153</v>
      </c>
      <c r="E10" s="150" t="s">
        <v>5</v>
      </c>
      <c r="F10" s="154">
        <v>115200</v>
      </c>
      <c r="G10" s="6">
        <v>46020</v>
      </c>
      <c r="H10" s="7">
        <v>46160</v>
      </c>
      <c r="I10" s="153"/>
      <c r="J10" s="6"/>
      <c r="K10" s="6"/>
      <c r="L10" s="6"/>
      <c r="M10" s="5" t="s">
        <v>3</v>
      </c>
      <c r="N10" s="152" t="s">
        <v>152</v>
      </c>
      <c r="O10" s="151" t="s">
        <v>151</v>
      </c>
      <c r="P10" s="150" t="s">
        <v>150</v>
      </c>
      <c r="Q10" s="150"/>
      <c r="R10" s="149" t="s">
        <v>149</v>
      </c>
    </row>
    <row r="11" spans="1:18" s="138" customFormat="1" ht="25.5" customHeight="1">
      <c r="A11" s="139" t="s">
        <v>148</v>
      </c>
      <c r="B11" s="138" t="s">
        <v>147</v>
      </c>
      <c r="C11" s="138" t="s">
        <v>146</v>
      </c>
      <c r="D11" s="138" t="s">
        <v>145</v>
      </c>
      <c r="E11" s="138" t="s">
        <v>5</v>
      </c>
      <c r="F11" s="137">
        <v>13336.5</v>
      </c>
      <c r="G11" s="138">
        <v>46065</v>
      </c>
      <c r="H11" s="138">
        <v>46085</v>
      </c>
      <c r="I11" s="138">
        <v>46090</v>
      </c>
      <c r="J11" s="138">
        <v>46092</v>
      </c>
      <c r="K11" s="138">
        <v>46094</v>
      </c>
      <c r="L11" s="138" t="s">
        <v>105</v>
      </c>
      <c r="M11" s="147" t="s">
        <v>144</v>
      </c>
      <c r="N11" s="138" t="s">
        <v>143</v>
      </c>
      <c r="O11" s="138">
        <v>46118</v>
      </c>
      <c r="Q11" s="146"/>
      <c r="R11" s="145" t="s">
        <v>142</v>
      </c>
    </row>
    <row r="12" spans="1:18" s="6" customFormat="1" ht="15.75" customHeight="1">
      <c r="A12" s="129"/>
      <c r="B12" s="6" t="s">
        <v>141</v>
      </c>
      <c r="C12" s="6" t="s">
        <v>140</v>
      </c>
      <c r="D12" s="6" t="s">
        <v>139</v>
      </c>
      <c r="E12" s="6" t="s">
        <v>5</v>
      </c>
      <c r="F12" s="115">
        <v>27370.2</v>
      </c>
      <c r="G12" s="6">
        <v>46072</v>
      </c>
      <c r="H12" s="6" t="s">
        <v>138</v>
      </c>
      <c r="M12" s="5" t="s">
        <v>3</v>
      </c>
      <c r="P12" s="128">
        <v>304356</v>
      </c>
    </row>
    <row r="13" spans="1:18" s="6" customFormat="1" ht="15.75" customHeight="1">
      <c r="A13" s="129" t="s">
        <v>137</v>
      </c>
      <c r="B13" s="6" t="s">
        <v>136</v>
      </c>
      <c r="C13" s="6" t="s">
        <v>131</v>
      </c>
      <c r="D13" s="6" t="s">
        <v>135</v>
      </c>
      <c r="E13" s="6" t="s">
        <v>89</v>
      </c>
      <c r="F13" s="115">
        <v>2592.5</v>
      </c>
      <c r="G13" s="6">
        <v>46085</v>
      </c>
      <c r="H13" s="129" t="s">
        <v>134</v>
      </c>
      <c r="M13" s="5" t="s">
        <v>88</v>
      </c>
      <c r="P13" s="128"/>
    </row>
    <row r="14" spans="1:18" s="140" customFormat="1" ht="15.75" customHeight="1">
      <c r="A14" s="144" t="s">
        <v>133</v>
      </c>
      <c r="B14" s="140" t="s">
        <v>132</v>
      </c>
      <c r="C14" s="140" t="s">
        <v>131</v>
      </c>
      <c r="D14" s="140" t="s">
        <v>130</v>
      </c>
      <c r="E14" s="140" t="s">
        <v>89</v>
      </c>
      <c r="F14" s="143">
        <v>202944.5</v>
      </c>
      <c r="G14" s="140">
        <v>46086</v>
      </c>
      <c r="H14" s="140">
        <v>46099</v>
      </c>
      <c r="I14" s="140">
        <v>46098</v>
      </c>
      <c r="J14" s="140">
        <v>46100</v>
      </c>
      <c r="K14" s="140">
        <v>46107</v>
      </c>
      <c r="L14" s="140" t="s">
        <v>105</v>
      </c>
      <c r="M14" s="142" t="s">
        <v>114</v>
      </c>
      <c r="N14" s="140" t="s">
        <v>129</v>
      </c>
      <c r="O14" s="140">
        <v>46128</v>
      </c>
      <c r="P14" s="141" t="s">
        <v>128</v>
      </c>
      <c r="R14" s="144" t="s">
        <v>127</v>
      </c>
    </row>
    <row r="15" spans="1:18" s="140" customFormat="1" ht="15.75" customHeight="1">
      <c r="A15" s="144" t="s">
        <v>126</v>
      </c>
      <c r="B15" s="140" t="s">
        <v>121</v>
      </c>
      <c r="C15" s="140" t="s">
        <v>125</v>
      </c>
      <c r="D15" s="140" t="s">
        <v>124</v>
      </c>
      <c r="E15" s="140" t="s">
        <v>89</v>
      </c>
      <c r="F15" s="143">
        <v>4706.25</v>
      </c>
      <c r="G15" s="140">
        <v>46087</v>
      </c>
      <c r="H15" s="140">
        <v>46093</v>
      </c>
      <c r="I15" s="140">
        <v>46093</v>
      </c>
      <c r="J15" s="140">
        <v>46094</v>
      </c>
      <c r="K15" s="140">
        <v>46097</v>
      </c>
      <c r="L15" s="140" t="s">
        <v>105</v>
      </c>
      <c r="M15" s="142" t="s">
        <v>123</v>
      </c>
      <c r="N15" s="141">
        <v>66577</v>
      </c>
      <c r="O15" s="140">
        <v>46123</v>
      </c>
      <c r="P15" s="141">
        <v>121849</v>
      </c>
      <c r="Q15" s="6"/>
    </row>
    <row r="16" spans="1:18" s="6" customFormat="1" ht="15.75" customHeight="1">
      <c r="A16" s="129" t="s">
        <v>122</v>
      </c>
      <c r="B16" s="6" t="s">
        <v>121</v>
      </c>
      <c r="C16" s="6" t="s">
        <v>120</v>
      </c>
      <c r="D16" s="6" t="s">
        <v>119</v>
      </c>
      <c r="E16" s="6" t="s">
        <v>89</v>
      </c>
      <c r="F16" s="115">
        <v>24080</v>
      </c>
      <c r="G16" s="6">
        <v>46092</v>
      </c>
      <c r="H16" s="6">
        <v>46214</v>
      </c>
      <c r="M16" s="5" t="s">
        <v>118</v>
      </c>
      <c r="P16" s="128"/>
    </row>
    <row r="17" spans="1:29" s="140" customFormat="1" ht="15.75" customHeight="1">
      <c r="A17" s="144" t="s">
        <v>117</v>
      </c>
      <c r="B17" s="140" t="s">
        <v>116</v>
      </c>
      <c r="C17" s="140" t="s">
        <v>100</v>
      </c>
      <c r="D17" s="140" t="s">
        <v>115</v>
      </c>
      <c r="E17" s="140" t="s">
        <v>89</v>
      </c>
      <c r="F17" s="143">
        <v>2039.15</v>
      </c>
      <c r="G17" s="140">
        <v>46094</v>
      </c>
      <c r="H17" s="140">
        <v>46100</v>
      </c>
      <c r="I17" s="140">
        <v>46100</v>
      </c>
      <c r="J17" s="140">
        <v>46101</v>
      </c>
      <c r="K17" s="140">
        <v>46104</v>
      </c>
      <c r="L17" s="140" t="s">
        <v>105</v>
      </c>
      <c r="M17" s="142" t="s">
        <v>114</v>
      </c>
      <c r="N17" s="141">
        <v>134182</v>
      </c>
      <c r="O17" s="140">
        <v>46130</v>
      </c>
      <c r="P17" s="141" t="s">
        <v>113</v>
      </c>
      <c r="Q17" s="6"/>
    </row>
    <row r="18" spans="1:29" s="6" customFormat="1" ht="15.75" customHeight="1">
      <c r="A18" s="129" t="s">
        <v>112</v>
      </c>
      <c r="B18" s="6" t="s">
        <v>111</v>
      </c>
      <c r="C18" s="6" t="s">
        <v>100</v>
      </c>
      <c r="D18" s="6" t="s">
        <v>110</v>
      </c>
      <c r="E18" s="6" t="s">
        <v>89</v>
      </c>
      <c r="F18" s="115">
        <v>5815.7</v>
      </c>
      <c r="G18" s="6">
        <v>46100</v>
      </c>
      <c r="H18" s="6">
        <v>46154</v>
      </c>
      <c r="M18" s="5" t="s">
        <v>80</v>
      </c>
      <c r="P18" s="128" t="s">
        <v>109</v>
      </c>
    </row>
    <row r="19" spans="1:29" s="132" customFormat="1" ht="30.75" customHeight="1">
      <c r="A19" s="139" t="s">
        <v>108</v>
      </c>
      <c r="B19" s="138" t="s">
        <v>107</v>
      </c>
      <c r="C19" s="138" t="s">
        <v>96</v>
      </c>
      <c r="D19" s="138" t="s">
        <v>106</v>
      </c>
      <c r="E19" s="138" t="s">
        <v>89</v>
      </c>
      <c r="F19" s="137">
        <v>5560</v>
      </c>
      <c r="G19" s="132">
        <v>46101</v>
      </c>
      <c r="H19" s="132">
        <v>46111</v>
      </c>
      <c r="I19" s="132">
        <v>46108</v>
      </c>
      <c r="J19" s="132">
        <v>46111</v>
      </c>
      <c r="K19" s="132">
        <v>46112</v>
      </c>
      <c r="L19" s="132" t="s">
        <v>105</v>
      </c>
      <c r="M19" s="136" t="s">
        <v>88</v>
      </c>
      <c r="N19" s="135" t="s">
        <v>104</v>
      </c>
      <c r="O19" s="135" t="s">
        <v>103</v>
      </c>
      <c r="P19" s="134"/>
      <c r="Q19" s="127"/>
      <c r="R19" s="133" t="s">
        <v>102</v>
      </c>
    </row>
    <row r="20" spans="1:29" s="127" customFormat="1" ht="15.75" customHeight="1">
      <c r="A20" s="129"/>
      <c r="B20" s="6" t="s">
        <v>101</v>
      </c>
      <c r="C20" s="6" t="s">
        <v>100</v>
      </c>
      <c r="D20" s="6" t="s">
        <v>99</v>
      </c>
      <c r="E20" s="6" t="s">
        <v>89</v>
      </c>
      <c r="F20" s="115">
        <v>811.75</v>
      </c>
      <c r="G20" s="6">
        <v>46108</v>
      </c>
      <c r="H20" s="6">
        <v>46122</v>
      </c>
      <c r="I20" s="6"/>
      <c r="J20" s="6"/>
      <c r="K20" s="6"/>
      <c r="L20" s="6"/>
      <c r="M20" s="5" t="s">
        <v>80</v>
      </c>
      <c r="N20" s="6"/>
      <c r="O20" s="6"/>
      <c r="P20" s="128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s="127" customFormat="1" ht="15.75" customHeight="1">
      <c r="A21" s="129" t="s">
        <v>98</v>
      </c>
      <c r="B21" s="6" t="s">
        <v>97</v>
      </c>
      <c r="C21" s="6" t="s">
        <v>96</v>
      </c>
      <c r="D21" s="6" t="s">
        <v>95</v>
      </c>
      <c r="E21" s="6" t="s">
        <v>89</v>
      </c>
      <c r="F21" s="115">
        <v>470000</v>
      </c>
      <c r="G21" s="6">
        <v>46114</v>
      </c>
      <c r="H21" s="131">
        <v>46569</v>
      </c>
      <c r="I21" s="6"/>
      <c r="J21" s="6"/>
      <c r="K21" s="6"/>
      <c r="L21" s="6"/>
      <c r="M21" s="5" t="s">
        <v>94</v>
      </c>
      <c r="N21" s="6"/>
      <c r="O21" s="6"/>
      <c r="P21" s="128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s="127" customFormat="1" ht="15.75" customHeight="1">
      <c r="A22" s="129" t="s">
        <v>93</v>
      </c>
      <c r="B22" s="6" t="s">
        <v>92</v>
      </c>
      <c r="C22" s="6" t="s">
        <v>91</v>
      </c>
      <c r="D22" s="6" t="s">
        <v>90</v>
      </c>
      <c r="E22" s="6" t="s">
        <v>89</v>
      </c>
      <c r="F22" s="115">
        <v>1190</v>
      </c>
      <c r="G22" s="6">
        <v>46114</v>
      </c>
      <c r="H22" s="6">
        <v>46120</v>
      </c>
      <c r="I22" s="6"/>
      <c r="J22" s="6"/>
      <c r="K22" s="6"/>
      <c r="L22" s="6"/>
      <c r="M22" s="5" t="s">
        <v>88</v>
      </c>
      <c r="N22" s="6"/>
      <c r="O22" s="6"/>
      <c r="P22" s="128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s="72" customFormat="1" ht="34.9">
      <c r="A23" s="121"/>
      <c r="B23" s="59"/>
      <c r="C23" s="59"/>
      <c r="D23" s="124" t="s">
        <v>65</v>
      </c>
      <c r="E23" s="60" t="s">
        <v>87</v>
      </c>
      <c r="F23" s="130"/>
      <c r="G23" s="121" t="s">
        <v>86</v>
      </c>
      <c r="H23" s="121">
        <v>36526</v>
      </c>
      <c r="I23" s="121"/>
      <c r="J23" s="59"/>
      <c r="K23" s="59"/>
      <c r="L23" s="59"/>
      <c r="M23" s="59"/>
      <c r="N23" s="59"/>
      <c r="O23" s="59"/>
      <c r="P23" s="59"/>
      <c r="Q23" s="59"/>
      <c r="R23" s="59"/>
    </row>
    <row r="24" spans="1:29" s="127" customFormat="1" ht="15.75" customHeight="1">
      <c r="A24" s="129" t="s">
        <v>85</v>
      </c>
      <c r="B24" s="6" t="s">
        <v>84</v>
      </c>
      <c r="C24" s="6" t="s">
        <v>83</v>
      </c>
      <c r="D24" s="6" t="s">
        <v>82</v>
      </c>
      <c r="E24" s="6" t="s">
        <v>81</v>
      </c>
      <c r="F24" s="115">
        <v>2593</v>
      </c>
      <c r="G24" s="6">
        <v>46115</v>
      </c>
      <c r="H24" s="6"/>
      <c r="I24" s="6"/>
      <c r="J24" s="6"/>
      <c r="K24" s="6"/>
      <c r="L24" s="6"/>
      <c r="M24" s="5" t="s">
        <v>80</v>
      </c>
      <c r="N24" s="6"/>
      <c r="O24" s="6"/>
      <c r="P24" s="128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s="72" customFormat="1" ht="34.9">
      <c r="A25" s="126"/>
      <c r="B25" s="125"/>
      <c r="C25" s="125"/>
      <c r="D25" s="124" t="s">
        <v>66</v>
      </c>
      <c r="E25" s="123" t="s">
        <v>79</v>
      </c>
      <c r="F25" s="122"/>
      <c r="G25" s="102"/>
      <c r="H25" s="121"/>
      <c r="I25" s="121"/>
      <c r="J25" s="59"/>
      <c r="K25" s="59"/>
      <c r="L25" s="59" t="s">
        <v>64</v>
      </c>
      <c r="M25" s="58"/>
      <c r="N25" s="120"/>
      <c r="O25" s="119"/>
      <c r="P25" s="58"/>
      <c r="Q25" s="57"/>
      <c r="R25" s="118"/>
    </row>
    <row r="26" spans="1:29" s="72" customFormat="1" ht="113.65">
      <c r="A26" s="117"/>
      <c r="B26" s="112" t="s">
        <v>78</v>
      </c>
      <c r="C26" s="112" t="s">
        <v>77</v>
      </c>
      <c r="D26" s="116" t="s">
        <v>76</v>
      </c>
      <c r="E26" s="110" t="s">
        <v>66</v>
      </c>
      <c r="F26" s="115">
        <f>67500-20250</f>
        <v>47250</v>
      </c>
      <c r="G26" s="114">
        <v>45868</v>
      </c>
      <c r="H26" s="7" t="s">
        <v>75</v>
      </c>
      <c r="I26" s="114"/>
      <c r="J26" s="113"/>
      <c r="K26" s="113"/>
      <c r="L26" s="113"/>
      <c r="M26" s="112" t="s">
        <v>74</v>
      </c>
      <c r="N26" s="110" t="s">
        <v>72</v>
      </c>
      <c r="O26" s="111" t="s">
        <v>73</v>
      </c>
      <c r="P26" s="110" t="s">
        <v>72</v>
      </c>
      <c r="Q26" s="109"/>
      <c r="R26" s="108" t="s">
        <v>71</v>
      </c>
    </row>
    <row r="28" spans="1:29" s="72" customFormat="1" ht="34.9">
      <c r="A28" s="107"/>
      <c r="B28" s="106"/>
      <c r="C28" s="105"/>
      <c r="D28" s="104" t="s">
        <v>70</v>
      </c>
      <c r="E28" s="103"/>
      <c r="F28" s="102"/>
      <c r="G28" s="101"/>
      <c r="H28" s="100"/>
      <c r="I28" s="100"/>
      <c r="J28" s="59"/>
      <c r="K28" s="59"/>
      <c r="L28" s="59"/>
      <c r="M28" s="99"/>
      <c r="N28" s="99"/>
      <c r="O28" s="98"/>
      <c r="P28" s="97"/>
      <c r="Q28" s="96"/>
      <c r="R28" s="95"/>
    </row>
    <row r="29" spans="1:29" s="72" customFormat="1" ht="16.899999999999999">
      <c r="A29" s="85"/>
      <c r="B29" s="51"/>
      <c r="C29" s="51"/>
      <c r="D29" s="94" t="s">
        <v>69</v>
      </c>
      <c r="E29" s="93"/>
      <c r="F29" s="92" t="s">
        <v>57</v>
      </c>
      <c r="G29" s="91" t="s">
        <v>68</v>
      </c>
      <c r="H29" s="90" t="s">
        <v>67</v>
      </c>
      <c r="I29" s="90"/>
      <c r="J29" s="74"/>
      <c r="N29" s="43"/>
      <c r="P29" s="74"/>
      <c r="Q29" s="45"/>
      <c r="R29" s="73"/>
    </row>
    <row r="30" spans="1:29" s="72" customFormat="1" ht="16.899999999999999">
      <c r="A30" s="85"/>
      <c r="B30" s="51"/>
      <c r="C30" s="51"/>
      <c r="D30" s="79">
        <f>SUMIF(E:E,F30,F:F)</f>
        <v>47250</v>
      </c>
      <c r="E30" s="80" t="s">
        <v>63</v>
      </c>
      <c r="F30" s="79" t="s">
        <v>66</v>
      </c>
      <c r="G30" s="84">
        <v>120400.76</v>
      </c>
      <c r="H30" s="77">
        <f>D30-G30</f>
        <v>-73150.759999999995</v>
      </c>
      <c r="I30" s="83"/>
      <c r="J30" s="89"/>
      <c r="K30" s="88"/>
      <c r="N30" s="43"/>
      <c r="P30" s="74"/>
      <c r="Q30" s="45"/>
      <c r="R30" s="73"/>
    </row>
    <row r="31" spans="1:29" s="72" customFormat="1" ht="16.899999999999999">
      <c r="A31" s="85"/>
      <c r="B31" s="51"/>
      <c r="C31" s="51"/>
      <c r="D31" s="79">
        <f>SUMIF(E:E,F31,F:F)</f>
        <v>1199167.2000000002</v>
      </c>
      <c r="E31" s="80" t="s">
        <v>63</v>
      </c>
      <c r="F31" s="79" t="s">
        <v>5</v>
      </c>
      <c r="G31" s="84">
        <v>55198.38</v>
      </c>
      <c r="H31" s="77">
        <f>D31-G31</f>
        <v>1143968.8200000003</v>
      </c>
      <c r="I31" s="83"/>
      <c r="J31" s="87"/>
      <c r="K31" s="86"/>
      <c r="N31" s="43"/>
      <c r="P31" s="74"/>
      <c r="Q31" s="45"/>
      <c r="R31" s="73"/>
    </row>
    <row r="32" spans="1:29" s="72" customFormat="1" ht="16.899999999999999">
      <c r="A32" s="85"/>
      <c r="B32" s="51"/>
      <c r="C32" s="51"/>
      <c r="D32" s="79">
        <f>SUMIF(E:E,F32,F:F)</f>
        <v>2593</v>
      </c>
      <c r="E32" s="80" t="s">
        <v>63</v>
      </c>
      <c r="F32" s="79" t="s">
        <v>65</v>
      </c>
      <c r="G32" s="84">
        <v>0</v>
      </c>
      <c r="H32" s="77">
        <f>D32-G32</f>
        <v>2593</v>
      </c>
      <c r="I32" s="83"/>
      <c r="J32" s="82" t="s">
        <v>64</v>
      </c>
      <c r="N32" s="43"/>
      <c r="P32" s="74"/>
      <c r="Q32" s="45"/>
      <c r="R32" s="73"/>
    </row>
    <row r="33" spans="1:18" s="72" customFormat="1" ht="16.899999999999999">
      <c r="A33" s="81"/>
      <c r="B33" s="51"/>
      <c r="C33" s="51"/>
      <c r="D33" s="79">
        <f>SUMIF(E:E,F33,F:F)</f>
        <v>0</v>
      </c>
      <c r="E33" s="80" t="s">
        <v>63</v>
      </c>
      <c r="F33" s="79" t="s">
        <v>62</v>
      </c>
      <c r="G33" s="78">
        <v>6948.2</v>
      </c>
      <c r="H33" s="77">
        <f>D33-G33</f>
        <v>-6948.2</v>
      </c>
      <c r="I33" s="76"/>
      <c r="J33" s="74"/>
      <c r="K33" s="74"/>
      <c r="L33" s="74"/>
      <c r="M33" s="74"/>
      <c r="N33" s="75"/>
      <c r="O33" s="46"/>
      <c r="P33" s="74"/>
      <c r="Q33" s="45"/>
      <c r="R33" s="73"/>
    </row>
    <row r="36" spans="1:18" ht="16.5" customHeight="1">
      <c r="A36" s="71" t="s">
        <v>61</v>
      </c>
      <c r="B36" s="40" t="s">
        <v>60</v>
      </c>
      <c r="C36" s="39" t="s">
        <v>59</v>
      </c>
      <c r="D36" s="70" t="s">
        <v>58</v>
      </c>
      <c r="E36" s="69" t="s">
        <v>57</v>
      </c>
      <c r="F36" s="68" t="s">
        <v>56</v>
      </c>
      <c r="G36" s="35" t="s">
        <v>55</v>
      </c>
      <c r="H36" s="35" t="s">
        <v>54</v>
      </c>
      <c r="I36" s="35" t="s">
        <v>53</v>
      </c>
      <c r="J36" s="67" t="s">
        <v>52</v>
      </c>
      <c r="K36" s="66" t="s">
        <v>51</v>
      </c>
      <c r="L36" s="65" t="s">
        <v>50</v>
      </c>
      <c r="M36" s="64"/>
      <c r="N36" s="31"/>
      <c r="O36" s="31"/>
    </row>
    <row r="37" spans="1:18" ht="38.25" customHeight="1">
      <c r="A37" s="63"/>
      <c r="B37" s="62"/>
      <c r="C37" s="62"/>
      <c r="D37" s="61" t="s">
        <v>5</v>
      </c>
      <c r="E37" s="60" t="s">
        <v>49</v>
      </c>
      <c r="F37" s="58"/>
      <c r="G37" s="59"/>
      <c r="H37" s="59"/>
      <c r="I37" s="59"/>
      <c r="J37" s="58"/>
      <c r="K37" s="57"/>
      <c r="L37" s="56"/>
      <c r="M37" s="44"/>
      <c r="N37" s="43"/>
      <c r="O37" s="42"/>
    </row>
    <row r="38" spans="1:18" s="29" customFormat="1" ht="16.5" customHeight="1">
      <c r="A38" s="41"/>
      <c r="B38" s="40" t="s">
        <v>48</v>
      </c>
      <c r="C38" s="39" t="s">
        <v>47</v>
      </c>
      <c r="D38" s="55" t="s">
        <v>46</v>
      </c>
      <c r="E38" s="37" t="s">
        <v>17</v>
      </c>
      <c r="F38" s="36">
        <v>200</v>
      </c>
      <c r="G38" s="54">
        <v>43993</v>
      </c>
      <c r="H38" s="53"/>
      <c r="I38" s="35" t="s">
        <v>21</v>
      </c>
      <c r="J38" s="35" t="s">
        <v>38</v>
      </c>
      <c r="K38" s="34" t="s">
        <v>26</v>
      </c>
      <c r="L38" s="33" t="s">
        <v>45</v>
      </c>
      <c r="M38" s="32"/>
      <c r="N38" s="31"/>
      <c r="O38" s="30"/>
    </row>
    <row r="39" spans="1:18" s="29" customFormat="1" ht="16.5" customHeight="1">
      <c r="A39" s="41"/>
      <c r="B39" s="40" t="s">
        <v>44</v>
      </c>
      <c r="C39" s="39" t="s">
        <v>32</v>
      </c>
      <c r="D39" s="37" t="s">
        <v>43</v>
      </c>
      <c r="E39" s="37" t="s">
        <v>17</v>
      </c>
      <c r="F39" s="36">
        <v>300</v>
      </c>
      <c r="G39" s="35">
        <v>44041</v>
      </c>
      <c r="H39" s="35"/>
      <c r="I39" s="35" t="s">
        <v>21</v>
      </c>
      <c r="J39" s="35" t="s">
        <v>38</v>
      </c>
      <c r="K39" s="34" t="s">
        <v>26</v>
      </c>
      <c r="L39" s="33" t="s">
        <v>42</v>
      </c>
      <c r="M39" s="32"/>
      <c r="N39" s="31"/>
      <c r="O39" s="30"/>
    </row>
    <row r="40" spans="1:18" s="29" customFormat="1" ht="16.5" customHeight="1">
      <c r="A40" s="41"/>
      <c r="B40" s="40" t="s">
        <v>41</v>
      </c>
      <c r="C40" s="39" t="s">
        <v>40</v>
      </c>
      <c r="D40" s="38" t="s">
        <v>39</v>
      </c>
      <c r="E40" s="37" t="s">
        <v>17</v>
      </c>
      <c r="F40" s="36">
        <v>1</v>
      </c>
      <c r="G40" s="35">
        <v>44061</v>
      </c>
      <c r="H40" s="35"/>
      <c r="I40" s="35"/>
      <c r="J40" s="35" t="s">
        <v>38</v>
      </c>
      <c r="K40" s="34" t="s">
        <v>26</v>
      </c>
      <c r="L40" s="33" t="s">
        <v>37</v>
      </c>
      <c r="M40" s="32"/>
      <c r="N40" s="31"/>
      <c r="O40" s="30"/>
    </row>
    <row r="41" spans="1:18" ht="16.5" customHeight="1">
      <c r="A41" s="52"/>
      <c r="B41" s="51" t="s">
        <v>36</v>
      </c>
      <c r="C41" s="50" t="s">
        <v>35</v>
      </c>
      <c r="D41" s="49" t="s">
        <v>34</v>
      </c>
      <c r="E41" s="48" t="s">
        <v>17</v>
      </c>
      <c r="F41" s="47">
        <v>12</v>
      </c>
      <c r="G41" s="46"/>
      <c r="H41" s="46">
        <v>44158</v>
      </c>
      <c r="I41" s="46" t="s">
        <v>21</v>
      </c>
      <c r="J41" s="46"/>
      <c r="K41" s="45"/>
      <c r="L41" s="18"/>
      <c r="M41" s="44"/>
      <c r="N41" s="43"/>
      <c r="O41" s="42"/>
    </row>
    <row r="42" spans="1:18" ht="16.5" customHeight="1">
      <c r="A42" s="52"/>
      <c r="B42" s="51" t="s">
        <v>33</v>
      </c>
      <c r="C42" s="50" t="s">
        <v>32</v>
      </c>
      <c r="D42" s="49" t="s">
        <v>31</v>
      </c>
      <c r="E42" s="48" t="s">
        <v>17</v>
      </c>
      <c r="F42" s="47">
        <v>50</v>
      </c>
      <c r="G42" s="46">
        <v>44193</v>
      </c>
      <c r="H42" s="46">
        <v>44194</v>
      </c>
      <c r="I42" s="46" t="s">
        <v>21</v>
      </c>
      <c r="J42" s="45" t="s">
        <v>26</v>
      </c>
      <c r="K42" s="45" t="s">
        <v>26</v>
      </c>
      <c r="L42" s="18" t="s">
        <v>30</v>
      </c>
      <c r="M42" s="44"/>
      <c r="N42" s="43"/>
      <c r="O42" s="42"/>
    </row>
    <row r="43" spans="1:18" s="29" customFormat="1" ht="16.5" customHeight="1">
      <c r="A43" s="41"/>
      <c r="B43" s="40" t="s">
        <v>29</v>
      </c>
      <c r="C43" s="39" t="s">
        <v>28</v>
      </c>
      <c r="D43" s="38" t="s">
        <v>27</v>
      </c>
      <c r="E43" s="37" t="s">
        <v>17</v>
      </c>
      <c r="F43" s="36">
        <v>500</v>
      </c>
      <c r="G43" s="35">
        <v>44264</v>
      </c>
      <c r="H43" s="35"/>
      <c r="I43" s="35"/>
      <c r="J43" s="34" t="s">
        <v>26</v>
      </c>
      <c r="K43" s="34" t="s">
        <v>26</v>
      </c>
      <c r="L43" s="33" t="s">
        <v>25</v>
      </c>
      <c r="M43" s="32"/>
      <c r="N43" s="31"/>
      <c r="O43" s="30"/>
    </row>
    <row r="44" spans="1:18" s="14" customFormat="1" ht="17.25" customHeight="1">
      <c r="A44" s="28"/>
      <c r="B44" s="27" t="s">
        <v>24</v>
      </c>
      <c r="C44" s="26" t="s">
        <v>23</v>
      </c>
      <c r="D44" s="25" t="s">
        <v>22</v>
      </c>
      <c r="E44" s="24" t="s">
        <v>5</v>
      </c>
      <c r="F44" s="23">
        <v>12</v>
      </c>
      <c r="G44" s="22"/>
      <c r="H44" s="21">
        <v>44158</v>
      </c>
      <c r="I44" s="21" t="s">
        <v>21</v>
      </c>
      <c r="J44" s="20"/>
      <c r="K44" s="19"/>
      <c r="L44" s="18" t="s">
        <v>20</v>
      </c>
      <c r="M44" s="17" t="s">
        <v>19</v>
      </c>
      <c r="N44" s="16">
        <v>44181</v>
      </c>
      <c r="O44" s="15" t="s">
        <v>18</v>
      </c>
    </row>
    <row r="46" spans="1:18" ht="75.75" customHeight="1">
      <c r="A46" s="11"/>
      <c r="B46" s="11"/>
      <c r="C46" s="11"/>
      <c r="D46" s="13" t="s">
        <v>17</v>
      </c>
      <c r="E46" s="12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8" s="1" customFormat="1" ht="15.75">
      <c r="A47" s="10" t="s">
        <v>16</v>
      </c>
      <c r="B47" s="5" t="s">
        <v>15</v>
      </c>
      <c r="C47" s="5" t="s">
        <v>14</v>
      </c>
      <c r="D47" s="9" t="s">
        <v>13</v>
      </c>
      <c r="E47" s="2" t="s">
        <v>5</v>
      </c>
      <c r="F47" s="8">
        <v>50660</v>
      </c>
      <c r="G47" s="6">
        <v>45575</v>
      </c>
      <c r="H47" s="6">
        <v>45649</v>
      </c>
      <c r="I47" s="6">
        <v>46018</v>
      </c>
      <c r="J47" s="6">
        <v>45659</v>
      </c>
      <c r="K47" s="6">
        <v>45659</v>
      </c>
      <c r="L47" s="6" t="s">
        <v>12</v>
      </c>
      <c r="M47" s="5" t="s">
        <v>11</v>
      </c>
      <c r="N47" s="4" t="s">
        <v>10</v>
      </c>
      <c r="O47" s="3">
        <v>45683</v>
      </c>
      <c r="P47" s="2"/>
      <c r="Q47" s="2"/>
    </row>
    <row r="48" spans="1:18" s="1" customFormat="1" ht="15.95" customHeight="1">
      <c r="A48" s="10" t="s">
        <v>9</v>
      </c>
      <c r="B48" s="5" t="s">
        <v>8</v>
      </c>
      <c r="C48" s="5" t="s">
        <v>7</v>
      </c>
      <c r="D48" s="9" t="s">
        <v>6</v>
      </c>
      <c r="E48" s="2" t="s">
        <v>5</v>
      </c>
      <c r="F48" s="8">
        <v>3290.35</v>
      </c>
      <c r="G48" s="6">
        <v>45622</v>
      </c>
      <c r="H48" s="7">
        <v>45299</v>
      </c>
      <c r="I48" s="7">
        <v>45667</v>
      </c>
      <c r="J48" s="6">
        <v>45670</v>
      </c>
      <c r="K48" s="6">
        <v>45674</v>
      </c>
      <c r="L48" s="6" t="s">
        <v>4</v>
      </c>
      <c r="M48" s="5" t="s">
        <v>3</v>
      </c>
      <c r="N48" s="4" t="s">
        <v>2</v>
      </c>
      <c r="O48" s="3">
        <v>45696</v>
      </c>
      <c r="P48" s="2" t="s">
        <v>1</v>
      </c>
      <c r="Q48" s="2"/>
      <c r="R48" s="1" t="s">
        <v>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심 윤송</dc:creator>
  <cp:lastModifiedBy>심 윤송</cp:lastModifiedBy>
  <dcterms:created xsi:type="dcterms:W3CDTF">2026-04-09T08:38:36Z</dcterms:created>
  <dcterms:modified xsi:type="dcterms:W3CDTF">2026-04-09T08:38:50Z</dcterms:modified>
</cp:coreProperties>
</file>