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laude\ERP_OT\"/>
    </mc:Choice>
  </mc:AlternateContent>
  <xr:revisionPtr revIDLastSave="0" documentId="8_{BC3FCD8A-ECA6-428B-B596-CAA1E9582C0B}" xr6:coauthVersionLast="47" xr6:coauthVersionMax="47" xr10:uidLastSave="{00000000-0000-0000-0000-000000000000}"/>
  <bookViews>
    <workbookView xWindow="1103" yWindow="750" windowWidth="34650" windowHeight="15450" xr2:uid="{60273E99-6057-43A5-9DAB-F10EEBB52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" i="1" l="1"/>
  <c r="Y23" i="1"/>
  <c r="X23" i="1"/>
  <c r="S23" i="1"/>
  <c r="AC23" i="1" s="1"/>
  <c r="AC22" i="1"/>
  <c r="AC21" i="1"/>
  <c r="AC20" i="1"/>
  <c r="X20" i="1"/>
  <c r="AA19" i="1"/>
  <c r="Z19" i="1"/>
  <c r="Y19" i="1"/>
  <c r="X19" i="1"/>
  <c r="S19" i="1"/>
  <c r="AC19" i="1" s="1"/>
  <c r="AC18" i="1"/>
  <c r="Z18" i="1"/>
  <c r="AC17" i="1"/>
  <c r="Y17" i="1"/>
  <c r="AC16" i="1"/>
  <c r="Y15" i="1"/>
  <c r="AC15" i="1" s="1"/>
  <c r="Z14" i="1"/>
  <c r="Y14" i="1"/>
  <c r="X14" i="1"/>
  <c r="S14" i="1"/>
  <c r="AC14" i="1" s="1"/>
  <c r="Z13" i="1"/>
  <c r="AC13" i="1" s="1"/>
  <c r="AC12" i="1"/>
  <c r="X11" i="1"/>
  <c r="AC11" i="1" s="1"/>
  <c r="X9" i="1"/>
  <c r="AC9" i="1" s="1"/>
  <c r="AA8" i="1"/>
  <c r="Z8" i="1"/>
  <c r="Y8" i="1"/>
  <c r="X8" i="1"/>
  <c r="S8" i="1"/>
  <c r="AC8" i="1" s="1"/>
  <c r="AC7" i="1"/>
  <c r="AC6" i="1"/>
  <c r="X5" i="1"/>
  <c r="AC5" i="1" s="1"/>
  <c r="AC4" i="1"/>
  <c r="AC3" i="1"/>
  <c r="X2" i="1"/>
  <c r="A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2206-D001</author>
  </authors>
  <commentList>
    <comment ref="G13" authorId="0" shapeId="0" xr:uid="{6C11F346-A82C-487B-87AC-1D2AE4A8A1E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SW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</commentList>
</comments>
</file>

<file path=xl/sharedStrings.xml><?xml version="1.0" encoding="utf-8"?>
<sst xmlns="http://schemas.openxmlformats.org/spreadsheetml/2006/main" count="223" uniqueCount="141">
  <si>
    <t>분류</t>
    <phoneticPr fontId="4" type="noConversion"/>
  </si>
  <si>
    <t>25년확인</t>
    <phoneticPr fontId="3" type="noConversion"/>
  </si>
  <si>
    <t>기말확인</t>
    <phoneticPr fontId="4" type="noConversion"/>
  </si>
  <si>
    <t>확인(25.02)</t>
    <phoneticPr fontId="4" type="noConversion"/>
  </si>
  <si>
    <t>26년 확인</t>
    <phoneticPr fontId="3" type="noConversion"/>
  </si>
  <si>
    <t>구분</t>
    <phoneticPr fontId="4" type="noConversion"/>
  </si>
  <si>
    <t>재고번호</t>
    <phoneticPr fontId="4" type="noConversion"/>
  </si>
  <si>
    <t>일자-No.</t>
  </si>
  <si>
    <t>품목명[규격명]</t>
  </si>
  <si>
    <t>수량</t>
  </si>
  <si>
    <t>공급사</t>
  </si>
  <si>
    <t>제조사</t>
    <phoneticPr fontId="4" type="noConversion"/>
  </si>
  <si>
    <t>최초창고</t>
    <phoneticPr fontId="4" type="noConversion"/>
  </si>
  <si>
    <t>이동창고</t>
    <phoneticPr fontId="4" type="noConversion"/>
  </si>
  <si>
    <t>납품처</t>
    <phoneticPr fontId="4" type="noConversion"/>
  </si>
  <si>
    <t>시리얼/로트No.</t>
  </si>
  <si>
    <t>단가</t>
  </si>
  <si>
    <t>공급가액</t>
    <phoneticPr fontId="4" type="noConversion"/>
  </si>
  <si>
    <t>합계</t>
  </si>
  <si>
    <t>프로젝트명</t>
    <phoneticPr fontId="4" type="noConversion"/>
  </si>
  <si>
    <t>담당자명</t>
  </si>
  <si>
    <t>원가번호</t>
    <phoneticPr fontId="4" type="noConversion"/>
  </si>
  <si>
    <t>기타정보</t>
    <phoneticPr fontId="4" type="noConversion"/>
  </si>
  <si>
    <t>상품</t>
  </si>
  <si>
    <t>원재료</t>
  </si>
  <si>
    <t>재고</t>
  </si>
  <si>
    <t>데모</t>
  </si>
  <si>
    <t>검토</t>
    <phoneticPr fontId="4" type="noConversion"/>
  </si>
  <si>
    <t>미착품</t>
    <phoneticPr fontId="3" type="noConversion"/>
  </si>
  <si>
    <t>구매</t>
    <phoneticPr fontId="3" type="noConversion"/>
  </si>
  <si>
    <t>E01394_1</t>
  </si>
  <si>
    <t>2024/09/09 -1</t>
  </si>
  <si>
    <t>Gaps M5</t>
  </si>
  <si>
    <t>Exail</t>
  </si>
  <si>
    <t>오션테크</t>
  </si>
  <si>
    <t>5313</t>
  </si>
  <si>
    <t>UST21_위탁
#25-030 UST21_GAPS M5, ZTA02C 점검 및 수리</t>
    <phoneticPr fontId="3" type="noConversion"/>
  </si>
  <si>
    <t>현지윤</t>
  </si>
  <si>
    <t>2025-03-15</t>
  </si>
  <si>
    <t>제조사 수리를 위해 입고</t>
  </si>
  <si>
    <t>창고</t>
    <phoneticPr fontId="4" type="noConversion"/>
  </si>
  <si>
    <t>2025/03/24 -1</t>
  </si>
  <si>
    <t>OT_대형장비(문옆)</t>
  </si>
  <si>
    <t>#25-030 UST21_GAPS M5, ZTA02C 점검 및 수리</t>
    <phoneticPr fontId="3" type="noConversion"/>
  </si>
  <si>
    <t>제조사 수리 완료 후 입고</t>
  </si>
  <si>
    <t>판매</t>
    <phoneticPr fontId="4" type="noConversion"/>
  </si>
  <si>
    <t>2025/03/28 -5</t>
  </si>
  <si>
    <t>(주)유에스티21(UST21)</t>
  </si>
  <si>
    <t>#25-030 UST21_GAPS M5, ZTA02C 점검 및 수리</t>
  </si>
  <si>
    <t>제조사 수리 완료 후 납품</t>
  </si>
  <si>
    <t>E01394_2</t>
  </si>
  <si>
    <t>ZTA02C (Zigbee Transponder)</t>
  </si>
  <si>
    <t>603</t>
  </si>
  <si>
    <t>미착품
합계</t>
    <phoneticPr fontId="3" type="noConversion"/>
  </si>
  <si>
    <t>원단위차이 479원</t>
    <phoneticPr fontId="3" type="noConversion"/>
  </si>
  <si>
    <t>상품</t>
    <phoneticPr fontId="3" type="noConversion"/>
  </si>
  <si>
    <t>출고필요</t>
    <phoneticPr fontId="3" type="noConversion"/>
  </si>
  <si>
    <t>구매</t>
    <phoneticPr fontId="4" type="noConversion"/>
  </si>
  <si>
    <t>E01612_1</t>
    <phoneticPr fontId="4" type="noConversion"/>
  </si>
  <si>
    <t>2025/01/07 -1</t>
    <phoneticPr fontId="4" type="noConversion"/>
  </si>
  <si>
    <t>발전기 [SG10000EX]</t>
    <phoneticPr fontId="4" type="noConversion"/>
  </si>
  <si>
    <t>DCA</t>
    <phoneticPr fontId="4" type="noConversion"/>
  </si>
  <si>
    <t>HONDA</t>
    <phoneticPr fontId="4" type="noConversion"/>
  </si>
  <si>
    <t>OT_녹산창고(부산)_NEW</t>
    <phoneticPr fontId="4" type="noConversion"/>
  </si>
  <si>
    <t>없음</t>
    <phoneticPr fontId="4" type="noConversion"/>
  </si>
  <si>
    <t>#24-143 대선조선_해양관측장비(해상자력계)</t>
    <phoneticPr fontId="4" type="noConversion"/>
  </si>
  <si>
    <t>황유진</t>
    <phoneticPr fontId="4" type="noConversion"/>
  </si>
  <si>
    <t>GE100EC-82L240134
(#24-142 천부지층탐사기 저주파 계약건)</t>
    <phoneticPr fontId="4" type="noConversion"/>
  </si>
  <si>
    <t>2025/11/14 -7</t>
    <phoneticPr fontId="3" type="noConversion"/>
  </si>
  <si>
    <t>대선조선㈜</t>
    <phoneticPr fontId="3" type="noConversion"/>
  </si>
  <si>
    <t>E01748_1</t>
    <phoneticPr fontId="4" type="noConversion"/>
  </si>
  <si>
    <t>2025/01/16 -3</t>
    <phoneticPr fontId="4" type="noConversion"/>
  </si>
  <si>
    <t>슬립링 [SKS-B080-OS]</t>
    <phoneticPr fontId="4" type="noConversion"/>
  </si>
  <si>
    <t>슬립링코리아</t>
    <phoneticPr fontId="4" type="noConversion"/>
  </si>
  <si>
    <t>김진수</t>
    <phoneticPr fontId="4" type="noConversion"/>
  </si>
  <si>
    <t>250104106</t>
    <phoneticPr fontId="4" type="noConversion"/>
  </si>
  <si>
    <r>
      <t>#24-208 기상청-2024년 기상측기 형식승인 기준장비 도입사업</t>
    </r>
    <r>
      <rPr>
        <b/>
        <sz val="9"/>
        <color theme="1"/>
        <rFont val="맑은 고딕"/>
        <family val="3"/>
        <charset val="129"/>
        <scheme val="minor"/>
      </rPr>
      <t>(24년 청구완료/원가정리)</t>
    </r>
    <phoneticPr fontId="4" type="noConversion"/>
  </si>
  <si>
    <t>2025/02/17 -2</t>
    <phoneticPr fontId="4" type="noConversion"/>
  </si>
  <si>
    <t>기상청</t>
    <phoneticPr fontId="4" type="noConversion"/>
  </si>
  <si>
    <t>납품 설치</t>
    <phoneticPr fontId="4" type="noConversion"/>
  </si>
  <si>
    <t>미생성</t>
    <phoneticPr fontId="3" type="noConversion"/>
  </si>
  <si>
    <t>해양기상 Windows Server 2022 Standard</t>
    <phoneticPr fontId="3" type="noConversion"/>
  </si>
  <si>
    <t>잉그리스 주식회사</t>
    <phoneticPr fontId="3" type="noConversion"/>
  </si>
  <si>
    <t>없음</t>
    <phoneticPr fontId="3" type="noConversion"/>
  </si>
  <si>
    <t>#26-015 기상산업기술원-해양기상관측장비 유지보수 용역</t>
    <phoneticPr fontId="3" type="noConversion"/>
  </si>
  <si>
    <t>영업부</t>
    <phoneticPr fontId="3" type="noConversion"/>
  </si>
  <si>
    <t>상품
합계</t>
    <phoneticPr fontId="3" type="noConversion"/>
  </si>
  <si>
    <t>원재료</t>
    <phoneticPr fontId="3" type="noConversion"/>
  </si>
  <si>
    <t>E01701_1</t>
    <phoneticPr fontId="4" type="noConversion"/>
  </si>
  <si>
    <t>2025/03/04 -1</t>
    <phoneticPr fontId="4" type="noConversion"/>
  </si>
  <si>
    <t>VPN 장비	 [AXGATE 200]</t>
    <phoneticPr fontId="4" type="noConversion"/>
  </si>
  <si>
    <t>이노비스시스템</t>
    <phoneticPr fontId="4" type="noConversion"/>
  </si>
  <si>
    <t>AXGATE</t>
    <phoneticPr fontId="4" type="noConversion"/>
  </si>
  <si>
    <t>신대철</t>
  </si>
  <si>
    <t>AK6N0020021B1643</t>
    <phoneticPr fontId="4" type="noConversion"/>
  </si>
  <si>
    <t>#25-095 한울원전 온배수 VPN 시스템 업그레이드</t>
    <phoneticPr fontId="3" type="noConversion"/>
  </si>
  <si>
    <t>신대철</t>
    <phoneticPr fontId="4" type="noConversion"/>
  </si>
  <si>
    <t>납품처 : 이노비스시스템</t>
    <phoneticPr fontId="4" type="noConversion"/>
  </si>
  <si>
    <t>2025/03/27 -3</t>
    <phoneticPr fontId="4" type="noConversion"/>
  </si>
  <si>
    <t>한울원자력본부</t>
    <phoneticPr fontId="4" type="noConversion"/>
  </si>
  <si>
    <t>한울원전 납품 완료(3/27)
별도의 프로젝트가 아니라 #25-95 한울원전 온배수 모니터링 시스템 1분기 유지보수에 포함인지 확인 필요
(하선종 부장님)</t>
    <phoneticPr fontId="4" type="noConversion"/>
  </si>
  <si>
    <t>E01712_1</t>
    <phoneticPr fontId="4" type="noConversion"/>
  </si>
  <si>
    <t>2025/03/13 -1</t>
    <phoneticPr fontId="4" type="noConversion"/>
  </si>
  <si>
    <t>NETWORK CAMERA [XNP-C6403RWG]</t>
    <phoneticPr fontId="4" type="noConversion"/>
  </si>
  <si>
    <t>티제이원</t>
    <phoneticPr fontId="4" type="noConversion"/>
  </si>
  <si>
    <t>한화비전㈜</t>
    <phoneticPr fontId="4" type="noConversion"/>
  </si>
  <si>
    <t>김병태</t>
    <phoneticPr fontId="4" type="noConversion"/>
  </si>
  <si>
    <t>ZVQ570GY20001AL</t>
    <phoneticPr fontId="4" type="noConversion"/>
  </si>
  <si>
    <t>#25-047 KHOA 2025년 해양과학기지 유지관리</t>
    <phoneticPr fontId="4" type="noConversion"/>
  </si>
  <si>
    <t xml:space="preserve"> </t>
    <phoneticPr fontId="3" type="noConversion"/>
  </si>
  <si>
    <t>E02277_1</t>
    <phoneticPr fontId="3" type="noConversion"/>
  </si>
  <si>
    <t>계류자재</t>
    <phoneticPr fontId="3" type="noConversion"/>
  </si>
  <si>
    <t>가나기업</t>
    <phoneticPr fontId="3" type="noConversion"/>
  </si>
  <si>
    <r>
      <t>#26-029 KAI-계류기뢰용 씽커 제작, 설치지원</t>
    </r>
    <r>
      <rPr>
        <b/>
        <sz val="9"/>
        <color rgb="FFFF0000"/>
        <rFont val="맑은 고딕"/>
        <family val="3"/>
        <charset val="129"/>
        <scheme val="minor"/>
      </rPr>
      <t>(기말재고)</t>
    </r>
    <phoneticPr fontId="3" type="noConversion"/>
  </si>
  <si>
    <t>송인근</t>
    <phoneticPr fontId="3" type="noConversion"/>
  </si>
  <si>
    <t>원재료
합계</t>
    <phoneticPr fontId="3" type="noConversion"/>
  </si>
  <si>
    <t>전기상품</t>
    <phoneticPr fontId="4" type="noConversion"/>
  </si>
  <si>
    <t xml:space="preserve"> </t>
    <phoneticPr fontId="4" type="noConversion"/>
  </si>
  <si>
    <t>E00883_1</t>
    <phoneticPr fontId="4" type="noConversion"/>
  </si>
  <si>
    <t>2023/11/06 -1</t>
    <phoneticPr fontId="4" type="noConversion"/>
  </si>
  <si>
    <t>2mile A source</t>
    <phoneticPr fontId="4" type="noConversion"/>
  </si>
  <si>
    <t>SIG</t>
    <phoneticPr fontId="4" type="noConversion"/>
  </si>
  <si>
    <t>영업부</t>
    <phoneticPr fontId="4" type="noConversion"/>
  </si>
  <si>
    <t>0804J200011</t>
    <phoneticPr fontId="4" type="noConversion"/>
  </si>
  <si>
    <t>#25-204 엠디(KIGAM)_Electronic Control Board
KIGAM_위탁</t>
    <phoneticPr fontId="4" type="noConversion"/>
  </si>
  <si>
    <t>이학용</t>
    <phoneticPr fontId="4" type="noConversion"/>
  </si>
  <si>
    <t>2024-02-03</t>
  </si>
  <si>
    <t>제조사 수리 요청</t>
    <phoneticPr fontId="4" type="noConversion"/>
  </si>
  <si>
    <t>2023/11/14 -2</t>
    <phoneticPr fontId="4" type="noConversion"/>
  </si>
  <si>
    <t>영업부(홍다운)</t>
    <phoneticPr fontId="4" type="noConversion"/>
  </si>
  <si>
    <t>전기원재료</t>
    <phoneticPr fontId="4" type="noConversion"/>
  </si>
  <si>
    <t>기말재고
(잔금청구전)</t>
    <phoneticPr fontId="3" type="noConversion"/>
  </si>
  <si>
    <t>E01402_1</t>
    <phoneticPr fontId="4" type="noConversion"/>
  </si>
  <si>
    <t>2026/01/12 -1</t>
    <phoneticPr fontId="3" type="noConversion"/>
  </si>
  <si>
    <t>LMR400 Antenna cable</t>
  </si>
  <si>
    <t>손형석</t>
  </si>
  <si>
    <t>엘아이지(LIG)넥스원㈜</t>
    <phoneticPr fontId="3" type="noConversion"/>
  </si>
  <si>
    <t>없음</t>
  </si>
  <si>
    <r>
      <t xml:space="preserve">#23-083 LIGnex1(판교)_부이플랫폼 외 1종
</t>
    </r>
    <r>
      <rPr>
        <b/>
        <sz val="9"/>
        <color rgb="FFFF0000"/>
        <rFont val="맑은 고딕"/>
        <family val="3"/>
        <charset val="129"/>
        <scheme val="minor"/>
      </rPr>
      <t>(기말재고
잔금청구전)</t>
    </r>
    <phoneticPr fontId="4" type="noConversion"/>
  </si>
  <si>
    <t>LIG 수상부이 사업건 납품</t>
  </si>
  <si>
    <t>전기
원재료 
합계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</si>
</sst>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0_);[Red]\(0\)"/>
  </numFmts>
  <fonts count="18" x14ac:knownFonts="1">
    <font>
      <sz val="11"/>
      <name val="Calibri"/>
      <family val="2"/>
    </font>
    <font>
      <sz val="11"/>
      <name val="Calibri"/>
      <family val="2"/>
    </font>
    <font>
      <b/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 tint="4.9989318521683403E-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8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76" fontId="10" fillId="0" borderId="1" xfId="0" applyNumberFormat="1" applyFont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right" vertical="center"/>
    </xf>
    <xf numFmtId="14" fontId="8" fillId="0" borderId="1" xfId="0" quotePrefix="1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3" fontId="13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76" fontId="7" fillId="0" borderId="1" xfId="0" applyNumberFormat="1" applyFont="1" applyBorder="1" applyAlignment="1">
      <alignment vertical="center"/>
    </xf>
    <xf numFmtId="176" fontId="7" fillId="0" borderId="1" xfId="1" applyNumberFormat="1" applyFont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14" fontId="7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right" vertical="center"/>
    </xf>
    <xf numFmtId="3" fontId="14" fillId="4" borderId="1" xfId="0" applyNumberFormat="1" applyFont="1" applyFill="1" applyBorder="1" applyAlignment="1">
      <alignment horizontal="right" vertical="center"/>
    </xf>
    <xf numFmtId="176" fontId="2" fillId="4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vertical="center"/>
    </xf>
    <xf numFmtId="176" fontId="6" fillId="6" borderId="1" xfId="0" applyNumberFormat="1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177" fontId="7" fillId="0" borderId="1" xfId="0" quotePrefix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1" xfId="0" quotePrefix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176" fontId="2" fillId="8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vertical="center"/>
    </xf>
    <xf numFmtId="0" fontId="7" fillId="8" borderId="0" xfId="0" applyFont="1" applyFill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7128-2ADD-4EDC-9385-E7C9EE2E1883}">
  <dimension ref="A1:AC23"/>
  <sheetViews>
    <sheetView tabSelected="1" topLeftCell="A12" workbookViewId="0">
      <selection activeCell="A22" sqref="A22:XFD23"/>
    </sheetView>
  </sheetViews>
  <sheetFormatPr defaultRowHeight="14.25" x14ac:dyDescent="0.45"/>
  <sheetData>
    <row r="1" spans="1:29" s="6" customFormat="1" ht="24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</row>
    <row r="2" spans="1:29" s="19" customFormat="1" ht="78.75" x14ac:dyDescent="0.45">
      <c r="A2" s="7" t="s">
        <v>28</v>
      </c>
      <c r="B2" s="8"/>
      <c r="C2" s="9"/>
      <c r="D2" s="9"/>
      <c r="E2" s="10"/>
      <c r="F2" s="8" t="s">
        <v>29</v>
      </c>
      <c r="G2" s="11" t="s">
        <v>30</v>
      </c>
      <c r="H2" s="12" t="s">
        <v>31</v>
      </c>
      <c r="I2" s="13" t="s">
        <v>32</v>
      </c>
      <c r="J2" s="14">
        <v>1</v>
      </c>
      <c r="K2" s="8"/>
      <c r="L2" s="8" t="s">
        <v>33</v>
      </c>
      <c r="M2" s="8" t="s">
        <v>34</v>
      </c>
      <c r="N2" s="8"/>
      <c r="O2" s="8"/>
      <c r="P2" s="8" t="s">
        <v>35</v>
      </c>
      <c r="Q2" s="15">
        <v>6820602</v>
      </c>
      <c r="R2" s="15">
        <v>6820602</v>
      </c>
      <c r="S2" s="15">
        <v>6820602</v>
      </c>
      <c r="T2" s="16" t="s">
        <v>36</v>
      </c>
      <c r="U2" s="8" t="s">
        <v>37</v>
      </c>
      <c r="V2" s="8" t="s">
        <v>38</v>
      </c>
      <c r="W2" s="17" t="s">
        <v>39</v>
      </c>
      <c r="X2" s="18">
        <f>S2</f>
        <v>6820602</v>
      </c>
      <c r="Y2" s="18"/>
      <c r="Z2" s="18"/>
      <c r="AA2" s="18"/>
      <c r="AB2" s="9"/>
      <c r="AC2" s="19" t="b">
        <f>S2=SUM(X2:AA2)</f>
        <v>1</v>
      </c>
    </row>
    <row r="3" spans="1:29" s="21" customFormat="1" ht="24.95" customHeight="1" x14ac:dyDescent="0.45">
      <c r="A3" s="7" t="s">
        <v>28</v>
      </c>
      <c r="B3" s="20"/>
      <c r="E3" s="22"/>
      <c r="F3" s="20" t="s">
        <v>40</v>
      </c>
      <c r="G3" s="23" t="s">
        <v>30</v>
      </c>
      <c r="H3" s="24" t="s">
        <v>41</v>
      </c>
      <c r="I3" s="25" t="s">
        <v>32</v>
      </c>
      <c r="J3" s="26">
        <v>1</v>
      </c>
      <c r="K3" s="20"/>
      <c r="L3" s="20"/>
      <c r="M3" s="24" t="s">
        <v>33</v>
      </c>
      <c r="N3" s="24" t="s">
        <v>42</v>
      </c>
      <c r="O3" s="20"/>
      <c r="P3" s="24" t="s">
        <v>35</v>
      </c>
      <c r="T3" s="27" t="s">
        <v>43</v>
      </c>
      <c r="U3" s="24" t="s">
        <v>37</v>
      </c>
      <c r="V3" s="20"/>
      <c r="W3" s="25" t="s">
        <v>44</v>
      </c>
      <c r="X3" s="28"/>
      <c r="Y3" s="28"/>
      <c r="Z3" s="28"/>
      <c r="AA3" s="28"/>
      <c r="AC3" s="19" t="b">
        <f t="shared" ref="AC3:AC23" si="0">S3=SUM(X3:AA3)</f>
        <v>1</v>
      </c>
    </row>
    <row r="4" spans="1:29" s="21" customFormat="1" ht="24.95" customHeight="1" x14ac:dyDescent="0.45">
      <c r="A4" s="7" t="s">
        <v>28</v>
      </c>
      <c r="B4" s="20"/>
      <c r="E4" s="22"/>
      <c r="F4" s="20" t="s">
        <v>45</v>
      </c>
      <c r="G4" s="29" t="s">
        <v>30</v>
      </c>
      <c r="H4" s="30" t="s">
        <v>46</v>
      </c>
      <c r="I4" s="31" t="s">
        <v>32</v>
      </c>
      <c r="J4" s="32">
        <v>1</v>
      </c>
      <c r="K4" s="20"/>
      <c r="L4" s="20"/>
      <c r="M4" s="20"/>
      <c r="N4" s="24" t="s">
        <v>42</v>
      </c>
      <c r="O4" s="30" t="s">
        <v>47</v>
      </c>
      <c r="P4" s="24" t="s">
        <v>35</v>
      </c>
      <c r="T4" s="27" t="s">
        <v>48</v>
      </c>
      <c r="U4" s="24" t="s">
        <v>37</v>
      </c>
      <c r="V4" s="20"/>
      <c r="W4" s="25" t="s">
        <v>49</v>
      </c>
      <c r="X4" s="28"/>
      <c r="Y4" s="28"/>
      <c r="Z4" s="28"/>
      <c r="AA4" s="28"/>
      <c r="AC4" s="19" t="b">
        <f t="shared" si="0"/>
        <v>1</v>
      </c>
    </row>
    <row r="5" spans="1:29" s="19" customFormat="1" ht="78.75" x14ac:dyDescent="0.45">
      <c r="A5" s="7" t="s">
        <v>28</v>
      </c>
      <c r="B5" s="8"/>
      <c r="C5" s="9"/>
      <c r="D5" s="9"/>
      <c r="E5" s="10"/>
      <c r="F5" s="8" t="s">
        <v>29</v>
      </c>
      <c r="G5" s="11" t="s">
        <v>50</v>
      </c>
      <c r="H5" s="12" t="s">
        <v>31</v>
      </c>
      <c r="I5" s="13" t="s">
        <v>51</v>
      </c>
      <c r="J5" s="14">
        <v>1</v>
      </c>
      <c r="K5" s="8"/>
      <c r="L5" s="8" t="s">
        <v>33</v>
      </c>
      <c r="M5" s="8" t="s">
        <v>34</v>
      </c>
      <c r="N5" s="8"/>
      <c r="O5" s="8"/>
      <c r="P5" s="8" t="s">
        <v>52</v>
      </c>
      <c r="Q5" s="15">
        <v>5132870</v>
      </c>
      <c r="R5" s="15">
        <v>5132870</v>
      </c>
      <c r="S5" s="15">
        <v>5132870</v>
      </c>
      <c r="T5" s="16" t="s">
        <v>36</v>
      </c>
      <c r="U5" s="8" t="s">
        <v>37</v>
      </c>
      <c r="V5" s="8" t="s">
        <v>38</v>
      </c>
      <c r="W5" s="17" t="s">
        <v>39</v>
      </c>
      <c r="X5" s="18">
        <f>S5</f>
        <v>5132870</v>
      </c>
      <c r="Y5" s="18"/>
      <c r="Z5" s="18"/>
      <c r="AA5" s="18"/>
      <c r="AB5" s="9"/>
      <c r="AC5" s="19" t="b">
        <f t="shared" si="0"/>
        <v>1</v>
      </c>
    </row>
    <row r="6" spans="1:29" s="21" customFormat="1" ht="24.95" customHeight="1" x14ac:dyDescent="0.45">
      <c r="A6" s="7" t="s">
        <v>28</v>
      </c>
      <c r="B6" s="20"/>
      <c r="E6" s="22"/>
      <c r="F6" s="20" t="s">
        <v>40</v>
      </c>
      <c r="G6" s="23" t="s">
        <v>50</v>
      </c>
      <c r="H6" s="24" t="s">
        <v>41</v>
      </c>
      <c r="I6" s="25" t="s">
        <v>51</v>
      </c>
      <c r="J6" s="26">
        <v>1</v>
      </c>
      <c r="K6" s="24"/>
      <c r="L6" s="24"/>
      <c r="M6" s="24" t="s">
        <v>33</v>
      </c>
      <c r="N6" s="24" t="s">
        <v>42</v>
      </c>
      <c r="O6" s="20"/>
      <c r="P6" s="24" t="s">
        <v>52</v>
      </c>
      <c r="Q6" s="33"/>
      <c r="R6" s="33"/>
      <c r="S6" s="33"/>
      <c r="T6" s="27" t="s">
        <v>48</v>
      </c>
      <c r="U6" s="24" t="s">
        <v>37</v>
      </c>
      <c r="V6" s="20"/>
      <c r="W6" s="25" t="s">
        <v>44</v>
      </c>
      <c r="X6" s="28"/>
      <c r="Y6" s="28"/>
      <c r="Z6" s="28"/>
      <c r="AA6" s="28"/>
      <c r="AC6" s="19" t="b">
        <f t="shared" si="0"/>
        <v>1</v>
      </c>
    </row>
    <row r="7" spans="1:29" s="19" customFormat="1" ht="24.95" customHeight="1" x14ac:dyDescent="0.45">
      <c r="A7" s="7" t="s">
        <v>28</v>
      </c>
      <c r="B7" s="8"/>
      <c r="C7" s="9"/>
      <c r="D7" s="9"/>
      <c r="E7" s="10"/>
      <c r="F7" s="8"/>
      <c r="G7" s="8"/>
      <c r="H7" s="12"/>
      <c r="I7" s="13"/>
      <c r="J7" s="14"/>
      <c r="K7" s="8"/>
      <c r="L7" s="8"/>
      <c r="M7" s="8"/>
      <c r="N7" s="8"/>
      <c r="O7" s="8"/>
      <c r="P7" s="8"/>
      <c r="Q7" s="15"/>
      <c r="R7" s="15"/>
      <c r="S7" s="15"/>
      <c r="T7" s="17"/>
      <c r="U7" s="8"/>
      <c r="V7" s="34"/>
      <c r="W7" s="13"/>
      <c r="X7" s="18"/>
      <c r="Y7" s="18"/>
      <c r="Z7" s="18"/>
      <c r="AA7" s="18"/>
      <c r="AB7" s="9"/>
      <c r="AC7" s="19" t="b">
        <f t="shared" si="0"/>
        <v>1</v>
      </c>
    </row>
    <row r="8" spans="1:29" s="19" customFormat="1" ht="24.95" customHeight="1" x14ac:dyDescent="0.45">
      <c r="A8" s="35" t="s">
        <v>53</v>
      </c>
      <c r="B8" s="7"/>
      <c r="C8" s="36"/>
      <c r="D8" s="36"/>
      <c r="E8" s="37"/>
      <c r="F8" s="7"/>
      <c r="G8" s="7"/>
      <c r="H8" s="7"/>
      <c r="I8" s="36"/>
      <c r="J8" s="7"/>
      <c r="K8" s="7"/>
      <c r="L8" s="7"/>
      <c r="M8" s="7"/>
      <c r="N8" s="7"/>
      <c r="O8" s="7"/>
      <c r="P8" s="7"/>
      <c r="Q8" s="36"/>
      <c r="R8" s="36"/>
      <c r="S8" s="38" t="e">
        <f>SUM(#REF!)</f>
        <v>#REF!</v>
      </c>
      <c r="T8" s="39" t="s">
        <v>54</v>
      </c>
      <c r="U8" s="38"/>
      <c r="V8" s="38"/>
      <c r="W8" s="38"/>
      <c r="X8" s="40" t="e">
        <f>SUM(#REF!)</f>
        <v>#REF!</v>
      </c>
      <c r="Y8" s="40" t="e">
        <f>SUM(#REF!)</f>
        <v>#REF!</v>
      </c>
      <c r="Z8" s="40" t="e">
        <f>SUM(#REF!)</f>
        <v>#REF!</v>
      </c>
      <c r="AA8" s="40" t="e">
        <f>SUM(#REF!)</f>
        <v>#REF!</v>
      </c>
      <c r="AB8" s="36"/>
      <c r="AC8" s="19" t="e">
        <f t="shared" si="0"/>
        <v>#REF!</v>
      </c>
    </row>
    <row r="9" spans="1:29" s="6" customFormat="1" ht="24.95" customHeight="1" x14ac:dyDescent="0.45">
      <c r="A9" s="41" t="s">
        <v>55</v>
      </c>
      <c r="B9" s="42"/>
      <c r="C9" s="43"/>
      <c r="D9" s="44" t="s">
        <v>56</v>
      </c>
      <c r="E9" s="10"/>
      <c r="F9" s="42" t="s">
        <v>57</v>
      </c>
      <c r="G9" s="41" t="s">
        <v>58</v>
      </c>
      <c r="H9" s="42" t="s">
        <v>59</v>
      </c>
      <c r="I9" s="43" t="s">
        <v>60</v>
      </c>
      <c r="J9" s="42">
        <v>1</v>
      </c>
      <c r="K9" s="42" t="s">
        <v>61</v>
      </c>
      <c r="L9" s="42" t="s">
        <v>62</v>
      </c>
      <c r="M9" s="42" t="s">
        <v>63</v>
      </c>
      <c r="N9" s="42"/>
      <c r="O9" s="42"/>
      <c r="P9" s="42" t="s">
        <v>64</v>
      </c>
      <c r="Q9" s="45">
        <v>3148183</v>
      </c>
      <c r="R9" s="45">
        <v>3148183</v>
      </c>
      <c r="S9" s="45">
        <v>3148183</v>
      </c>
      <c r="T9" s="46" t="s">
        <v>65</v>
      </c>
      <c r="U9" s="42" t="s">
        <v>66</v>
      </c>
      <c r="V9" s="43"/>
      <c r="W9" s="47" t="s">
        <v>67</v>
      </c>
      <c r="X9" s="48">
        <f>S9</f>
        <v>3148183</v>
      </c>
      <c r="Y9" s="49"/>
      <c r="Z9" s="48"/>
      <c r="AA9" s="48"/>
      <c r="AB9" s="43"/>
      <c r="AC9" s="19" t="b">
        <f t="shared" si="0"/>
        <v>1</v>
      </c>
    </row>
    <row r="10" spans="1:29" s="6" customFormat="1" ht="24.95" customHeight="1" x14ac:dyDescent="0.45">
      <c r="A10" s="41" t="s">
        <v>55</v>
      </c>
      <c r="B10" s="42"/>
      <c r="C10" s="43"/>
      <c r="D10" s="44"/>
      <c r="E10" s="10"/>
      <c r="F10" s="42" t="s">
        <v>45</v>
      </c>
      <c r="G10" s="41" t="s">
        <v>58</v>
      </c>
      <c r="H10" s="42" t="s">
        <v>68</v>
      </c>
      <c r="I10" s="43" t="s">
        <v>60</v>
      </c>
      <c r="J10" s="42">
        <v>1</v>
      </c>
      <c r="K10" s="42"/>
      <c r="L10" s="42"/>
      <c r="M10" s="42"/>
      <c r="N10" s="42" t="s">
        <v>63</v>
      </c>
      <c r="O10" s="42" t="s">
        <v>69</v>
      </c>
      <c r="P10" s="42" t="s">
        <v>64</v>
      </c>
      <c r="Q10" s="45"/>
      <c r="R10" s="45"/>
      <c r="S10" s="45"/>
      <c r="T10" s="46" t="s">
        <v>65</v>
      </c>
      <c r="U10" s="42" t="s">
        <v>66</v>
      </c>
      <c r="V10" s="43"/>
      <c r="W10" s="47"/>
      <c r="X10" s="48"/>
      <c r="Y10" s="49"/>
      <c r="Z10" s="48"/>
      <c r="AA10" s="48"/>
      <c r="AB10" s="43"/>
      <c r="AC10" s="19"/>
    </row>
    <row r="11" spans="1:29" s="6" customFormat="1" ht="118.15" x14ac:dyDescent="0.45">
      <c r="A11" s="41" t="s">
        <v>55</v>
      </c>
      <c r="B11" s="42"/>
      <c r="C11" s="43"/>
      <c r="D11" s="43"/>
      <c r="E11" s="10"/>
      <c r="F11" s="42" t="s">
        <v>57</v>
      </c>
      <c r="G11" s="41" t="s">
        <v>70</v>
      </c>
      <c r="H11" s="42" t="s">
        <v>71</v>
      </c>
      <c r="I11" s="43" t="s">
        <v>72</v>
      </c>
      <c r="J11" s="42">
        <v>1</v>
      </c>
      <c r="K11" s="42" t="s">
        <v>73</v>
      </c>
      <c r="L11" s="42" t="s">
        <v>73</v>
      </c>
      <c r="M11" s="42" t="s">
        <v>74</v>
      </c>
      <c r="N11" s="42"/>
      <c r="O11" s="42"/>
      <c r="P11" s="50" t="s">
        <v>75</v>
      </c>
      <c r="Q11" s="45">
        <v>2860000</v>
      </c>
      <c r="R11" s="45">
        <v>2860000</v>
      </c>
      <c r="S11" s="45">
        <v>2860000</v>
      </c>
      <c r="T11" s="51" t="s">
        <v>76</v>
      </c>
      <c r="U11" s="42" t="s">
        <v>74</v>
      </c>
      <c r="V11" s="43"/>
      <c r="W11" s="47"/>
      <c r="X11" s="48">
        <f>S11</f>
        <v>2860000</v>
      </c>
      <c r="Y11" s="49"/>
      <c r="Z11" s="48"/>
      <c r="AA11" s="48"/>
      <c r="AB11" s="43"/>
      <c r="AC11" s="19" t="b">
        <f t="shared" si="0"/>
        <v>1</v>
      </c>
    </row>
    <row r="12" spans="1:29" s="6" customFormat="1" ht="118.15" x14ac:dyDescent="0.45">
      <c r="A12" s="41" t="s">
        <v>55</v>
      </c>
      <c r="B12" s="42"/>
      <c r="C12" s="43"/>
      <c r="D12" s="43"/>
      <c r="E12" s="10"/>
      <c r="F12" s="42" t="s">
        <v>45</v>
      </c>
      <c r="G12" s="41" t="s">
        <v>70</v>
      </c>
      <c r="H12" s="42" t="s">
        <v>77</v>
      </c>
      <c r="I12" s="43" t="s">
        <v>72</v>
      </c>
      <c r="J12" s="42">
        <v>1</v>
      </c>
      <c r="K12" s="42"/>
      <c r="L12" s="42"/>
      <c r="M12" s="42"/>
      <c r="N12" s="42" t="s">
        <v>74</v>
      </c>
      <c r="O12" s="42" t="s">
        <v>78</v>
      </c>
      <c r="P12" s="50" t="s">
        <v>75</v>
      </c>
      <c r="Q12" s="45"/>
      <c r="R12" s="45"/>
      <c r="S12" s="45"/>
      <c r="T12" s="51" t="s">
        <v>76</v>
      </c>
      <c r="U12" s="42" t="s">
        <v>74</v>
      </c>
      <c r="V12" s="43"/>
      <c r="W12" s="47" t="s">
        <v>79</v>
      </c>
      <c r="X12" s="48"/>
      <c r="Y12" s="49"/>
      <c r="Z12" s="48"/>
      <c r="AA12" s="48"/>
      <c r="AB12" s="43"/>
      <c r="AC12" s="19" t="b">
        <f t="shared" si="0"/>
        <v>1</v>
      </c>
    </row>
    <row r="13" spans="1:29" s="6" customFormat="1" ht="24.95" customHeight="1" x14ac:dyDescent="0.45">
      <c r="A13" s="41" t="s">
        <v>55</v>
      </c>
      <c r="B13" s="42"/>
      <c r="C13" s="43"/>
      <c r="D13" s="43"/>
      <c r="E13" s="10"/>
      <c r="F13" s="42" t="s">
        <v>29</v>
      </c>
      <c r="G13" s="41" t="s">
        <v>80</v>
      </c>
      <c r="H13" s="52">
        <v>46021</v>
      </c>
      <c r="I13" s="43" t="s">
        <v>81</v>
      </c>
      <c r="J13" s="42">
        <v>1</v>
      </c>
      <c r="K13" s="42" t="s">
        <v>82</v>
      </c>
      <c r="L13" s="42"/>
      <c r="M13" s="42"/>
      <c r="N13" s="42"/>
      <c r="O13" s="42"/>
      <c r="P13" s="42" t="s">
        <v>83</v>
      </c>
      <c r="Q13" s="45">
        <v>1248182</v>
      </c>
      <c r="R13" s="45">
        <v>1248182</v>
      </c>
      <c r="S13" s="45">
        <v>1248182</v>
      </c>
      <c r="T13" s="46" t="s">
        <v>84</v>
      </c>
      <c r="U13" s="42" t="s">
        <v>85</v>
      </c>
      <c r="V13" s="43"/>
      <c r="W13" s="47"/>
      <c r="X13" s="48"/>
      <c r="Y13" s="49"/>
      <c r="Z13" s="48">
        <f>S13</f>
        <v>1248182</v>
      </c>
      <c r="AA13" s="48"/>
      <c r="AB13" s="43"/>
      <c r="AC13" s="19" t="b">
        <f t="shared" si="0"/>
        <v>1</v>
      </c>
    </row>
    <row r="14" spans="1:29" s="6" customFormat="1" ht="24.95" customHeight="1" x14ac:dyDescent="0.45">
      <c r="A14" s="53" t="s">
        <v>86</v>
      </c>
      <c r="B14" s="41"/>
      <c r="C14" s="46"/>
      <c r="D14" s="46"/>
      <c r="E14" s="54"/>
      <c r="F14" s="41"/>
      <c r="G14" s="41"/>
      <c r="H14" s="41"/>
      <c r="I14" s="46"/>
      <c r="J14" s="41"/>
      <c r="K14" s="41"/>
      <c r="L14" s="41"/>
      <c r="M14" s="41"/>
      <c r="N14" s="41"/>
      <c r="O14" s="41"/>
      <c r="P14" s="41"/>
      <c r="Q14" s="55"/>
      <c r="R14" s="55"/>
      <c r="S14" s="56" t="e">
        <f>SUM(#REF!)</f>
        <v>#REF!</v>
      </c>
      <c r="T14" s="46"/>
      <c r="U14" s="41"/>
      <c r="V14" s="46"/>
      <c r="W14" s="51"/>
      <c r="X14" s="57" t="e">
        <f>SUM(#REF!)</f>
        <v>#REF!</v>
      </c>
      <c r="Y14" s="57" t="e">
        <f>SUM(#REF!)</f>
        <v>#REF!</v>
      </c>
      <c r="Z14" s="57" t="e">
        <f>SUM(#REF!)</f>
        <v>#REF!</v>
      </c>
      <c r="AA14" s="57">
        <v>0</v>
      </c>
      <c r="AB14" s="46"/>
      <c r="AC14" s="19" t="e">
        <f t="shared" si="0"/>
        <v>#REF!</v>
      </c>
    </row>
    <row r="15" spans="1:29" s="6" customFormat="1" ht="24.75" customHeight="1" x14ac:dyDescent="0.45">
      <c r="A15" s="58" t="s">
        <v>87</v>
      </c>
      <c r="B15" s="42"/>
      <c r="C15" s="43"/>
      <c r="D15" s="43"/>
      <c r="E15" s="10"/>
      <c r="F15" s="42" t="s">
        <v>57</v>
      </c>
      <c r="G15" s="41" t="s">
        <v>88</v>
      </c>
      <c r="H15" s="42" t="s">
        <v>89</v>
      </c>
      <c r="I15" s="43" t="s">
        <v>90</v>
      </c>
      <c r="J15" s="42">
        <v>1</v>
      </c>
      <c r="K15" s="42" t="s">
        <v>91</v>
      </c>
      <c r="L15" s="42" t="s">
        <v>92</v>
      </c>
      <c r="M15" s="42" t="s">
        <v>93</v>
      </c>
      <c r="N15" s="42"/>
      <c r="O15" s="42"/>
      <c r="P15" s="42" t="s">
        <v>94</v>
      </c>
      <c r="Q15" s="45">
        <v>2980000</v>
      </c>
      <c r="R15" s="45">
        <v>2980000</v>
      </c>
      <c r="S15" s="45">
        <v>2980000</v>
      </c>
      <c r="T15" s="27" t="s">
        <v>95</v>
      </c>
      <c r="U15" s="42" t="s">
        <v>96</v>
      </c>
      <c r="V15" s="43"/>
      <c r="W15" s="47" t="s">
        <v>97</v>
      </c>
      <c r="Y15" s="48">
        <f>S15</f>
        <v>2980000</v>
      </c>
      <c r="Z15" s="48"/>
      <c r="AA15" s="48"/>
      <c r="AB15" s="43"/>
      <c r="AC15" s="19" t="b">
        <f>S15=SUM(Y15:AA15)</f>
        <v>1</v>
      </c>
    </row>
    <row r="16" spans="1:29" s="6" customFormat="1" ht="24.95" customHeight="1" x14ac:dyDescent="0.45">
      <c r="A16" s="58" t="s">
        <v>87</v>
      </c>
      <c r="B16" s="42"/>
      <c r="C16" s="43"/>
      <c r="D16" s="43"/>
      <c r="E16" s="10"/>
      <c r="F16" s="42" t="s">
        <v>45</v>
      </c>
      <c r="G16" s="41" t="s">
        <v>88</v>
      </c>
      <c r="H16" s="42" t="s">
        <v>98</v>
      </c>
      <c r="I16" s="43" t="s">
        <v>90</v>
      </c>
      <c r="J16" s="42">
        <v>1</v>
      </c>
      <c r="K16" s="42"/>
      <c r="L16" s="42"/>
      <c r="M16" s="42"/>
      <c r="N16" s="42" t="s">
        <v>93</v>
      </c>
      <c r="O16" s="42" t="s">
        <v>99</v>
      </c>
      <c r="P16" s="42" t="s">
        <v>94</v>
      </c>
      <c r="Q16" s="45"/>
      <c r="R16" s="45"/>
      <c r="S16" s="45"/>
      <c r="T16" s="27" t="s">
        <v>95</v>
      </c>
      <c r="U16" s="42" t="s">
        <v>96</v>
      </c>
      <c r="V16" s="43"/>
      <c r="W16" s="47" t="s">
        <v>100</v>
      </c>
      <c r="X16" s="48"/>
      <c r="Y16" s="49"/>
      <c r="Z16" s="48"/>
      <c r="AA16" s="48"/>
      <c r="AB16" s="43"/>
      <c r="AC16" s="19" t="b">
        <f>S16=SUM(X16:AA16)</f>
        <v>1</v>
      </c>
    </row>
    <row r="17" spans="1:29" s="6" customFormat="1" ht="65.650000000000006" x14ac:dyDescent="0.45">
      <c r="A17" s="58" t="s">
        <v>87</v>
      </c>
      <c r="B17" s="42"/>
      <c r="C17" s="43"/>
      <c r="D17" s="43"/>
      <c r="E17" s="10"/>
      <c r="F17" s="42" t="s">
        <v>57</v>
      </c>
      <c r="G17" s="41" t="s">
        <v>101</v>
      </c>
      <c r="H17" s="42" t="s">
        <v>102</v>
      </c>
      <c r="I17" s="43" t="s">
        <v>103</v>
      </c>
      <c r="J17" s="42">
        <v>1</v>
      </c>
      <c r="K17" s="42" t="s">
        <v>104</v>
      </c>
      <c r="L17" s="42" t="s">
        <v>105</v>
      </c>
      <c r="M17" s="42" t="s">
        <v>106</v>
      </c>
      <c r="N17" s="42"/>
      <c r="O17" s="42"/>
      <c r="P17" s="42" t="s">
        <v>107</v>
      </c>
      <c r="Q17" s="45">
        <v>2000000</v>
      </c>
      <c r="R17" s="45">
        <v>2000000</v>
      </c>
      <c r="S17" s="45">
        <v>2000000</v>
      </c>
      <c r="T17" s="51" t="s">
        <v>108</v>
      </c>
      <c r="U17" s="42" t="s">
        <v>106</v>
      </c>
      <c r="V17" s="43"/>
      <c r="W17" s="47"/>
      <c r="X17" s="48"/>
      <c r="Y17" s="49">
        <f>S17</f>
        <v>2000000</v>
      </c>
      <c r="Z17" s="48"/>
      <c r="AA17" s="48"/>
      <c r="AB17" s="43"/>
      <c r="AC17" s="19" t="b">
        <f t="shared" si="0"/>
        <v>1</v>
      </c>
    </row>
    <row r="18" spans="1:29" s="6" customFormat="1" ht="41.25" customHeight="1" x14ac:dyDescent="0.45">
      <c r="A18" s="58" t="s">
        <v>87</v>
      </c>
      <c r="B18" s="42"/>
      <c r="C18" s="43"/>
      <c r="D18" s="43"/>
      <c r="E18" s="10" t="s">
        <v>109</v>
      </c>
      <c r="F18" s="42" t="s">
        <v>29</v>
      </c>
      <c r="G18" s="41" t="s">
        <v>110</v>
      </c>
      <c r="H18" s="52">
        <v>46021</v>
      </c>
      <c r="I18" s="43" t="s">
        <v>111</v>
      </c>
      <c r="J18" s="42">
        <v>1</v>
      </c>
      <c r="K18" s="42" t="s">
        <v>112</v>
      </c>
      <c r="L18" s="42"/>
      <c r="M18" s="42"/>
      <c r="N18" s="42"/>
      <c r="O18" s="42"/>
      <c r="P18" s="50"/>
      <c r="Q18" s="45">
        <v>990000</v>
      </c>
      <c r="R18" s="45">
        <v>990000</v>
      </c>
      <c r="S18" s="45">
        <v>990000</v>
      </c>
      <c r="T18" s="51" t="s">
        <v>113</v>
      </c>
      <c r="U18" s="42" t="s">
        <v>114</v>
      </c>
      <c r="V18" s="43"/>
      <c r="W18" s="47"/>
      <c r="X18" s="48"/>
      <c r="Y18" s="49"/>
      <c r="Z18" s="48">
        <f>S18</f>
        <v>990000</v>
      </c>
      <c r="AA18" s="48"/>
      <c r="AB18" s="43"/>
      <c r="AC18" s="19" t="b">
        <f t="shared" si="0"/>
        <v>1</v>
      </c>
    </row>
    <row r="19" spans="1:29" s="19" customFormat="1" ht="24.95" customHeight="1" x14ac:dyDescent="0.45">
      <c r="A19" s="59" t="s">
        <v>115</v>
      </c>
      <c r="B19" s="60"/>
      <c r="C19" s="61"/>
      <c r="D19" s="61"/>
      <c r="E19" s="62"/>
      <c r="F19" s="60"/>
      <c r="G19" s="60"/>
      <c r="H19" s="60"/>
      <c r="I19" s="61"/>
      <c r="J19" s="60"/>
      <c r="K19" s="60"/>
      <c r="L19" s="60"/>
      <c r="M19" s="60"/>
      <c r="N19" s="60"/>
      <c r="O19" s="60"/>
      <c r="P19" s="60"/>
      <c r="Q19" s="61"/>
      <c r="R19" s="61"/>
      <c r="S19" s="63" t="e">
        <f>SUM(#REF!)</f>
        <v>#REF!</v>
      </c>
      <c r="T19" s="61"/>
      <c r="U19" s="60"/>
      <c r="V19" s="60"/>
      <c r="W19" s="61"/>
      <c r="X19" s="64" t="e">
        <f>SUM(#REF!)</f>
        <v>#REF!</v>
      </c>
      <c r="Y19" s="64" t="e">
        <f>SUM(#REF!)</f>
        <v>#REF!</v>
      </c>
      <c r="Z19" s="64" t="e">
        <f>SUM(#REF!)</f>
        <v>#REF!</v>
      </c>
      <c r="AA19" s="64" t="e">
        <f>SUM(#REF!)</f>
        <v>#REF!</v>
      </c>
      <c r="AB19" s="61"/>
      <c r="AC19" s="19" t="e">
        <f t="shared" si="0"/>
        <v>#REF!</v>
      </c>
    </row>
    <row r="20" spans="1:29" s="6" customFormat="1" ht="105" x14ac:dyDescent="0.45">
      <c r="A20" s="65" t="s">
        <v>116</v>
      </c>
      <c r="B20" s="66"/>
      <c r="C20" s="42"/>
      <c r="D20" s="67" t="s">
        <v>117</v>
      </c>
      <c r="E20" s="67"/>
      <c r="F20" s="42" t="s">
        <v>57</v>
      </c>
      <c r="G20" s="41" t="s">
        <v>118</v>
      </c>
      <c r="H20" s="42" t="s">
        <v>119</v>
      </c>
      <c r="I20" s="68" t="s">
        <v>120</v>
      </c>
      <c r="J20" s="42">
        <v>1</v>
      </c>
      <c r="K20" s="42"/>
      <c r="L20" s="42" t="s">
        <v>121</v>
      </c>
      <c r="M20" s="42" t="s">
        <v>122</v>
      </c>
      <c r="N20" s="69"/>
      <c r="O20" s="42"/>
      <c r="P20" s="42" t="s">
        <v>123</v>
      </c>
      <c r="Q20" s="48">
        <v>5722350</v>
      </c>
      <c r="R20" s="48">
        <v>5722350</v>
      </c>
      <c r="S20" s="48">
        <v>5722350</v>
      </c>
      <c r="T20" s="70" t="s">
        <v>124</v>
      </c>
      <c r="U20" s="42" t="s">
        <v>125</v>
      </c>
      <c r="V20" s="71" t="s">
        <v>126</v>
      </c>
      <c r="W20" s="68" t="s">
        <v>127</v>
      </c>
      <c r="X20" s="48">
        <f>S20</f>
        <v>5722350</v>
      </c>
      <c r="Y20" s="48"/>
      <c r="Z20" s="48" t="s">
        <v>109</v>
      </c>
      <c r="AA20" s="48"/>
      <c r="AB20" s="43"/>
      <c r="AC20" s="19" t="b">
        <f t="shared" si="0"/>
        <v>1</v>
      </c>
    </row>
    <row r="21" spans="1:29" s="6" customFormat="1" ht="105" x14ac:dyDescent="0.45">
      <c r="A21" s="65" t="s">
        <v>116</v>
      </c>
      <c r="B21" s="42"/>
      <c r="C21" s="42"/>
      <c r="D21" s="72"/>
      <c r="E21" s="67"/>
      <c r="F21" s="42" t="s">
        <v>40</v>
      </c>
      <c r="G21" s="41" t="s">
        <v>118</v>
      </c>
      <c r="H21" s="42" t="s">
        <v>128</v>
      </c>
      <c r="I21" s="68" t="s">
        <v>120</v>
      </c>
      <c r="J21" s="42">
        <v>1</v>
      </c>
      <c r="K21" s="42"/>
      <c r="L21" s="42"/>
      <c r="M21" s="42" t="s">
        <v>122</v>
      </c>
      <c r="N21" s="69" t="s">
        <v>121</v>
      </c>
      <c r="O21" s="42"/>
      <c r="P21" s="42" t="s">
        <v>123</v>
      </c>
      <c r="Q21" s="48"/>
      <c r="R21" s="48"/>
      <c r="S21" s="48"/>
      <c r="T21" s="70" t="s">
        <v>124</v>
      </c>
      <c r="U21" s="42" t="s">
        <v>129</v>
      </c>
      <c r="V21" s="42"/>
      <c r="W21" s="68"/>
      <c r="X21" s="48"/>
      <c r="Y21" s="48"/>
      <c r="Z21" s="48"/>
      <c r="AA21" s="48"/>
      <c r="AB21" s="43"/>
      <c r="AC21" s="19" t="b">
        <f t="shared" si="0"/>
        <v>1</v>
      </c>
    </row>
    <row r="22" spans="1:29" s="21" customFormat="1" ht="91.9" x14ac:dyDescent="0.45">
      <c r="A22" s="73" t="s">
        <v>130</v>
      </c>
      <c r="B22" s="20"/>
      <c r="E22" s="67" t="s">
        <v>131</v>
      </c>
      <c r="F22" s="20" t="s">
        <v>45</v>
      </c>
      <c r="G22" s="41" t="s">
        <v>132</v>
      </c>
      <c r="H22" s="24" t="s">
        <v>133</v>
      </c>
      <c r="I22" s="25" t="s">
        <v>134</v>
      </c>
      <c r="J22" s="26">
        <v>1</v>
      </c>
      <c r="K22" s="24"/>
      <c r="L22" s="24"/>
      <c r="M22" s="24" t="s">
        <v>109</v>
      </c>
      <c r="N22" s="24" t="s">
        <v>135</v>
      </c>
      <c r="O22" s="20" t="s">
        <v>136</v>
      </c>
      <c r="P22" s="24" t="s">
        <v>137</v>
      </c>
      <c r="Q22" s="33"/>
      <c r="R22" s="33"/>
      <c r="S22" s="33"/>
      <c r="T22" s="70" t="s">
        <v>138</v>
      </c>
      <c r="U22" s="24" t="s">
        <v>37</v>
      </c>
      <c r="W22" s="25" t="s">
        <v>139</v>
      </c>
      <c r="X22" s="28"/>
      <c r="Y22" s="28"/>
      <c r="Z22" s="28"/>
      <c r="AA22" s="28"/>
      <c r="AC22" s="19" t="b">
        <f t="shared" si="0"/>
        <v>1</v>
      </c>
    </row>
    <row r="23" spans="1:29" s="86" customFormat="1" ht="42.75" customHeight="1" x14ac:dyDescent="0.45">
      <c r="A23" s="74" t="s">
        <v>140</v>
      </c>
      <c r="B23" s="75"/>
      <c r="C23" s="76"/>
      <c r="D23" s="73"/>
      <c r="E23" s="77"/>
      <c r="F23" s="73"/>
      <c r="G23" s="73"/>
      <c r="H23" s="73"/>
      <c r="I23" s="78"/>
      <c r="J23" s="73"/>
      <c r="K23" s="73"/>
      <c r="L23" s="73"/>
      <c r="M23" s="73"/>
      <c r="N23" s="79"/>
      <c r="O23" s="73"/>
      <c r="P23" s="80"/>
      <c r="Q23" s="81"/>
      <c r="R23" s="81"/>
      <c r="S23" s="82" t="e">
        <f>SUM(#REF!)</f>
        <v>#REF!</v>
      </c>
      <c r="T23" s="78"/>
      <c r="U23" s="73"/>
      <c r="V23" s="73"/>
      <c r="W23" s="83"/>
      <c r="X23" s="84" t="e">
        <f>SUM(#REF!)</f>
        <v>#REF!</v>
      </c>
      <c r="Y23" s="84" t="e">
        <f>SUM(#REF!)</f>
        <v>#REF!</v>
      </c>
      <c r="Z23" s="84" t="e">
        <f>SUM(#REF!)</f>
        <v>#REF!</v>
      </c>
      <c r="AA23" s="85">
        <v>0</v>
      </c>
      <c r="AB23" s="76"/>
      <c r="AC23" s="19" t="e">
        <f t="shared" si="0"/>
        <v>#REF!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윤송</dc:creator>
  <cp:lastModifiedBy>심 윤송</cp:lastModifiedBy>
  <dcterms:created xsi:type="dcterms:W3CDTF">2026-04-09T08:36:27Z</dcterms:created>
  <dcterms:modified xsi:type="dcterms:W3CDTF">2026-04-09T08:36:47Z</dcterms:modified>
</cp:coreProperties>
</file>