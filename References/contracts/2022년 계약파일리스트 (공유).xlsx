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\\nas\OCEANTECH\10. Project\"/>
    </mc:Choice>
  </mc:AlternateContent>
  <xr:revisionPtr revIDLastSave="0" documentId="13_ncr:1_{2A579694-3E20-49D4-8A93-BD1CBC2832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계약파일리스트" sheetId="1" r:id="rId1"/>
    <sheet name="커미션" sheetId="2" r:id="rId2"/>
  </sheets>
  <definedNames>
    <definedName name="_xlnm._FilterDatabase" localSheetId="0" hidden="1">계약파일리스트!$A$3:$AC$471</definedName>
    <definedName name="_xlnm._FilterDatabase" localSheetId="1" hidden="1">커미션!$A$1:$Z$127</definedName>
    <definedName name="_xlnm.Print_Area" localSheetId="0">계약파일리스트!$228:$411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5" i="1" l="1"/>
  <c r="I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  <author>wonjin Oh</author>
    <author>관리부-1</author>
    <author>Doni Kang</author>
    <author>ocean</author>
    <author>PC</author>
    <author>2206-D001</author>
    <author>Mirr</author>
    <author>YJHwang</author>
    <author>1512.D011</author>
    <author>Ahleum Hong</author>
  </authors>
  <commentList>
    <comment ref="L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\334,224,000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\83,556,000</t>
        </r>
      </text>
    </comment>
    <comment ref="M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\334,224,000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\83,556,000</t>
        </r>
      </text>
    </comment>
    <comment ref="I5" authorId="1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총액
</t>
        </r>
        <r>
          <rPr>
            <b/>
            <sz val="9"/>
            <color indexed="81"/>
            <rFont val="Tahoma"/>
            <family val="2"/>
          </rPr>
          <t xml:space="preserve">2,654,586,000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오션테크</t>
        </r>
        <r>
          <rPr>
            <b/>
            <sz val="9"/>
            <color indexed="81"/>
            <rFont val="Tahoma"/>
            <family val="2"/>
          </rPr>
          <t xml:space="preserve"> (96%) : 2,548,402,560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젠</t>
        </r>
        <r>
          <rPr>
            <b/>
            <sz val="9"/>
            <color indexed="81"/>
            <rFont val="Tahoma"/>
            <family val="2"/>
          </rPr>
          <t xml:space="preserve"> (4%) : 106,183,440 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L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\2,038,722,000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\467,858,560</t>
        </r>
      </text>
    </comment>
    <comment ref="M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\2,038,722,000
12/20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467,858,560
</t>
        </r>
      </text>
    </comment>
    <comment ref="L20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2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10/30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I30" authorId="4" shapeId="0" xr:uid="{00000000-0006-0000-0000-000009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기존금액</t>
        </r>
        <r>
          <rPr>
            <sz val="9"/>
            <color indexed="81"/>
            <rFont val="Tahoma"/>
            <family val="2"/>
          </rPr>
          <t xml:space="preserve"> ; 13,200,000
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; 8,200,000
</t>
        </r>
        <r>
          <rPr>
            <sz val="9"/>
            <color indexed="81"/>
            <rFont val="돋움"/>
            <family val="3"/>
            <charset val="129"/>
          </rPr>
          <t>계약번호</t>
        </r>
        <r>
          <rPr>
            <sz val="9"/>
            <color indexed="81"/>
            <rFont val="Tahoma"/>
            <family val="2"/>
          </rPr>
          <t xml:space="preserve"> 81</t>
        </r>
        <r>
          <rPr>
            <sz val="9"/>
            <color indexed="81"/>
            <rFont val="돋움"/>
            <family val="3"/>
            <charset val="129"/>
          </rPr>
          <t>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받음</t>
        </r>
      </text>
    </comment>
    <comment ref="L3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
1/24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37,806,224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3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1/24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37,806,224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수리없이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취소발급</t>
        </r>
        <r>
          <rPr>
            <sz val="9"/>
            <color indexed="81"/>
            <rFont val="Tahoma"/>
            <family val="2"/>
          </rPr>
          <t>(2/16)</t>
        </r>
      </text>
    </comment>
    <comment ref="X35" authorId="5" shapeId="0" xr:uid="{00000000-0006-0000-0000-00000D000000}">
      <text>
        <r>
          <rPr>
            <sz val="9"/>
            <color indexed="81"/>
            <rFont val="돋움"/>
            <family val="3"/>
            <charset val="129"/>
          </rPr>
          <t>이학용</t>
        </r>
        <r>
          <rPr>
            <sz val="9"/>
            <color indexed="81"/>
            <rFont val="Tahoma"/>
            <family val="2"/>
          </rPr>
          <t xml:space="preserve"> : 2021</t>
        </r>
        <r>
          <rPr>
            <sz val="9"/>
            <color indexed="81"/>
            <rFont val="돋움"/>
            <family val="3"/>
            <charset val="129"/>
          </rPr>
          <t>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점검건인데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조사협회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계정문제로</t>
        </r>
        <r>
          <rPr>
            <sz val="9"/>
            <color indexed="81"/>
            <rFont val="Tahoma"/>
            <family val="2"/>
          </rPr>
          <t xml:space="preserve"> 2022</t>
        </r>
        <r>
          <rPr>
            <sz val="9"/>
            <color indexed="81"/>
            <rFont val="돋움"/>
            <family val="3"/>
            <charset val="129"/>
          </rPr>
          <t>년도에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결제처리함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1/24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9,396,217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3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1/24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9,396,217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IR-7300 \7,920,000
MMF-7500 \3,080,000</t>
        </r>
      </text>
    </comment>
    <comment ref="M38" authorId="2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4/27 MMF-7500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\3,080,000
5/4 MMF-7500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\7,920,000</t>
        </r>
      </text>
    </comment>
    <comment ref="L4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M44" authorId="2" shapeId="0" xr:uid="{00000000-0006-0000-0000-000013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 xml:space="preserve">선입금
</t>
        </r>
        <r>
          <rPr>
            <sz val="9"/>
            <color indexed="81"/>
            <rFont val="Tahoma"/>
            <family val="2"/>
          </rPr>
          <t xml:space="preserve">\21,000,000
4/21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\21,000,000
5/13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\4,200,000</t>
        </r>
      </text>
    </comment>
    <comment ref="L49" authorId="2" shapeId="0" xr:uid="{00000000-0006-0000-0000-00001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\17,050,000
6/2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\17,050,000</t>
        </r>
      </text>
    </comment>
    <comment ref="M49" authorId="2" shapeId="0" xr:uid="{00000000-0006-0000-0000-000015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\17,050,000
6/29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\17,050,000</t>
        </r>
      </text>
    </comment>
    <comment ref="L5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4/29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유지보수료
</t>
        </r>
        <r>
          <rPr>
            <sz val="9"/>
            <color indexed="81"/>
            <rFont val="Tahoma"/>
            <family val="2"/>
          </rPr>
          <t xml:space="preserve">\13,528,700
</t>
        </r>
        <r>
          <rPr>
            <sz val="9"/>
            <color indexed="81"/>
            <rFont val="돋움"/>
            <family val="3"/>
            <charset val="129"/>
          </rPr>
          <t xml:space="preserve">수리비
</t>
        </r>
        <r>
          <rPr>
            <sz val="9"/>
            <color indexed="81"/>
            <rFont val="Tahoma"/>
            <family val="2"/>
          </rPr>
          <t>\1,177,000
7/26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\68,395,090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\5,610,000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11/21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\71,981,110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\440,000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12/26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\72,449,630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\7,865,000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M5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5/10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유지보수료
</t>
        </r>
        <r>
          <rPr>
            <sz val="9"/>
            <color indexed="81"/>
            <rFont val="Tahoma"/>
            <family val="2"/>
          </rPr>
          <t xml:space="preserve">\13,528,700
</t>
        </r>
        <r>
          <rPr>
            <sz val="9"/>
            <color indexed="81"/>
            <rFont val="돋움"/>
            <family val="3"/>
            <charset val="129"/>
          </rPr>
          <t xml:space="preserve">수리비
</t>
        </r>
        <r>
          <rPr>
            <sz val="9"/>
            <color indexed="81"/>
            <rFont val="Tahoma"/>
            <family val="2"/>
          </rPr>
          <t>\1,177,000
8/4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유지보수료
</t>
        </r>
        <r>
          <rPr>
            <sz val="9"/>
            <color indexed="81"/>
            <rFont val="Tahoma"/>
            <family val="2"/>
          </rPr>
          <t xml:space="preserve">\68,395,090
</t>
        </r>
        <r>
          <rPr>
            <sz val="9"/>
            <color indexed="81"/>
            <rFont val="돋움"/>
            <family val="3"/>
            <charset val="129"/>
          </rPr>
          <t xml:space="preserve">수리비
</t>
        </r>
        <r>
          <rPr>
            <sz val="9"/>
            <color indexed="81"/>
            <rFont val="Tahoma"/>
            <family val="2"/>
          </rPr>
          <t>\5,610,000
11/24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\71,981,110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\440,000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12/29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 xml:space="preserve">\72,449,630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\7,865,000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I51" authorId="1" shapeId="0" xr:uid="{00000000-0006-0000-0000-000018000000}">
      <text>
        <r>
          <rPr>
            <b/>
            <sz val="10"/>
            <color indexed="81"/>
            <rFont val="돋움"/>
            <family val="3"/>
            <charset val="129"/>
          </rPr>
          <t>기존</t>
        </r>
        <r>
          <rPr>
            <b/>
            <sz val="10"/>
            <color indexed="81"/>
            <rFont val="Tahoma"/>
            <family val="2"/>
          </rPr>
          <t xml:space="preserve"> 8,800,000 </t>
        </r>
        <r>
          <rPr>
            <b/>
            <sz val="10"/>
            <color indexed="81"/>
            <rFont val="돋움"/>
            <family val="3"/>
            <charset val="129"/>
          </rPr>
          <t>원
변경</t>
        </r>
        <r>
          <rPr>
            <b/>
            <sz val="10"/>
            <color indexed="81"/>
            <rFont val="Tahoma"/>
            <family val="2"/>
          </rPr>
          <t xml:space="preserve"> 11,000,000 </t>
        </r>
        <r>
          <rPr>
            <b/>
            <sz val="10"/>
            <color indexed="81"/>
            <rFont val="돋움"/>
            <family val="3"/>
            <charset val="129"/>
          </rPr>
          <t>원</t>
        </r>
        <r>
          <rPr>
            <b/>
            <sz val="10"/>
            <color indexed="81"/>
            <rFont val="Tahoma"/>
            <family val="2"/>
          </rPr>
          <t xml:space="preserve"> (3/3)
</t>
        </r>
      </text>
    </comment>
    <comment ref="L54" authorId="2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2/25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\24,420,000
11/9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\48,840,000</t>
        </r>
      </text>
    </comment>
    <comment ref="M54" authorId="2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2/25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\24,420,000
11/30 </t>
        </r>
        <r>
          <rPr>
            <sz val="9"/>
            <color indexed="81"/>
            <rFont val="돋움"/>
            <family val="3"/>
            <charset val="129"/>
          </rPr>
          <t>중도금</t>
        </r>
        <r>
          <rPr>
            <sz val="9"/>
            <color indexed="81"/>
            <rFont val="Tahoma"/>
            <family val="2"/>
          </rPr>
          <t xml:space="preserve">60%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\48,840,000</t>
        </r>
      </text>
    </comment>
    <comment ref="L5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E65" authorId="1" shapeId="0" xr:uid="{00000000-0006-0000-0000-00001C000000}">
      <text>
        <r>
          <rPr>
            <b/>
            <sz val="10"/>
            <color indexed="81"/>
            <rFont val="Tahoma"/>
            <family val="2"/>
          </rPr>
          <t>UTS-9500 1</t>
        </r>
        <r>
          <rPr>
            <b/>
            <sz val="10"/>
            <color indexed="81"/>
            <rFont val="돋움"/>
            <family val="3"/>
            <charset val="129"/>
          </rPr>
          <t>식</t>
        </r>
        <r>
          <rPr>
            <b/>
            <sz val="10"/>
            <color indexed="81"/>
            <rFont val="Tahoma"/>
            <family val="2"/>
          </rPr>
          <t xml:space="preserve"> (</t>
        </r>
        <r>
          <rPr>
            <b/>
            <sz val="10"/>
            <color indexed="81"/>
            <rFont val="돋움"/>
            <family val="3"/>
            <charset val="129"/>
          </rPr>
          <t>부산대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입찰</t>
        </r>
        <r>
          <rPr>
            <b/>
            <sz val="10"/>
            <color indexed="81"/>
            <rFont val="Tahoma"/>
            <family val="2"/>
          </rPr>
          <t xml:space="preserve">) </t>
        </r>
        <r>
          <rPr>
            <b/>
            <sz val="10"/>
            <color indexed="81"/>
            <rFont val="돋움"/>
            <family val="3"/>
            <charset val="129"/>
          </rPr>
          <t>관련</t>
        </r>
        <r>
          <rPr>
            <b/>
            <sz val="10"/>
            <color indexed="81"/>
            <rFont val="Tahoma"/>
            <family val="2"/>
          </rPr>
          <t xml:space="preserve"> 
</t>
        </r>
        <r>
          <rPr>
            <b/>
            <sz val="10"/>
            <color indexed="81"/>
            <rFont val="돋움"/>
            <family val="3"/>
            <charset val="129"/>
          </rPr>
          <t>입찰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차액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계약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분</t>
        </r>
      </text>
    </comment>
    <comment ref="X6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부산대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입찰하면서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안양대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산단과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진행하는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
실장님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박사님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조율하셨음
계약번호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납품처리를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Y66" authorId="4" shapeId="0" xr:uid="{00000000-0006-0000-0000-00001E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확인해볼때는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뒤에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재고번호도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잡혀있어서요</t>
        </r>
        <r>
          <rPr>
            <sz val="9"/>
            <color indexed="81"/>
            <rFont val="Tahoma"/>
            <family val="2"/>
          </rPr>
          <t>!</t>
        </r>
      </text>
    </comment>
    <comment ref="L7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3/15 Mocness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Evergrip [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]
21,285,000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5/25 Mocness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[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] 14,685,000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6/8 CTD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
11,000,000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7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3/17 Mocness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Evergrip [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]
21,285,000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5/27 Mocness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[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] 14,685,000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6/16 CTD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
11,000,000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80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20% 
$52,316*1,246.8
=65,227,588 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80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5,929,780</t>
        </r>
        <r>
          <rPr>
            <sz val="9"/>
            <color indexed="81"/>
            <rFont val="돋움"/>
            <family val="3"/>
            <charset val="129"/>
          </rPr>
          <t>원은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원화입금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외화입금</t>
        </r>
      </text>
    </comment>
    <comment ref="L8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20% 
$13,090*1,246.8
=16,320,612 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81" authorId="2" shapeId="0" xr:uid="{00000000-0006-0000-0000-00002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4/29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1,483,692</t>
        </r>
        <r>
          <rPr>
            <sz val="9"/>
            <color indexed="81"/>
            <rFont val="돋움"/>
            <family val="3"/>
            <charset val="129"/>
          </rPr>
          <t>원은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원화입금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외화입금</t>
        </r>
      </text>
    </comment>
    <comment ref="I84" authorId="4" shapeId="0" xr:uid="{00000000-0006-0000-0000-000025000000}">
      <text>
        <r>
          <rPr>
            <b/>
            <sz val="9"/>
            <color indexed="81"/>
            <rFont val="Tahoma"/>
            <family val="2"/>
          </rPr>
          <t xml:space="preserve">ocean:
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기존금액</t>
        </r>
        <r>
          <rPr>
            <sz val="9"/>
            <color indexed="81"/>
            <rFont val="Tahoma"/>
            <family val="2"/>
          </rPr>
          <t xml:space="preserve"> ; 55,000,000
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; 60,000,000
</t>
        </r>
        <r>
          <rPr>
            <sz val="9"/>
            <color indexed="81"/>
            <rFont val="돋움"/>
            <family val="3"/>
            <charset val="129"/>
          </rPr>
          <t>계약번호</t>
        </r>
        <r>
          <rPr>
            <sz val="9"/>
            <color indexed="81"/>
            <rFont val="Tahoma"/>
            <family val="2"/>
          </rPr>
          <t xml:space="preserve"> 27</t>
        </r>
        <r>
          <rPr>
            <sz val="9"/>
            <color indexed="81"/>
            <rFont val="돋움"/>
            <family val="3"/>
            <charset val="129"/>
          </rPr>
          <t>번의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포함
</t>
        </r>
        <r>
          <rPr>
            <sz val="9"/>
            <color indexed="81"/>
            <rFont val="Tahoma"/>
            <family val="2"/>
          </rPr>
          <t xml:space="preserve">7/18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변경금액</t>
        </r>
        <r>
          <rPr>
            <sz val="9"/>
            <color indexed="81"/>
            <rFont val="Tahoma"/>
            <family val="2"/>
          </rPr>
          <t xml:space="preserve"> ; 66,000,000</t>
        </r>
      </text>
    </comment>
    <comment ref="L84" authorId="6" shapeId="0" xr:uid="{00000000-0006-0000-0000-00002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7/18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\33,000,000
11/21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\33,000,000
=</t>
        </r>
      </text>
    </comment>
    <comment ref="M84" authorId="6" shapeId="0" xr:uid="{00000000-0006-0000-0000-00002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7/18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\33,000,000
11/28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\33,000,000</t>
        </r>
      </text>
    </comment>
    <comment ref="X8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해양환경연구소로부터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하도급받은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원발주처는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한수원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해양환경연구소에서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한수원에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천만원짜리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계약금액을</t>
        </r>
        <r>
          <rPr>
            <sz val="9"/>
            <color indexed="81"/>
            <rFont val="Tahoma"/>
            <family val="2"/>
          </rPr>
          <t xml:space="preserve"> 5,500-&gt;6,000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500</t>
        </r>
        <r>
          <rPr>
            <sz val="9"/>
            <color indexed="81"/>
            <rFont val="돋움"/>
            <family val="3"/>
            <charset val="129"/>
          </rPr>
          <t>만원은</t>
        </r>
        <r>
          <rPr>
            <sz val="9"/>
            <color indexed="81"/>
            <rFont val="Tahoma"/>
            <family val="2"/>
          </rPr>
          <t xml:space="preserve"> #22-27 CTD </t>
        </r>
        <r>
          <rPr>
            <sz val="9"/>
            <color indexed="81"/>
            <rFont val="돋움"/>
            <family val="3"/>
            <charset val="129"/>
          </rPr>
          <t>계약에서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차감시</t>
        </r>
        <r>
          <rPr>
            <sz val="9"/>
            <color indexed="81"/>
            <rFont val="Tahoma"/>
            <family val="2"/>
          </rPr>
          <t xml:space="preserve"> OS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원가금액보다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적어</t>
        </r>
        <r>
          <rPr>
            <sz val="9"/>
            <color indexed="81"/>
            <rFont val="Tahoma"/>
            <family val="2"/>
          </rPr>
          <t xml:space="preserve"> OS</t>
        </r>
        <r>
          <rPr>
            <sz val="9"/>
            <color indexed="81"/>
            <rFont val="돋움"/>
            <family val="3"/>
            <charset val="129"/>
          </rPr>
          <t>측에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요청예정</t>
        </r>
        <r>
          <rPr>
            <sz val="9"/>
            <color indexed="81"/>
            <rFont val="Tahoma"/>
            <family val="2"/>
          </rPr>
          <t xml:space="preserve">(22.05.03 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>)</t>
        </r>
      </text>
    </comment>
    <comment ref="L86" authorId="2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\179,704,800
6/28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\44,926,200</t>
        </r>
      </text>
    </comment>
    <comment ref="M86" authorId="2" shapeId="0" xr:uid="{00000000-0006-0000-0000-00002A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\179,704,800
6/28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\44,926,200</t>
        </r>
      </text>
    </comment>
    <comment ref="A89" authorId="7" shapeId="0" xr:uid="{00000000-0006-0000-0000-00002B000000}">
      <text>
        <r>
          <rPr>
            <b/>
            <sz val="9"/>
            <color indexed="81"/>
            <rFont val="Tahoma"/>
            <family val="2"/>
          </rPr>
          <t>Chloe:</t>
        </r>
        <r>
          <rPr>
            <sz val="9"/>
            <color indexed="81"/>
            <rFont val="Tahoma"/>
            <family val="2"/>
          </rPr>
          <t xml:space="preserve">
UST21 - LRI Wave glider 3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1,589,445,000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계약일</t>
        </r>
        <r>
          <rPr>
            <sz val="9"/>
            <color indexed="81"/>
            <rFont val="Tahoma"/>
            <family val="2"/>
          </rPr>
          <t xml:space="preserve"> ; 2/16
</t>
        </r>
        <r>
          <rPr>
            <sz val="9"/>
            <color indexed="81"/>
            <rFont val="돋움"/>
            <family val="3"/>
            <charset val="129"/>
          </rPr>
          <t>청구일</t>
        </r>
        <r>
          <rPr>
            <sz val="9"/>
            <color indexed="81"/>
            <rFont val="Tahoma"/>
            <family val="2"/>
          </rPr>
          <t xml:space="preserve"> ; 3/18
</t>
        </r>
        <r>
          <rPr>
            <sz val="9"/>
            <color indexed="81"/>
            <rFont val="돋움"/>
            <family val="3"/>
            <charset val="129"/>
          </rPr>
          <t>입금일</t>
        </r>
        <r>
          <rPr>
            <sz val="9"/>
            <color indexed="81"/>
            <rFont val="Tahoma"/>
            <family val="2"/>
          </rPr>
          <t xml:space="preserve"> ; 
3/18 10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3/19 4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3/21 189,445,000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취소되어서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9" authorId="6" shapeId="0" xr:uid="{00000000-0006-0000-0000-00002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1. 12/9 RBR Sensor 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기술지원
</t>
        </r>
        <r>
          <rPr>
            <sz val="9"/>
            <color indexed="81"/>
            <rFont val="Tahoma"/>
            <family val="2"/>
          </rPr>
          <t xml:space="preserve">\33,000,000
2. 12/12 
Datawell </t>
        </r>
        <r>
          <rPr>
            <sz val="9"/>
            <color indexed="81"/>
            <rFont val="돋움"/>
            <family val="3"/>
            <charset val="129"/>
          </rPr>
          <t>부이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기술지원
</t>
        </r>
        <r>
          <rPr>
            <sz val="9"/>
            <color indexed="81"/>
            <rFont val="Tahoma"/>
            <family val="2"/>
          </rPr>
          <t xml:space="preserve">\18,700,000
3. 12/23 HF Radar </t>
        </r>
        <r>
          <rPr>
            <sz val="9"/>
            <color indexed="81"/>
            <rFont val="돋움"/>
            <family val="3"/>
            <charset val="129"/>
          </rPr>
          <t xml:space="preserve">기술지원
</t>
        </r>
        <r>
          <rPr>
            <sz val="9"/>
            <color indexed="81"/>
            <rFont val="Tahoma"/>
            <family val="2"/>
          </rPr>
          <t>\15,400,000</t>
        </r>
      </text>
    </comment>
    <comment ref="M89" authorId="6" shapeId="0" xr:uid="{00000000-0006-0000-0000-00002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M95" authorId="2" shapeId="0" xr:uid="{00000000-0006-0000-0000-00002E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 xml:space="preserve">선입금
</t>
        </r>
        <r>
          <rPr>
            <sz val="9"/>
            <color indexed="81"/>
            <rFont val="Tahoma"/>
            <family val="2"/>
          </rPr>
          <t>\7,350,000</t>
        </r>
      </text>
    </comment>
    <comment ref="I98" authorId="1" shapeId="0" xr:uid="{00000000-0006-0000-0000-00002F000000}">
      <text>
        <r>
          <rPr>
            <b/>
            <sz val="10"/>
            <color indexed="81"/>
            <rFont val="돋움"/>
            <family val="3"/>
            <charset val="129"/>
          </rPr>
          <t>오션테크</t>
        </r>
        <r>
          <rPr>
            <b/>
            <sz val="10"/>
            <color indexed="81"/>
            <rFont val="Tahoma"/>
            <family val="2"/>
          </rPr>
          <t xml:space="preserve"> 73.7%
</t>
        </r>
        <r>
          <rPr>
            <b/>
            <sz val="10"/>
            <color indexed="81"/>
            <rFont val="돋움"/>
            <family val="3"/>
            <charset val="129"/>
          </rPr>
          <t>한국종합기술</t>
        </r>
        <r>
          <rPr>
            <b/>
            <sz val="10"/>
            <color indexed="81"/>
            <rFont val="Tahoma"/>
            <family val="2"/>
          </rPr>
          <t xml:space="preserve">26.3%
</t>
        </r>
      </text>
    </comment>
    <comment ref="L98" authorId="2" shapeId="0" xr:uid="{00000000-0006-0000-0000-000030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\843,159,900
12/15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\360,251,290</t>
        </r>
      </text>
    </comment>
    <comment ref="M98" authorId="2" shapeId="0" xr:uid="{00000000-0006-0000-0000-00003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3/30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\843,159,900
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\360,251,290</t>
        </r>
      </text>
    </comment>
    <comment ref="I102" authorId="1" shapeId="0" xr:uid="{00000000-0006-0000-0000-000032000000}">
      <text>
        <r>
          <rPr>
            <b/>
            <sz val="10"/>
            <color indexed="81"/>
            <rFont val="Tahoma"/>
            <family val="2"/>
          </rPr>
          <t xml:space="preserve">- </t>
        </r>
        <r>
          <rPr>
            <b/>
            <sz val="10"/>
            <color indexed="81"/>
            <rFont val="돋움"/>
            <family val="3"/>
            <charset val="129"/>
          </rPr>
          <t>마린리서치</t>
        </r>
        <r>
          <rPr>
            <b/>
            <sz val="10"/>
            <color indexed="81"/>
            <rFont val="Tahoma"/>
            <family val="2"/>
          </rPr>
          <t xml:space="preserve"> 54%
- </t>
        </r>
        <r>
          <rPr>
            <b/>
            <sz val="10"/>
            <color indexed="81"/>
            <rFont val="돋움"/>
            <family val="3"/>
            <charset val="129"/>
          </rPr>
          <t>오션테크</t>
        </r>
        <r>
          <rPr>
            <b/>
            <sz val="10"/>
            <color indexed="81"/>
            <rFont val="Tahoma"/>
            <family val="2"/>
          </rPr>
          <t xml:space="preserve"> 46%
</t>
        </r>
        <r>
          <rPr>
            <b/>
            <sz val="10"/>
            <color indexed="81"/>
            <rFont val="돋움"/>
            <family val="3"/>
            <charset val="129"/>
          </rPr>
          <t>오션테크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계약금액</t>
        </r>
        <r>
          <rPr>
            <b/>
            <sz val="10"/>
            <color indexed="81"/>
            <rFont val="Tahoma"/>
            <family val="2"/>
          </rPr>
          <t xml:space="preserve"> : 719,440,000</t>
        </r>
        <r>
          <rPr>
            <b/>
            <sz val="10"/>
            <color indexed="81"/>
            <rFont val="돋움"/>
            <family val="3"/>
            <charset val="129"/>
          </rPr>
          <t xml:space="preserve">원
</t>
        </r>
      </text>
    </comment>
    <comment ref="K102" authorId="3" shapeId="0" xr:uid="{00000000-0006-0000-0000-000033000000}">
      <text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11/30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연장됨
</t>
        </r>
      </text>
    </comment>
    <comment ref="L102" authorId="2" shapeId="0" xr:uid="{00000000-0006-0000-0000-00003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\575,552,000
12/27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\143,888,000</t>
        </r>
      </text>
    </comment>
    <comment ref="M102" authorId="2" shapeId="0" xr:uid="{00000000-0006-0000-0000-000035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\575,552,000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\143,888,000</t>
        </r>
      </text>
    </comment>
    <comment ref="L103" authorId="2" shapeId="0" xr:uid="{00000000-0006-0000-0000-000036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\28,325,000
6/2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\28,325,000</t>
        </r>
      </text>
    </comment>
    <comment ref="M103" authorId="2" shapeId="0" xr:uid="{00000000-0006-0000-0000-000037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4/5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\28,325,000
6/9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\28,325,000</t>
        </r>
      </text>
    </comment>
    <comment ref="L10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물품은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월중순</t>
        </r>
        <r>
          <rPr>
            <sz val="9"/>
            <color indexed="81"/>
            <rFont val="Tahoma"/>
            <family val="2"/>
          </rPr>
          <t>~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납품될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 xml:space="preserve">KIOST </t>
        </r>
        <r>
          <rPr>
            <sz val="9"/>
            <color indexed="81"/>
            <rFont val="돋움"/>
            <family val="3"/>
            <charset val="129"/>
          </rPr>
          <t>계정마감때문에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선납품처리</t>
        </r>
      </text>
    </comment>
    <comment ref="I111" authorId="5" shapeId="0" xr:uid="{00000000-0006-0000-0000-000039000000}">
      <text>
        <r>
          <rPr>
            <sz val="9"/>
            <color indexed="81"/>
            <rFont val="돋움"/>
            <family val="3"/>
            <charset val="129"/>
          </rPr>
          <t>원금액</t>
        </r>
        <r>
          <rPr>
            <sz val="9"/>
            <color indexed="81"/>
            <rFont val="Tahoma"/>
            <family val="2"/>
          </rPr>
          <t xml:space="preserve"> 78,397,000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78,107,850</t>
        </r>
        <r>
          <rPr>
            <sz val="9"/>
            <color indexed="81"/>
            <rFont val="돋움"/>
            <family val="3"/>
            <charset val="129"/>
          </rPr>
          <t>원
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L111" authorId="2" shapeId="0" xr:uid="{00000000-0006-0000-0000-00003A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5/18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\62,717,600
12/26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\15,390,250</t>
        </r>
      </text>
    </comment>
    <comment ref="M111" authorId="2" shapeId="0" xr:uid="{00000000-0006-0000-0000-00003B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5/19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\62,717,600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E123" authorId="4" shapeId="0" xr:uid="{00000000-0006-0000-0000-00003C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실제물품
</t>
        </r>
        <r>
          <rPr>
            <sz val="9"/>
            <color indexed="81"/>
            <rFont val="Tahoma"/>
            <family val="2"/>
          </rPr>
          <t xml:space="preserve">RBRduo T.D wifi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검교정
수과원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계약처리</t>
        </r>
      </text>
    </comment>
    <comment ref="L12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I134" authorId="8" shapeId="0" xr:uid="{00000000-0006-0000-0000-00003E000000}">
      <text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총액</t>
        </r>
        <r>
          <rPr>
            <b/>
            <sz val="9"/>
            <color indexed="81"/>
            <rFont val="Tahoma"/>
            <family val="2"/>
          </rPr>
          <t xml:space="preserve"> 134,900,000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웰비안</t>
        </r>
        <r>
          <rPr>
            <b/>
            <sz val="9"/>
            <color indexed="81"/>
            <rFont val="Tahoma"/>
            <family val="2"/>
          </rPr>
          <t xml:space="preserve"> (56%) : 75,544,000 </t>
        </r>
        <r>
          <rPr>
            <b/>
            <sz val="9"/>
            <color indexed="81"/>
            <rFont val="돋움"/>
            <family val="3"/>
            <charset val="129"/>
          </rPr>
          <t>원
오션테크</t>
        </r>
        <r>
          <rPr>
            <b/>
            <sz val="9"/>
            <color indexed="81"/>
            <rFont val="Tahoma"/>
            <family val="2"/>
          </rPr>
          <t xml:space="preserve"> (44%) : 59,356,000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L134" authorId="2" shapeId="0" xr:uid="{00000000-0006-0000-0000-00003F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취소발급
분리후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재발급예정</t>
        </r>
      </text>
    </comment>
    <comment ref="M134" authorId="6" shapeId="0" xr:uid="{00000000-0006-0000-0000-00004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충족못하여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\578,720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차감하여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11/25 33,239,360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11/28 </t>
        </r>
        <r>
          <rPr>
            <sz val="9"/>
            <color indexed="81"/>
            <rFont val="돋움"/>
            <family val="3"/>
            <charset val="129"/>
          </rPr>
          <t>지체상금</t>
        </r>
        <r>
          <rPr>
            <sz val="9"/>
            <color indexed="81"/>
            <rFont val="Tahoma"/>
            <family val="2"/>
          </rPr>
          <t xml:space="preserve"> 254,640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25,862,000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I150" authorId="1" shapeId="0" xr:uid="{00000000-0006-0000-0000-000041000000}">
      <text>
        <r>
          <rPr>
            <b/>
            <sz val="10"/>
            <color indexed="81"/>
            <rFont val="돋움"/>
            <family val="3"/>
            <charset val="129"/>
          </rPr>
          <t>전체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계약금액</t>
        </r>
        <r>
          <rPr>
            <b/>
            <sz val="10"/>
            <color indexed="81"/>
            <rFont val="Tahoma"/>
            <family val="2"/>
          </rPr>
          <t xml:space="preserve"> 1,377,800,000 </t>
        </r>
        <r>
          <rPr>
            <b/>
            <sz val="10"/>
            <color indexed="81"/>
            <rFont val="돋움"/>
            <family val="3"/>
            <charset val="129"/>
          </rPr>
          <t>원
오션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계약금액</t>
        </r>
        <r>
          <rPr>
            <b/>
            <sz val="10"/>
            <color indexed="81"/>
            <rFont val="Tahoma"/>
            <family val="2"/>
          </rPr>
          <t xml:space="preserve"> 275,560,000 </t>
        </r>
        <r>
          <rPr>
            <b/>
            <sz val="10"/>
            <color indexed="81"/>
            <rFont val="돋움"/>
            <family val="3"/>
            <charset val="129"/>
          </rPr>
          <t>원
지분율
유에스티</t>
        </r>
        <r>
          <rPr>
            <b/>
            <sz val="10"/>
            <color indexed="81"/>
            <rFont val="Tahoma"/>
            <family val="2"/>
          </rPr>
          <t xml:space="preserve">21  41.8 %
</t>
        </r>
        <r>
          <rPr>
            <b/>
            <sz val="10"/>
            <color indexed="81"/>
            <rFont val="돋움"/>
            <family val="3"/>
            <charset val="129"/>
          </rPr>
          <t>씨웨이</t>
        </r>
        <r>
          <rPr>
            <b/>
            <sz val="10"/>
            <color indexed="81"/>
            <rFont val="Tahoma"/>
            <family val="2"/>
          </rPr>
          <t xml:space="preserve">7 10 %
</t>
        </r>
        <r>
          <rPr>
            <b/>
            <sz val="10"/>
            <color indexed="81"/>
            <rFont val="돋움"/>
            <family val="3"/>
            <charset val="129"/>
          </rPr>
          <t>오션테크</t>
        </r>
        <r>
          <rPr>
            <b/>
            <sz val="10"/>
            <color indexed="81"/>
            <rFont val="Tahoma"/>
            <family val="2"/>
          </rPr>
          <t xml:space="preserve"> 20 %
</t>
        </r>
        <r>
          <rPr>
            <b/>
            <sz val="10"/>
            <color indexed="81"/>
            <rFont val="돋움"/>
            <family val="3"/>
            <charset val="129"/>
          </rPr>
          <t>전략해양</t>
        </r>
        <r>
          <rPr>
            <b/>
            <sz val="10"/>
            <color indexed="81"/>
            <rFont val="Tahoma"/>
            <family val="2"/>
          </rPr>
          <t xml:space="preserve"> 28.2 %
</t>
        </r>
      </text>
    </comment>
    <comment ref="L15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\220,448,000</t>
        </r>
      </text>
    </comment>
    <comment ref="M15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\220,448,000
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\55,112,000</t>
        </r>
      </text>
    </comment>
    <comment ref="L154" authorId="6" shapeId="0" xr:uid="{00000000-0006-0000-0000-00004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A156" authorId="6" shapeId="0" xr:uid="{00000000-0006-0000-0000-00004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#207</t>
        </r>
        <r>
          <rPr>
            <sz val="9"/>
            <color indexed="81"/>
            <rFont val="돋움"/>
            <family val="3"/>
            <charset val="129"/>
          </rPr>
          <t xml:space="preserve">번과합침
</t>
        </r>
        <r>
          <rPr>
            <sz val="9"/>
            <color indexed="81"/>
            <rFont val="Tahoma"/>
            <family val="2"/>
          </rPr>
          <t>-&gt;#282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</t>
        </r>
      </text>
    </comment>
    <comment ref="I158" authorId="5" shapeId="0" xr:uid="{00000000-0006-0000-0000-000046000000}">
      <text>
        <r>
          <rPr>
            <b/>
            <sz val="9"/>
            <color indexed="81"/>
            <rFont val="돋움"/>
            <family val="3"/>
            <charset val="129"/>
          </rPr>
          <t>계약금액</t>
        </r>
        <r>
          <rPr>
            <b/>
            <sz val="9"/>
            <color indexed="81"/>
            <rFont val="Tahoma"/>
            <family val="2"/>
          </rPr>
          <t xml:space="preserve"> : 15,510,000
</t>
        </r>
        <r>
          <rPr>
            <b/>
            <sz val="9"/>
            <color indexed="81"/>
            <rFont val="돋움"/>
            <family val="3"/>
            <charset val="129"/>
          </rPr>
          <t>준공금액</t>
        </r>
        <r>
          <rPr>
            <b/>
            <sz val="9"/>
            <color indexed="81"/>
            <rFont val="Tahoma"/>
            <family val="2"/>
          </rPr>
          <t xml:space="preserve"> : 15,180,000
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연금보험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못한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항목으로
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강찬영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X159" authorId="4" shapeId="0" xr:uid="{00000000-0006-0000-0000-000047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한국수산학회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전남대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이경훈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교수님께서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수산학회에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전시부스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광고지면으로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.
300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돌려주시는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구매처럼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L160" authorId="6" shapeId="0" xr:uid="{00000000-0006-0000-0000-00004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6/22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\5,500,000
(Water sampler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>)
\220,000
(Reference Sensor Storage Solution)</t>
        </r>
      </text>
    </comment>
    <comment ref="M160" authorId="6" shapeId="0" xr:uid="{00000000-0006-0000-0000-00004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6/24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\5,500,000
(Water Sampler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>)</t>
        </r>
      </text>
    </comment>
    <comment ref="L161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천만원
보험사분</t>
        </r>
        <r>
          <rPr>
            <sz val="9"/>
            <color indexed="81"/>
            <rFont val="Tahoma"/>
            <family val="2"/>
          </rPr>
          <t xml:space="preserve"> 67,009,812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X164" authorId="6" shapeId="0" xr:uid="{00000000-0006-0000-0000-00004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아님
</t>
        </r>
        <r>
          <rPr>
            <sz val="9"/>
            <color indexed="81"/>
            <rFont val="Tahoma"/>
            <family val="2"/>
          </rPr>
          <t xml:space="preserve">OS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</text>
    </comment>
    <comment ref="A165" authorId="5" shapeId="0" xr:uid="{00000000-0006-0000-0000-00004C000000}">
      <text>
        <r>
          <rPr>
            <b/>
            <sz val="9"/>
            <color indexed="81"/>
            <rFont val="Tahoma"/>
            <family val="2"/>
          </rPr>
          <t xml:space="preserve">#22-203, </t>
        </r>
        <r>
          <rPr>
            <b/>
            <sz val="9"/>
            <color indexed="81"/>
            <rFont val="돋움"/>
            <family val="3"/>
            <charset val="129"/>
          </rPr>
          <t>부품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나뉘어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L166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168" authorId="2" shapeId="0" xr:uid="{00000000-0006-0000-0000-00004E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6/30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\13,200,000
23/01/04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\30,800,000</t>
        </r>
      </text>
    </comment>
    <comment ref="M168" authorId="2" shapeId="0" xr:uid="{00000000-0006-0000-0000-00004F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6/30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\30,800,000</t>
        </r>
      </text>
    </comment>
    <comment ref="L178" authorId="6" shapeId="0" xr:uid="{00000000-0006-0000-0000-00005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9/7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\9,350,000</t>
        </r>
      </text>
    </comment>
    <comment ref="M178" authorId="6" shapeId="0" xr:uid="{00000000-0006-0000-0000-00005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9/8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\9,350,000</t>
        </r>
      </text>
    </comment>
    <comment ref="X180" authorId="4" shapeId="0" xr:uid="{00000000-0006-0000-0000-000052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</text>
    </comment>
    <comment ref="L184" authorId="2" shapeId="0" xr:uid="{00000000-0006-0000-0000-000053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5/26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\4,352,030
7/13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\4,352,030</t>
        </r>
      </text>
    </comment>
    <comment ref="M184" authorId="2" shapeId="0" xr:uid="{00000000-0006-0000-0000-00005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5/30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\4,352,030
7/15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\4,352,030</t>
        </r>
      </text>
    </comment>
    <comment ref="K192" authorId="3" shapeId="0" xr:uid="{00000000-0006-0000-0000-000055000000}">
      <text>
        <r>
          <rPr>
            <b/>
            <sz val="9"/>
            <color indexed="81"/>
            <rFont val="Tahoma"/>
            <family val="2"/>
          </rPr>
          <t xml:space="preserve">11/30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연장됨</t>
        </r>
      </text>
    </comment>
    <comment ref="L192" authorId="9" shapeId="0" xr:uid="{00000000-0006-0000-0000-000056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10/18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\34,650,000 </t>
        </r>
      </text>
    </comment>
    <comment ref="M192" authorId="9" shapeId="0" xr:uid="{00000000-0006-0000-0000-000057000000}">
      <text>
        <r>
          <rPr>
            <b/>
            <sz val="9"/>
            <color indexed="81"/>
            <rFont val="Tahoma"/>
            <family val="2"/>
          </rPr>
          <t>1512.D011:</t>
        </r>
        <r>
          <rPr>
            <sz val="9"/>
            <color indexed="81"/>
            <rFont val="Tahoma"/>
            <family val="2"/>
          </rPr>
          <t xml:space="preserve">
10/20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\34,650,000 </t>
        </r>
      </text>
    </comment>
    <comment ref="I201" authorId="4" shapeId="0" xr:uid="{00000000-0006-0000-0000-000058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음향동기장치가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제외되어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계약금액이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581,900,000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561,880,000(8/30)</t>
        </r>
      </text>
    </comment>
    <comment ref="L201" authorId="10" shapeId="0" xr:uid="{00000000-0006-0000-0000-000059000000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8/30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168,564,000</t>
        </r>
      </text>
    </comment>
    <comment ref="M201" authorId="10" shapeId="0" xr:uid="{00000000-0006-0000-0000-00005A000000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9/7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168,564,000</t>
        </r>
      </text>
    </comment>
    <comment ref="I204" authorId="5" shapeId="0" xr:uid="{00000000-0006-0000-0000-00005B000000}">
      <text>
        <r>
          <rPr>
            <sz val="9"/>
            <color indexed="81"/>
            <rFont val="돋움"/>
            <family val="3"/>
            <charset val="129"/>
          </rPr>
          <t>원금액</t>
        </r>
        <r>
          <rPr>
            <sz val="9"/>
            <color indexed="81"/>
            <rFont val="Tahoma"/>
            <family val="2"/>
          </rPr>
          <t xml:space="preserve"> 88,198,000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-&gt; </t>
        </r>
        <r>
          <rPr>
            <sz val="9"/>
            <color indexed="81"/>
            <rFont val="돋움"/>
            <family val="3"/>
            <charset val="129"/>
          </rPr>
          <t>변경금액</t>
        </r>
        <r>
          <rPr>
            <sz val="9"/>
            <color indexed="81"/>
            <rFont val="Tahoma"/>
            <family val="2"/>
          </rPr>
          <t xml:space="preserve"> 87,560,290</t>
        </r>
        <r>
          <rPr>
            <sz val="9"/>
            <color indexed="81"/>
            <rFont val="돋움"/>
            <family val="3"/>
            <charset val="129"/>
          </rPr>
          <t>원
연구과제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L204" authorId="6" shapeId="0" xr:uid="{00000000-0006-0000-0000-00005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\70,558,400
12/21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\17,001,890</t>
        </r>
      </text>
    </comment>
    <comment ref="M204" authorId="6" shapeId="0" xr:uid="{00000000-0006-0000-0000-00005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\70,558,400</t>
        </r>
      </text>
    </comment>
    <comment ref="I209" authorId="4" shapeId="0" xr:uid="{00000000-0006-0000-0000-00005E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330,000,000
2022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132,000,000
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: 198,000,000
</t>
        </r>
      </text>
    </comment>
    <comment ref="L209" authorId="2" shapeId="0" xr:uid="{00000000-0006-0000-0000-00005F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9/20 
T50-S Optional parts
\55,000,000
T50-S </t>
        </r>
        <r>
          <rPr>
            <sz val="9"/>
            <color indexed="81"/>
            <rFont val="돋움"/>
            <family val="3"/>
            <charset val="129"/>
          </rPr>
          <t>송수신기</t>
        </r>
        <r>
          <rPr>
            <sz val="9"/>
            <color indexed="81"/>
            <rFont val="Tahoma"/>
            <family val="2"/>
          </rPr>
          <t xml:space="preserve">(Project&amp;Receiver)
\77,000,000 </t>
        </r>
        <r>
          <rPr>
            <sz val="9"/>
            <color indexed="81"/>
            <rFont val="돋움"/>
            <family val="3"/>
            <charset val="129"/>
          </rPr>
          <t>발급
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물품은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>)</t>
        </r>
      </text>
    </comment>
    <comment ref="M209" authorId="2" shapeId="0" xr:uid="{00000000-0006-0000-0000-000060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9/27  
T50-S Optional parts
\55,000,000
T50-S </t>
        </r>
        <r>
          <rPr>
            <sz val="9"/>
            <color indexed="81"/>
            <rFont val="돋움"/>
            <family val="3"/>
            <charset val="129"/>
          </rPr>
          <t>송수신기</t>
        </r>
        <r>
          <rPr>
            <sz val="9"/>
            <color indexed="81"/>
            <rFont val="Tahoma"/>
            <family val="2"/>
          </rPr>
          <t xml:space="preserve">(Project&amp;Receiver)
\77,000,000 </t>
        </r>
        <r>
          <rPr>
            <sz val="9"/>
            <color indexed="81"/>
            <rFont val="돋움"/>
            <family val="3"/>
            <charset val="129"/>
          </rPr>
          <t>입금
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물품은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>)</t>
        </r>
      </text>
    </comment>
    <comment ref="A210" authorId="6" shapeId="0" xr:uid="{00000000-0006-0000-0000-00006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#153</t>
        </r>
        <r>
          <rPr>
            <sz val="9"/>
            <color indexed="81"/>
            <rFont val="돋움"/>
            <family val="3"/>
            <charset val="129"/>
          </rPr>
          <t xml:space="preserve">번과합침
</t>
        </r>
        <r>
          <rPr>
            <sz val="9"/>
            <color indexed="81"/>
            <rFont val="Tahoma"/>
            <family val="2"/>
          </rPr>
          <t>-&gt;#282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</t>
        </r>
      </text>
    </comment>
    <comment ref="I213" authorId="5" shapeId="0" xr:uid="{00000000-0006-0000-0000-000062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>* 221028
2021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KIOST </t>
        </r>
        <r>
          <rPr>
            <b/>
            <sz val="9"/>
            <color indexed="81"/>
            <rFont val="돋움"/>
            <family val="3"/>
            <charset val="129"/>
          </rPr>
          <t>외자</t>
        </r>
        <r>
          <rPr>
            <b/>
            <sz val="9"/>
            <color indexed="81"/>
            <rFont val="Tahoma"/>
            <family val="2"/>
          </rPr>
          <t xml:space="preserve"> #21-158 </t>
        </r>
        <r>
          <rPr>
            <b/>
            <sz val="9"/>
            <color indexed="81"/>
            <rFont val="돋움"/>
            <family val="3"/>
            <charset val="129"/>
          </rPr>
          <t>커미션</t>
        </r>
        <r>
          <rPr>
            <b/>
            <sz val="9"/>
            <color indexed="81"/>
            <rFont val="Tahoma"/>
            <family val="2"/>
          </rPr>
          <t xml:space="preserve"> 50% </t>
        </r>
        <r>
          <rPr>
            <b/>
            <sz val="9"/>
            <color indexed="81"/>
            <rFont val="돋움"/>
            <family val="3"/>
            <charset val="129"/>
          </rPr>
          <t>지급으로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(8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4" authorId="4" shapeId="0" xr:uid="{00000000-0006-0000-0000-000063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12/15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</text>
    </comment>
    <comment ref="K215" authorId="4" shapeId="0" xr:uid="{00000000-0006-0000-0000-000064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12/15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</t>
        </r>
      </text>
    </comment>
    <comment ref="E221" authorId="4" shapeId="0" xr:uid="{00000000-0006-0000-0000-000065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계약은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식인데</t>
        </r>
        <r>
          <rPr>
            <sz val="9"/>
            <color indexed="81"/>
            <rFont val="Tahoma"/>
            <family val="2"/>
          </rPr>
          <t xml:space="preserve"> ,
10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.
20</t>
        </r>
        <r>
          <rPr>
            <sz val="9"/>
            <color indexed="81"/>
            <rFont val="돋움"/>
            <family val="3"/>
            <charset val="129"/>
          </rPr>
          <t>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부경대에서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E222" authorId="6" shapeId="0" xr:uid="{00000000-0006-0000-0000-00006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물건납품이나
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청구불가라
해양관측부이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222" authorId="6" shapeId="0" xr:uid="{00000000-0006-0000-0000-00006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\10,560,000</t>
        </r>
      </text>
    </comment>
    <comment ref="M222" authorId="6" shapeId="0" xr:uid="{00000000-0006-0000-0000-00006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\10,560,000</t>
        </r>
      </text>
    </comment>
    <comment ref="I225" authorId="6" shapeId="0" xr:uid="{00000000-0006-0000-0000-00006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1,485,000-&gt; 990,000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임대기간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변경됨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I229" authorId="5" shapeId="0" xr:uid="{00000000-0006-0000-0000-00006A000000}">
      <text>
        <r>
          <rPr>
            <b/>
            <sz val="9"/>
            <color indexed="81"/>
            <rFont val="돋움"/>
            <family val="3"/>
            <charset val="129"/>
          </rPr>
          <t>음향레코더</t>
        </r>
        <r>
          <rPr>
            <b/>
            <sz val="9"/>
            <color indexed="81"/>
            <rFont val="Tahoma"/>
            <family val="2"/>
          </rPr>
          <t xml:space="preserve"> (4500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>부가세별도</t>
        </r>
        <r>
          <rPr>
            <b/>
            <sz val="9"/>
            <color indexed="81"/>
            <rFont val="Tahoma"/>
            <family val="2"/>
          </rPr>
          <t xml:space="preserve">) :  </t>
        </r>
        <r>
          <rPr>
            <b/>
            <sz val="9"/>
            <color indexed="81"/>
            <rFont val="돋움"/>
            <family val="3"/>
            <charset val="129"/>
          </rPr>
          <t>결재조건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, 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3600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9" authorId="6" shapeId="0" xr:uid="{00000000-0006-0000-0000-00006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990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11/10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3,960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229" authorId="6" shapeId="0" xr:uid="{00000000-0006-0000-0000-00006C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990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3,960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I246" authorId="4" shapeId="0" xr:uid="{00000000-0006-0000-0000-00006D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15,400,000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30,800,000</t>
        </r>
      </text>
    </comment>
    <comment ref="L246" authorId="2" shapeId="0" xr:uid="{00000000-0006-0000-0000-00006E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15,400,000</t>
        </r>
        <r>
          <rPr>
            <sz val="9"/>
            <color indexed="81"/>
            <rFont val="돋움"/>
            <family val="3"/>
            <charset val="129"/>
          </rPr>
          <t>원씩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X252" authorId="4" shapeId="0" xr:uid="{00000000-0006-0000-0000-00006F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당시</t>
        </r>
        <r>
          <rPr>
            <sz val="9"/>
            <color indexed="81"/>
            <rFont val="Tahoma"/>
            <family val="2"/>
          </rPr>
          <t xml:space="preserve"> #66426 (Turnaround Kit)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납품했습니다</t>
        </r>
        <r>
          <rPr>
            <sz val="9"/>
            <color indexed="81"/>
            <rFont val="Tahoma"/>
            <family val="2"/>
          </rPr>
          <t xml:space="preserve">.
11/8 - </t>
        </r>
        <r>
          <rPr>
            <sz val="9"/>
            <color indexed="81"/>
            <rFont val="돋움"/>
            <family val="3"/>
            <charset val="129"/>
          </rPr>
          <t>제조사에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입고되어</t>
        </r>
        <r>
          <rPr>
            <sz val="9"/>
            <color indexed="81"/>
            <rFont val="Tahoma"/>
            <family val="2"/>
          </rPr>
          <t xml:space="preserve">, #66426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넣어두었습니다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#E00077_1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  <r>
          <rPr>
            <sz val="9"/>
            <color indexed="81"/>
            <rFont val="Tahoma"/>
            <family val="2"/>
          </rPr>
          <t xml:space="preserve">., </t>
        </r>
      </text>
    </comment>
    <comment ref="L256" authorId="2" shapeId="0" xr:uid="{00000000-0006-0000-0000-000070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취소하고</t>
        </r>
        <r>
          <rPr>
            <sz val="9"/>
            <color indexed="81"/>
            <rFont val="Tahoma"/>
            <family val="2"/>
          </rPr>
          <t xml:space="preserve"> #22-294, #22-295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L267" authorId="6" shapeId="0" xr:uid="{00000000-0006-0000-0000-00007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11/8
R500 6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IR7300 5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R500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11/28 </t>
        </r>
        <r>
          <rPr>
            <sz val="9"/>
            <color indexed="81"/>
            <rFont val="돋움"/>
            <family val="3"/>
            <charset val="129"/>
          </rPr>
          <t>선금청구건은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
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발급예정
</t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1/4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R500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R2K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UTS-9425E-L6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M267" authorId="6" shapeId="0" xr:uid="{00000000-0006-0000-0000-00007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11/30 R5006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IR7300 5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\94,600,000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1/30 R500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R2K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UTS-9425E-L6 1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\88,000,000</t>
        </r>
      </text>
    </comment>
    <comment ref="I268" authorId="5" shapeId="0" xr:uid="{00000000-0006-0000-0000-000073000000}">
      <text>
        <r>
          <rPr>
            <sz val="9"/>
            <color indexed="81"/>
            <rFont val="돋움"/>
            <family val="3"/>
            <charset val="129"/>
          </rPr>
          <t>계약취소
금년안에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5" authorId="6" shapeId="0" xr:uid="{00000000-0006-0000-0000-00007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10/25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M275" authorId="6" shapeId="0" xr:uid="{00000000-0006-0000-0000-00007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280" authorId="6" shapeId="0" xr:uid="{00000000-0006-0000-0000-00007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태풍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힌남노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WG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세광에서</t>
        </r>
        <r>
          <rPr>
            <sz val="9"/>
            <color indexed="81"/>
            <rFont val="Tahoma"/>
            <family val="2"/>
          </rPr>
          <t xml:space="preserve"> WG </t>
        </r>
        <r>
          <rPr>
            <sz val="9"/>
            <color indexed="81"/>
            <rFont val="돋움"/>
            <family val="3"/>
            <charset val="129"/>
          </rPr>
          <t>회수요청을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바람에</t>
        </r>
        <r>
          <rPr>
            <sz val="9"/>
            <color indexed="81"/>
            <rFont val="Tahoma"/>
            <family val="2"/>
          </rPr>
          <t>) 
-&gt;</t>
        </r>
        <r>
          <rPr>
            <sz val="9"/>
            <color indexed="81"/>
            <rFont val="돋움"/>
            <family val="3"/>
            <charset val="129"/>
          </rPr>
          <t>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입장에서는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>(5~6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더해서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감안해서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협의중</t>
        </r>
        <r>
          <rPr>
            <sz val="9"/>
            <color indexed="81"/>
            <rFont val="Tahoma"/>
            <family val="2"/>
          </rPr>
          <t xml:space="preserve">(22.11.30 </t>
        </r>
        <r>
          <rPr>
            <sz val="9"/>
            <color indexed="81"/>
            <rFont val="돋움"/>
            <family val="3"/>
            <charset val="129"/>
          </rPr>
          <t>하선종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
-&gt;30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수행이나</t>
        </r>
        <r>
          <rPr>
            <sz val="9"/>
            <color indexed="81"/>
            <rFont val="Tahoma"/>
            <family val="2"/>
          </rPr>
          <t xml:space="preserve"> 20</t>
        </r>
        <r>
          <rPr>
            <sz val="9"/>
            <color indexed="81"/>
            <rFont val="돋움"/>
            <family val="3"/>
            <charset val="129"/>
          </rPr>
          <t>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수행함</t>
        </r>
        <r>
          <rPr>
            <sz val="9"/>
            <color indexed="81"/>
            <rFont val="Tahoma"/>
            <family val="2"/>
          </rPr>
          <t xml:space="preserve">. WG  </t>
        </r>
        <r>
          <rPr>
            <sz val="9"/>
            <color indexed="81"/>
            <rFont val="돋움"/>
            <family val="3"/>
            <charset val="129"/>
          </rPr>
          <t>수리비등과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50,160,000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(vat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L287" authorId="6" shapeId="0" xr:uid="{00000000-0006-0000-0000-00007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\8,800,000
11/10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\8,800,000</t>
        </r>
      </text>
    </comment>
    <comment ref="M287" authorId="6" shapeId="0" xr:uid="{00000000-0006-0000-0000-00007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\8,800,000
12/14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\8,800,000</t>
        </r>
      </text>
    </comment>
    <comment ref="M295" authorId="2" shapeId="0" xr:uid="{00000000-0006-0000-0000-000079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8/5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\126,975,201
8/11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X300" authorId="6" shapeId="0" xr:uid="{00000000-0006-0000-0000-00007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OT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OS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수행했으나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올려서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X301" authorId="6" shapeId="0" xr:uid="{00000000-0006-0000-0000-00007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(OT </t>
        </r>
        <r>
          <rPr>
            <sz val="9"/>
            <color indexed="81"/>
            <rFont val="돋움"/>
            <family val="3"/>
            <charset val="129"/>
          </rPr>
          <t>김진수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OS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올려서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A306" authorId="5" shapeId="0" xr:uid="{00000000-0006-0000-0000-00007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L307" authorId="2" shapeId="0" xr:uid="{00000000-0006-0000-0000-00007D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M308" authorId="2" shapeId="0" xr:uid="{00000000-0006-0000-0000-00007E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8/26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\5,000,000
8/29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\36,841,628</t>
        </r>
      </text>
    </comment>
    <comment ref="L310" authorId="6" shapeId="0" xr:uid="{00000000-0006-0000-0000-00007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8/10</t>
        </r>
        <r>
          <rPr>
            <sz val="9"/>
            <color indexed="81"/>
            <rFont val="돋움"/>
            <family val="3"/>
            <charset val="129"/>
          </rPr>
          <t>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발급했다가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L319" authorId="6" shapeId="0" xr:uid="{00000000-0006-0000-0000-00008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납품은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계약서류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구매실에서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검수진행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수정후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M320" authorId="2" shapeId="0" xr:uid="{00000000-0006-0000-0000-00008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지체상금
</t>
        </r>
        <r>
          <rPr>
            <sz val="9"/>
            <color indexed="81"/>
            <rFont val="Tahoma"/>
            <family val="2"/>
          </rPr>
          <t>\51,150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I321" authorId="5" shapeId="0" xr:uid="{00000000-0006-0000-0000-00008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공동구매에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할인으로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감가된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새로운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수령함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15,510,000</t>
        </r>
        <r>
          <rPr>
            <sz val="9"/>
            <color indexed="81"/>
            <rFont val="돋움"/>
            <family val="3"/>
            <charset val="129"/>
          </rPr>
          <t>원
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13,530,000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  <comment ref="L321" authorId="2" shapeId="0" xr:uid="{00000000-0006-0000-0000-000083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9/7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
15,510,000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9/23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
취소발급
납품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M321" authorId="2" shapeId="0" xr:uid="{00000000-0006-0000-0000-00008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9/7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
15,510,000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9/23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
취소발급
입금액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I332" authorId="5" shapeId="0" xr:uid="{00000000-0006-0000-0000-000085000000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보험사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현대해상</t>
        </r>
        <r>
          <rPr>
            <b/>
            <sz val="9"/>
            <color indexed="81"/>
            <rFont val="Tahoma"/>
            <family val="2"/>
          </rPr>
          <t>) : 1,856,800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해양수산연구원</t>
        </r>
        <r>
          <rPr>
            <b/>
            <sz val="9"/>
            <color indexed="81"/>
            <rFont val="Tahoma"/>
            <family val="2"/>
          </rPr>
          <t xml:space="preserve"> : 464,200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L332" authorId="6" shapeId="0" xr:uid="{00000000-0006-0000-0000-00008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9/27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(20%)
\464,200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10/7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\1,856,800</t>
        </r>
      </text>
    </comment>
    <comment ref="M332" authorId="6" shapeId="0" xr:uid="{00000000-0006-0000-0000-00008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(20%)
\464,200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10/7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\1,856,800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37" authorId="2" shapeId="0" xr:uid="{00000000-0006-0000-0000-000088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X338" authorId="5" shapeId="0" xr:uid="{00000000-0006-0000-0000-000089000000}">
      <text>
        <r>
          <rPr>
            <b/>
            <sz val="9"/>
            <color indexed="81"/>
            <rFont val="돋움"/>
            <family val="3"/>
            <charset val="129"/>
          </rPr>
          <t>구매품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김진수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10.19</t>
        </r>
      </text>
    </comment>
    <comment ref="L348" authorId="6" shapeId="0" xr:uid="{00000000-0006-0000-0000-00008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359" authorId="3" shapeId="0" xr:uid="{00000000-0006-0000-0000-00008B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선적예정
</t>
        </r>
      </text>
    </comment>
    <comment ref="K362" authorId="3" shapeId="0" xr:uid="{00000000-0006-0000-0000-00008C000000}">
      <text>
        <r>
          <rPr>
            <b/>
            <sz val="9"/>
            <color indexed="81"/>
            <rFont val="Tahoma"/>
            <family val="2"/>
          </rPr>
          <t xml:space="preserve">12/9 </t>
        </r>
        <r>
          <rPr>
            <b/>
            <sz val="9"/>
            <color indexed="81"/>
            <rFont val="돋움"/>
            <family val="3"/>
            <charset val="129"/>
          </rPr>
          <t>선적예정</t>
        </r>
      </text>
    </comment>
    <comment ref="I365" authorId="4" shapeId="0" xr:uid="{00000000-0006-0000-0000-00008D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5,170,000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9,570,000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계약건은</t>
        </r>
        <r>
          <rPr>
            <sz val="9"/>
            <color indexed="81"/>
            <rFont val="Tahoma"/>
            <family val="2"/>
          </rPr>
          <t xml:space="preserve"> 
2021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오트로닉스와</t>
        </r>
        <r>
          <rPr>
            <sz val="9"/>
            <color indexed="81"/>
            <rFont val="Tahoma"/>
            <family val="2"/>
          </rPr>
          <t xml:space="preserve"> Commission Share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금액에서</t>
        </r>
        <r>
          <rPr>
            <sz val="9"/>
            <color indexed="81"/>
            <rFont val="Tahoma"/>
            <family val="2"/>
          </rPr>
          <t xml:space="preserve"> 400</t>
        </r>
        <r>
          <rPr>
            <sz val="9"/>
            <color indexed="81"/>
            <rFont val="돋움"/>
            <family val="3"/>
            <charset val="129"/>
          </rPr>
          <t>만원을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5,170,000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9,570,000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되었습니다</t>
        </r>
        <r>
          <rPr>
            <sz val="9"/>
            <color indexed="81"/>
            <rFont val="Tahoma"/>
            <family val="2"/>
          </rPr>
          <t>.
Commission 400</t>
        </r>
        <r>
          <rPr>
            <sz val="9"/>
            <color indexed="81"/>
            <rFont val="돋움"/>
            <family val="3"/>
            <charset val="129"/>
          </rPr>
          <t>만원에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했습니다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X366" authorId="4" shapeId="0" xr:uid="{00000000-0006-0000-0000-00008E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실제아님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박고은과장님께서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로거</t>
        </r>
        <r>
          <rPr>
            <sz val="9"/>
            <color indexed="81"/>
            <rFont val="Tahoma"/>
            <family val="2"/>
          </rPr>
          <t xml:space="preserve"> DB 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시킬거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하셨습니다</t>
        </r>
        <r>
          <rPr>
            <sz val="9"/>
            <color indexed="81"/>
            <rFont val="Tahoma"/>
            <family val="2"/>
          </rPr>
          <t>.</t>
        </r>
      </text>
    </comment>
    <comment ref="X368" authorId="6" shapeId="0" xr:uid="{00000000-0006-0000-0000-00008F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DB 66426 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개에서</t>
        </r>
        <r>
          <rPr>
            <sz val="9"/>
            <color indexed="81"/>
            <rFont val="Tahoma"/>
            <family val="2"/>
          </rPr>
          <t xml:space="preserve"> Battery, Bar anode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채워넣기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제조사에서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발주하였으나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미확정</t>
        </r>
        <r>
          <rPr>
            <sz val="9"/>
            <color indexed="81"/>
            <rFont val="Tahoma"/>
            <family val="2"/>
          </rPr>
          <t>.(</t>
        </r>
        <r>
          <rPr>
            <sz val="9"/>
            <color indexed="81"/>
            <rFont val="돋움"/>
            <family val="3"/>
            <charset val="129"/>
          </rPr>
          <t>재고포함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주문</t>
        </r>
        <r>
          <rPr>
            <sz val="9"/>
            <color indexed="81"/>
            <rFont val="Tahoma"/>
            <family val="2"/>
          </rPr>
          <t>)
-&gt;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66426(kit)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어렵기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원가금액을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듯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그래서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출고신청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박고은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(22/11/08)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당시</t>
        </r>
        <r>
          <rPr>
            <sz val="9"/>
            <color indexed="81"/>
            <rFont val="Tahoma"/>
            <family val="2"/>
          </rPr>
          <t xml:space="preserve"> #66426 (Turnaround Kit)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징크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납품했습니다</t>
        </r>
        <r>
          <rPr>
            <sz val="9"/>
            <color indexed="81"/>
            <rFont val="Tahoma"/>
            <family val="2"/>
          </rPr>
          <t xml:space="preserve">.
11/8 - </t>
        </r>
        <r>
          <rPr>
            <sz val="9"/>
            <color indexed="81"/>
            <rFont val="돋움"/>
            <family val="3"/>
            <charset val="129"/>
          </rPr>
          <t>제조사에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배터리와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징크가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입고되어</t>
        </r>
        <r>
          <rPr>
            <sz val="9"/>
            <color indexed="81"/>
            <rFont val="Tahoma"/>
            <family val="2"/>
          </rPr>
          <t xml:space="preserve">, #66426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넣어두었습니다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#E00077_1, #E00077_2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부탁드립니다</t>
        </r>
        <r>
          <rPr>
            <sz val="9"/>
            <color indexed="81"/>
            <rFont val="Tahoma"/>
            <family val="2"/>
          </rPr>
          <t>.</t>
        </r>
      </text>
    </comment>
    <comment ref="L370" authorId="6" shapeId="0" xr:uid="{00000000-0006-0000-0000-000090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\52,360,000
11/30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\22,440,000</t>
        </r>
      </text>
    </comment>
    <comment ref="M370" authorId="6" shapeId="0" xr:uid="{00000000-0006-0000-0000-000091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\52,360,000
12/15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\22,440,000
</t>
        </r>
      </text>
    </comment>
    <comment ref="M376" authorId="6" shapeId="0" xr:uid="{00000000-0006-0000-0000-000092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11/8 396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11/30 1,144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80" authorId="6" shapeId="0" xr:uid="{00000000-0006-0000-0000-000093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385" authorId="6" shapeId="0" xr:uid="{00000000-0006-0000-0000-000094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M385" authorId="6" shapeId="0" xr:uid="{00000000-0006-0000-0000-00009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10/28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11/18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86" authorId="6" shapeId="0" xr:uid="{00000000-0006-0000-0000-00009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M386" authorId="6" shapeId="0" xr:uid="{00000000-0006-0000-0000-00009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10/28 </t>
        </r>
        <r>
          <rPr>
            <sz val="9"/>
            <color indexed="81"/>
            <rFont val="돋움"/>
            <family val="3"/>
            <charset val="129"/>
          </rPr>
          <t>공급가액만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11/18 </t>
        </r>
        <r>
          <rPr>
            <sz val="9"/>
            <color indexed="81"/>
            <rFont val="돋움"/>
            <family val="3"/>
            <charset val="129"/>
          </rPr>
          <t>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390" authorId="6" shapeId="0" xr:uid="{00000000-0006-0000-0000-000098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대략</t>
        </r>
        <r>
          <rPr>
            <sz val="9"/>
            <color indexed="81"/>
            <rFont val="Tahoma"/>
            <family val="2"/>
          </rPr>
          <t xml:space="preserve">28%)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\32,461,000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2/1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\81,389,000</t>
        </r>
      </text>
    </comment>
    <comment ref="M390" authorId="6" shapeId="0" xr:uid="{00000000-0006-0000-0000-00009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대략</t>
        </r>
        <r>
          <rPr>
            <sz val="9"/>
            <color indexed="81"/>
            <rFont val="Tahoma"/>
            <family val="2"/>
          </rPr>
          <t xml:space="preserve">28%)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\32,461,000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\81,389,000</t>
        </r>
      </text>
    </comment>
    <comment ref="L392" authorId="6" shapeId="0" xr:uid="{00000000-0006-0000-0000-00009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10/24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10/26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현대건설과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>)</t>
        </r>
      </text>
    </comment>
    <comment ref="L404" authorId="2" shapeId="0" xr:uid="{00000000-0006-0000-0000-00009B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M405" authorId="2" shapeId="0" xr:uid="{00000000-0006-0000-0000-00009C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\10,000,000
11/2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\274,142,060</t>
        </r>
      </text>
    </comment>
    <comment ref="L412" authorId="6" shapeId="0" xr:uid="{00000000-0006-0000-0000-00009D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\43,890,000</t>
        </r>
      </text>
    </comment>
    <comment ref="M412" authorId="6" shapeId="0" xr:uid="{00000000-0006-0000-0000-00009E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\43,890,000</t>
        </r>
      </text>
    </comment>
    <comment ref="L415" authorId="2" shapeId="0" xr:uid="{00000000-0006-0000-0000-00009F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420" authorId="2" shapeId="0" xr:uid="{00000000-0006-0000-0000-0000A0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11/15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\10,000,000</t>
        </r>
      </text>
    </comment>
    <comment ref="M420" authorId="2" shapeId="0" xr:uid="{00000000-0006-0000-0000-0000A1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11/16 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 xml:space="preserve">\10,000,000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\192,937,021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L422" authorId="2" shapeId="0" xr:uid="{00000000-0006-0000-0000-0000A2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L425" authorId="2" shapeId="0" xr:uid="{00000000-0006-0000-0000-0000A3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\13,750,000
12/28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\13,750,000</t>
        </r>
      </text>
    </comment>
    <comment ref="M425" authorId="2" shapeId="0" xr:uid="{00000000-0006-0000-0000-0000A4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\13,750,000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\13,750,000</t>
        </r>
      </text>
    </comment>
    <comment ref="L426" authorId="6" shapeId="0" xr:uid="{00000000-0006-0000-0000-0000A5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12/16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12/19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한꺼번에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_23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넘어갈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가능성많음</t>
        </r>
        <r>
          <rPr>
            <sz val="9"/>
            <color indexed="81"/>
            <rFont val="Tahoma"/>
            <family val="2"/>
          </rPr>
          <t>)</t>
        </r>
      </text>
    </comment>
    <comment ref="L427" authorId="6" shapeId="0" xr:uid="{00000000-0006-0000-0000-0000A6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\79,926,000</t>
        </r>
      </text>
    </comment>
    <comment ref="M427" authorId="6" shapeId="0" xr:uid="{00000000-0006-0000-0000-0000A7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\79,926,000</t>
        </r>
      </text>
    </comment>
    <comment ref="I436" authorId="4" shapeId="0" xr:uid="{00000000-0006-0000-0000-0000A800000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나눔
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12,100,000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5,500,000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446" authorId="6" shapeId="0" xr:uid="{00000000-0006-0000-0000-0000A9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12/26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\7,150,000 </t>
        </r>
      </text>
    </comment>
    <comment ref="I451" authorId="6" shapeId="0" xr:uid="{00000000-0006-0000-0000-0000AA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수정해주세요</t>
        </r>
        <r>
          <rPr>
            <sz val="9"/>
            <color indexed="81"/>
            <rFont val="Tahoma"/>
            <family val="2"/>
          </rPr>
          <t>.</t>
        </r>
      </text>
    </comment>
    <comment ref="L455" authorId="6" shapeId="0" xr:uid="{00000000-0006-0000-0000-0000AB00000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465" authorId="2" shapeId="0" xr:uid="{00000000-0006-0000-0000-0000AC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\93,552,849
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\10,000,000</t>
        </r>
      </text>
    </comment>
    <comment ref="M465" authorId="2" shapeId="0" xr:uid="{00000000-0006-0000-0000-0000AD000000}">
      <text>
        <r>
          <rPr>
            <b/>
            <sz val="9"/>
            <color indexed="81"/>
            <rFont val="돋움"/>
            <family val="3"/>
            <charset val="129"/>
          </rPr>
          <t>관리부</t>
        </r>
        <r>
          <rPr>
            <b/>
            <sz val="9"/>
            <color indexed="81"/>
            <rFont val="Tahoma"/>
            <family val="2"/>
          </rPr>
          <t>-1:</t>
        </r>
        <r>
          <rPr>
            <sz val="9"/>
            <color indexed="81"/>
            <rFont val="Tahoma"/>
            <family val="2"/>
          </rPr>
          <t xml:space="preserve">
11/23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12/23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제외분</t>
        </r>
        <r>
          <rPr>
            <sz val="9"/>
            <color indexed="81"/>
            <rFont val="Tahoma"/>
            <family val="2"/>
          </rPr>
          <t xml:space="preserve"> 53,552,849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1/11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Joy Kim</author>
    <author>1701-D001</author>
    <author>ALHEUM</author>
    <author>Doni Kang</author>
    <author>wonjin Oh</author>
    <author>Ahleum Hong</author>
  </authors>
  <commentList>
    <comment ref="F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</t>
        </r>
        <r>
          <rPr>
            <sz val="9"/>
            <color indexed="81"/>
            <rFont val="돋움"/>
            <family val="3"/>
            <charset val="129"/>
          </rPr>
          <t xml:space="preserve">금액있음
</t>
        </r>
      </text>
    </comment>
    <comment ref="F2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 xml:space="preserve">48,696.69
</t>
        </r>
      </text>
    </comment>
    <comment ref="F2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b/>
            <sz val="9"/>
            <color indexed="81"/>
            <rFont val="돋움"/>
            <family val="3"/>
            <charset val="129"/>
          </rPr>
          <t xml:space="preserve">수수료제외입금
</t>
        </r>
        <r>
          <rPr>
            <b/>
            <sz val="9"/>
            <color indexed="81"/>
            <rFont val="Tahoma"/>
            <family val="2"/>
          </rPr>
          <t xml:space="preserve">2,208.60 </t>
        </r>
      </text>
    </comment>
    <comment ref="F3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Eur 3,080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3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HP: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670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  <comment ref="F3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3,960
other  5,300</t>
        </r>
      </text>
    </comment>
    <comment ref="F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영업부청구</t>
        </r>
      </text>
    </comment>
    <comment ref="F4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영업부청구</t>
        </r>
      </text>
    </comment>
    <comment ref="F4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 1,345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51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USD 6,677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아마</t>
        </r>
        <r>
          <rPr>
            <sz val="9"/>
            <color indexed="81"/>
            <rFont val="Tahoma"/>
            <family val="2"/>
          </rPr>
          <t xml:space="preserve"> Bank fee</t>
        </r>
        <r>
          <rPr>
            <sz val="9"/>
            <color indexed="81"/>
            <rFont val="돋움"/>
            <family val="3"/>
            <charset val="129"/>
          </rPr>
          <t>빠지고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입금된것같습니다</t>
        </r>
      </text>
    </comment>
    <comment ref="F5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EUR 12,043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5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#17-266 overpaid 1,350</t>
        </r>
        <r>
          <rPr>
            <sz val="9"/>
            <color indexed="81"/>
            <rFont val="돋움"/>
            <family val="3"/>
            <charset val="129"/>
          </rPr>
          <t>상계후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($255)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F5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Local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Commissioning </t>
        </r>
        <r>
          <rPr>
            <sz val="9"/>
            <color indexed="81"/>
            <rFont val="돋움"/>
            <family val="3"/>
            <charset val="129"/>
          </rPr>
          <t>부분에서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지출되는것에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줄어들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F5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USD 1,964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82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100,000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중계수수료빼고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입금된금액</t>
        </r>
      </text>
    </comment>
    <comment ref="F9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#19-39 net price : Eur 121,814.70
 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Eur23,685.30
#19-48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Eur140.70
#19-84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Eur260.93</t>
        </r>
      </text>
    </comment>
    <comment ref="F96" authorId="3" shapeId="0" xr:uid="{00000000-0006-0000-0100-000011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판매하여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요울</t>
        </r>
        <r>
          <rPr>
            <sz val="9"/>
            <color indexed="81"/>
            <rFont val="Tahoma"/>
            <family val="2"/>
          </rPr>
          <t xml:space="preserve"> 12%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96" authorId="4" shapeId="0" xr:uid="{00000000-0006-0000-0100-000012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G97" authorId="4" shapeId="0" xr:uid="{00000000-0006-0000-0100-000013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E98" authorId="3" shapeId="0" xr:uid="{00000000-0006-0000-0100-000014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$3,900 -&gt;$3,500</t>
        </r>
      </text>
    </comment>
    <comment ref="G98" authorId="4" shapeId="0" xr:uid="{00000000-0006-0000-0100-000015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E102" authorId="5" shapeId="0" xr:uid="{00000000-0006-0000-0100-000016000000}">
      <text>
        <r>
          <rPr>
            <b/>
            <sz val="9"/>
            <color indexed="81"/>
            <rFont val="돋움"/>
            <family val="3"/>
            <charset val="129"/>
          </rPr>
          <t>계약금액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G102" authorId="4" shapeId="0" xr:uid="{00000000-0006-0000-0100-000017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G103" authorId="4" shapeId="0" xr:uid="{00000000-0006-0000-0100-000018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</text>
    </comment>
    <comment ref="F104" authorId="3" shapeId="0" xr:uid="{00000000-0006-0000-0100-000019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인보이스가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쪼개졌는데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계약파일리스트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금액이랑도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안맞음</t>
        </r>
        <r>
          <rPr>
            <sz val="9"/>
            <color indexed="81"/>
            <rFont val="Tahoma"/>
            <family val="2"/>
          </rPr>
          <t>. 
1. 6,144.00 - 1,290.24(12/18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) 
2. 15,954.80 -&gt; 3.350.51(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
3. 400.00-&gt; 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? ( 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)
-----------------------------------
$22,498.00</t>
        </r>
      </text>
    </comment>
    <comment ref="G105" authorId="4" shapeId="0" xr:uid="{00000000-0006-0000-0100-00001A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F106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19.10.24 Eur 6,986
 (engineer service-Mr. Sim in Mauritius)</t>
        </r>
      </text>
    </comment>
    <comment ref="F109" authorId="3" shapeId="0" xr:uid="{00000000-0006-0000-0100-00001C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10,385.25</t>
        </r>
      </text>
    </comment>
    <comment ref="F114" authorId="2" shapeId="0" xr:uid="{00000000-0006-0000-0100-00001D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$30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$775.53 </t>
        </r>
        <r>
          <rPr>
            <sz val="9"/>
            <color indexed="81"/>
            <rFont val="돋움"/>
            <family val="3"/>
            <charset val="129"/>
          </rPr>
          <t>입금됨</t>
        </r>
      </text>
    </comment>
    <comment ref="E115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 xml:space="preserve">1701-D001: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2,770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128" authorId="6" shapeId="0" xr:uid="{00000000-0006-0000-0100-00001F000000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$9,292.30</t>
        </r>
      </text>
    </comment>
    <comment ref="F132" authorId="4" shapeId="0" xr:uid="{00000000-0006-0000-0100-000020000000}">
      <text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USD 16,960
</t>
        </r>
        <r>
          <rPr>
            <sz val="9"/>
            <color indexed="81"/>
            <rFont val="돋움"/>
            <family val="3"/>
            <charset val="129"/>
          </rPr>
          <t>낙찰차액</t>
        </r>
        <r>
          <rPr>
            <sz val="9"/>
            <color indexed="81"/>
            <rFont val="Tahoma"/>
            <family val="2"/>
          </rPr>
          <t xml:space="preserve"> USD -3,000
</t>
        </r>
      </text>
    </comment>
  </commentList>
</comments>
</file>

<file path=xl/sharedStrings.xml><?xml version="1.0" encoding="utf-8"?>
<sst xmlns="http://schemas.openxmlformats.org/spreadsheetml/2006/main" count="5525" uniqueCount="2197">
  <si>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</si>
  <si>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</si>
  <si>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</si>
  <si>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</si>
  <si>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</si>
  <si>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보완필요함/이부장-재검토예정</t>
    <phoneticPr fontId="2" type="noConversion"/>
  </si>
  <si>
    <t>VAT별도</t>
    <phoneticPr fontId="2" type="noConversion"/>
  </si>
  <si>
    <t>DB검토 + 상태</t>
    <phoneticPr fontId="2" type="noConversion"/>
  </si>
  <si>
    <t>금액(총액)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</si>
  <si>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</si>
  <si>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</si>
  <si>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</si>
  <si>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</si>
  <si>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</si>
  <si>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</si>
  <si>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</si>
  <si>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</si>
  <si>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</si>
  <si>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</si>
  <si>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</si>
  <si>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</si>
  <si>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</si>
  <si>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</si>
  <si>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>KOPRI</t>
    <phoneticPr fontId="2" type="noConversion"/>
  </si>
  <si>
    <t>SERCEL(OTUK)</t>
    <phoneticPr fontId="2" type="noConversion"/>
  </si>
  <si>
    <t>Air Gun 부품</t>
    <phoneticPr fontId="2" type="noConversion"/>
  </si>
  <si>
    <t>USD 29,209</t>
    <phoneticPr fontId="2" type="noConversion"/>
  </si>
  <si>
    <t>Benthos</t>
    <phoneticPr fontId="2" type="noConversion"/>
  </si>
  <si>
    <t xml:space="preserve"> </t>
    <phoneticPr fontId="2" type="noConversion"/>
  </si>
  <si>
    <t>KIOST</t>
    <phoneticPr fontId="2" type="noConversion"/>
  </si>
  <si>
    <t>KRISO</t>
    <phoneticPr fontId="2" type="noConversion"/>
  </si>
  <si>
    <t>AR TOP SIDE</t>
    <phoneticPr fontId="2" type="noConversion"/>
  </si>
  <si>
    <t>Benthos</t>
    <phoneticPr fontId="2" type="noConversion"/>
  </si>
  <si>
    <t>USD 14,000</t>
    <phoneticPr fontId="2" type="noConversion"/>
  </si>
  <si>
    <t>KIOST</t>
    <phoneticPr fontId="2" type="noConversion"/>
  </si>
  <si>
    <t>OKTOPUS</t>
    <phoneticPr fontId="2" type="noConversion"/>
  </si>
  <si>
    <t>Part of TV Grab</t>
    <phoneticPr fontId="2" type="noConversion"/>
  </si>
  <si>
    <t>KOPRI</t>
    <phoneticPr fontId="2" type="noConversion"/>
  </si>
  <si>
    <t>Benthos</t>
    <phoneticPr fontId="2" type="noConversion"/>
  </si>
  <si>
    <t>AR R2k</t>
    <phoneticPr fontId="2" type="noConversion"/>
  </si>
  <si>
    <t>USD 45,008</t>
    <phoneticPr fontId="2" type="noConversion"/>
  </si>
  <si>
    <t>Oktopus</t>
    <phoneticPr fontId="2" type="noConversion"/>
  </si>
  <si>
    <t>EUR 145,500</t>
    <phoneticPr fontId="2" type="noConversion"/>
  </si>
  <si>
    <t>KOPRI</t>
    <phoneticPr fontId="2" type="noConversion"/>
  </si>
  <si>
    <t>AR 9100</t>
    <phoneticPr fontId="2" type="noConversion"/>
  </si>
  <si>
    <t>USD 23,250</t>
    <phoneticPr fontId="2" type="noConversion"/>
  </si>
  <si>
    <t>Benthos</t>
    <phoneticPr fontId="2" type="noConversion"/>
  </si>
  <si>
    <t>Altimeter</t>
    <phoneticPr fontId="2" type="noConversion"/>
  </si>
  <si>
    <t>Deepsea</t>
    <phoneticPr fontId="2" type="noConversion"/>
  </si>
  <si>
    <t xml:space="preserve">외자거래건 Commission 정리 </t>
    <phoneticPr fontId="2" type="noConversion"/>
  </si>
  <si>
    <t>선적여부</t>
    <phoneticPr fontId="2" type="noConversion"/>
  </si>
  <si>
    <t>청구일자</t>
    <phoneticPr fontId="2" type="noConversion"/>
  </si>
  <si>
    <t>마지막업데이트-150703</t>
    <phoneticPr fontId="2" type="noConversion"/>
  </si>
  <si>
    <t>계산식입력할것</t>
    <phoneticPr fontId="2" type="noConversion"/>
  </si>
  <si>
    <t xml:space="preserve"> </t>
    <phoneticPr fontId="2" type="noConversion"/>
  </si>
  <si>
    <t>15년계약파일에 기록하고_14년에 붙이기</t>
    <phoneticPr fontId="2" type="noConversion"/>
  </si>
  <si>
    <t>* 사장님 보고 자료 : \\Sales\sales\세무사_매출\세무사,법무사, 보증보험 관련\세무사관련\부가세신고\2014\외자</t>
    <phoneticPr fontId="2" type="noConversion"/>
  </si>
  <si>
    <t xml:space="preserve">입금 대기 중 </t>
    <phoneticPr fontId="2" type="noConversion"/>
  </si>
  <si>
    <t>송금완료건- 청구 대상</t>
    <phoneticPr fontId="2" type="noConversion"/>
  </si>
  <si>
    <t>계약#</t>
    <phoneticPr fontId="2" type="noConversion"/>
  </si>
  <si>
    <t>거래처</t>
    <phoneticPr fontId="2" type="noConversion"/>
  </si>
  <si>
    <t>건명</t>
    <phoneticPr fontId="2" type="noConversion"/>
  </si>
  <si>
    <t>제작사</t>
    <phoneticPr fontId="2" type="noConversion"/>
  </si>
  <si>
    <t>계약금액</t>
    <phoneticPr fontId="2" type="noConversion"/>
  </si>
  <si>
    <t>커미션</t>
    <phoneticPr fontId="2" type="noConversion"/>
  </si>
  <si>
    <t>입금일자</t>
    <phoneticPr fontId="2" type="noConversion"/>
  </si>
  <si>
    <t>입금여부</t>
    <phoneticPr fontId="2" type="noConversion"/>
  </si>
  <si>
    <t>제작사청구/매입일자</t>
    <phoneticPr fontId="2" type="noConversion"/>
  </si>
  <si>
    <t xml:space="preserve">비고 </t>
    <phoneticPr fontId="2" type="noConversion"/>
  </si>
  <si>
    <t>계약일</t>
    <phoneticPr fontId="2" type="noConversion"/>
  </si>
  <si>
    <t>납기</t>
    <phoneticPr fontId="2" type="noConversion"/>
  </si>
  <si>
    <t>KIGAM</t>
    <phoneticPr fontId="2" type="noConversion"/>
  </si>
  <si>
    <t>IXBLUE</t>
    <phoneticPr fontId="2" type="noConversion"/>
  </si>
  <si>
    <t>GNM</t>
    <phoneticPr fontId="2" type="noConversion"/>
  </si>
  <si>
    <t>AADI</t>
    <phoneticPr fontId="2" type="noConversion"/>
  </si>
  <si>
    <t xml:space="preserve"> </t>
    <phoneticPr fontId="2" type="noConversion"/>
  </si>
  <si>
    <t>YES</t>
    <phoneticPr fontId="2" type="noConversion"/>
  </si>
  <si>
    <t>KIOST</t>
    <phoneticPr fontId="2" type="noConversion"/>
  </si>
  <si>
    <t>T.Benthos</t>
    <phoneticPr fontId="2" type="noConversion"/>
  </si>
  <si>
    <t>USD 1,950</t>
    <phoneticPr fontId="2" type="noConversion"/>
  </si>
  <si>
    <t>KOPRI</t>
    <phoneticPr fontId="2" type="noConversion"/>
  </si>
  <si>
    <t>RBR</t>
    <phoneticPr fontId="2" type="noConversion"/>
  </si>
  <si>
    <t>KRISO</t>
    <phoneticPr fontId="2" type="noConversion"/>
  </si>
  <si>
    <t>AR865 x 2</t>
    <phoneticPr fontId="2" type="noConversion"/>
  </si>
  <si>
    <t>Contros</t>
    <phoneticPr fontId="2" type="noConversion"/>
  </si>
  <si>
    <t>SSAS</t>
    <phoneticPr fontId="2" type="noConversion"/>
  </si>
  <si>
    <t>EIVA</t>
    <phoneticPr fontId="2" type="noConversion"/>
  </si>
  <si>
    <t>EUR 49,500</t>
    <phoneticPr fontId="2" type="noConversion"/>
  </si>
  <si>
    <t>USD 14,000</t>
    <phoneticPr fontId="2" type="noConversion"/>
  </si>
  <si>
    <t>EUR 69,000</t>
    <phoneticPr fontId="2" type="noConversion"/>
  </si>
  <si>
    <t>Metocean</t>
    <phoneticPr fontId="2" type="noConversion"/>
  </si>
  <si>
    <t>A/D Module</t>
    <phoneticPr fontId="2" type="noConversion"/>
  </si>
  <si>
    <t>Geometrics</t>
    <phoneticPr fontId="2" type="noConversion"/>
  </si>
  <si>
    <t>USD 4,140</t>
    <phoneticPr fontId="2" type="noConversion"/>
  </si>
  <si>
    <t>sercel(OTUK)</t>
    <phoneticPr fontId="2" type="noConversion"/>
  </si>
  <si>
    <t>NO</t>
    <phoneticPr fontId="2" type="noConversion"/>
  </si>
  <si>
    <t>T.Reson</t>
    <phoneticPr fontId="2" type="noConversion"/>
  </si>
  <si>
    <t>MOCNESS</t>
    <phoneticPr fontId="2" type="noConversion"/>
  </si>
  <si>
    <t>USD 180,000</t>
    <phoneticPr fontId="2" type="noConversion"/>
  </si>
  <si>
    <t>Gun parts</t>
    <phoneticPr fontId="2" type="noConversion"/>
  </si>
  <si>
    <t>USD 2,000</t>
    <phoneticPr fontId="2" type="noConversion"/>
  </si>
  <si>
    <t>USD 9,000</t>
    <phoneticPr fontId="2" type="noConversion"/>
  </si>
  <si>
    <t>USD 33,000</t>
    <phoneticPr fontId="2" type="noConversion"/>
  </si>
  <si>
    <t>HKS조선</t>
    <phoneticPr fontId="2" type="noConversion"/>
  </si>
  <si>
    <t>16-389</t>
    <phoneticPr fontId="2" type="noConversion"/>
  </si>
  <si>
    <t>BESS</t>
    <phoneticPr fontId="2" type="noConversion"/>
  </si>
  <si>
    <t>USD 74,000</t>
    <phoneticPr fontId="2" type="noConversion"/>
  </si>
  <si>
    <t>입금예정</t>
    <phoneticPr fontId="2" type="noConversion"/>
  </si>
  <si>
    <t>선적전</t>
    <phoneticPr fontId="2" type="noConversion"/>
  </si>
  <si>
    <t>2017년 하위</t>
    <phoneticPr fontId="2" type="noConversion"/>
  </si>
  <si>
    <t>17-13</t>
    <phoneticPr fontId="2" type="noConversion"/>
  </si>
  <si>
    <t>Airgun 부품-USA</t>
    <phoneticPr fontId="2" type="noConversion"/>
  </si>
  <si>
    <t>USD 22,706.41</t>
    <phoneticPr fontId="2" type="noConversion"/>
  </si>
  <si>
    <t>내자건</t>
    <phoneticPr fontId="2" type="noConversion"/>
  </si>
  <si>
    <t>Airgun 부품-France</t>
    <phoneticPr fontId="2" type="noConversion"/>
  </si>
  <si>
    <t>USD 4,502.09</t>
    <phoneticPr fontId="2" type="noConversion"/>
  </si>
  <si>
    <t>17-19</t>
    <phoneticPr fontId="2" type="noConversion"/>
  </si>
  <si>
    <t>USD 38,982</t>
    <phoneticPr fontId="2" type="noConversion"/>
  </si>
  <si>
    <t>17-113</t>
    <phoneticPr fontId="2" type="noConversion"/>
  </si>
  <si>
    <t>SFX Fitiing F JIC 9/16</t>
    <phoneticPr fontId="2" type="noConversion"/>
  </si>
  <si>
    <t>USD 543</t>
    <phoneticPr fontId="2" type="noConversion"/>
  </si>
  <si>
    <t>17-30</t>
    <phoneticPr fontId="2" type="noConversion"/>
  </si>
  <si>
    <t>CNT-2 Marine Controller(s/w only)</t>
    <phoneticPr fontId="2" type="noConversion"/>
  </si>
  <si>
    <t>USD15,000</t>
    <phoneticPr fontId="2" type="noConversion"/>
  </si>
  <si>
    <t>USD 2,250</t>
    <phoneticPr fontId="2" type="noConversion"/>
  </si>
  <si>
    <t>17-47</t>
    <phoneticPr fontId="2" type="noConversion"/>
  </si>
  <si>
    <t>한진중공업</t>
    <phoneticPr fontId="2" type="noConversion"/>
  </si>
  <si>
    <t>MOCNESS x3 sets 1차??</t>
    <phoneticPr fontId="2" type="noConversion"/>
  </si>
  <si>
    <t>USD 77,098.20</t>
    <phoneticPr fontId="2" type="noConversion"/>
  </si>
  <si>
    <t>MOCNESS x3 sets (S146) 2차??</t>
    <phoneticPr fontId="2" type="noConversion"/>
  </si>
  <si>
    <t>USD 29,824.01</t>
    <phoneticPr fontId="2" type="noConversion"/>
  </si>
  <si>
    <t>17-49</t>
    <phoneticPr fontId="2" type="noConversion"/>
  </si>
  <si>
    <t>hydrins</t>
    <phoneticPr fontId="2" type="noConversion"/>
  </si>
  <si>
    <t>EUR 75,000</t>
    <phoneticPr fontId="2" type="noConversion"/>
  </si>
  <si>
    <t>EUR 12,100</t>
    <phoneticPr fontId="2" type="noConversion"/>
  </si>
  <si>
    <t>17-101</t>
    <phoneticPr fontId="2" type="noConversion"/>
  </si>
  <si>
    <t>Directional Waverider MKIII</t>
    <phoneticPr fontId="2" type="noConversion"/>
  </si>
  <si>
    <t>DATAWELL</t>
    <phoneticPr fontId="2" type="noConversion"/>
  </si>
  <si>
    <t>EUR 10,360.50</t>
    <phoneticPr fontId="2" type="noConversion"/>
  </si>
  <si>
    <t>17-107</t>
    <phoneticPr fontId="2" type="noConversion"/>
  </si>
  <si>
    <t>USD 13600</t>
    <phoneticPr fontId="2" type="noConversion"/>
  </si>
  <si>
    <t>USD 2,550</t>
    <phoneticPr fontId="2" type="noConversion"/>
  </si>
  <si>
    <t>17-108</t>
    <phoneticPr fontId="2" type="noConversion"/>
  </si>
  <si>
    <t>GEOEEL ACTIVE SECTION</t>
    <phoneticPr fontId="2" type="noConversion"/>
  </si>
  <si>
    <t>USD 27000</t>
    <phoneticPr fontId="2" type="noConversion"/>
  </si>
  <si>
    <t>USD 4,050</t>
    <phoneticPr fontId="2" type="noConversion"/>
  </si>
  <si>
    <t>17-109</t>
    <phoneticPr fontId="2" type="noConversion"/>
  </si>
  <si>
    <t xml:space="preserve">Streamer tow cable 90m, Paravane hardware </t>
    <phoneticPr fontId="2" type="noConversion"/>
  </si>
  <si>
    <t>USD26000</t>
    <phoneticPr fontId="2" type="noConversion"/>
  </si>
  <si>
    <t>USD 3,900</t>
    <phoneticPr fontId="2" type="noConversion"/>
  </si>
  <si>
    <t>17-110</t>
    <phoneticPr fontId="2" type="noConversion"/>
  </si>
  <si>
    <t>2 Streamer system</t>
    <phoneticPr fontId="2" type="noConversion"/>
  </si>
  <si>
    <t>USD21900</t>
    <phoneticPr fontId="2" type="noConversion"/>
  </si>
  <si>
    <t>USD 3,285</t>
    <phoneticPr fontId="2" type="noConversion"/>
  </si>
  <si>
    <t>17-114</t>
    <phoneticPr fontId="2" type="noConversion"/>
  </si>
  <si>
    <t>NIFS</t>
    <phoneticPr fontId="2" type="noConversion"/>
  </si>
  <si>
    <t>Seaguard II DCP</t>
    <phoneticPr fontId="2" type="noConversion"/>
  </si>
  <si>
    <t>NOK 180,000</t>
    <phoneticPr fontId="2" type="noConversion"/>
  </si>
  <si>
    <t>NOK 48,732.50</t>
    <phoneticPr fontId="2" type="noConversion"/>
  </si>
  <si>
    <t>REMIND! 2018년 3월 2일</t>
    <phoneticPr fontId="2" type="noConversion"/>
  </si>
  <si>
    <t>17-123</t>
    <phoneticPr fontId="2" type="noConversion"/>
  </si>
  <si>
    <t>TC4032-2 x 4, TL8085 x 5, TL8144 10m x 2</t>
    <phoneticPr fontId="2" type="noConversion"/>
  </si>
  <si>
    <t>T. Reson</t>
    <phoneticPr fontId="2" type="noConversion"/>
  </si>
  <si>
    <t>EUR 14,824</t>
    <phoneticPr fontId="2" type="noConversion"/>
  </si>
  <si>
    <t>EUR 2,223.60</t>
    <phoneticPr fontId="2" type="noConversion"/>
  </si>
  <si>
    <t>17-127</t>
    <phoneticPr fontId="2" type="noConversion"/>
  </si>
  <si>
    <t>Vibration section10m, repeater module</t>
    <phoneticPr fontId="2" type="noConversion"/>
  </si>
  <si>
    <t>USD 28000</t>
    <phoneticPr fontId="2" type="noConversion"/>
  </si>
  <si>
    <t>USD 4,200</t>
    <phoneticPr fontId="2" type="noConversion"/>
  </si>
  <si>
    <t>17-128</t>
    <phoneticPr fontId="2" type="noConversion"/>
  </si>
  <si>
    <t>NIFS(남해)</t>
    <phoneticPr fontId="2" type="noConversion"/>
  </si>
  <si>
    <t>Concerto CTD</t>
    <phoneticPr fontId="2" type="noConversion"/>
  </si>
  <si>
    <t>USD 17,970</t>
    <phoneticPr fontId="2" type="noConversion"/>
  </si>
  <si>
    <t>USD 5,505</t>
    <phoneticPr fontId="2" type="noConversion"/>
  </si>
  <si>
    <t>17-138</t>
    <phoneticPr fontId="2" type="noConversion"/>
  </si>
  <si>
    <t>OTUK(Sercel)</t>
    <phoneticPr fontId="2" type="noConversion"/>
  </si>
  <si>
    <t>USD 15000</t>
    <phoneticPr fontId="2" type="noConversion"/>
  </si>
  <si>
    <t>17-161</t>
    <phoneticPr fontId="2" type="noConversion"/>
  </si>
  <si>
    <t>TES x 2</t>
    <phoneticPr fontId="2" type="noConversion"/>
  </si>
  <si>
    <t>17-165</t>
    <phoneticPr fontId="2" type="noConversion"/>
  </si>
  <si>
    <t>R2K x 2</t>
    <phoneticPr fontId="2" type="noConversion"/>
  </si>
  <si>
    <t>USD 21,000</t>
    <phoneticPr fontId="2" type="noConversion"/>
  </si>
  <si>
    <t>USD 3,150</t>
    <phoneticPr fontId="2" type="noConversion"/>
  </si>
  <si>
    <t>17-170</t>
    <phoneticPr fontId="2" type="noConversion"/>
  </si>
  <si>
    <t>Hydro CO2</t>
    <phoneticPr fontId="2" type="noConversion"/>
  </si>
  <si>
    <t>EUR 20,700</t>
    <phoneticPr fontId="2" type="noConversion"/>
  </si>
  <si>
    <t>EUR 3,105</t>
    <phoneticPr fontId="2" type="noConversion"/>
  </si>
  <si>
    <t>17-171</t>
    <phoneticPr fontId="2" type="noConversion"/>
  </si>
  <si>
    <t>IR7300</t>
    <phoneticPr fontId="2" type="noConversion"/>
  </si>
  <si>
    <t>USD 4500</t>
    <phoneticPr fontId="2" type="noConversion"/>
  </si>
  <si>
    <t>USD 675</t>
    <phoneticPr fontId="2" type="noConversion"/>
  </si>
  <si>
    <t>17-178</t>
    <phoneticPr fontId="2" type="noConversion"/>
  </si>
  <si>
    <t>USD 11,600</t>
    <phoneticPr fontId="2" type="noConversion"/>
  </si>
  <si>
    <t>17-198</t>
    <phoneticPr fontId="2" type="noConversion"/>
  </si>
  <si>
    <t>R12K</t>
    <phoneticPr fontId="2" type="noConversion"/>
  </si>
  <si>
    <t>USD 2,100</t>
    <phoneticPr fontId="2" type="noConversion"/>
  </si>
  <si>
    <t>17-199</t>
    <phoneticPr fontId="2" type="noConversion"/>
  </si>
  <si>
    <t>glass buoy 17" x 50</t>
    <phoneticPr fontId="2" type="noConversion"/>
  </si>
  <si>
    <t>usd 33,700</t>
    <phoneticPr fontId="2" type="noConversion"/>
  </si>
  <si>
    <t>USD 5,055</t>
    <phoneticPr fontId="2" type="noConversion"/>
  </si>
  <si>
    <t>17-200</t>
    <phoneticPr fontId="2" type="noConversion"/>
  </si>
  <si>
    <t>25MHz Combined Tx/Rx Antenna x 2</t>
    <phoneticPr fontId="2" type="noConversion"/>
  </si>
  <si>
    <t>Codar</t>
    <phoneticPr fontId="2" type="noConversion"/>
  </si>
  <si>
    <t>USD 31,700</t>
    <phoneticPr fontId="2" type="noConversion"/>
  </si>
  <si>
    <t>USD 9,260</t>
    <phoneticPr fontId="2" type="noConversion"/>
  </si>
  <si>
    <t>17-201</t>
    <phoneticPr fontId="2" type="noConversion"/>
  </si>
  <si>
    <t>A/D Module , GeoEel Active Section</t>
    <phoneticPr fontId="2" type="noConversion"/>
  </si>
  <si>
    <t>USD 41.280</t>
    <phoneticPr fontId="2" type="noConversion"/>
  </si>
  <si>
    <t>USD 6,192</t>
    <phoneticPr fontId="2" type="noConversion"/>
  </si>
  <si>
    <t>17-209</t>
    <phoneticPr fontId="2" type="noConversion"/>
  </si>
  <si>
    <t>MMF 7500 x 2, MMB-7500 x 2, AN-903 x 5</t>
    <phoneticPr fontId="2" type="noConversion"/>
  </si>
  <si>
    <t>MetOcean</t>
    <phoneticPr fontId="2" type="noConversion"/>
  </si>
  <si>
    <t>USD 6580</t>
    <phoneticPr fontId="2" type="noConversion"/>
  </si>
  <si>
    <t>USD 1,254</t>
    <phoneticPr fontId="2" type="noConversion"/>
  </si>
  <si>
    <t>17-227</t>
    <phoneticPr fontId="2" type="noConversion"/>
  </si>
  <si>
    <t>Chirpceiver upgrade</t>
    <phoneticPr fontId="2" type="noConversion"/>
  </si>
  <si>
    <t>FSI</t>
    <phoneticPr fontId="2" type="noConversion"/>
  </si>
  <si>
    <t>USD 68,000</t>
    <phoneticPr fontId="2" type="noConversion"/>
  </si>
  <si>
    <t>USD 10,967</t>
    <phoneticPr fontId="2" type="noConversion"/>
  </si>
  <si>
    <t>17-231</t>
    <phoneticPr fontId="2" type="noConversion"/>
  </si>
  <si>
    <t>USD21,400</t>
    <phoneticPr fontId="2" type="noConversion"/>
  </si>
  <si>
    <t>USD 3,210</t>
    <phoneticPr fontId="2" type="noConversion"/>
  </si>
  <si>
    <t>17-233</t>
    <phoneticPr fontId="2" type="noConversion"/>
  </si>
  <si>
    <t>R500</t>
    <phoneticPr fontId="2" type="noConversion"/>
  </si>
  <si>
    <t>USD 5000</t>
    <phoneticPr fontId="2" type="noConversion"/>
  </si>
  <si>
    <t>USD750</t>
    <phoneticPr fontId="2" type="noConversion"/>
  </si>
  <si>
    <t>17-255</t>
    <phoneticPr fontId="2" type="noConversion"/>
  </si>
  <si>
    <t>USD3,150</t>
    <phoneticPr fontId="2" type="noConversion"/>
  </si>
  <si>
    <t>17-257</t>
    <phoneticPr fontId="2" type="noConversion"/>
  </si>
  <si>
    <t>SonarWiz EMA x 3</t>
    <phoneticPr fontId="2" type="noConversion"/>
  </si>
  <si>
    <t>CHESAPEAKE</t>
    <phoneticPr fontId="2" type="noConversion"/>
  </si>
  <si>
    <t>USD 3,985</t>
    <phoneticPr fontId="2" type="noConversion"/>
  </si>
  <si>
    <t>USD 996.25</t>
    <phoneticPr fontId="2" type="noConversion"/>
  </si>
  <si>
    <t>17-258</t>
    <phoneticPr fontId="2" type="noConversion"/>
  </si>
  <si>
    <t>2D Deck cable, power supply</t>
    <phoneticPr fontId="2" type="noConversion"/>
  </si>
  <si>
    <t>USD 7,560</t>
    <phoneticPr fontId="2" type="noConversion"/>
  </si>
  <si>
    <t>USD 756</t>
    <phoneticPr fontId="2" type="noConversion"/>
  </si>
  <si>
    <t>17-266</t>
    <phoneticPr fontId="2" type="noConversion"/>
  </si>
  <si>
    <t>USD 27,000</t>
    <phoneticPr fontId="2" type="noConversion"/>
  </si>
  <si>
    <t>17-269</t>
    <phoneticPr fontId="2" type="noConversion"/>
  </si>
  <si>
    <t>IR7300 x 2</t>
    <phoneticPr fontId="2" type="noConversion"/>
  </si>
  <si>
    <t>USD 9000</t>
    <phoneticPr fontId="2" type="noConversion"/>
  </si>
  <si>
    <t>USD 1,350</t>
    <phoneticPr fontId="2" type="noConversion"/>
  </si>
  <si>
    <t>17-270</t>
    <phoneticPr fontId="2" type="noConversion"/>
  </si>
  <si>
    <t>usd 21,000</t>
    <phoneticPr fontId="2" type="noConversion"/>
  </si>
  <si>
    <t>17-272</t>
    <phoneticPr fontId="2" type="noConversion"/>
  </si>
  <si>
    <t>G3 Slocum Glider</t>
    <phoneticPr fontId="2" type="noConversion"/>
  </si>
  <si>
    <t>USD 149,600</t>
    <phoneticPr fontId="2" type="noConversion"/>
  </si>
  <si>
    <t>USD 6,644</t>
    <phoneticPr fontId="2" type="noConversion"/>
  </si>
  <si>
    <t>17-281</t>
    <phoneticPr fontId="2" type="noConversion"/>
  </si>
  <si>
    <t>세이프텍</t>
    <phoneticPr fontId="2" type="noConversion"/>
  </si>
  <si>
    <t>EUR 75000</t>
    <phoneticPr fontId="2" type="noConversion"/>
  </si>
  <si>
    <t>17-294</t>
    <phoneticPr fontId="2" type="noConversion"/>
  </si>
  <si>
    <t>R2K</t>
    <phoneticPr fontId="2" type="noConversion"/>
  </si>
  <si>
    <t>USD 10,700</t>
    <phoneticPr fontId="2" type="noConversion"/>
  </si>
  <si>
    <t>USD 1,605</t>
    <phoneticPr fontId="2" type="noConversion"/>
  </si>
  <si>
    <t>17-298</t>
    <phoneticPr fontId="2" type="noConversion"/>
  </si>
  <si>
    <t>현대중공업</t>
    <phoneticPr fontId="2" type="noConversion"/>
  </si>
  <si>
    <t>Farsounder 1000 외</t>
    <phoneticPr fontId="2" type="noConversion"/>
  </si>
  <si>
    <t>USD 627,500</t>
    <phoneticPr fontId="2" type="noConversion"/>
  </si>
  <si>
    <t>USD 100,578.15</t>
    <phoneticPr fontId="2" type="noConversion"/>
  </si>
  <si>
    <t>17-300</t>
    <phoneticPr fontId="2" type="noConversion"/>
  </si>
  <si>
    <t>17-363</t>
    <phoneticPr fontId="2" type="noConversion"/>
  </si>
  <si>
    <t>C Nav signal</t>
    <phoneticPr fontId="2" type="noConversion"/>
  </si>
  <si>
    <t>USD 12,000</t>
    <phoneticPr fontId="2" type="noConversion"/>
  </si>
  <si>
    <t>17-379</t>
    <phoneticPr fontId="2" type="noConversion"/>
  </si>
  <si>
    <t>17-382</t>
    <phoneticPr fontId="2" type="noConversion"/>
  </si>
  <si>
    <t>NOK 194,800</t>
    <phoneticPr fontId="2" type="noConversion"/>
  </si>
  <si>
    <t>17-385</t>
    <phoneticPr fontId="2" type="noConversion"/>
  </si>
  <si>
    <t>17-398</t>
    <phoneticPr fontId="2" type="noConversion"/>
  </si>
  <si>
    <t>18-3</t>
    <phoneticPr fontId="2" type="noConversion"/>
  </si>
  <si>
    <t>18-25</t>
    <phoneticPr fontId="2" type="noConversion"/>
  </si>
  <si>
    <t>EUR979.80</t>
    <phoneticPr fontId="2" type="noConversion"/>
  </si>
  <si>
    <t>18-39</t>
    <phoneticPr fontId="2" type="noConversion"/>
  </si>
  <si>
    <t>18-50</t>
    <phoneticPr fontId="2" type="noConversion"/>
  </si>
  <si>
    <t>18-89</t>
    <phoneticPr fontId="2" type="noConversion"/>
  </si>
  <si>
    <t>삼원중공업</t>
    <phoneticPr fontId="2" type="noConversion"/>
  </si>
  <si>
    <t>USD 89,952.36</t>
    <phoneticPr fontId="2" type="noConversion"/>
  </si>
  <si>
    <t>하나은행으로 입금</t>
    <phoneticPr fontId="2" type="noConversion"/>
  </si>
  <si>
    <t>18-90</t>
    <phoneticPr fontId="2" type="noConversion"/>
  </si>
  <si>
    <t>NOK 309,460</t>
    <phoneticPr fontId="2" type="noConversion"/>
  </si>
  <si>
    <t>18-106</t>
    <phoneticPr fontId="2" type="noConversion"/>
  </si>
  <si>
    <t>NOK 119,203</t>
    <phoneticPr fontId="2" type="noConversion"/>
  </si>
  <si>
    <t>18-117</t>
    <phoneticPr fontId="2" type="noConversion"/>
  </si>
  <si>
    <t>Sercel(OTUK)</t>
    <phoneticPr fontId="2" type="noConversion"/>
  </si>
  <si>
    <t>18-122</t>
    <phoneticPr fontId="2" type="noConversion"/>
  </si>
  <si>
    <t>18-124</t>
    <phoneticPr fontId="2" type="noConversion"/>
  </si>
  <si>
    <t>18-126</t>
    <phoneticPr fontId="2" type="noConversion"/>
  </si>
  <si>
    <t>18-123</t>
    <phoneticPr fontId="2" type="noConversion"/>
  </si>
  <si>
    <t>EUR 11,147</t>
    <phoneticPr fontId="2" type="noConversion"/>
  </si>
  <si>
    <t>18-143</t>
    <phoneticPr fontId="2" type="noConversion"/>
  </si>
  <si>
    <t>18-144</t>
    <phoneticPr fontId="2" type="noConversion"/>
  </si>
  <si>
    <t>18-145</t>
    <phoneticPr fontId="2" type="noConversion"/>
  </si>
  <si>
    <t>실시간 수중음향 감시시스템(Hydrophone buoy)</t>
    <phoneticPr fontId="2" type="noConversion"/>
  </si>
  <si>
    <t>EUR 13,387</t>
    <phoneticPr fontId="2" type="noConversion"/>
  </si>
  <si>
    <t>금액수정됨..</t>
    <phoneticPr fontId="2" type="noConversion"/>
  </si>
  <si>
    <t>18-148</t>
    <phoneticPr fontId="2" type="noConversion"/>
  </si>
  <si>
    <t>USD 465</t>
    <phoneticPr fontId="2" type="noConversion"/>
  </si>
  <si>
    <t>18-158</t>
    <phoneticPr fontId="2" type="noConversion"/>
  </si>
  <si>
    <t>Oktopus</t>
    <phoneticPr fontId="2" type="noConversion"/>
  </si>
  <si>
    <t>EUR 40,138</t>
    <phoneticPr fontId="2" type="noConversion"/>
  </si>
  <si>
    <t>EUR 14,008</t>
    <phoneticPr fontId="2" type="noConversion"/>
  </si>
  <si>
    <t>18-166</t>
    <phoneticPr fontId="2" type="noConversion"/>
  </si>
  <si>
    <t>육상용 중력계</t>
    <phoneticPr fontId="2" type="noConversion"/>
  </si>
  <si>
    <t>USD 16,884</t>
    <phoneticPr fontId="2" type="noConversion"/>
  </si>
  <si>
    <t>18-173</t>
    <phoneticPr fontId="2" type="noConversion"/>
  </si>
  <si>
    <t>탐해23호 ARIS</t>
    <phoneticPr fontId="2" type="noConversion"/>
  </si>
  <si>
    <t>USD51,964.50</t>
    <phoneticPr fontId="2" type="noConversion"/>
  </si>
  <si>
    <t>12월초 입금예정</t>
    <phoneticPr fontId="2" type="noConversion"/>
  </si>
  <si>
    <t>18-174</t>
    <phoneticPr fontId="2" type="noConversion"/>
  </si>
  <si>
    <t>HK조선</t>
    <phoneticPr fontId="2" type="noConversion"/>
  </si>
  <si>
    <t>탐해23호 AWS</t>
    <phoneticPr fontId="2" type="noConversion"/>
  </si>
  <si>
    <t>18-175</t>
    <phoneticPr fontId="2" type="noConversion"/>
  </si>
  <si>
    <t xml:space="preserve">탐해23호 MOCNESS </t>
    <phoneticPr fontId="2" type="noConversion"/>
  </si>
  <si>
    <t>18-181</t>
    <phoneticPr fontId="2" type="noConversion"/>
  </si>
  <si>
    <t>USD 3,311</t>
    <phoneticPr fontId="2" type="noConversion"/>
  </si>
  <si>
    <t>9/19Check 매입</t>
    <phoneticPr fontId="2" type="noConversion"/>
  </si>
  <si>
    <t>2018-07-17 발행일</t>
    <phoneticPr fontId="2" type="noConversion"/>
  </si>
  <si>
    <t>18-192</t>
    <phoneticPr fontId="2" type="noConversion"/>
  </si>
  <si>
    <t>18-208</t>
    <phoneticPr fontId="2" type="noConversion"/>
  </si>
  <si>
    <t>USD 17,070</t>
    <phoneticPr fontId="2" type="noConversion"/>
  </si>
  <si>
    <t>USD 2,560.50</t>
    <phoneticPr fontId="2" type="noConversion"/>
  </si>
  <si>
    <t>18-253</t>
    <phoneticPr fontId="2" type="noConversion"/>
  </si>
  <si>
    <t>2/15 remind</t>
    <phoneticPr fontId="2" type="noConversion"/>
  </si>
  <si>
    <t>18-264</t>
    <phoneticPr fontId="2" type="noConversion"/>
  </si>
  <si>
    <t>USD 1,437.75</t>
    <phoneticPr fontId="2" type="noConversion"/>
  </si>
  <si>
    <t>18-274</t>
    <phoneticPr fontId="2" type="noConversion"/>
  </si>
  <si>
    <t>PCO2 system 수리</t>
    <phoneticPr fontId="2" type="noConversion"/>
  </si>
  <si>
    <t>USD 73,030</t>
    <phoneticPr fontId="2" type="noConversion"/>
  </si>
  <si>
    <t>USD19,840.63</t>
    <phoneticPr fontId="2" type="noConversion"/>
  </si>
  <si>
    <t>18-295</t>
    <phoneticPr fontId="2" type="noConversion"/>
  </si>
  <si>
    <t>Hydrophone &amp; Accessories</t>
    <phoneticPr fontId="2" type="noConversion"/>
  </si>
  <si>
    <t>18-326</t>
    <phoneticPr fontId="2" type="noConversion"/>
  </si>
  <si>
    <t>18-352</t>
    <phoneticPr fontId="2" type="noConversion"/>
  </si>
  <si>
    <t>USD 5,265.75</t>
    <phoneticPr fontId="2" type="noConversion"/>
  </si>
  <si>
    <t>하위 19년</t>
    <phoneticPr fontId="7" type="noConversion"/>
  </si>
  <si>
    <t>Sercel</t>
    <phoneticPr fontId="2" type="noConversion"/>
  </si>
  <si>
    <t>Air Gun 부품</t>
    <phoneticPr fontId="2" type="noConversion"/>
  </si>
  <si>
    <t>USD 34,155</t>
    <phoneticPr fontId="2" type="noConversion"/>
  </si>
  <si>
    <t>Marine Source 부품</t>
    <phoneticPr fontId="2" type="noConversion"/>
  </si>
  <si>
    <t>USD 37,455</t>
    <phoneticPr fontId="2" type="noConversion"/>
  </si>
  <si>
    <t>KIGAM</t>
    <phoneticPr fontId="2" type="noConversion"/>
  </si>
  <si>
    <t>Sercel</t>
    <phoneticPr fontId="2" type="noConversion"/>
  </si>
  <si>
    <t>Mini Gun</t>
    <phoneticPr fontId="2" type="noConversion"/>
  </si>
  <si>
    <t>USD 4,519</t>
  </si>
  <si>
    <t>USD 5,171</t>
  </si>
  <si>
    <t>USD 692</t>
  </si>
  <si>
    <t>USD 1,370</t>
  </si>
  <si>
    <t>USD 2,048</t>
  </si>
  <si>
    <t>USD 2,048</t>
    <phoneticPr fontId="7" type="noConversion"/>
  </si>
  <si>
    <t>19-001</t>
    <phoneticPr fontId="7" type="noConversion"/>
  </si>
  <si>
    <t>NO</t>
    <phoneticPr fontId="7" type="noConversion"/>
  </si>
  <si>
    <t>완료</t>
    <phoneticPr fontId="2" type="noConversion"/>
  </si>
  <si>
    <t>완료</t>
    <phoneticPr fontId="7" type="noConversion"/>
  </si>
  <si>
    <t>Benthos</t>
    <phoneticPr fontId="2" type="noConversion"/>
  </si>
  <si>
    <t>KOPRI</t>
    <phoneticPr fontId="2" type="noConversion"/>
  </si>
  <si>
    <t>AR R2K</t>
    <phoneticPr fontId="2" type="noConversion"/>
  </si>
  <si>
    <t>KIOST</t>
    <phoneticPr fontId="2" type="noConversion"/>
  </si>
  <si>
    <t>USD 11,700</t>
    <phoneticPr fontId="2" type="noConversion"/>
  </si>
  <si>
    <t>생산기술연구원</t>
    <phoneticPr fontId="2" type="noConversion"/>
  </si>
  <si>
    <t>수중카메라 외</t>
    <phoneticPr fontId="2" type="noConversion"/>
  </si>
  <si>
    <t>USD 22,799.70</t>
    <phoneticPr fontId="2" type="noConversion"/>
  </si>
  <si>
    <t>KOPRI</t>
    <phoneticPr fontId="2" type="noConversion"/>
  </si>
  <si>
    <t>KIOST</t>
    <phoneticPr fontId="2" type="noConversion"/>
  </si>
  <si>
    <t xml:space="preserve"> TV Grab</t>
    <phoneticPr fontId="2" type="noConversion"/>
  </si>
  <si>
    <t>EUR 707,830</t>
    <phoneticPr fontId="2" type="noConversion"/>
  </si>
  <si>
    <t>HDZ seacam</t>
    <phoneticPr fontId="2" type="noConversion"/>
  </si>
  <si>
    <t>KLEIN</t>
    <phoneticPr fontId="2" type="noConversion"/>
  </si>
  <si>
    <t xml:space="preserve">UUV 3500 </t>
    <phoneticPr fontId="2" type="noConversion"/>
  </si>
  <si>
    <t>USD 58,330</t>
    <phoneticPr fontId="2" type="noConversion"/>
  </si>
  <si>
    <t>19-023</t>
    <phoneticPr fontId="7" type="noConversion"/>
  </si>
  <si>
    <t>19-039</t>
    <phoneticPr fontId="7" type="noConversion"/>
  </si>
  <si>
    <t>19-065</t>
    <phoneticPr fontId="7" type="noConversion"/>
  </si>
  <si>
    <t>Eur 24,086.93</t>
    <phoneticPr fontId="7" type="noConversion"/>
  </si>
  <si>
    <t>YES</t>
    <phoneticPr fontId="7" type="noConversion"/>
  </si>
  <si>
    <t>19-072</t>
    <phoneticPr fontId="7" type="noConversion"/>
  </si>
  <si>
    <t>19-073</t>
    <phoneticPr fontId="7" type="noConversion"/>
  </si>
  <si>
    <t>19-130</t>
    <phoneticPr fontId="7" type="noConversion"/>
  </si>
  <si>
    <t>19-131</t>
    <phoneticPr fontId="7" type="noConversion"/>
  </si>
  <si>
    <t>19-139</t>
    <phoneticPr fontId="7" type="noConversion"/>
  </si>
  <si>
    <t>19-201</t>
    <phoneticPr fontId="7" type="noConversion"/>
  </si>
  <si>
    <t>19-213</t>
    <phoneticPr fontId="7" type="noConversion"/>
  </si>
  <si>
    <t>19-214</t>
    <phoneticPr fontId="7" type="noConversion"/>
  </si>
  <si>
    <t>19-216</t>
    <phoneticPr fontId="7" type="noConversion"/>
  </si>
  <si>
    <t>19-235</t>
    <phoneticPr fontId="7" type="noConversion"/>
  </si>
  <si>
    <t>19-254</t>
    <phoneticPr fontId="7" type="noConversion"/>
  </si>
  <si>
    <t>19-268</t>
    <phoneticPr fontId="7" type="noConversion"/>
  </si>
  <si>
    <t>1차 19.10.24</t>
    <phoneticPr fontId="7" type="noConversion"/>
  </si>
  <si>
    <t>USD 2,100</t>
    <phoneticPr fontId="7" type="noConversion"/>
  </si>
  <si>
    <t>USD 3,487.50</t>
    <phoneticPr fontId="7" type="noConversion"/>
  </si>
  <si>
    <t>USD 3,500</t>
    <phoneticPr fontId="2" type="noConversion"/>
  </si>
  <si>
    <t>USD 525.00</t>
    <phoneticPr fontId="7" type="noConversion"/>
  </si>
  <si>
    <t>USD 5,400.96</t>
    <phoneticPr fontId="7" type="noConversion"/>
  </si>
  <si>
    <t>EUR 6,986.00</t>
    <phoneticPr fontId="7" type="noConversion"/>
  </si>
  <si>
    <t>USD 60,928</t>
    <phoneticPr fontId="2" type="noConversion"/>
  </si>
  <si>
    <t>USD 9,139.20</t>
    <phoneticPr fontId="7" type="noConversion"/>
  </si>
  <si>
    <t>이부장메모</t>
    <phoneticPr fontId="2" type="noConversion"/>
  </si>
  <si>
    <t>USD 1,290.24</t>
    <phoneticPr fontId="7" type="noConversion"/>
  </si>
  <si>
    <t>일부</t>
    <phoneticPr fontId="7" type="noConversion"/>
  </si>
  <si>
    <t>1st. 2019-12-18</t>
    <phoneticPr fontId="7" type="noConversion"/>
  </si>
  <si>
    <t>USD 2,601.48</t>
    <phoneticPr fontId="7" type="noConversion"/>
  </si>
  <si>
    <t>USD 10,391.25</t>
    <phoneticPr fontId="7" type="noConversion"/>
  </si>
  <si>
    <t>2020년 발급</t>
    <phoneticPr fontId="7" type="noConversion"/>
  </si>
  <si>
    <t>입금, 발급등 진행전</t>
    <phoneticPr fontId="7" type="noConversion"/>
  </si>
  <si>
    <t>Benthos</t>
    <phoneticPr fontId="7" type="noConversion"/>
  </si>
  <si>
    <t>내자</t>
    <phoneticPr fontId="7" type="noConversion"/>
  </si>
  <si>
    <t>오션테크</t>
    <phoneticPr fontId="7" type="noConversion"/>
  </si>
  <si>
    <t>AADI</t>
    <phoneticPr fontId="7" type="noConversion"/>
  </si>
  <si>
    <t>-</t>
    <phoneticPr fontId="7" type="noConversion"/>
  </si>
  <si>
    <t>오션사이언스</t>
    <phoneticPr fontId="7" type="noConversion"/>
  </si>
  <si>
    <t>KIOST</t>
  </si>
  <si>
    <t>Aanderaa</t>
    <phoneticPr fontId="7" type="noConversion"/>
  </si>
  <si>
    <t>KOPRI</t>
    <phoneticPr fontId="7" type="noConversion"/>
  </si>
  <si>
    <t>Sercel</t>
    <phoneticPr fontId="7" type="noConversion"/>
  </si>
  <si>
    <t>GI-GUN Spare parts 구매</t>
    <phoneticPr fontId="7" type="noConversion"/>
  </si>
  <si>
    <t>USD 16,410</t>
    <phoneticPr fontId="7" type="noConversion"/>
  </si>
  <si>
    <t>USD 99,985</t>
    <phoneticPr fontId="7" type="noConversion"/>
  </si>
  <si>
    <t>COX</t>
  </si>
  <si>
    <t>Sercel</t>
  </si>
  <si>
    <t>KIGAM</t>
    <phoneticPr fontId="7" type="noConversion"/>
  </si>
  <si>
    <t>입찰참가자격</t>
    <phoneticPr fontId="7" type="noConversion"/>
  </si>
  <si>
    <t>R2K</t>
    <phoneticPr fontId="7" type="noConversion"/>
  </si>
  <si>
    <t>Parts of AANDERAA SeaGuard System</t>
    <phoneticPr fontId="7" type="noConversion"/>
  </si>
  <si>
    <t>USD 11,700</t>
    <phoneticPr fontId="7" type="noConversion"/>
  </si>
  <si>
    <t>NOK 47,200</t>
    <phoneticPr fontId="7" type="noConversion"/>
  </si>
  <si>
    <t>USD 1,022.43</t>
    <phoneticPr fontId="7" type="noConversion"/>
  </si>
  <si>
    <t>USD 1,064.04</t>
    <phoneticPr fontId="7" type="noConversion"/>
  </si>
  <si>
    <t>EUR 100,320</t>
    <phoneticPr fontId="7" type="noConversion"/>
  </si>
  <si>
    <t>2차 20.06.10</t>
    <phoneticPr fontId="7" type="noConversion"/>
  </si>
  <si>
    <t>조위계 및 CT</t>
    <phoneticPr fontId="7" type="noConversion"/>
  </si>
  <si>
    <t>USD 5,370.21</t>
    <phoneticPr fontId="7" type="noConversion"/>
  </si>
  <si>
    <t>USD 2,800</t>
    <phoneticPr fontId="7" type="noConversion"/>
  </si>
  <si>
    <t>YES</t>
    <phoneticPr fontId="7" type="noConversion"/>
  </si>
  <si>
    <t>담당자 확인 필요</t>
    <phoneticPr fontId="7" type="noConversion"/>
  </si>
  <si>
    <t>ixBlue</t>
    <phoneticPr fontId="7" type="noConversion"/>
  </si>
  <si>
    <t>지진계</t>
    <phoneticPr fontId="7" type="noConversion"/>
  </si>
  <si>
    <t>EUR 56,200</t>
    <phoneticPr fontId="7" type="noConversion"/>
  </si>
  <si>
    <t>SERCEL</t>
    <phoneticPr fontId="7" type="noConversion"/>
  </si>
  <si>
    <t>Marine source 부속품</t>
    <phoneticPr fontId="7" type="noConversion"/>
  </si>
  <si>
    <t>USD 6,800</t>
    <phoneticPr fontId="7" type="noConversion"/>
  </si>
  <si>
    <t>Eiva</t>
    <phoneticPr fontId="7" type="noConversion"/>
  </si>
  <si>
    <t>NaviPac</t>
    <phoneticPr fontId="7" type="noConversion"/>
  </si>
  <si>
    <t>EUR 7,495</t>
    <phoneticPr fontId="7" type="noConversion"/>
  </si>
  <si>
    <t>20-058</t>
    <phoneticPr fontId="7" type="noConversion"/>
  </si>
  <si>
    <t>20-105</t>
    <phoneticPr fontId="7" type="noConversion"/>
  </si>
  <si>
    <t>USD 1,755</t>
    <phoneticPr fontId="7" type="noConversion"/>
  </si>
  <si>
    <t>2020.07.30</t>
    <phoneticPr fontId="7" type="noConversion"/>
  </si>
  <si>
    <t>NO</t>
    <phoneticPr fontId="7" type="noConversion"/>
  </si>
  <si>
    <t>2020.08.31</t>
    <phoneticPr fontId="7" type="noConversion"/>
  </si>
  <si>
    <t>EUR 2,248.50</t>
    <phoneticPr fontId="7" type="noConversion"/>
  </si>
  <si>
    <t>USD 805.53</t>
    <phoneticPr fontId="7" type="noConversion"/>
  </si>
  <si>
    <t>20-173</t>
    <phoneticPr fontId="7" type="noConversion"/>
  </si>
  <si>
    <t>20-224</t>
    <phoneticPr fontId="7" type="noConversion"/>
  </si>
  <si>
    <t>2020.08.21</t>
    <phoneticPr fontId="7" type="noConversion"/>
  </si>
  <si>
    <t>20-226</t>
    <phoneticPr fontId="7" type="noConversion"/>
  </si>
  <si>
    <t>USD 2,412.75</t>
    <phoneticPr fontId="7" type="noConversion"/>
  </si>
  <si>
    <t>UTS-9400</t>
    <phoneticPr fontId="2" type="noConversion"/>
  </si>
  <si>
    <t>USD 16,085</t>
    <phoneticPr fontId="2" type="noConversion"/>
  </si>
  <si>
    <t>2020.11.10</t>
    <phoneticPr fontId="7" type="noConversion"/>
  </si>
  <si>
    <t>2020.09.29</t>
    <phoneticPr fontId="7" type="noConversion"/>
  </si>
  <si>
    <t>9/29, 10/23</t>
    <phoneticPr fontId="7" type="noConversion"/>
  </si>
  <si>
    <t>KIGAM</t>
  </si>
  <si>
    <t>SHS2 스트리머 부속품</t>
  </si>
  <si>
    <t xml:space="preserve"> USD 20,185 </t>
  </si>
  <si>
    <t>KOPRI</t>
  </si>
  <si>
    <t>Spare parts of GI SOURCEII</t>
  </si>
  <si>
    <t>SERCEL</t>
  </si>
  <si>
    <t xml:space="preserve"> USD 21,863.70 </t>
  </si>
  <si>
    <t>ITRAX Spare Parts</t>
  </si>
  <si>
    <t xml:space="preserve"> EUR 4,872 </t>
  </si>
  <si>
    <t>R2K</t>
  </si>
  <si>
    <t xml:space="preserve"> USD 11,700 </t>
  </si>
  <si>
    <t>Tow Cable for SeaSPY2 Magnetometer</t>
  </si>
  <si>
    <t>Marine Magnetics</t>
  </si>
  <si>
    <t xml:space="preserve"> USD 8,420 </t>
  </si>
  <si>
    <t>USD 1,260.50</t>
  </si>
  <si>
    <t>GNM</t>
  </si>
  <si>
    <t>선박용 P Counter 2식 수출</t>
  </si>
  <si>
    <t>한국해양기상기술</t>
  </si>
  <si>
    <t xml:space="preserve"> USD 40,000 </t>
  </si>
  <si>
    <t>PCO2 시스템 부품</t>
  </si>
  <si>
    <t xml:space="preserve"> USD 3,183 </t>
  </si>
  <si>
    <t>20-235</t>
    <phoneticPr fontId="7" type="noConversion"/>
  </si>
  <si>
    <t>20-262</t>
    <phoneticPr fontId="7" type="noConversion"/>
  </si>
  <si>
    <t>20-265</t>
    <phoneticPr fontId="7" type="noConversion"/>
  </si>
  <si>
    <t>20-310</t>
    <phoneticPr fontId="7" type="noConversion"/>
  </si>
  <si>
    <t>20-325</t>
    <phoneticPr fontId="7" type="noConversion"/>
  </si>
  <si>
    <t>20-347</t>
    <phoneticPr fontId="7" type="noConversion"/>
  </si>
  <si>
    <t>20-349</t>
    <phoneticPr fontId="7" type="noConversion"/>
  </si>
  <si>
    <t>20-180</t>
    <phoneticPr fontId="7" type="noConversion"/>
  </si>
  <si>
    <t>20-189</t>
    <phoneticPr fontId="7" type="noConversion"/>
  </si>
  <si>
    <t>20-196</t>
    <phoneticPr fontId="7" type="noConversion"/>
  </si>
  <si>
    <t>20-200</t>
    <phoneticPr fontId="7" type="noConversion"/>
  </si>
  <si>
    <t>20-117</t>
    <phoneticPr fontId="7" type="noConversion"/>
  </si>
  <si>
    <t>EUR 7,975</t>
    <phoneticPr fontId="7" type="noConversion"/>
  </si>
  <si>
    <t>20/09/29 $1,755/ 10/23 $345</t>
    <phoneticPr fontId="7" type="noConversion"/>
  </si>
  <si>
    <t>BarnakiL board 수출대금</t>
    <phoneticPr fontId="7" type="noConversion"/>
  </si>
  <si>
    <t>2020-06-18 수출</t>
    <phoneticPr fontId="7" type="noConversion"/>
  </si>
  <si>
    <t>NOK 9,660.50</t>
    <phoneticPr fontId="7" type="noConversion"/>
  </si>
  <si>
    <t>2020.07.02</t>
    <phoneticPr fontId="7" type="noConversion"/>
  </si>
  <si>
    <t>6월중협의</t>
    <phoneticPr fontId="7" type="noConversion"/>
  </si>
  <si>
    <t>수출대금입금예정</t>
    <phoneticPr fontId="7" type="noConversion"/>
  </si>
  <si>
    <t>용역</t>
    <phoneticPr fontId="7" type="noConversion"/>
  </si>
  <si>
    <t>KHOA</t>
    <phoneticPr fontId="7" type="noConversion"/>
  </si>
  <si>
    <t>박세영</t>
    <phoneticPr fontId="7" type="noConversion"/>
  </si>
  <si>
    <t>YES</t>
    <phoneticPr fontId="7" type="noConversion"/>
  </si>
  <si>
    <t>USD 1,755.00</t>
    <phoneticPr fontId="7" type="noConversion"/>
  </si>
  <si>
    <t>2020.12.29</t>
    <phoneticPr fontId="7" type="noConversion"/>
  </si>
  <si>
    <t>2021-02-08 청구</t>
    <phoneticPr fontId="7" type="noConversion"/>
  </si>
  <si>
    <t>EUR 780.00</t>
    <phoneticPr fontId="7" type="noConversion"/>
  </si>
  <si>
    <t>YES</t>
    <phoneticPr fontId="7" type="noConversion"/>
  </si>
  <si>
    <t>YES</t>
    <phoneticPr fontId="7" type="noConversion"/>
  </si>
  <si>
    <t>KIOST</t>
    <phoneticPr fontId="7" type="noConversion"/>
  </si>
  <si>
    <t>Metocean</t>
    <phoneticPr fontId="7" type="noConversion"/>
  </si>
  <si>
    <t>영업부 
1차확인</t>
    <phoneticPr fontId="7" type="noConversion"/>
  </si>
  <si>
    <t>영업부
확인필요</t>
    <phoneticPr fontId="7" type="noConversion"/>
  </si>
  <si>
    <t>2021.10.01</t>
    <phoneticPr fontId="7" type="noConversion"/>
  </si>
  <si>
    <t>2021.10.01</t>
    <phoneticPr fontId="7" type="noConversion"/>
  </si>
  <si>
    <t>USD 552,000</t>
    <phoneticPr fontId="2" type="noConversion"/>
  </si>
  <si>
    <t xml:space="preserve">GeoEel  </t>
    <phoneticPr fontId="2" type="noConversion"/>
  </si>
  <si>
    <t>USD 27,600</t>
    <phoneticPr fontId="2" type="noConversion"/>
  </si>
  <si>
    <t xml:space="preserve">WAVEX system </t>
    <phoneticPr fontId="2" type="noConversion"/>
  </si>
  <si>
    <t>Miros</t>
    <phoneticPr fontId="2" type="noConversion"/>
  </si>
  <si>
    <t>NOK 604,800</t>
    <phoneticPr fontId="2" type="noConversion"/>
  </si>
  <si>
    <t>Mini Gun Array</t>
    <phoneticPr fontId="2" type="noConversion"/>
  </si>
  <si>
    <t>USD 68,996</t>
    <phoneticPr fontId="2" type="noConversion"/>
  </si>
  <si>
    <t xml:space="preserve">SEAL 점검 </t>
    <phoneticPr fontId="2" type="noConversion"/>
  </si>
  <si>
    <t>USD 27,330</t>
    <phoneticPr fontId="2" type="noConversion"/>
  </si>
  <si>
    <t>Marine Sources Spare parts</t>
    <phoneticPr fontId="2" type="noConversion"/>
  </si>
  <si>
    <t>USD 42,950</t>
    <phoneticPr fontId="2" type="noConversion"/>
  </si>
  <si>
    <t>한국표준과학연구원(KRISS)</t>
    <phoneticPr fontId="2" type="noConversion"/>
  </si>
  <si>
    <t>Hydrophone(TC4034-3),Preamp(EC6081)</t>
    <phoneticPr fontId="2" type="noConversion"/>
  </si>
  <si>
    <t>Eur 6,532</t>
    <phoneticPr fontId="2" type="noConversion"/>
  </si>
  <si>
    <t xml:space="preserve">Mini GI Gun </t>
    <phoneticPr fontId="2" type="noConversion"/>
  </si>
  <si>
    <t>USD 43,500</t>
    <phoneticPr fontId="2" type="noConversion"/>
  </si>
  <si>
    <t>Hydrophone (TC4032-2)-4ea 외</t>
    <phoneticPr fontId="2" type="noConversion"/>
  </si>
  <si>
    <t>EUR 14,086</t>
    <phoneticPr fontId="2" type="noConversion"/>
  </si>
  <si>
    <t>표층수온염분측정기(PCO2)</t>
    <phoneticPr fontId="2" type="noConversion"/>
  </si>
  <si>
    <t>GNM(GO)</t>
    <phoneticPr fontId="2" type="noConversion"/>
  </si>
  <si>
    <t>USD 220,000</t>
    <phoneticPr fontId="2" type="noConversion"/>
  </si>
  <si>
    <t>자동기상관측장치(AWS2700)</t>
    <phoneticPr fontId="2" type="noConversion"/>
  </si>
  <si>
    <t>NOK 537,000</t>
    <phoneticPr fontId="2" type="noConversion"/>
  </si>
  <si>
    <t>SeaguardII DCP DW</t>
    <phoneticPr fontId="2" type="noConversion"/>
  </si>
  <si>
    <t>NOK 326,000</t>
    <phoneticPr fontId="2" type="noConversion"/>
  </si>
  <si>
    <t>Air Gun Parts</t>
    <phoneticPr fontId="2" type="noConversion"/>
  </si>
  <si>
    <t>USD 22,061</t>
    <phoneticPr fontId="2" type="noConversion"/>
  </si>
  <si>
    <t>Gun system part</t>
    <phoneticPr fontId="2" type="noConversion"/>
  </si>
  <si>
    <t>USD 33,921</t>
    <phoneticPr fontId="2" type="noConversion"/>
  </si>
  <si>
    <t>Gun Controller PC</t>
    <phoneticPr fontId="2" type="noConversion"/>
  </si>
  <si>
    <t>USD 11,022</t>
    <phoneticPr fontId="2" type="noConversion"/>
  </si>
  <si>
    <t>Tow Ring</t>
    <phoneticPr fontId="2" type="noConversion"/>
  </si>
  <si>
    <t>USD 6,420</t>
    <phoneticPr fontId="2" type="noConversion"/>
  </si>
  <si>
    <t>NaviPac/NaviEdit upgrade</t>
    <phoneticPr fontId="2" type="noConversion"/>
  </si>
  <si>
    <t xml:space="preserve">A.R Deck Unit </t>
    <phoneticPr fontId="2" type="noConversion"/>
  </si>
  <si>
    <t>USD 13,000</t>
    <phoneticPr fontId="2" type="noConversion"/>
  </si>
  <si>
    <t>GPS Beacon (IR-7300)</t>
    <phoneticPr fontId="2" type="noConversion"/>
  </si>
  <si>
    <t>USD 4,500</t>
    <phoneticPr fontId="2" type="noConversion"/>
  </si>
  <si>
    <t>Rtsys</t>
    <phoneticPr fontId="2" type="noConversion"/>
  </si>
  <si>
    <t>Altimeter PSA-916</t>
    <phoneticPr fontId="2" type="noConversion"/>
  </si>
  <si>
    <t>USD 3,100</t>
    <phoneticPr fontId="2" type="noConversion"/>
  </si>
  <si>
    <t>TV Grap 수리</t>
    <phoneticPr fontId="2" type="noConversion"/>
  </si>
  <si>
    <t>ZLS Corporation</t>
    <phoneticPr fontId="2" type="noConversion"/>
  </si>
  <si>
    <t>USD 105,954</t>
    <phoneticPr fontId="2" type="noConversion"/>
  </si>
  <si>
    <t>OMI</t>
    <phoneticPr fontId="2" type="noConversion"/>
  </si>
  <si>
    <t>USD 186,000</t>
    <phoneticPr fontId="2" type="noConversion"/>
  </si>
  <si>
    <t xml:space="preserve">Mocness Termination kit </t>
    <phoneticPr fontId="2" type="noConversion"/>
  </si>
  <si>
    <t>USD 6,000</t>
    <phoneticPr fontId="2" type="noConversion"/>
  </si>
  <si>
    <t>EUR 6,712</t>
    <phoneticPr fontId="2" type="noConversion"/>
  </si>
  <si>
    <t xml:space="preserve">SeaCam </t>
    <phoneticPr fontId="2" type="noConversion"/>
  </si>
  <si>
    <t>SF2 signal 이용료</t>
    <phoneticPr fontId="2" type="noConversion"/>
  </si>
  <si>
    <t>C&amp;C Technologies</t>
    <phoneticPr fontId="2" type="noConversion"/>
  </si>
  <si>
    <t xml:space="preserve">Underwater Camera &amp; Light </t>
    <phoneticPr fontId="2" type="noConversion"/>
  </si>
  <si>
    <t>Deepsea Power</t>
    <phoneticPr fontId="2" type="noConversion"/>
  </si>
  <si>
    <t>USD 9,585</t>
    <phoneticPr fontId="2" type="noConversion"/>
  </si>
  <si>
    <t>Eur 6,022</t>
    <phoneticPr fontId="2" type="noConversion"/>
  </si>
  <si>
    <t>Concerto CTD repair</t>
    <phoneticPr fontId="2" type="noConversion"/>
  </si>
  <si>
    <t>USD 4,330</t>
    <phoneticPr fontId="2" type="noConversion"/>
  </si>
  <si>
    <t>ARIS Rotator</t>
    <phoneticPr fontId="2" type="noConversion"/>
  </si>
  <si>
    <t>USD 35,105</t>
    <phoneticPr fontId="2" type="noConversion"/>
  </si>
  <si>
    <t>2022년 해수유동 관측소 유지관리</t>
    <phoneticPr fontId="7" type="noConversion"/>
  </si>
  <si>
    <t>2022년 해양관측부이 유지관리</t>
    <phoneticPr fontId="7" type="noConversion"/>
  </si>
  <si>
    <t>세광종합기술단</t>
    <phoneticPr fontId="7" type="noConversion"/>
  </si>
  <si>
    <t>이영석</t>
    <phoneticPr fontId="7" type="noConversion"/>
  </si>
  <si>
    <t>#12196, 29538</t>
    <phoneticPr fontId="7" type="noConversion"/>
  </si>
  <si>
    <t>문홍배</t>
    <phoneticPr fontId="7" type="noConversion"/>
  </si>
  <si>
    <t>국토해양환경기술단</t>
    <phoneticPr fontId="7" type="noConversion"/>
  </si>
  <si>
    <t>RBR</t>
    <phoneticPr fontId="7" type="noConversion"/>
  </si>
  <si>
    <t>강미리</t>
    <phoneticPr fontId="7" type="noConversion"/>
  </si>
  <si>
    <t>R2K 4식</t>
    <phoneticPr fontId="7" type="noConversion"/>
  </si>
  <si>
    <t>RBRduo CT 2식</t>
    <phoneticPr fontId="7" type="noConversion"/>
  </si>
  <si>
    <t>하선종</t>
    <phoneticPr fontId="7" type="noConversion"/>
  </si>
  <si>
    <t>상품</t>
    <phoneticPr fontId="7" type="noConversion"/>
  </si>
  <si>
    <t>한국종합환경연구소</t>
    <phoneticPr fontId="7" type="noConversion"/>
  </si>
  <si>
    <t>이가영</t>
    <phoneticPr fontId="7" type="noConversion"/>
  </si>
  <si>
    <t>JW Fisher</t>
    <phoneticPr fontId="7" type="noConversion"/>
  </si>
  <si>
    <t>UPR, 4ea</t>
    <phoneticPr fontId="7" type="noConversion"/>
  </si>
  <si>
    <t>이학용</t>
    <phoneticPr fontId="7" type="noConversion"/>
  </si>
  <si>
    <t>월성원전</t>
    <phoneticPr fontId="7" type="noConversion"/>
  </si>
  <si>
    <t>UPR, 2ea</t>
    <phoneticPr fontId="7" type="noConversion"/>
  </si>
  <si>
    <t>백원대</t>
    <phoneticPr fontId="7" type="noConversion"/>
  </si>
  <si>
    <t>CT센서 수리 및 검교정</t>
    <phoneticPr fontId="7" type="noConversion"/>
  </si>
  <si>
    <t>이기종</t>
    <phoneticPr fontId="7" type="noConversion"/>
  </si>
  <si>
    <t>#64398</t>
    <phoneticPr fontId="7" type="noConversion"/>
  </si>
  <si>
    <t>21-54</t>
  </si>
  <si>
    <t>SeaSPY2 Longitudinal Gradiometer</t>
  </si>
  <si>
    <t>USD 6,200.00</t>
  </si>
  <si>
    <t>USD 9,307.30</t>
  </si>
  <si>
    <t>YES</t>
  </si>
  <si>
    <t>2021.04.19 청구</t>
  </si>
  <si>
    <t>21-119</t>
  </si>
  <si>
    <t>지진계(BlueSeis-3A)</t>
  </si>
  <si>
    <t>Ixblue</t>
  </si>
  <si>
    <t>EUR 58,000</t>
  </si>
  <si>
    <t xml:space="preserve"> EUR 9,635.00</t>
  </si>
  <si>
    <t>21-143</t>
  </si>
  <si>
    <t>R12K 2식</t>
  </si>
  <si>
    <t>Benthos</t>
  </si>
  <si>
    <t>USD 33,120</t>
  </si>
  <si>
    <t>USD 4,968</t>
  </si>
  <si>
    <t>2021.06.08 청구</t>
  </si>
  <si>
    <t>21-154</t>
  </si>
  <si>
    <t>2021.08.26  청구</t>
  </si>
  <si>
    <t>21-155</t>
  </si>
  <si>
    <t>8채널 수진기 시스템 (8-Channel Streamer System)</t>
  </si>
  <si>
    <t>SIG</t>
  </si>
  <si>
    <t>EUR 19,000</t>
  </si>
  <si>
    <t>EUR 521</t>
  </si>
  <si>
    <t>21-158</t>
  </si>
  <si>
    <t>Underwater Glider</t>
  </si>
  <si>
    <t>Teledyne Webb</t>
  </si>
  <si>
    <t>USD 260,000</t>
  </si>
  <si>
    <t>USD 13,020</t>
  </si>
  <si>
    <t>21-169</t>
  </si>
  <si>
    <t>IR-7300</t>
  </si>
  <si>
    <t>Metocean</t>
  </si>
  <si>
    <t>USD4,500</t>
  </si>
  <si>
    <t>USD675</t>
  </si>
  <si>
    <t>2021.06.28 청구</t>
  </si>
  <si>
    <t>21-182</t>
  </si>
  <si>
    <t>USD 12,285</t>
  </si>
  <si>
    <t>USD 1,842.75</t>
  </si>
  <si>
    <t>21.08.02 청구</t>
  </si>
  <si>
    <t>21-199</t>
  </si>
  <si>
    <t>21.09.29 청구</t>
  </si>
  <si>
    <t>21-268</t>
  </si>
  <si>
    <t>Acoustic Release (R2K, R12K)</t>
  </si>
  <si>
    <t>USD 28,845</t>
  </si>
  <si>
    <t>USD 2884.50</t>
  </si>
  <si>
    <t>21-280</t>
  </si>
  <si>
    <t>USD 65,675.00</t>
  </si>
  <si>
    <t>USD 6,567.50</t>
  </si>
  <si>
    <t>21.11.12 청구</t>
  </si>
  <si>
    <t>21-242</t>
  </si>
  <si>
    <t>육상용 중력계 upgrade</t>
  </si>
  <si>
    <t>ZLS</t>
  </si>
  <si>
    <t>USD 21,950.00</t>
  </si>
  <si>
    <t>USD 3,135.00</t>
  </si>
  <si>
    <t>21.11.19 청구</t>
  </si>
  <si>
    <t>21-367</t>
  </si>
  <si>
    <t>Magdrone</t>
  </si>
  <si>
    <t>SENSYS</t>
  </si>
  <si>
    <t xml:space="preserve"> EUR 1,330</t>
  </si>
  <si>
    <t>EUR 1,330.00</t>
  </si>
  <si>
    <t>#63497, 63498</t>
    <phoneticPr fontId="7" type="noConversion"/>
  </si>
  <si>
    <t>유이선</t>
    <phoneticPr fontId="7" type="noConversion"/>
  </si>
  <si>
    <t>SIG</t>
    <phoneticPr fontId="7" type="noConversion"/>
  </si>
  <si>
    <t>조위검정시스템 HW 긴급점검</t>
    <phoneticPr fontId="7" type="noConversion"/>
  </si>
  <si>
    <t>전승호</t>
    <phoneticPr fontId="7" type="noConversion"/>
  </si>
  <si>
    <t>21-356</t>
    <phoneticPr fontId="7" type="noConversion"/>
  </si>
  <si>
    <t>KIOST</t>
    <phoneticPr fontId="7" type="noConversion"/>
  </si>
  <si>
    <t>Sparker Power Supplies - Pulse L5</t>
    <phoneticPr fontId="7" type="noConversion"/>
  </si>
  <si>
    <t>SIG</t>
    <phoneticPr fontId="7" type="noConversion"/>
  </si>
  <si>
    <t xml:space="preserve">EUR 66,490 </t>
    <phoneticPr fontId="7" type="noConversion"/>
  </si>
  <si>
    <t>EUR 14,224.00</t>
    <phoneticPr fontId="7" type="noConversion"/>
  </si>
  <si>
    <t>22.01.11 청구</t>
    <phoneticPr fontId="7" type="noConversion"/>
  </si>
  <si>
    <t>pCO2 및 유량계 외</t>
    <phoneticPr fontId="7" type="noConversion"/>
  </si>
  <si>
    <t>이사부호 DGPS Cnav</t>
    <phoneticPr fontId="7" type="noConversion"/>
  </si>
  <si>
    <t>이어도호 pCO2 system 부품</t>
    <phoneticPr fontId="7" type="noConversion"/>
  </si>
  <si>
    <t>GNM</t>
    <phoneticPr fontId="7" type="noConversion"/>
  </si>
  <si>
    <t>Oceaneering</t>
    <phoneticPr fontId="7" type="noConversion"/>
  </si>
  <si>
    <t>백세훈</t>
    <phoneticPr fontId="7" type="noConversion"/>
  </si>
  <si>
    <t>강한구</t>
    <phoneticPr fontId="7" type="noConversion"/>
  </si>
  <si>
    <t>김영준</t>
    <phoneticPr fontId="7" type="noConversion"/>
  </si>
  <si>
    <t>지오시스템리서치</t>
    <phoneticPr fontId="7" type="noConversion"/>
  </si>
  <si>
    <t>AAT</t>
    <phoneticPr fontId="7" type="noConversion"/>
  </si>
  <si>
    <t>서울대</t>
    <phoneticPr fontId="7" type="noConversion"/>
  </si>
  <si>
    <t>Nautilus</t>
    <phoneticPr fontId="7" type="noConversion"/>
  </si>
  <si>
    <t>박종규</t>
    <phoneticPr fontId="7" type="noConversion"/>
  </si>
  <si>
    <t>Niskin-X 5L</t>
    <phoneticPr fontId="7" type="noConversion"/>
  </si>
  <si>
    <t>Floatation Spheres 7식</t>
    <phoneticPr fontId="7" type="noConversion"/>
  </si>
  <si>
    <t>최재훈</t>
    <phoneticPr fontId="7" type="noConversion"/>
  </si>
  <si>
    <t>이호원</t>
    <phoneticPr fontId="7" type="noConversion"/>
  </si>
  <si>
    <t>남성현</t>
    <phoneticPr fontId="7" type="noConversion"/>
  </si>
  <si>
    <t>AR배터리 2식, R12K 배터리 2식</t>
    <phoneticPr fontId="7" type="noConversion"/>
  </si>
  <si>
    <t>R2K 2식</t>
    <phoneticPr fontId="7" type="noConversion"/>
  </si>
  <si>
    <t>#66178, 66179</t>
    <phoneticPr fontId="7" type="noConversion"/>
  </si>
  <si>
    <t>지오뷰</t>
    <phoneticPr fontId="7" type="noConversion"/>
  </si>
  <si>
    <t>이동완</t>
    <phoneticPr fontId="7" type="noConversion"/>
  </si>
  <si>
    <t>DCP (sn. 1776) 수리</t>
    <phoneticPr fontId="7" type="noConversion"/>
  </si>
  <si>
    <t>김한수</t>
    <phoneticPr fontId="7" type="noConversion"/>
  </si>
  <si>
    <t>최재호</t>
    <phoneticPr fontId="7" type="noConversion"/>
  </si>
  <si>
    <t>조위검정시스템 SW 업그레이드</t>
    <phoneticPr fontId="7" type="noConversion"/>
  </si>
  <si>
    <t xml:space="preserve"> DTI-300A</t>
    <phoneticPr fontId="7" type="noConversion"/>
  </si>
  <si>
    <t>RJE</t>
    <phoneticPr fontId="7" type="noConversion"/>
  </si>
  <si>
    <t>AAT</t>
    <phoneticPr fontId="7" type="noConversion"/>
  </si>
  <si>
    <t>UST21</t>
    <phoneticPr fontId="7" type="noConversion"/>
  </si>
  <si>
    <t>해양환경연구소</t>
    <phoneticPr fontId="7" type="noConversion"/>
  </si>
  <si>
    <t>최재훈</t>
    <phoneticPr fontId="7" type="noConversion"/>
  </si>
  <si>
    <t>김기훈</t>
    <phoneticPr fontId="7" type="noConversion"/>
  </si>
  <si>
    <t>장효상</t>
    <phoneticPr fontId="7" type="noConversion"/>
  </si>
  <si>
    <t>김병호</t>
    <phoneticPr fontId="7" type="noConversion"/>
  </si>
  <si>
    <t>Reson</t>
    <phoneticPr fontId="7" type="noConversion"/>
  </si>
  <si>
    <t>TC4059 x 2ea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</si>
  <si>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</si>
  <si>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</si>
  <si>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</si>
  <si>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R500용 Turnaround kit x 3ea</t>
    <phoneticPr fontId="7" type="noConversion"/>
  </si>
  <si>
    <t>하선종</t>
    <phoneticPr fontId="7" type="noConversion"/>
  </si>
  <si>
    <t>Idronaut</t>
    <phoneticPr fontId="7" type="noConversion"/>
  </si>
  <si>
    <t>RBR</t>
    <phoneticPr fontId="7" type="noConversion"/>
  </si>
  <si>
    <t>RBR concerto CTD</t>
    <phoneticPr fontId="7" type="noConversion"/>
  </si>
  <si>
    <t>대한해협 해양관측부이 1차 보험</t>
    <phoneticPr fontId="7" type="noConversion"/>
  </si>
  <si>
    <t>국립수산과학원</t>
    <phoneticPr fontId="7" type="noConversion"/>
  </si>
  <si>
    <t>탐구22호 모크니스용 터미네이션 키트</t>
    <phoneticPr fontId="7" type="noConversion"/>
  </si>
  <si>
    <t>지환성</t>
    <phoneticPr fontId="7" type="noConversion"/>
  </si>
  <si>
    <t>황규하</t>
    <phoneticPr fontId="7" type="noConversion"/>
  </si>
  <si>
    <t>#66226</t>
    <phoneticPr fontId="7" type="noConversion"/>
  </si>
  <si>
    <t>김해승</t>
    <phoneticPr fontId="7" type="noConversion"/>
  </si>
  <si>
    <t>PDS2000 동글교체</t>
    <phoneticPr fontId="7" type="noConversion"/>
  </si>
  <si>
    <t>유재일</t>
    <phoneticPr fontId="7" type="noConversion"/>
  </si>
  <si>
    <t>조사협회</t>
    <phoneticPr fontId="7" type="noConversion"/>
  </si>
  <si>
    <t>이승용</t>
    <phoneticPr fontId="7" type="noConversion"/>
  </si>
  <si>
    <t>CT센서 검교정</t>
    <phoneticPr fontId="7" type="noConversion"/>
  </si>
  <si>
    <t>외자</t>
    <phoneticPr fontId="7" type="noConversion"/>
  </si>
  <si>
    <t>USD 13,415</t>
    <phoneticPr fontId="7" type="noConversion"/>
  </si>
  <si>
    <t>이재윤</t>
    <phoneticPr fontId="7" type="noConversion"/>
  </si>
  <si>
    <t>제주남부 해양관측부이 1차 보험</t>
    <phoneticPr fontId="7" type="noConversion"/>
  </si>
  <si>
    <t>IR-7300, MMF-7500</t>
    <phoneticPr fontId="7" type="noConversion"/>
  </si>
  <si>
    <t>황유진</t>
    <phoneticPr fontId="7" type="noConversion"/>
  </si>
  <si>
    <t>노수연</t>
    <phoneticPr fontId="7" type="noConversion"/>
  </si>
  <si>
    <t>#66290</t>
    <phoneticPr fontId="7" type="noConversion"/>
  </si>
  <si>
    <t>#66286, 66287</t>
    <phoneticPr fontId="7" type="noConversion"/>
  </si>
  <si>
    <t>한국기상산업기술원</t>
    <phoneticPr fontId="7" type="noConversion"/>
  </si>
  <si>
    <t>풍도 항만기상관측장비 전원공급방식 개선</t>
    <phoneticPr fontId="7" type="noConversion"/>
  </si>
  <si>
    <t>전화숙</t>
    <phoneticPr fontId="7" type="noConversion"/>
  </si>
  <si>
    <t>임은표</t>
    <phoneticPr fontId="7" type="noConversion"/>
  </si>
  <si>
    <t>#64579</t>
    <phoneticPr fontId="7" type="noConversion"/>
  </si>
  <si>
    <t>오원진(하선종)</t>
    <phoneticPr fontId="7" type="noConversion"/>
  </si>
  <si>
    <t>황유진(문성주)</t>
    <phoneticPr fontId="7" type="noConversion"/>
  </si>
  <si>
    <t>오원진(문홍배)</t>
    <phoneticPr fontId="7" type="noConversion"/>
  </si>
  <si>
    <t>이재윤(이학용)</t>
    <phoneticPr fontId="7" type="noConversion"/>
  </si>
  <si>
    <t>박정은(하선종)</t>
    <phoneticPr fontId="7" type="noConversion"/>
  </si>
  <si>
    <t>황유진(연구팀)</t>
    <phoneticPr fontId="7" type="noConversion"/>
  </si>
  <si>
    <t>황유진(사업팀)</t>
    <phoneticPr fontId="7" type="noConversion"/>
  </si>
  <si>
    <t>최종규</t>
    <phoneticPr fontId="7" type="noConversion"/>
  </si>
  <si>
    <t>SPARE set for SIG PULSE L5 &amp; HV Capacitor</t>
    <phoneticPr fontId="7" type="noConversion"/>
  </si>
  <si>
    <t>KIOST</t>
    <phoneticPr fontId="7" type="noConversion"/>
  </si>
  <si>
    <t>김동국</t>
    <phoneticPr fontId="7" type="noConversion"/>
  </si>
  <si>
    <t>상품</t>
    <phoneticPr fontId="7" type="noConversion"/>
  </si>
  <si>
    <t>내자</t>
    <phoneticPr fontId="7" type="noConversion"/>
  </si>
  <si>
    <t>-</t>
    <phoneticPr fontId="7" type="noConversion"/>
  </si>
  <si>
    <t>이재윤</t>
    <phoneticPr fontId="7" type="noConversion"/>
  </si>
  <si>
    <t>02월 16일</t>
    <phoneticPr fontId="7" type="noConversion"/>
  </si>
  <si>
    <t>정도현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</si>
  <si>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</si>
  <si>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</si>
  <si>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</si>
  <si>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XRF 코어스캐너 및 대자율 스캐너 유지보수</t>
    <phoneticPr fontId="7" type="noConversion"/>
  </si>
  <si>
    <t>대한시스텍</t>
    <phoneticPr fontId="7" type="noConversion"/>
  </si>
  <si>
    <t>김준호</t>
    <phoneticPr fontId="7" type="noConversion"/>
  </si>
  <si>
    <t>RJE</t>
    <phoneticPr fontId="7" type="noConversion"/>
  </si>
  <si>
    <t>상품</t>
    <phoneticPr fontId="7" type="noConversion"/>
  </si>
  <si>
    <t>한국서부발전㈜/태안발전본부</t>
    <phoneticPr fontId="7" type="noConversion"/>
  </si>
  <si>
    <t>고재민</t>
    <phoneticPr fontId="7" type="noConversion"/>
  </si>
  <si>
    <t>오션테크</t>
    <phoneticPr fontId="7" type="noConversion"/>
  </si>
  <si>
    <t>용역</t>
    <phoneticPr fontId="7" type="noConversion"/>
  </si>
  <si>
    <t>21년12월28일</t>
    <phoneticPr fontId="7" type="noConversion"/>
  </si>
  <si>
    <t>하선종</t>
    <phoneticPr fontId="7" type="noConversion"/>
  </si>
  <si>
    <t>#65514, 65515, 65516, 65517, 65520,65521,65522</t>
    <phoneticPr fontId="7" type="noConversion"/>
  </si>
  <si>
    <t>한국수력원자력/한울원전</t>
    <phoneticPr fontId="7" type="noConversion"/>
  </si>
  <si>
    <t>임기훈</t>
    <phoneticPr fontId="7" type="noConversion"/>
  </si>
  <si>
    <t>#66379</t>
    <phoneticPr fontId="7" type="noConversion"/>
  </si>
  <si>
    <t>허기영</t>
    <phoneticPr fontId="7" type="noConversion"/>
  </si>
  <si>
    <t>베트남 부이 예비품 구매</t>
    <phoneticPr fontId="7" type="noConversion"/>
  </si>
  <si>
    <t>나루EMS</t>
    <phoneticPr fontId="7" type="noConversion"/>
  </si>
  <si>
    <t>HNS 수중케이블 및 커넥터</t>
    <phoneticPr fontId="7" type="noConversion"/>
  </si>
  <si>
    <t>JHS</t>
    <phoneticPr fontId="7" type="noConversion"/>
  </si>
  <si>
    <t>이철원</t>
    <phoneticPr fontId="7" type="noConversion"/>
  </si>
  <si>
    <t>BRC eng.</t>
    <phoneticPr fontId="7" type="noConversion"/>
  </si>
  <si>
    <t>2022년 해양기상관측장비 유지보수 관리용역</t>
    <phoneticPr fontId="7" type="noConversion"/>
  </si>
  <si>
    <t>㈜지엠티엔지니어링</t>
    <phoneticPr fontId="7" type="noConversion"/>
  </si>
  <si>
    <t>김철호</t>
    <phoneticPr fontId="7" type="noConversion"/>
  </si>
  <si>
    <t>pCO2 Sensor (탐구7호 관련)</t>
    <phoneticPr fontId="7" type="noConversion"/>
  </si>
  <si>
    <t>USD 237,000</t>
    <phoneticPr fontId="7" type="noConversion"/>
  </si>
  <si>
    <t>UTS-9500 1식 (부산대 입찰)</t>
    <phoneticPr fontId="7" type="noConversion"/>
  </si>
  <si>
    <t>묵호, 포항 레어져 조위계 수리</t>
    <phoneticPr fontId="7" type="noConversion"/>
  </si>
  <si>
    <t>AWS 자동기상관측장치 (탐구7호 관련)</t>
    <phoneticPr fontId="7" type="noConversion"/>
  </si>
  <si>
    <t>2021년 4분기 해수온도 연속측정설비 수시점검</t>
    <phoneticPr fontId="7" type="noConversion"/>
  </si>
  <si>
    <t>국산 채수기 5L 및 국산 메신져</t>
    <phoneticPr fontId="7" type="noConversion"/>
  </si>
  <si>
    <t>1분기 온배수 모니터링 시스템 유지보수</t>
    <phoneticPr fontId="7" type="noConversion"/>
  </si>
  <si>
    <t>1/21, 1/24</t>
    <phoneticPr fontId="7" type="noConversion"/>
  </si>
  <si>
    <t>KHOA</t>
    <phoneticPr fontId="7" type="noConversion"/>
  </si>
  <si>
    <t>계약담당
(견적/실무담당)</t>
    <phoneticPr fontId="2" type="noConversion"/>
  </si>
  <si>
    <t>무인해양조사선 다중빔 음향측심기 구매 및 설치</t>
    <phoneticPr fontId="7" type="noConversion"/>
  </si>
  <si>
    <t>황유진(무인팀)</t>
    <phoneticPr fontId="7" type="noConversion"/>
  </si>
  <si>
    <t>씨엠에스</t>
    <phoneticPr fontId="7" type="noConversion"/>
  </si>
  <si>
    <t>채병현</t>
    <phoneticPr fontId="7" type="noConversion"/>
  </si>
  <si>
    <t>RBR(오션사이언스)</t>
    <phoneticPr fontId="7" type="noConversion"/>
  </si>
  <si>
    <t>조위계</t>
    <phoneticPr fontId="7" type="noConversion"/>
  </si>
  <si>
    <t xml:space="preserve"> - </t>
    <phoneticPr fontId="7" type="noConversion"/>
  </si>
  <si>
    <t>#66471</t>
    <phoneticPr fontId="7" type="noConversion"/>
  </si>
  <si>
    <t>부경대학교</t>
    <phoneticPr fontId="7" type="noConversion"/>
  </si>
  <si>
    <t>나라호 AWS 정비</t>
    <phoneticPr fontId="7" type="noConversion"/>
  </si>
  <si>
    <t>엔지니어링사업(해양)(3599), ②항로표지위탁관리업(1401)</t>
    <phoneticPr fontId="7" type="noConversion"/>
  </si>
  <si>
    <t>엔지니어링사업(해양)(3599)</t>
    <phoneticPr fontId="7" type="noConversion"/>
  </si>
  <si>
    <t>기상장비업(3562)</t>
    <phoneticPr fontId="7" type="noConversion"/>
  </si>
  <si>
    <t>대양전기공업</t>
    <phoneticPr fontId="7" type="noConversion"/>
  </si>
  <si>
    <t>정수남</t>
    <phoneticPr fontId="7" type="noConversion"/>
  </si>
  <si>
    <t>서울대</t>
    <phoneticPr fontId="7" type="noConversion"/>
  </si>
  <si>
    <t>이승우</t>
    <phoneticPr fontId="7" type="noConversion"/>
  </si>
  <si>
    <t>Nautilus</t>
    <phoneticPr fontId="7" type="noConversion"/>
  </si>
  <si>
    <t>상품</t>
    <phoneticPr fontId="7" type="noConversion"/>
  </si>
  <si>
    <t>내자</t>
    <phoneticPr fontId="7" type="noConversion"/>
  </si>
  <si>
    <t>-</t>
    <phoneticPr fontId="7" type="noConversion"/>
  </si>
  <si>
    <t>KIOST</t>
    <phoneticPr fontId="7" type="noConversion"/>
  </si>
  <si>
    <t>김동국</t>
    <phoneticPr fontId="7" type="noConversion"/>
  </si>
  <si>
    <t>김동국</t>
    <phoneticPr fontId="7" type="noConversion"/>
  </si>
  <si>
    <t>상품</t>
    <phoneticPr fontId="7" type="noConversion"/>
  </si>
  <si>
    <t>내자</t>
    <phoneticPr fontId="7" type="noConversion"/>
  </si>
  <si>
    <t>03월 07일</t>
    <phoneticPr fontId="7" type="noConversion"/>
  </si>
  <si>
    <t>이재윤</t>
    <phoneticPr fontId="7" type="noConversion"/>
  </si>
  <si>
    <t>865AR 배터리x4식</t>
    <phoneticPr fontId="7" type="noConversion"/>
  </si>
  <si>
    <t>Glass Flotation Sphere 7식</t>
    <phoneticPr fontId="7" type="noConversion"/>
  </si>
  <si>
    <t>사업팀</t>
    <phoneticPr fontId="7" type="noConversion"/>
  </si>
  <si>
    <t>HJ중공업(구, 한진중공업)</t>
    <phoneticPr fontId="7" type="noConversion"/>
  </si>
  <si>
    <t>Marine Magnetics</t>
    <phoneticPr fontId="7" type="noConversion"/>
  </si>
  <si>
    <t>SeaSPY2</t>
    <phoneticPr fontId="7" type="noConversion"/>
  </si>
  <si>
    <t>USD 51,000</t>
    <phoneticPr fontId="7" type="noConversion"/>
  </si>
  <si>
    <t>2022.12.31 케이블선적 / 2023.3.10 장비선적</t>
    <phoneticPr fontId="7" type="noConversion"/>
  </si>
  <si>
    <t>안양대학교(부산대)</t>
    <phoneticPr fontId="7" type="noConversion"/>
  </si>
  <si>
    <t>전찬형</t>
    <phoneticPr fontId="7" type="noConversion"/>
  </si>
  <si>
    <t>Klein</t>
    <phoneticPr fontId="7" type="noConversion"/>
  </si>
  <si>
    <t>#66303(3개) #65505, #65504, #65503, #65502</t>
    <phoneticPr fontId="7" type="noConversion"/>
  </si>
  <si>
    <t># 66517, 66518, 66519, 66520</t>
    <phoneticPr fontId="7" type="noConversion"/>
  </si>
  <si>
    <t>#66579,66580,66581,66582</t>
    <phoneticPr fontId="7" type="noConversion"/>
  </si>
  <si>
    <t>#66472</t>
    <phoneticPr fontId="7" type="noConversion"/>
  </si>
  <si>
    <t>#66473, 66474</t>
    <phoneticPr fontId="7" type="noConversion"/>
  </si>
  <si>
    <t>채범수</t>
    <phoneticPr fontId="7" type="noConversion"/>
  </si>
  <si>
    <t>#66018</t>
    <phoneticPr fontId="7" type="noConversion"/>
  </si>
  <si>
    <t>-</t>
    <phoneticPr fontId="7" type="noConversion"/>
  </si>
  <si>
    <t>실제아님</t>
    <phoneticPr fontId="7" type="noConversion"/>
  </si>
  <si>
    <t>KIOST</t>
    <phoneticPr fontId="7" type="noConversion"/>
  </si>
  <si>
    <t>김동국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</si>
  <si>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</si>
  <si>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</si>
  <si>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</si>
  <si>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이재윤</t>
    <phoneticPr fontId="7" type="noConversion"/>
  </si>
  <si>
    <t>#66619,66620</t>
    <phoneticPr fontId="7" type="noConversion"/>
  </si>
  <si>
    <t>#65678</t>
    <phoneticPr fontId="7" type="noConversion"/>
  </si>
  <si>
    <t>부산대학교</t>
    <phoneticPr fontId="7" type="noConversion"/>
  </si>
  <si>
    <t>#66621, 66622</t>
    <phoneticPr fontId="7" type="noConversion"/>
  </si>
  <si>
    <t>ELP-1250 6식</t>
    <phoneticPr fontId="7" type="noConversion"/>
  </si>
  <si>
    <t xml:space="preserve"> 강무희</t>
    <phoneticPr fontId="7" type="noConversion"/>
  </si>
  <si>
    <t>서해 군산분지 외해역 정밀 조석보정 및 탄성파 음원 품질관리 현장 기술지원 용역</t>
    <phoneticPr fontId="7" type="noConversion"/>
  </si>
  <si>
    <t>용역건이라 DB 없음</t>
    <phoneticPr fontId="7" type="noConversion"/>
  </si>
  <si>
    <t>소프트웨어사업자(컴퓨터관련서비스 사업)(업종코드 : 1468)   /   직접생산확인증명서(세부품명 소프트웨어 유지 및 지원서비스, 세부품명번호 10자리 8111229901)</t>
    <phoneticPr fontId="7" type="noConversion"/>
  </si>
  <si>
    <t>아림기공</t>
    <phoneticPr fontId="7" type="noConversion"/>
  </si>
  <si>
    <t>정진헌</t>
    <phoneticPr fontId="7" type="noConversion"/>
  </si>
  <si>
    <t>에코이엔비㈜</t>
    <phoneticPr fontId="7" type="noConversion"/>
  </si>
  <si>
    <t>장재원</t>
    <phoneticPr fontId="7" type="noConversion"/>
  </si>
  <si>
    <t>이수환</t>
    <phoneticPr fontId="7" type="noConversion"/>
  </si>
  <si>
    <t>Mooring system</t>
    <phoneticPr fontId="7" type="noConversion"/>
  </si>
  <si>
    <t>Core liner 20개</t>
    <phoneticPr fontId="7" type="noConversion"/>
  </si>
  <si>
    <t>ELP-1250 1식</t>
    <phoneticPr fontId="7" type="noConversion"/>
  </si>
  <si>
    <t>메이텍엔지니어링</t>
    <phoneticPr fontId="7" type="noConversion"/>
  </si>
  <si>
    <t>추민호</t>
    <phoneticPr fontId="7" type="noConversion"/>
  </si>
  <si>
    <t>G SOURCE II spare part</t>
    <phoneticPr fontId="7" type="noConversion"/>
  </si>
  <si>
    <t>박창석</t>
    <phoneticPr fontId="7" type="noConversion"/>
  </si>
  <si>
    <t>SIG 스파커 수리 및 부품 구매</t>
    <phoneticPr fontId="7" type="noConversion"/>
  </si>
  <si>
    <t>대선조선</t>
    <phoneticPr fontId="7" type="noConversion"/>
  </si>
  <si>
    <t>표층수온염분 측정기</t>
    <phoneticPr fontId="7" type="noConversion"/>
  </si>
  <si>
    <t>자동 해상 기상 관측 장치</t>
    <phoneticPr fontId="7" type="noConversion"/>
  </si>
  <si>
    <t>USD 261,580</t>
    <phoneticPr fontId="7" type="noConversion"/>
  </si>
  <si>
    <t>USD 65,450</t>
    <phoneticPr fontId="7" type="noConversion"/>
  </si>
  <si>
    <t>KHOA(서해)</t>
    <phoneticPr fontId="7" type="noConversion"/>
  </si>
  <si>
    <t>김선경</t>
    <phoneticPr fontId="7" type="noConversion"/>
  </si>
  <si>
    <t>RCM9 검교정 2식</t>
    <phoneticPr fontId="7" type="noConversion"/>
  </si>
  <si>
    <t>DF-500N(Direction finder)</t>
    <phoneticPr fontId="7" type="noConversion"/>
  </si>
  <si>
    <t>EM 케이블 구매</t>
    <phoneticPr fontId="7" type="noConversion"/>
  </si>
  <si>
    <t>IR7300 2식</t>
    <phoneticPr fontId="7" type="noConversion"/>
  </si>
  <si>
    <t>오원진(이학용)</t>
    <phoneticPr fontId="7" type="noConversion"/>
  </si>
  <si>
    <t>황유진(이학용)</t>
    <phoneticPr fontId="7" type="noConversion"/>
  </si>
  <si>
    <t>미래해양</t>
    <phoneticPr fontId="7" type="noConversion"/>
  </si>
  <si>
    <t>KHOA</t>
    <phoneticPr fontId="7" type="noConversion"/>
  </si>
  <si>
    <t>충남대</t>
    <phoneticPr fontId="7" type="noConversion"/>
  </si>
  <si>
    <t>유현수</t>
    <phoneticPr fontId="7" type="noConversion"/>
  </si>
  <si>
    <t>유민엽</t>
    <phoneticPr fontId="7" type="noConversion"/>
  </si>
  <si>
    <t>-</t>
    <phoneticPr fontId="7" type="noConversion"/>
  </si>
  <si>
    <t>김수진</t>
    <phoneticPr fontId="7" type="noConversion"/>
  </si>
  <si>
    <t>상품</t>
    <phoneticPr fontId="7" type="noConversion"/>
  </si>
  <si>
    <t>내자</t>
    <phoneticPr fontId="7" type="noConversion"/>
  </si>
  <si>
    <t>황유진</t>
    <phoneticPr fontId="7" type="noConversion"/>
  </si>
  <si>
    <t>T-50 수리</t>
    <phoneticPr fontId="7" type="noConversion"/>
  </si>
  <si>
    <t>문홍배</t>
    <phoneticPr fontId="7" type="noConversion"/>
  </si>
  <si>
    <t>하선종</t>
    <phoneticPr fontId="7" type="noConversion"/>
  </si>
  <si>
    <t>한울원전 취수구 유소관측 용역</t>
    <phoneticPr fontId="7" type="noConversion"/>
  </si>
  <si>
    <t>용역</t>
    <phoneticPr fontId="7" type="noConversion"/>
  </si>
  <si>
    <t>#66700</t>
    <phoneticPr fontId="7" type="noConversion"/>
  </si>
  <si>
    <t>KHOA(남해)</t>
    <phoneticPr fontId="7" type="noConversion"/>
  </si>
  <si>
    <t>윤득수</t>
    <phoneticPr fontId="7" type="noConversion"/>
  </si>
  <si>
    <t>김인권</t>
    <phoneticPr fontId="7" type="noConversion"/>
  </si>
  <si>
    <t>김태완</t>
    <phoneticPr fontId="7" type="noConversion"/>
  </si>
  <si>
    <t>UPR 3식</t>
    <phoneticPr fontId="7" type="noConversion"/>
  </si>
  <si>
    <t>UPR 6식</t>
    <phoneticPr fontId="7" type="noConversion"/>
  </si>
  <si>
    <t>UTS-9500 1식 (cable)</t>
    <phoneticPr fontId="7" type="noConversion"/>
  </si>
  <si>
    <t>박정은</t>
    <phoneticPr fontId="7" type="noConversion"/>
  </si>
  <si>
    <t>USD 14,037</t>
    <phoneticPr fontId="7" type="noConversion"/>
  </si>
  <si>
    <t>Pinger Receiver</t>
    <phoneticPr fontId="7" type="noConversion"/>
  </si>
  <si>
    <t xml:space="preserve"> -</t>
    <phoneticPr fontId="7" type="noConversion"/>
  </si>
  <si>
    <t>USD 51,104</t>
    <phoneticPr fontId="7" type="noConversion"/>
  </si>
  <si>
    <t>장석</t>
    <phoneticPr fontId="7" type="noConversion"/>
  </si>
  <si>
    <t>Core liner x 100ea</t>
    <phoneticPr fontId="7" type="noConversion"/>
  </si>
  <si>
    <t>-</t>
    <phoneticPr fontId="7" type="noConversion"/>
  </si>
  <si>
    <t>황유진</t>
    <phoneticPr fontId="7" type="noConversion"/>
  </si>
  <si>
    <t>KIOST</t>
    <phoneticPr fontId="7" type="noConversion"/>
  </si>
  <si>
    <t>김응</t>
    <phoneticPr fontId="7" type="noConversion"/>
  </si>
  <si>
    <t>Multi Channel Logger</t>
    <phoneticPr fontId="7" type="noConversion"/>
  </si>
  <si>
    <t>오원진(박정은)</t>
    <phoneticPr fontId="7" type="noConversion"/>
  </si>
  <si>
    <t>김만섭</t>
    <phoneticPr fontId="7" type="noConversion"/>
  </si>
  <si>
    <t>Trimble/가치공간정보</t>
    <phoneticPr fontId="7" type="noConversion"/>
  </si>
  <si>
    <t>#65318</t>
    <phoneticPr fontId="7" type="noConversion"/>
  </si>
  <si>
    <t>지오테크시스템</t>
    <phoneticPr fontId="7" type="noConversion"/>
  </si>
  <si>
    <t>OFG</t>
    <phoneticPr fontId="7" type="noConversion"/>
  </si>
  <si>
    <t>SCM 6000m</t>
    <phoneticPr fontId="7" type="noConversion"/>
  </si>
  <si>
    <t>KRISO</t>
    <phoneticPr fontId="7" type="noConversion"/>
  </si>
  <si>
    <t>동일과학상사</t>
    <phoneticPr fontId="7" type="noConversion"/>
  </si>
  <si>
    <t>2022년 해양과학기지 유지관리</t>
    <phoneticPr fontId="7" type="noConversion"/>
  </si>
  <si>
    <t>원천기술개발사업 3차년도</t>
    <phoneticPr fontId="7" type="noConversion"/>
  </si>
  <si>
    <t>2022년 무인해양조사</t>
    <phoneticPr fontId="7" type="noConversion"/>
  </si>
  <si>
    <t>엔지니어링사업(해양)(3599)</t>
  </si>
  <si>
    <t>해양관측업(5035)</t>
    <phoneticPr fontId="7" type="noConversion"/>
  </si>
  <si>
    <t>무인팀</t>
    <phoneticPr fontId="7" type="noConversion"/>
  </si>
  <si>
    <t>-</t>
    <phoneticPr fontId="7" type="noConversion"/>
  </si>
  <si>
    <t>연구과제</t>
    <phoneticPr fontId="7" type="noConversion"/>
  </si>
  <si>
    <t>오원진(사업팀)</t>
    <phoneticPr fontId="7" type="noConversion"/>
  </si>
  <si>
    <t>UPR 5식</t>
    <phoneticPr fontId="7" type="noConversion"/>
  </si>
  <si>
    <t>310 CTD Titanium</t>
    <phoneticPr fontId="7" type="noConversion"/>
  </si>
  <si>
    <t>RJE pinger 20식</t>
    <phoneticPr fontId="7" type="noConversion"/>
  </si>
  <si>
    <t>3/25,</t>
    <phoneticPr fontId="7" type="noConversion"/>
  </si>
  <si>
    <t>Hydrophone Calibrator</t>
    <phoneticPr fontId="7" type="noConversion"/>
  </si>
  <si>
    <t>Solution 용액</t>
    <phoneticPr fontId="7" type="noConversion"/>
  </si>
  <si>
    <t>지디엘시스템</t>
    <phoneticPr fontId="7" type="noConversion"/>
  </si>
  <si>
    <t>IXBlue</t>
    <phoneticPr fontId="7" type="noConversion"/>
  </si>
  <si>
    <t>Parts for HYDRINS</t>
    <phoneticPr fontId="7" type="noConversion"/>
  </si>
  <si>
    <t># 64938</t>
    <phoneticPr fontId="7" type="noConversion"/>
  </si>
  <si>
    <t>해수 용존무기탄소분석기외 1종 구입</t>
    <phoneticPr fontId="7" type="noConversion"/>
  </si>
  <si>
    <t>동해수산연구소</t>
    <phoneticPr fontId="7" type="noConversion"/>
  </si>
  <si>
    <t>Apollo Scientific</t>
    <phoneticPr fontId="7" type="noConversion"/>
  </si>
  <si>
    <t>#65578, 66678, 66679</t>
    <phoneticPr fontId="7" type="noConversion"/>
  </si>
  <si>
    <t>#66782</t>
    <phoneticPr fontId="7" type="noConversion"/>
  </si>
  <si>
    <t>#66783</t>
    <phoneticPr fontId="7" type="noConversion"/>
  </si>
  <si>
    <t>#66725, 66726, 66727, 66728</t>
    <phoneticPr fontId="7" type="noConversion"/>
  </si>
  <si>
    <t xml:space="preserve">#66787, 66788, 66789, 64280, </t>
    <phoneticPr fontId="7" type="noConversion"/>
  </si>
  <si>
    <t>Adapter for Calibrator</t>
    <phoneticPr fontId="7" type="noConversion"/>
  </si>
  <si>
    <t>김병남</t>
    <phoneticPr fontId="7" type="noConversion"/>
  </si>
  <si>
    <t>정진욱</t>
    <phoneticPr fontId="7" type="noConversion"/>
  </si>
  <si>
    <t>천종필</t>
    <phoneticPr fontId="7" type="noConversion"/>
  </si>
  <si>
    <t>OKTOPUS</t>
    <phoneticPr fontId="7" type="noConversion"/>
  </si>
  <si>
    <t>Multiple Corer</t>
    <phoneticPr fontId="7" type="noConversion"/>
  </si>
  <si>
    <t>EUR 410,000</t>
    <phoneticPr fontId="7" type="noConversion"/>
  </si>
  <si>
    <t>2023-04-30</t>
    <phoneticPr fontId="7" type="noConversion"/>
  </si>
  <si>
    <t>2023-03-10</t>
    <phoneticPr fontId="7" type="noConversion"/>
  </si>
  <si>
    <t>Wave Glider SV3-218 보험</t>
    <phoneticPr fontId="7" type="noConversion"/>
  </si>
  <si>
    <t>삼성화재</t>
    <phoneticPr fontId="7" type="noConversion"/>
  </si>
  <si>
    <t>RBRconcerto CTD.pH.fast8</t>
    <phoneticPr fontId="7" type="noConversion"/>
  </si>
  <si>
    <t>하선종(박정은)</t>
    <phoneticPr fontId="7" type="noConversion"/>
  </si>
  <si>
    <t>Seismic spare parts</t>
    <phoneticPr fontId="7" type="noConversion"/>
  </si>
  <si>
    <t>KIGAM(한양과학기기산업)</t>
    <phoneticPr fontId="7" type="noConversion"/>
  </si>
  <si>
    <t>박경수</t>
    <phoneticPr fontId="7" type="noConversion"/>
  </si>
  <si>
    <t>Falmat</t>
    <phoneticPr fontId="7" type="noConversion"/>
  </si>
  <si>
    <t>#66784, 66618</t>
    <phoneticPr fontId="7" type="noConversion"/>
  </si>
  <si>
    <t>연구팀</t>
    <phoneticPr fontId="7" type="noConversion"/>
  </si>
  <si>
    <t>박찬호</t>
    <phoneticPr fontId="7" type="noConversion"/>
  </si>
  <si>
    <t>T50-P</t>
    <phoneticPr fontId="7" type="noConversion"/>
  </si>
  <si>
    <t>RESON</t>
    <phoneticPr fontId="7" type="noConversion"/>
  </si>
  <si>
    <t>레드원테크놀러지</t>
    <phoneticPr fontId="7" type="noConversion"/>
  </si>
  <si>
    <t>류아형</t>
    <phoneticPr fontId="7" type="noConversion"/>
  </si>
  <si>
    <t>Deepsea</t>
    <phoneticPr fontId="7" type="noConversion"/>
  </si>
  <si>
    <t>SLS-5200</t>
    <phoneticPr fontId="7" type="noConversion"/>
  </si>
  <si>
    <t>상품</t>
    <phoneticPr fontId="7" type="noConversion"/>
  </si>
  <si>
    <t>-</t>
    <phoneticPr fontId="7" type="noConversion"/>
  </si>
  <si>
    <t>내자</t>
    <phoneticPr fontId="7" type="noConversion"/>
  </si>
  <si>
    <t>황유진</t>
    <phoneticPr fontId="7" type="noConversion"/>
  </si>
  <si>
    <t>오션사이언스</t>
    <phoneticPr fontId="7" type="noConversion"/>
  </si>
  <si>
    <t>홍다운</t>
    <phoneticPr fontId="7" type="noConversion"/>
  </si>
  <si>
    <t>KIMST</t>
    <phoneticPr fontId="7" type="noConversion"/>
  </si>
  <si>
    <t>해상교통 안전확보를 위한 정밀조사측량 기술개발(연구과제)</t>
    <phoneticPr fontId="7" type="noConversion"/>
  </si>
  <si>
    <t>홍아름, 이수현</t>
    <phoneticPr fontId="7" type="noConversion"/>
  </si>
  <si>
    <t>연구과제</t>
    <phoneticPr fontId="7" type="noConversion"/>
  </si>
  <si>
    <t>실시간과제</t>
    <phoneticPr fontId="7" type="noConversion"/>
  </si>
  <si>
    <t>용역(연구과제)</t>
    <phoneticPr fontId="7" type="noConversion"/>
  </si>
  <si>
    <t>Glass Flotation Sphere 27식</t>
    <phoneticPr fontId="7" type="noConversion"/>
  </si>
  <si>
    <t>#66856, 66857, 66858, 66859</t>
    <phoneticPr fontId="7" type="noConversion"/>
  </si>
  <si>
    <t>#66227</t>
    <phoneticPr fontId="7" type="noConversion"/>
  </si>
  <si>
    <t>#66823</t>
    <phoneticPr fontId="7" type="noConversion"/>
  </si>
  <si>
    <t>#66822</t>
    <phoneticPr fontId="7" type="noConversion"/>
  </si>
  <si>
    <t>#66301, 65523, 65506, 65507, 65508, 65509, 65510, 65511, 65500, 65501</t>
    <phoneticPr fontId="7" type="noConversion"/>
  </si>
  <si>
    <t>#66302</t>
  </si>
  <si>
    <t>HJ중공업(구, 한진중공업)</t>
  </si>
  <si>
    <t>상품</t>
  </si>
  <si>
    <t>-</t>
  </si>
  <si>
    <t>외자</t>
  </si>
  <si>
    <t xml:space="preserve"> EUR 480,000 </t>
    <phoneticPr fontId="7" type="noConversion"/>
  </si>
  <si>
    <t>Piston Corer</t>
    <phoneticPr fontId="7" type="noConversion"/>
  </si>
  <si>
    <t>KLEYFRANCE</t>
    <phoneticPr fontId="7" type="noConversion"/>
  </si>
  <si>
    <t>고선재</t>
    <phoneticPr fontId="7" type="noConversion"/>
  </si>
  <si>
    <t>젠</t>
    <phoneticPr fontId="7" type="noConversion"/>
  </si>
  <si>
    <t>시화조력 해상안전시설 유지관리 지원</t>
    <phoneticPr fontId="7" type="noConversion"/>
  </si>
  <si>
    <t>엽록소 및 발색용존 유기물 보정을 위한 표준물질 구매</t>
    <phoneticPr fontId="7" type="noConversion"/>
  </si>
  <si>
    <t>이태식</t>
    <phoneticPr fontId="7" type="noConversion"/>
  </si>
  <si>
    <t>CARIS HIPS,SIPS</t>
    <phoneticPr fontId="7" type="noConversion"/>
  </si>
  <si>
    <t>김경연</t>
    <phoneticPr fontId="7" type="noConversion"/>
  </si>
  <si>
    <t>-</t>
    <phoneticPr fontId="7" type="noConversion"/>
  </si>
  <si>
    <t>박정은</t>
    <phoneticPr fontId="7" type="noConversion"/>
  </si>
  <si>
    <t>파랑해양기술</t>
    <phoneticPr fontId="7" type="noConversion"/>
  </si>
  <si>
    <t>심경보</t>
    <phoneticPr fontId="7" type="noConversion"/>
  </si>
  <si>
    <t>UPR 1식</t>
    <phoneticPr fontId="7" type="noConversion"/>
  </si>
  <si>
    <t>김종욱</t>
    <phoneticPr fontId="7" type="noConversion"/>
  </si>
  <si>
    <t>T50R, T51R with INS20</t>
    <phoneticPr fontId="7" type="noConversion"/>
  </si>
  <si>
    <t>#66538</t>
    <phoneticPr fontId="7" type="noConversion"/>
  </si>
  <si>
    <t>#66794, 66795</t>
    <phoneticPr fontId="7" type="noConversion"/>
  </si>
  <si>
    <t>스파커 수리 용역</t>
    <phoneticPr fontId="7" type="noConversion"/>
  </si>
  <si>
    <t>나라호 기상관측장비 정상화</t>
    <phoneticPr fontId="7" type="noConversion"/>
  </si>
  <si>
    <t>RBRconcerto CTD 검교정</t>
    <phoneticPr fontId="7" type="noConversion"/>
  </si>
  <si>
    <t>연안기상관측장비 On-call 1분기</t>
    <phoneticPr fontId="7" type="noConversion"/>
  </si>
  <si>
    <t>865AR 배터리x6식</t>
    <phoneticPr fontId="7" type="noConversion"/>
  </si>
  <si>
    <t>GNSS 안테나 수리</t>
    <phoneticPr fontId="7" type="noConversion"/>
  </si>
  <si>
    <t>수중케이블 및 커넥터</t>
    <phoneticPr fontId="7" type="noConversion"/>
  </si>
  <si>
    <t>Ultra Compact Modem (UCM)</t>
    <phoneticPr fontId="7" type="noConversion"/>
  </si>
  <si>
    <t>#66906, 66907, 66908, 66909, 66910, 66911, 66912, 66913, 66914, 66915, 66916, 66917, 66918, 66919, 66920, 66921, 66922, 66923, 66924, 66925</t>
    <phoneticPr fontId="7" type="noConversion"/>
  </si>
  <si>
    <t>선영종합엔지니어링</t>
    <phoneticPr fontId="7" type="noConversion"/>
  </si>
  <si>
    <t>7125 멀티빔 수리</t>
    <phoneticPr fontId="7" type="noConversion"/>
  </si>
  <si>
    <t>양형석</t>
    <phoneticPr fontId="7" type="noConversion"/>
  </si>
  <si>
    <t>엠디시스템</t>
    <phoneticPr fontId="7" type="noConversion"/>
  </si>
  <si>
    <t>이성진</t>
    <phoneticPr fontId="7" type="noConversion"/>
  </si>
  <si>
    <t>김홍진</t>
    <phoneticPr fontId="7" type="noConversion"/>
  </si>
  <si>
    <t>Falmat Cable x 100m</t>
    <phoneticPr fontId="7" type="noConversion"/>
  </si>
  <si>
    <t>R500 수리</t>
    <phoneticPr fontId="7" type="noConversion"/>
  </si>
  <si>
    <t>UPR x 1ea</t>
    <phoneticPr fontId="7" type="noConversion"/>
  </si>
  <si>
    <t>#66201</t>
    <phoneticPr fontId="7" type="noConversion"/>
  </si>
  <si>
    <t>구본화</t>
    <phoneticPr fontId="7" type="noConversion"/>
  </si>
  <si>
    <t>R500 Turnaround Kit</t>
    <phoneticPr fontId="7" type="noConversion"/>
  </si>
  <si>
    <t>상품</t>
    <phoneticPr fontId="7" type="noConversion"/>
  </si>
  <si>
    <t>-</t>
    <phoneticPr fontId="7" type="noConversion"/>
  </si>
  <si>
    <t>오원진</t>
    <phoneticPr fontId="7" type="noConversion"/>
  </si>
  <si>
    <t>2022년 해양 자동기상관측장비 교체사업</t>
    <phoneticPr fontId="7" type="noConversion"/>
  </si>
  <si>
    <t>내자</t>
    <phoneticPr fontId="7" type="noConversion"/>
  </si>
  <si>
    <t>전찬형</t>
    <phoneticPr fontId="7" type="noConversion"/>
  </si>
  <si>
    <t>Deep Current Sensor 구매</t>
    <phoneticPr fontId="7" type="noConversion"/>
  </si>
  <si>
    <t>상품</t>
    <phoneticPr fontId="7" type="noConversion"/>
  </si>
  <si>
    <t>-</t>
    <phoneticPr fontId="7" type="noConversion"/>
  </si>
  <si>
    <t>이재윤(문홍배)</t>
    <phoneticPr fontId="7" type="noConversion"/>
  </si>
  <si>
    <t>강미리</t>
    <phoneticPr fontId="7" type="noConversion"/>
  </si>
  <si>
    <t>R2K x 2ea</t>
    <phoneticPr fontId="7" type="noConversion"/>
  </si>
  <si>
    <t>IR-7300 x 2ea</t>
    <phoneticPr fontId="7" type="noConversion"/>
  </si>
  <si>
    <t>하선종</t>
    <phoneticPr fontId="7" type="noConversion"/>
  </si>
  <si>
    <t>이학용</t>
    <phoneticPr fontId="7" type="noConversion"/>
  </si>
  <si>
    <t>KHOA(남해)</t>
    <phoneticPr fontId="7" type="noConversion"/>
  </si>
  <si>
    <t>김아람</t>
    <phoneticPr fontId="7" type="noConversion"/>
  </si>
  <si>
    <t>수심수온염분기록계 및 표층해수분석기 검교정</t>
    <phoneticPr fontId="7" type="noConversion"/>
  </si>
  <si>
    <t>#66903, 66904</t>
    <phoneticPr fontId="7" type="noConversion"/>
  </si>
  <si>
    <t>#66900, 66901</t>
    <phoneticPr fontId="7" type="noConversion"/>
  </si>
  <si>
    <t>전상훈</t>
    <phoneticPr fontId="7" type="noConversion"/>
  </si>
  <si>
    <t>SEAL428 Streamer</t>
    <phoneticPr fontId="7" type="noConversion"/>
  </si>
  <si>
    <t>Air Gun</t>
    <phoneticPr fontId="7" type="noConversion"/>
  </si>
  <si>
    <t xml:space="preserve"> USD 1,410,985 </t>
    <phoneticPr fontId="7" type="noConversion"/>
  </si>
  <si>
    <t xml:space="preserve"> USD 3,500,000 </t>
    <phoneticPr fontId="7" type="noConversion"/>
  </si>
  <si>
    <t xml:space="preserve"> USD 22,089,015 </t>
    <phoneticPr fontId="7" type="noConversion"/>
  </si>
  <si>
    <t>2022.10.30 케이블선적 / 2023.3.30 장비선적</t>
    <phoneticPr fontId="7" type="noConversion"/>
  </si>
  <si>
    <t>04월 12일</t>
    <phoneticPr fontId="7" type="noConversion"/>
  </si>
  <si>
    <t>백현민</t>
    <phoneticPr fontId="7" type="noConversion"/>
  </si>
  <si>
    <t>865 Release&amp;UDB 수리</t>
    <phoneticPr fontId="7" type="noConversion"/>
  </si>
  <si>
    <t>-</t>
    <phoneticPr fontId="7" type="noConversion"/>
  </si>
  <si>
    <t>오원진</t>
    <phoneticPr fontId="7" type="noConversion"/>
  </si>
  <si>
    <t>4/19,</t>
    <phoneticPr fontId="7" type="noConversion"/>
  </si>
  <si>
    <t>박두훈</t>
    <phoneticPr fontId="7" type="noConversion"/>
  </si>
  <si>
    <t>RBRcoda T 10식</t>
    <phoneticPr fontId="7" type="noConversion"/>
  </si>
  <si>
    <t xml:space="preserve">베트남 ODA 관측부이 수리 </t>
    <phoneticPr fontId="7" type="noConversion"/>
  </si>
  <si>
    <t>해수온도 연속측정설비 자재 구매(DCS4830)</t>
    <phoneticPr fontId="7" type="noConversion"/>
  </si>
  <si>
    <t>#57639 (70m납품), 65698(250m 납품)</t>
    <phoneticPr fontId="7" type="noConversion"/>
  </si>
  <si>
    <t>#62579, 62580, 62581, 64579</t>
    <phoneticPr fontId="7" type="noConversion"/>
  </si>
  <si>
    <t>#67058</t>
    <phoneticPr fontId="7" type="noConversion"/>
  </si>
  <si>
    <t>김선정</t>
    <phoneticPr fontId="7" type="noConversion"/>
  </si>
  <si>
    <t>UTS 수리</t>
    <phoneticPr fontId="7" type="noConversion"/>
  </si>
  <si>
    <t>탐해2호 운항 및 관측데이터 모니터링 시스템 유지보수 용역</t>
    <phoneticPr fontId="7" type="noConversion"/>
  </si>
  <si>
    <t>#67005</t>
    <phoneticPr fontId="7" type="noConversion"/>
  </si>
  <si>
    <t>4/29,</t>
    <phoneticPr fontId="7" type="noConversion"/>
  </si>
  <si>
    <t>4/29,</t>
    <phoneticPr fontId="7" type="noConversion"/>
  </si>
  <si>
    <t>ST400B</t>
    <phoneticPr fontId="7" type="noConversion"/>
  </si>
  <si>
    <t>Core liner 10개(2)</t>
    <phoneticPr fontId="7" type="noConversion"/>
  </si>
  <si>
    <t>SSS용 케이블 320m</t>
    <phoneticPr fontId="7" type="noConversion"/>
  </si>
  <si>
    <t>Core liner 10개(1)</t>
    <phoneticPr fontId="7" type="noConversion"/>
  </si>
  <si>
    <t>컴퓨터관련서비스사업(1468) &amp; 해양관측업(5035)</t>
    <phoneticPr fontId="7" type="noConversion"/>
  </si>
  <si>
    <t>박인덕</t>
    <phoneticPr fontId="7" type="noConversion"/>
  </si>
  <si>
    <t>Reson</t>
    <phoneticPr fontId="7" type="noConversion"/>
  </si>
  <si>
    <t>CARIS</t>
    <phoneticPr fontId="7" type="noConversion"/>
  </si>
  <si>
    <t>-</t>
    <phoneticPr fontId="7" type="noConversion"/>
  </si>
  <si>
    <t>문홍배</t>
    <phoneticPr fontId="7" type="noConversion"/>
  </si>
  <si>
    <t>무인팀</t>
    <phoneticPr fontId="7" type="noConversion"/>
  </si>
  <si>
    <t>오원진(하선종)</t>
    <phoneticPr fontId="7" type="noConversion"/>
  </si>
  <si>
    <t>영업팀</t>
    <phoneticPr fontId="7" type="noConversion"/>
  </si>
  <si>
    <t>하선종</t>
    <phoneticPr fontId="7" type="noConversion"/>
  </si>
  <si>
    <t>이사부호 SEB45 모듈 개선 제작</t>
    <phoneticPr fontId="7" type="noConversion"/>
  </si>
  <si>
    <t>#67099</t>
    <phoneticPr fontId="7" type="noConversion"/>
  </si>
  <si>
    <t>해양관측부이 관측장비 케이블 및 정밀해수면 소모품 Kit</t>
    <phoneticPr fontId="7" type="noConversion"/>
  </si>
  <si>
    <t>외자 건이라 DB없음</t>
    <phoneticPr fontId="7" type="noConversion"/>
  </si>
  <si>
    <t>#66530, 66531, 66532</t>
    <phoneticPr fontId="7" type="noConversion"/>
  </si>
  <si>
    <t>#46599</t>
    <phoneticPr fontId="7" type="noConversion"/>
  </si>
  <si>
    <t>4/27, 5/4</t>
    <phoneticPr fontId="7" type="noConversion"/>
  </si>
  <si>
    <t>평택당진항 해수유동관측소 이설 답사 및 시험 운영</t>
    <phoneticPr fontId="7" type="noConversion"/>
  </si>
  <si>
    <t>손형석</t>
    <phoneticPr fontId="7" type="noConversion"/>
  </si>
  <si>
    <t>#67111</t>
    <phoneticPr fontId="7" type="noConversion"/>
  </si>
  <si>
    <t>T50-ER Projector 임대</t>
    <phoneticPr fontId="7" type="noConversion"/>
  </si>
  <si>
    <t>김현도</t>
    <phoneticPr fontId="7" type="noConversion"/>
  </si>
  <si>
    <t>#66380,66385</t>
    <phoneticPr fontId="7" type="noConversion"/>
  </si>
  <si>
    <t>#47998</t>
    <phoneticPr fontId="7" type="noConversion"/>
  </si>
  <si>
    <t>K-water</t>
    <phoneticPr fontId="7" type="noConversion"/>
  </si>
  <si>
    <t>전남대학교</t>
    <phoneticPr fontId="7" type="noConversion"/>
  </si>
  <si>
    <t>이경훈</t>
    <phoneticPr fontId="7" type="noConversion"/>
  </si>
  <si>
    <t>실제 아님</t>
    <phoneticPr fontId="7" type="noConversion"/>
  </si>
  <si>
    <t>해상관측장비 긴급보수용역</t>
    <phoneticPr fontId="7" type="noConversion"/>
  </si>
  <si>
    <t>시화조력</t>
    <phoneticPr fontId="7" type="noConversion"/>
  </si>
  <si>
    <t>Niskin-X 5L 2식, Teflon 2식</t>
    <phoneticPr fontId="7" type="noConversion"/>
  </si>
  <si>
    <t>대한해협 2차 보험</t>
    <phoneticPr fontId="7" type="noConversion"/>
  </si>
  <si>
    <t>울신지방해양수산청</t>
    <phoneticPr fontId="7" type="noConversion"/>
  </si>
  <si>
    <t>문흥수</t>
    <phoneticPr fontId="7" type="noConversion"/>
  </si>
  <si>
    <t>Datawell(오션사이언스)</t>
    <phoneticPr fontId="7" type="noConversion"/>
  </si>
  <si>
    <t>파고부이 축전지</t>
    <phoneticPr fontId="7" type="noConversion"/>
  </si>
  <si>
    <t>#67134, 67135</t>
    <phoneticPr fontId="7" type="noConversion"/>
  </si>
  <si>
    <t>#67131,</t>
    <phoneticPr fontId="7" type="noConversion"/>
  </si>
  <si>
    <t>최형욱</t>
    <phoneticPr fontId="7" type="noConversion"/>
  </si>
  <si>
    <t>에이앤비시스</t>
    <phoneticPr fontId="7" type="noConversion"/>
  </si>
  <si>
    <t>Mocness 200um 네트 및 버킷</t>
    <phoneticPr fontId="7" type="noConversion"/>
  </si>
  <si>
    <t>해원문화재연구원</t>
    <phoneticPr fontId="7" type="noConversion"/>
  </si>
  <si>
    <t>조민구</t>
    <phoneticPr fontId="7" type="noConversion"/>
  </si>
  <si>
    <t>Explorer 수리</t>
    <phoneticPr fontId="7" type="noConversion"/>
  </si>
  <si>
    <t>#66666</t>
    <phoneticPr fontId="7" type="noConversion"/>
  </si>
  <si>
    <t>바른바다기술연구소
(사)한국수산증.양식기술사협회한국해양수산과학기술연구소</t>
    <phoneticPr fontId="7" type="noConversion"/>
  </si>
  <si>
    <t>3/25, 4/21, 5/13</t>
    <phoneticPr fontId="7" type="noConversion"/>
  </si>
  <si>
    <t>씨앤에이치아이앤씨(KIGAM)</t>
    <phoneticPr fontId="7" type="noConversion"/>
  </si>
  <si>
    <t>GeoEel 96 Channel System 설치 및 운영지원</t>
    <phoneticPr fontId="7" type="noConversion"/>
  </si>
  <si>
    <t>Gill</t>
    <phoneticPr fontId="7" type="noConversion"/>
  </si>
  <si>
    <t>Wave Glider용 기상센서 2식 구매</t>
    <phoneticPr fontId="7" type="noConversion"/>
  </si>
  <si>
    <t>조혁만</t>
    <phoneticPr fontId="7" type="noConversion"/>
  </si>
  <si>
    <t>월파 정량 관측 기술 개발 (연구과제)</t>
    <phoneticPr fontId="7" type="noConversion"/>
  </si>
  <si>
    <t>#67171, 67172, 67173, 67174</t>
    <phoneticPr fontId="7" type="noConversion"/>
  </si>
  <si>
    <t>Niskin water sampler 5L 1식</t>
    <phoneticPr fontId="7" type="noConversion"/>
  </si>
  <si>
    <t>#66927</t>
    <phoneticPr fontId="7" type="noConversion"/>
  </si>
  <si>
    <t>21-326</t>
    <phoneticPr fontId="7" type="noConversion"/>
  </si>
  <si>
    <t>KOPRI</t>
    <phoneticPr fontId="7" type="noConversion"/>
  </si>
  <si>
    <t>R2K 2식</t>
    <phoneticPr fontId="7" type="noConversion"/>
  </si>
  <si>
    <t>Benthos</t>
    <phoneticPr fontId="7" type="noConversion"/>
  </si>
  <si>
    <t>USD 24,570</t>
    <phoneticPr fontId="7" type="noConversion"/>
  </si>
  <si>
    <t>USD 2,457</t>
    <phoneticPr fontId="7" type="noConversion"/>
  </si>
  <si>
    <t>22.4.29 청구</t>
    <phoneticPr fontId="7" type="noConversion"/>
  </si>
  <si>
    <t>김형직</t>
    <phoneticPr fontId="7" type="noConversion"/>
  </si>
  <si>
    <t>민홍식</t>
    <phoneticPr fontId="7" type="noConversion"/>
  </si>
  <si>
    <t>최연진</t>
    <phoneticPr fontId="7" type="noConversion"/>
  </si>
  <si>
    <t>RTSYS</t>
    <phoneticPr fontId="7" type="noConversion"/>
  </si>
  <si>
    <t>ST-400A</t>
    <phoneticPr fontId="7" type="noConversion"/>
  </si>
  <si>
    <t>파랑 글라이더 개선 용역(GILL 센서 모듈 개선)</t>
    <phoneticPr fontId="7" type="noConversion"/>
  </si>
  <si>
    <t>Sound source ELP790</t>
    <phoneticPr fontId="7" type="noConversion"/>
  </si>
  <si>
    <t>RESEA 550_Atomic</t>
    <phoneticPr fontId="7" type="noConversion"/>
  </si>
  <si>
    <t>Precise Atomic Clock</t>
    <phoneticPr fontId="7" type="noConversion"/>
  </si>
  <si>
    <t>USD 67,000</t>
    <phoneticPr fontId="7" type="noConversion"/>
  </si>
  <si>
    <t>EUR 56,000</t>
    <phoneticPr fontId="7" type="noConversion"/>
  </si>
  <si>
    <t>EUR 10,060</t>
    <phoneticPr fontId="7" type="noConversion"/>
  </si>
  <si>
    <t>#67241</t>
    <phoneticPr fontId="7" type="noConversion"/>
  </si>
  <si>
    <t>#67200</t>
    <phoneticPr fontId="7" type="noConversion"/>
  </si>
  <si>
    <t>#67201</t>
    <phoneticPr fontId="7" type="noConversion"/>
  </si>
  <si>
    <t>#67203</t>
    <phoneticPr fontId="7" type="noConversion"/>
  </si>
  <si>
    <t>#67202, 67219</t>
    <phoneticPr fontId="7" type="noConversion"/>
  </si>
  <si>
    <t>#67220</t>
    <phoneticPr fontId="7" type="noConversion"/>
  </si>
  <si>
    <t>#67222, 67225</t>
    <phoneticPr fontId="7" type="noConversion"/>
  </si>
  <si>
    <t>#67218, 67223, 67224,</t>
    <phoneticPr fontId="7" type="noConversion"/>
  </si>
  <si>
    <t>#66078</t>
    <phoneticPr fontId="7" type="noConversion"/>
  </si>
  <si>
    <t>AR케이블 주문제작 2식</t>
    <phoneticPr fontId="7" type="noConversion"/>
  </si>
  <si>
    <t>2022년 해양위성정보 품질검증 체계구축</t>
    <phoneticPr fontId="7" type="noConversion"/>
  </si>
  <si>
    <t>Real-time CTD 수리(SN60420)</t>
    <phoneticPr fontId="7" type="noConversion"/>
  </si>
  <si>
    <t>수중 Y-cable connector 2식</t>
    <phoneticPr fontId="7" type="noConversion"/>
  </si>
  <si>
    <t>자력계 윈치 시스템</t>
    <phoneticPr fontId="7" type="noConversion"/>
  </si>
  <si>
    <t>실시간 적조생물의 환경 모니터링 시스템 구축</t>
    <phoneticPr fontId="7" type="noConversion"/>
  </si>
  <si>
    <t>UPR 4식</t>
    <phoneticPr fontId="7" type="noConversion"/>
  </si>
  <si>
    <t>엠케이통상</t>
    <phoneticPr fontId="7" type="noConversion"/>
  </si>
  <si>
    <t>씨텍</t>
    <phoneticPr fontId="7" type="noConversion"/>
  </si>
  <si>
    <t>제주해양수산연구원</t>
    <phoneticPr fontId="7" type="noConversion"/>
  </si>
  <si>
    <t>정종민</t>
    <phoneticPr fontId="7" type="noConversion"/>
  </si>
  <si>
    <t>이호영</t>
    <phoneticPr fontId="7" type="noConversion"/>
  </si>
  <si>
    <t>신현옥</t>
    <phoneticPr fontId="7" type="noConversion"/>
  </si>
  <si>
    <t>배성은</t>
    <phoneticPr fontId="7" type="noConversion"/>
  </si>
  <si>
    <t>수중위치반응기 및 추적장치</t>
    <phoneticPr fontId="7" type="noConversion"/>
  </si>
  <si>
    <t>R500 x 3ea</t>
    <phoneticPr fontId="7" type="noConversion"/>
  </si>
  <si>
    <t>Calibration &amp; Repair of Concerto CTD 6식</t>
    <phoneticPr fontId="7" type="noConversion"/>
  </si>
  <si>
    <t>Wavex 점검</t>
    <phoneticPr fontId="7" type="noConversion"/>
  </si>
  <si>
    <t>GNM, Idronaut</t>
    <phoneticPr fontId="7" type="noConversion"/>
  </si>
  <si>
    <t>Niskin 2.5, 5L sampler, Idronaut reference solution</t>
    <phoneticPr fontId="7" type="noConversion"/>
  </si>
  <si>
    <t>RCM Blue</t>
    <phoneticPr fontId="7" type="noConversion"/>
  </si>
  <si>
    <t>USD 9,000</t>
    <phoneticPr fontId="7" type="noConversion"/>
  </si>
  <si>
    <t>올포랜드</t>
    <phoneticPr fontId="7" type="noConversion"/>
  </si>
  <si>
    <t>이혁</t>
    <phoneticPr fontId="7" type="noConversion"/>
  </si>
  <si>
    <t>김정기</t>
    <phoneticPr fontId="7" type="noConversion"/>
  </si>
  <si>
    <t>CTD장비 PH센서 및 용존산소 센서</t>
    <phoneticPr fontId="7" type="noConversion"/>
  </si>
  <si>
    <t>수중위치반응기 1식</t>
    <phoneticPr fontId="7" type="noConversion"/>
  </si>
  <si>
    <t>R2K 배터리 2식</t>
    <phoneticPr fontId="7" type="noConversion"/>
  </si>
  <si>
    <t>SonarWiz(SN 866) 외 2종 구입</t>
    <phoneticPr fontId="7" type="noConversion"/>
  </si>
  <si>
    <t>Chesapeake</t>
    <phoneticPr fontId="7" type="noConversion"/>
  </si>
  <si>
    <t>#67221</t>
    <phoneticPr fontId="7" type="noConversion"/>
  </si>
  <si>
    <t>#67170, 67179, 67180, 67181, 67182, 67183</t>
    <phoneticPr fontId="7" type="noConversion"/>
  </si>
  <si>
    <t>#66500, 66502, 66503, 66501, 66498, 66499</t>
    <phoneticPr fontId="7" type="noConversion"/>
  </si>
  <si>
    <t>4/1, 6/2</t>
    <phoneticPr fontId="7" type="noConversion"/>
  </si>
  <si>
    <t>해양현상 검증을 위한 관측시스템 수립 및 운영 (양자강 저염수)용역</t>
    <phoneticPr fontId="7" type="noConversion"/>
  </si>
  <si>
    <t>권재일</t>
    <phoneticPr fontId="7" type="noConversion"/>
  </si>
  <si>
    <t>Hydro wiper 3식 수리</t>
    <phoneticPr fontId="7" type="noConversion"/>
  </si>
  <si>
    <t>이사부호 비파괴식 시료분석장비 육상 이전 설치</t>
    <phoneticPr fontId="7" type="noConversion"/>
  </si>
  <si>
    <t>오션테크/COX</t>
    <phoneticPr fontId="7" type="noConversion"/>
  </si>
  <si>
    <t>Zebra</t>
    <phoneticPr fontId="7" type="noConversion"/>
  </si>
  <si>
    <t>학술연구용역 (1169)</t>
    <phoneticPr fontId="7" type="noConversion"/>
  </si>
  <si>
    <t>SonarWiz EMA upgrade</t>
    <phoneticPr fontId="7" type="noConversion"/>
  </si>
  <si>
    <t>Underwater Communication Cable</t>
    <phoneticPr fontId="7" type="noConversion"/>
  </si>
  <si>
    <t>최순영</t>
    <phoneticPr fontId="7" type="noConversion"/>
  </si>
  <si>
    <t>이재익</t>
    <phoneticPr fontId="7" type="noConversion"/>
  </si>
  <si>
    <t>Part for AR (배터리 및 오링키트)</t>
    <phoneticPr fontId="7" type="noConversion"/>
  </si>
  <si>
    <t>Part for AR (배터리, Bar anode, 제습제)</t>
    <phoneticPr fontId="7" type="noConversion"/>
  </si>
  <si>
    <t>Part for AR (배터리 및 오링키트)</t>
    <phoneticPr fontId="7" type="noConversion"/>
  </si>
  <si>
    <t>통가 해양조사 지원 및 장비임차 기술 지원</t>
    <phoneticPr fontId="7" type="noConversion"/>
  </si>
  <si>
    <t>울산해역 해양관측용역</t>
    <phoneticPr fontId="7" type="noConversion"/>
  </si>
  <si>
    <t>환경모니터링 시스템 소모품</t>
    <phoneticPr fontId="7" type="noConversion"/>
  </si>
  <si>
    <t>R12K Battery</t>
    <phoneticPr fontId="7" type="noConversion"/>
  </si>
  <si>
    <t>Datawell waverider 임대</t>
    <phoneticPr fontId="7" type="noConversion"/>
  </si>
  <si>
    <t>#66868, 22083, 67441</t>
    <phoneticPr fontId="7" type="noConversion"/>
  </si>
  <si>
    <t>#67463</t>
    <phoneticPr fontId="7" type="noConversion"/>
  </si>
  <si>
    <t>3/15, 5/25, 6/8</t>
    <phoneticPr fontId="7" type="noConversion"/>
  </si>
  <si>
    <t>#67558</t>
    <phoneticPr fontId="7" type="noConversion"/>
  </si>
  <si>
    <t>#67518</t>
    <phoneticPr fontId="7" type="noConversion"/>
  </si>
  <si>
    <t>#67498</t>
    <phoneticPr fontId="7" type="noConversion"/>
  </si>
  <si>
    <t xml:space="preserve">#67431, 67432, 67433, 67434, 67435, 67436, </t>
    <phoneticPr fontId="7" type="noConversion"/>
  </si>
  <si>
    <t xml:space="preserve">#67427, 67428, 67429, 67430, 67437, 67438, </t>
    <phoneticPr fontId="7" type="noConversion"/>
  </si>
  <si>
    <t>#67400</t>
    <phoneticPr fontId="7" type="noConversion"/>
  </si>
  <si>
    <t>이영준</t>
    <phoneticPr fontId="7" type="noConversion"/>
  </si>
  <si>
    <t>#67298, 67299</t>
    <phoneticPr fontId="7" type="noConversion"/>
  </si>
  <si>
    <t>YES</t>
    <phoneticPr fontId="7" type="noConversion"/>
  </si>
  <si>
    <t>2021.12.10 청구</t>
    <phoneticPr fontId="7" type="noConversion"/>
  </si>
  <si>
    <t>차액 1,853.29 더들어옴</t>
    <phoneticPr fontId="7" type="noConversion"/>
  </si>
  <si>
    <t>KOPRI</t>
    <phoneticPr fontId="7" type="noConversion"/>
  </si>
  <si>
    <t>KOPRI</t>
    <phoneticPr fontId="7" type="noConversion"/>
  </si>
  <si>
    <t>21-288</t>
    <phoneticPr fontId="7" type="noConversion"/>
  </si>
  <si>
    <t>21-322</t>
    <phoneticPr fontId="7" type="noConversion"/>
  </si>
  <si>
    <t>G GUN 부속품</t>
    <phoneticPr fontId="7" type="noConversion"/>
  </si>
  <si>
    <t>GI SOURCE 355</t>
    <phoneticPr fontId="7" type="noConversion"/>
  </si>
  <si>
    <t>Sercel</t>
    <phoneticPr fontId="7" type="noConversion"/>
  </si>
  <si>
    <t>Sercel</t>
    <phoneticPr fontId="7" type="noConversion"/>
  </si>
  <si>
    <t xml:space="preserve">USD 31,630.15 </t>
    <phoneticPr fontId="7" type="noConversion"/>
  </si>
  <si>
    <t>USD 93,660</t>
    <phoneticPr fontId="7" type="noConversion"/>
  </si>
  <si>
    <t>PDS2000 동글 교체</t>
    <phoneticPr fontId="7" type="noConversion"/>
  </si>
  <si>
    <t>4/5, 6/9</t>
    <phoneticPr fontId="7" type="noConversion"/>
  </si>
  <si>
    <t>865AR Bar Anode 4식</t>
    <phoneticPr fontId="7" type="noConversion"/>
  </si>
  <si>
    <t>기상청</t>
    <phoneticPr fontId="7" type="noConversion"/>
  </si>
  <si>
    <t>MMPI(한국전자기술연구원)</t>
    <phoneticPr fontId="7" type="noConversion"/>
  </si>
  <si>
    <t>웨이브글라이더 운영을 통한 해양기상 특성분석 및 조사 연구용역</t>
    <phoneticPr fontId="7" type="noConversion"/>
  </si>
  <si>
    <t>직독식 유속계</t>
    <phoneticPr fontId="7" type="noConversion"/>
  </si>
  <si>
    <t>박진순</t>
    <phoneticPr fontId="7" type="noConversion"/>
  </si>
  <si>
    <t>T.RESON</t>
    <phoneticPr fontId="7" type="noConversion"/>
  </si>
  <si>
    <t>TC4013-5 점검</t>
    <phoneticPr fontId="7" type="noConversion"/>
  </si>
  <si>
    <t>수중음향레코더</t>
    <phoneticPr fontId="7" type="noConversion"/>
  </si>
  <si>
    <t>EUR 18,000</t>
    <phoneticPr fontId="7" type="noConversion"/>
  </si>
  <si>
    <t>#67600, 67601</t>
    <phoneticPr fontId="7" type="noConversion"/>
  </si>
  <si>
    <t>이승훈</t>
    <phoneticPr fontId="7" type="noConversion"/>
  </si>
  <si>
    <t>성호현</t>
    <phoneticPr fontId="7" type="noConversion"/>
  </si>
  <si>
    <t>탐구 8호 지형탐사 어군관측장비</t>
    <phoneticPr fontId="7" type="noConversion"/>
  </si>
  <si>
    <t>EUR 220,000</t>
    <phoneticPr fontId="7" type="noConversion"/>
  </si>
  <si>
    <t>바나킬 BarnakiL x 6식</t>
    <phoneticPr fontId="7" type="noConversion"/>
  </si>
  <si>
    <t>김승규</t>
    <phoneticPr fontId="7" type="noConversion"/>
  </si>
  <si>
    <t>#65638, 66475</t>
    <phoneticPr fontId="7" type="noConversion"/>
  </si>
  <si>
    <t>#67038</t>
    <phoneticPr fontId="7" type="noConversion"/>
  </si>
  <si>
    <t>#67119, 67120</t>
    <phoneticPr fontId="7" type="noConversion"/>
  </si>
  <si>
    <t>#66701, 66702, 66703, 67666</t>
    <phoneticPr fontId="7" type="noConversion"/>
  </si>
  <si>
    <t xml:space="preserve">#67668, 67669, </t>
    <phoneticPr fontId="7" type="noConversion"/>
  </si>
  <si>
    <t>3/17, 5/27, 6/16</t>
    <phoneticPr fontId="7" type="noConversion"/>
  </si>
  <si>
    <t>MOCNESS 200 um 네트</t>
    <phoneticPr fontId="7" type="noConversion"/>
  </si>
  <si>
    <t>MOCNESS 부품</t>
    <phoneticPr fontId="7" type="noConversion"/>
  </si>
  <si>
    <t>T50-S</t>
    <phoneticPr fontId="7" type="noConversion"/>
  </si>
  <si>
    <t>Tow fish 4900</t>
    <phoneticPr fontId="7" type="noConversion"/>
  </si>
  <si>
    <t>T.Benthos</t>
    <phoneticPr fontId="7" type="noConversion"/>
  </si>
  <si>
    <t>유효재</t>
    <phoneticPr fontId="7" type="noConversion"/>
  </si>
  <si>
    <t>정나리</t>
    <phoneticPr fontId="7" type="noConversion"/>
  </si>
  <si>
    <t xml:space="preserve">#67742	</t>
    <phoneticPr fontId="7" type="noConversion"/>
  </si>
  <si>
    <t># 65338 , 1068 , 65339</t>
    <phoneticPr fontId="7" type="noConversion"/>
  </si>
  <si>
    <t>오원진(문성주)</t>
    <phoneticPr fontId="7" type="noConversion"/>
  </si>
  <si>
    <t>이학용(하선종)</t>
    <phoneticPr fontId="7" type="noConversion"/>
  </si>
  <si>
    <t>#67758, 67759</t>
    <phoneticPr fontId="7" type="noConversion"/>
  </si>
  <si>
    <t>#66541</t>
    <phoneticPr fontId="7" type="noConversion"/>
  </si>
  <si>
    <t>SSS 4000 Towfish 수리</t>
    <phoneticPr fontId="7" type="noConversion"/>
  </si>
  <si>
    <t>외자건이라 DB 없음</t>
    <phoneticPr fontId="7" type="noConversion"/>
  </si>
  <si>
    <t># 66122</t>
    <phoneticPr fontId="7" type="noConversion"/>
  </si>
  <si>
    <t>#67100, 67162, 67859, 67122</t>
    <phoneticPr fontId="7" type="noConversion"/>
  </si>
  <si>
    <t>#67861</t>
    <phoneticPr fontId="7" type="noConversion"/>
  </si>
  <si>
    <t>#66623, 66624</t>
    <phoneticPr fontId="7" type="noConversion"/>
  </si>
  <si>
    <t>#67862, 67863, 67864</t>
    <phoneticPr fontId="7" type="noConversion"/>
  </si>
  <si>
    <t>#67870, 67872</t>
    <phoneticPr fontId="7" type="noConversion"/>
  </si>
  <si>
    <t>#67618</t>
    <phoneticPr fontId="7" type="noConversion"/>
  </si>
  <si>
    <t>구정(강릉원주대)</t>
    <phoneticPr fontId="7" type="noConversion"/>
  </si>
  <si>
    <t>MIT</t>
    <phoneticPr fontId="7" type="noConversion"/>
  </si>
  <si>
    <t>오트로닉스</t>
    <phoneticPr fontId="7" type="noConversion"/>
  </si>
  <si>
    <t>실시간 해저재해 감시 기술개발</t>
    <phoneticPr fontId="7" type="noConversion"/>
  </si>
  <si>
    <t>최희재</t>
    <phoneticPr fontId="7" type="noConversion"/>
  </si>
  <si>
    <t>김삼열</t>
    <phoneticPr fontId="7" type="noConversion"/>
  </si>
  <si>
    <t>Sea Battery 및 Connector</t>
    <phoneticPr fontId="7" type="noConversion"/>
  </si>
  <si>
    <t>Argo Float(APEX-B-015-SSL)</t>
    <phoneticPr fontId="7" type="noConversion"/>
  </si>
  <si>
    <t>Argo Float(APEX-B-010-SRL)</t>
    <phoneticPr fontId="7" type="noConversion"/>
  </si>
  <si>
    <t>T.Webb</t>
    <phoneticPr fontId="7" type="noConversion"/>
  </si>
  <si>
    <t>강동진</t>
    <phoneticPr fontId="7" type="noConversion"/>
  </si>
  <si>
    <t>KIGAM(스마트코리아)</t>
    <phoneticPr fontId="7" type="noConversion"/>
  </si>
  <si>
    <t>김동현</t>
    <phoneticPr fontId="7" type="noConversion"/>
  </si>
  <si>
    <t>EUR 24,700</t>
    <phoneticPr fontId="7" type="noConversion"/>
  </si>
  <si>
    <t>최정옥</t>
    <phoneticPr fontId="7" type="noConversion"/>
  </si>
  <si>
    <t>4H JENA ENG</t>
    <phoneticPr fontId="7" type="noConversion"/>
  </si>
  <si>
    <t>RBR/오션사이언스</t>
    <phoneticPr fontId="7" type="noConversion"/>
  </si>
  <si>
    <t>Idronaut 308 CTD</t>
    <phoneticPr fontId="7" type="noConversion"/>
  </si>
  <si>
    <t>중력자료 모델링 소프트웨어 구매</t>
    <phoneticPr fontId="7" type="noConversion"/>
  </si>
  <si>
    <t>탐해2호 모니터링 시스템 외</t>
    <phoneticPr fontId="7" type="noConversion"/>
  </si>
  <si>
    <t>홍아름, 허신</t>
    <phoneticPr fontId="7" type="noConversion"/>
  </si>
  <si>
    <t xml:space="preserve"># 67185 , 67186 , 67187	</t>
    <phoneticPr fontId="7" type="noConversion"/>
  </si>
  <si>
    <t>Acoustic Recorder (RBR Solo D 포함)</t>
    <phoneticPr fontId="7" type="noConversion"/>
  </si>
  <si>
    <t>Rtsys, 오션사이언스</t>
    <phoneticPr fontId="7" type="noConversion"/>
  </si>
  <si>
    <t>ZLS</t>
    <phoneticPr fontId="7" type="noConversion"/>
  </si>
  <si>
    <t>바나킬 수리</t>
    <phoneticPr fontId="7" type="noConversion"/>
  </si>
  <si>
    <t>GAPS용 Transponder x 5ea</t>
    <phoneticPr fontId="7" type="noConversion"/>
  </si>
  <si>
    <t>육상 양식장 수온,염분 모니터링 센서 구입</t>
    <phoneticPr fontId="7" type="noConversion"/>
  </si>
  <si>
    <t>3/29, 6/28</t>
    <phoneticPr fontId="7" type="noConversion"/>
  </si>
  <si>
    <t>3/30, 6/28</t>
    <phoneticPr fontId="7" type="noConversion"/>
  </si>
  <si>
    <t>Chirp Ⅲ 부품</t>
    <phoneticPr fontId="7" type="noConversion"/>
  </si>
  <si>
    <t>4900 SSS</t>
    <phoneticPr fontId="7" type="noConversion"/>
  </si>
  <si>
    <t>탁도계</t>
    <phoneticPr fontId="7" type="noConversion"/>
  </si>
  <si>
    <t>#55061, 57982, 67132, 67922</t>
    <phoneticPr fontId="7" type="noConversion"/>
  </si>
  <si>
    <t>한국공간정보</t>
    <phoneticPr fontId="7" type="noConversion"/>
  </si>
  <si>
    <t>김현동</t>
    <phoneticPr fontId="7" type="noConversion"/>
  </si>
  <si>
    <t>무인해양조사선 현장조사 기술지원</t>
    <phoneticPr fontId="7" type="noConversion"/>
  </si>
  <si>
    <t>T50 부품 임대</t>
    <phoneticPr fontId="7" type="noConversion"/>
  </si>
  <si>
    <t>임대</t>
    <phoneticPr fontId="7" type="noConversion"/>
  </si>
  <si>
    <t>고래불 해수욕장 해양관측부이 제작 및 설치</t>
    <phoneticPr fontId="7" type="noConversion"/>
  </si>
  <si>
    <t>대하</t>
    <phoneticPr fontId="7" type="noConversion"/>
  </si>
  <si>
    <t>에이엘(AL)</t>
    <phoneticPr fontId="7" type="noConversion"/>
  </si>
  <si>
    <t>해상계측용 Buoy Hull</t>
    <phoneticPr fontId="7" type="noConversion"/>
  </si>
  <si>
    <t>음향레코더</t>
    <phoneticPr fontId="7" type="noConversion"/>
  </si>
  <si>
    <t>Atomic Clock</t>
    <phoneticPr fontId="7" type="noConversion"/>
  </si>
  <si>
    <t>마홍기</t>
    <phoneticPr fontId="7" type="noConversion"/>
  </si>
  <si>
    <t>T.Caris</t>
    <phoneticPr fontId="7" type="noConversion"/>
  </si>
  <si>
    <t>EUR 6,460</t>
    <phoneticPr fontId="7" type="noConversion"/>
  </si>
  <si>
    <t>계약취소</t>
    <phoneticPr fontId="7" type="noConversion"/>
  </si>
  <si>
    <t>#61108, 61107, 20011, 20010, 11633, 3470, 1566, 1565, 902, 900, 67975, 67976, 67977, 67978, 67979, 67980</t>
    <phoneticPr fontId="7" type="noConversion"/>
  </si>
  <si>
    <t xml:space="preserve">#67963, 67964, 67965, 67966, 67967, 67968, 67969, 67970, 67971, 67972, </t>
    <phoneticPr fontId="7" type="noConversion"/>
  </si>
  <si>
    <t>#66664</t>
    <phoneticPr fontId="7" type="noConversion"/>
  </si>
  <si>
    <t>#67698, 67699</t>
    <phoneticPr fontId="7" type="noConversion"/>
  </si>
  <si>
    <t>#66525, 66526, 66527, 66528, 66529</t>
    <phoneticPr fontId="7" type="noConversion"/>
  </si>
  <si>
    <t>#66429</t>
    <phoneticPr fontId="7" type="noConversion"/>
  </si>
  <si>
    <t>#67981, 67982, 67983, 67984, 67985, 67986, 67987, 67988, 67989, 67990</t>
    <phoneticPr fontId="7" type="noConversion"/>
  </si>
  <si>
    <t>#67991</t>
    <phoneticPr fontId="7" type="noConversion"/>
  </si>
  <si>
    <t>정의용</t>
    <phoneticPr fontId="7" type="noConversion"/>
  </si>
  <si>
    <t>Sound source</t>
    <phoneticPr fontId="7" type="noConversion"/>
  </si>
  <si>
    <t>해안해양기술</t>
    <phoneticPr fontId="7" type="noConversion"/>
  </si>
  <si>
    <t>김종덕</t>
    <phoneticPr fontId="7" type="noConversion"/>
  </si>
  <si>
    <t>목포청(비엔티)</t>
    <phoneticPr fontId="7" type="noConversion"/>
  </si>
  <si>
    <t>박미솔</t>
    <phoneticPr fontId="7" type="noConversion"/>
  </si>
  <si>
    <t>DCS4830 1식</t>
    <phoneticPr fontId="7" type="noConversion"/>
  </si>
  <si>
    <t>EUR 4,960</t>
    <phoneticPr fontId="7" type="noConversion"/>
  </si>
  <si>
    <t>전남대(인피니티오션)</t>
    <phoneticPr fontId="7" type="noConversion"/>
  </si>
  <si>
    <t>장혜미</t>
    <phoneticPr fontId="7" type="noConversion"/>
  </si>
  <si>
    <t>Altimeter &amp; Diver sonar</t>
    <phoneticPr fontId="7" type="noConversion"/>
  </si>
  <si>
    <t>Airmar, RJE</t>
    <phoneticPr fontId="7" type="noConversion"/>
  </si>
  <si>
    <t>DCS 4830 sn105 수리 대체품 구매</t>
    <phoneticPr fontId="7" type="noConversion"/>
  </si>
  <si>
    <t>이학용/김진수</t>
    <phoneticPr fontId="7" type="noConversion"/>
  </si>
  <si>
    <t>#66431</t>
    <phoneticPr fontId="7" type="noConversion"/>
  </si>
  <si>
    <t>#35863, 32599, 59842, 65760, 65759, 65758</t>
    <phoneticPr fontId="7" type="noConversion"/>
  </si>
  <si>
    <t>㈜동문시스텍</t>
    <phoneticPr fontId="7" type="noConversion"/>
  </si>
  <si>
    <t>RBRsolo Tu 1식</t>
    <phoneticPr fontId="7" type="noConversion"/>
  </si>
  <si>
    <t>#68023</t>
    <phoneticPr fontId="7" type="noConversion"/>
  </si>
  <si>
    <t>#68022</t>
    <phoneticPr fontId="7" type="noConversion"/>
  </si>
  <si>
    <t>IR-7300 x 4ea</t>
    <phoneticPr fontId="7" type="noConversion"/>
  </si>
  <si>
    <t>#68024</t>
    <phoneticPr fontId="7" type="noConversion"/>
  </si>
  <si>
    <t>#61539, #32773</t>
    <phoneticPr fontId="7" type="noConversion"/>
  </si>
  <si>
    <t>5/26, 7/13</t>
    <phoneticPr fontId="7" type="noConversion"/>
  </si>
  <si>
    <t>5/30, 7/15</t>
    <phoneticPr fontId="7" type="noConversion"/>
  </si>
  <si>
    <t>측면주사소나 유지보수(UUV 3500 수리)</t>
    <phoneticPr fontId="7" type="noConversion"/>
  </si>
  <si>
    <t>전남대학교 산학협력단</t>
    <phoneticPr fontId="7" type="noConversion"/>
  </si>
  <si>
    <t>#57639</t>
    <phoneticPr fontId="7" type="noConversion"/>
  </si>
  <si>
    <t>인하대학교</t>
    <phoneticPr fontId="7" type="noConversion"/>
  </si>
  <si>
    <t>해양수산과학기술연구조합</t>
    <phoneticPr fontId="7" type="noConversion"/>
  </si>
  <si>
    <t>이엔씨기술</t>
    <phoneticPr fontId="7" type="noConversion"/>
  </si>
  <si>
    <t>군산대</t>
    <phoneticPr fontId="7" type="noConversion"/>
  </si>
  <si>
    <t>빅재훈</t>
    <phoneticPr fontId="7" type="noConversion"/>
  </si>
  <si>
    <t>박준성</t>
    <phoneticPr fontId="7" type="noConversion"/>
  </si>
  <si>
    <t>김상태</t>
    <phoneticPr fontId="7" type="noConversion"/>
  </si>
  <si>
    <t>김주형</t>
    <phoneticPr fontId="7" type="noConversion"/>
  </si>
  <si>
    <t>김근유</t>
    <phoneticPr fontId="7" type="noConversion"/>
  </si>
  <si>
    <t>HMTI-9000</t>
    <phoneticPr fontId="7" type="noConversion"/>
  </si>
  <si>
    <t>Slocum G3 glider spare parts</t>
    <phoneticPr fontId="7" type="noConversion"/>
  </si>
  <si>
    <t>DCS 4420</t>
    <phoneticPr fontId="7" type="noConversion"/>
  </si>
  <si>
    <t>Flowmeter 2식</t>
    <phoneticPr fontId="7" type="noConversion"/>
  </si>
  <si>
    <t>PUB(Pop-Up Buoy) System</t>
    <phoneticPr fontId="7" type="noConversion"/>
  </si>
  <si>
    <t>파랑글라이더 및 파랑글라이더 센서 임차</t>
    <phoneticPr fontId="7" type="noConversion"/>
  </si>
  <si>
    <t>DCS 4830 x 2ea</t>
    <phoneticPr fontId="7" type="noConversion"/>
  </si>
  <si>
    <t>UPR x 5ea</t>
    <phoneticPr fontId="7" type="noConversion"/>
  </si>
  <si>
    <t>Mooring system, T.Benthos</t>
    <phoneticPr fontId="7" type="noConversion"/>
  </si>
  <si>
    <t>#30539</t>
    <phoneticPr fontId="7" type="noConversion"/>
  </si>
  <si>
    <t>재고번호 없음</t>
    <phoneticPr fontId="7" type="noConversion"/>
  </si>
  <si>
    <t>#67175, 67176, 67177, 67178</t>
    <phoneticPr fontId="7" type="noConversion"/>
  </si>
  <si>
    <t>#67021, 67022, 67023</t>
    <phoneticPr fontId="7" type="noConversion"/>
  </si>
  <si>
    <t>#67519, 58339</t>
    <phoneticPr fontId="7" type="noConversion"/>
  </si>
  <si>
    <t>#67998</t>
    <phoneticPr fontId="7" type="noConversion"/>
  </si>
  <si>
    <t>#68060</t>
    <phoneticPr fontId="7" type="noConversion"/>
  </si>
  <si>
    <t>용역 건이라 DB없음</t>
    <phoneticPr fontId="7" type="noConversion"/>
  </si>
  <si>
    <t>정다운</t>
    <phoneticPr fontId="7" type="noConversion"/>
  </si>
  <si>
    <t>#68160</t>
    <phoneticPr fontId="7" type="noConversion"/>
  </si>
  <si>
    <t>장명용</t>
    <phoneticPr fontId="7" type="noConversion"/>
  </si>
  <si>
    <t>#68139</t>
    <phoneticPr fontId="7" type="noConversion"/>
  </si>
  <si>
    <t>#66534, 68184, 68185, 68186, 68187</t>
    <phoneticPr fontId="7" type="noConversion"/>
  </si>
  <si>
    <t>#67188, 67189, 67190, 68182, 68183</t>
    <phoneticPr fontId="7" type="noConversion"/>
  </si>
  <si>
    <t>R2K Battery 2식</t>
    <phoneticPr fontId="7" type="noConversion"/>
  </si>
  <si>
    <t>#68062</t>
    <phoneticPr fontId="7" type="noConversion"/>
  </si>
  <si>
    <t>HydroC CO2 센서용 배터리팩</t>
    <phoneticPr fontId="7" type="noConversion"/>
  </si>
  <si>
    <t>Caris HIPS and SIPS Subscription</t>
    <phoneticPr fontId="7" type="noConversion"/>
  </si>
  <si>
    <t>HF radar 안테나 튜너</t>
    <phoneticPr fontId="7" type="noConversion"/>
  </si>
  <si>
    <t>마린엔지오</t>
    <phoneticPr fontId="7" type="noConversion"/>
  </si>
  <si>
    <t>김찬수</t>
    <phoneticPr fontId="7" type="noConversion"/>
  </si>
  <si>
    <t>박대길</t>
    <phoneticPr fontId="7" type="noConversion"/>
  </si>
  <si>
    <t>TC4032-1, TL8144</t>
    <phoneticPr fontId="7" type="noConversion"/>
  </si>
  <si>
    <t>GPS Antenna 수리 및 교체</t>
    <phoneticPr fontId="7" type="noConversion"/>
  </si>
  <si>
    <t>EDL1020</t>
    <phoneticPr fontId="7" type="noConversion"/>
  </si>
  <si>
    <t>Software(Qspec,Navigator)</t>
    <phoneticPr fontId="7" type="noConversion"/>
  </si>
  <si>
    <t>Codar</t>
    <phoneticPr fontId="7" type="noConversion"/>
  </si>
  <si>
    <t>Cox</t>
    <phoneticPr fontId="7" type="noConversion"/>
  </si>
  <si>
    <t>한울원전</t>
    <phoneticPr fontId="7" type="noConversion"/>
  </si>
  <si>
    <t>Diver Gun</t>
    <phoneticPr fontId="7" type="noConversion"/>
  </si>
  <si>
    <t>Rochester A210100</t>
    <phoneticPr fontId="7" type="noConversion"/>
  </si>
  <si>
    <t>정지웅</t>
    <phoneticPr fontId="7" type="noConversion"/>
  </si>
  <si>
    <t>Gun diver 1식</t>
    <phoneticPr fontId="7" type="noConversion"/>
  </si>
  <si>
    <t>308 CTD</t>
    <phoneticPr fontId="7" type="noConversion"/>
  </si>
  <si>
    <t>DTI-300A 1식</t>
    <phoneticPr fontId="7" type="noConversion"/>
  </si>
  <si>
    <t>서울대학교</t>
    <phoneticPr fontId="7" type="noConversion"/>
  </si>
  <si>
    <t>RESEA 550</t>
    <phoneticPr fontId="7" type="noConversion"/>
  </si>
  <si>
    <t>Teledyne Benthos</t>
    <phoneticPr fontId="7" type="noConversion"/>
  </si>
  <si>
    <t>Teledyne Benthos/Metocean</t>
    <phoneticPr fontId="7" type="noConversion"/>
  </si>
  <si>
    <t>자기기록식 도플러 유속계</t>
    <phoneticPr fontId="7" type="noConversion"/>
  </si>
  <si>
    <t>R2K (음향이탈센서)</t>
    <phoneticPr fontId="7" type="noConversion"/>
  </si>
  <si>
    <t>EUR 18,100</t>
    <phoneticPr fontId="7" type="noConversion"/>
  </si>
  <si>
    <t>#68219</t>
    <phoneticPr fontId="7" type="noConversion"/>
  </si>
  <si>
    <t>#67184</t>
    <phoneticPr fontId="7" type="noConversion"/>
  </si>
  <si>
    <t>#67924, 67118, 67006</t>
    <phoneticPr fontId="7" type="noConversion"/>
  </si>
  <si>
    <t>온배수 모니터링 시스템 2분기 유지보수</t>
    <phoneticPr fontId="7" type="noConversion"/>
  </si>
  <si>
    <t>HydroC CO2 센서용 프레임</t>
    <phoneticPr fontId="7" type="noConversion"/>
  </si>
  <si>
    <t>자력계 케이블 수리(MM termination kit 사용)</t>
    <phoneticPr fontId="7" type="noConversion"/>
  </si>
  <si>
    <t>해양과학기지 풍향풍속계 부품</t>
    <phoneticPr fontId="7" type="noConversion"/>
  </si>
  <si>
    <t>삼보과학</t>
    <phoneticPr fontId="7" type="noConversion"/>
  </si>
  <si>
    <t>Technicap</t>
    <phoneticPr fontId="7" type="noConversion"/>
  </si>
  <si>
    <t>아라종합기술</t>
    <phoneticPr fontId="7" type="noConversion"/>
  </si>
  <si>
    <t>층별유속계 임대</t>
    <phoneticPr fontId="7" type="noConversion"/>
  </si>
  <si>
    <t>최재석</t>
    <phoneticPr fontId="7" type="noConversion"/>
  </si>
  <si>
    <t>엠에스엘테크놀로지</t>
    <phoneticPr fontId="7" type="noConversion"/>
  </si>
  <si>
    <t>정창헌</t>
    <phoneticPr fontId="7" type="noConversion"/>
  </si>
  <si>
    <t>김대연</t>
    <phoneticPr fontId="7" type="noConversion"/>
  </si>
  <si>
    <t>오종환</t>
    <phoneticPr fontId="7" type="noConversion"/>
  </si>
  <si>
    <t>최요한</t>
    <phoneticPr fontId="7" type="noConversion"/>
  </si>
  <si>
    <t>온누리호 PCO2 부품</t>
    <phoneticPr fontId="7" type="noConversion"/>
  </si>
  <si>
    <t>이사부호 pCO2 소모품 구매 및 오버홀 제작</t>
    <phoneticPr fontId="7" type="noConversion"/>
  </si>
  <si>
    <t>MOTUS 1식</t>
    <phoneticPr fontId="7" type="noConversion"/>
  </si>
  <si>
    <t>UTS-9500 수리</t>
    <phoneticPr fontId="7" type="noConversion"/>
  </si>
  <si>
    <t xml:space="preserve"> WaveGlider를 이용한 해양관측용역(울산해역)</t>
    <phoneticPr fontId="7" type="noConversion"/>
  </si>
  <si>
    <t>#68358</t>
    <phoneticPr fontId="7" type="noConversion"/>
  </si>
  <si>
    <t>#68178, 68179</t>
    <phoneticPr fontId="7" type="noConversion"/>
  </si>
  <si>
    <t>#67973, 67974, 68058, 68059</t>
    <phoneticPr fontId="7" type="noConversion"/>
  </si>
  <si>
    <t>#68189, 68190, 68191</t>
    <phoneticPr fontId="7" type="noConversion"/>
  </si>
  <si>
    <t>홍도웅</t>
    <phoneticPr fontId="7" type="noConversion"/>
  </si>
  <si>
    <t>RBRsolo T 20식</t>
    <phoneticPr fontId="7" type="noConversion"/>
  </si>
  <si>
    <t>김주은</t>
    <phoneticPr fontId="7" type="noConversion"/>
  </si>
  <si>
    <t xml:space="preserve">해무관측소 데이터로거 수리 </t>
    <phoneticPr fontId="7" type="noConversion"/>
  </si>
  <si>
    <t>엠피테크</t>
    <phoneticPr fontId="7" type="noConversion"/>
  </si>
  <si>
    <t>김정수</t>
    <phoneticPr fontId="7" type="noConversion"/>
  </si>
  <si>
    <t>국산 니스킨 채수기 5L</t>
    <phoneticPr fontId="7" type="noConversion"/>
  </si>
  <si>
    <t>원현경</t>
    <phoneticPr fontId="7" type="noConversion"/>
  </si>
  <si>
    <t>Wave Glider 통신료</t>
    <phoneticPr fontId="7" type="noConversion"/>
  </si>
  <si>
    <t>MBES 임대</t>
    <phoneticPr fontId="7" type="noConversion"/>
  </si>
  <si>
    <t>전한성</t>
    <phoneticPr fontId="7" type="noConversion"/>
  </si>
  <si>
    <t>IP Multi Seacam</t>
    <phoneticPr fontId="7" type="noConversion"/>
  </si>
  <si>
    <t>김태경</t>
    <phoneticPr fontId="7" type="noConversion"/>
  </si>
  <si>
    <t>R500 Turnaround Kit 5식</t>
    <phoneticPr fontId="7" type="noConversion"/>
  </si>
  <si>
    <t>미출고</t>
    <phoneticPr fontId="7" type="noConversion"/>
  </si>
  <si>
    <t>수산자원 생태 및 서식환경 연속 모니터링 기술 연구(생물추적모니터링)</t>
    <phoneticPr fontId="7" type="noConversion"/>
  </si>
  <si>
    <t>3/23, 6/2</t>
    <phoneticPr fontId="7" type="noConversion"/>
  </si>
  <si>
    <t>3/31, 6/29</t>
    <phoneticPr fontId="7" type="noConversion"/>
  </si>
  <si>
    <t>국내에서 구입한 소모품류(1번항목은 ㈜케이씨글로비즈 에서 구매)</t>
    <phoneticPr fontId="7" type="noConversion"/>
  </si>
  <si>
    <t>#53199</t>
    <phoneticPr fontId="7" type="noConversion"/>
  </si>
  <si>
    <t>#68558</t>
    <phoneticPr fontId="7" type="noConversion"/>
  </si>
  <si>
    <t>SSS 케이블, 100m</t>
    <phoneticPr fontId="7" type="noConversion"/>
  </si>
  <si>
    <t># 68084</t>
    <phoneticPr fontId="7" type="noConversion"/>
  </si>
  <si>
    <t># 68158</t>
    <phoneticPr fontId="7" type="noConversion"/>
  </si>
  <si>
    <t># 30818 , 35138</t>
    <phoneticPr fontId="7" type="noConversion"/>
  </si>
  <si>
    <t># 30818 , 30820 , 30819 , 18453 , 18453 , 32922 , 36778</t>
    <phoneticPr fontId="7" type="noConversion"/>
  </si>
  <si>
    <t>통신료 - 재고번호 없음</t>
    <phoneticPr fontId="7" type="noConversion"/>
  </si>
  <si>
    <t>시스코어</t>
    <phoneticPr fontId="7" type="noConversion"/>
  </si>
  <si>
    <t>제주수산연구원</t>
    <phoneticPr fontId="7" type="noConversion"/>
  </si>
  <si>
    <t>2022년도 지진해일관측망 확충 사업</t>
    <phoneticPr fontId="7" type="noConversion"/>
  </si>
  <si>
    <t>4117 압력센서</t>
    <phoneticPr fontId="7" type="noConversion"/>
  </si>
  <si>
    <t>삼원중공업/전남대</t>
    <phoneticPr fontId="7" type="noConversion"/>
  </si>
  <si>
    <t>멀티플랑크톤 네트시스템</t>
    <phoneticPr fontId="7" type="noConversion"/>
  </si>
  <si>
    <t>연평도 보험</t>
    <phoneticPr fontId="7" type="noConversion"/>
  </si>
  <si>
    <t>22-170</t>
    <phoneticPr fontId="7" type="noConversion"/>
  </si>
  <si>
    <t>USD 67,000</t>
    <phoneticPr fontId="7" type="noConversion"/>
  </si>
  <si>
    <t>22.08.19 청구</t>
    <phoneticPr fontId="7" type="noConversion"/>
  </si>
  <si>
    <t>USD 12,124</t>
    <phoneticPr fontId="7" type="noConversion"/>
  </si>
  <si>
    <t>22-172</t>
    <phoneticPr fontId="7" type="noConversion"/>
  </si>
  <si>
    <t>22-173</t>
    <phoneticPr fontId="7" type="noConversion"/>
  </si>
  <si>
    <t>22-196</t>
    <phoneticPr fontId="7" type="noConversion"/>
  </si>
  <si>
    <t>22-227</t>
    <phoneticPr fontId="7" type="noConversion"/>
  </si>
  <si>
    <t>22-266</t>
    <phoneticPr fontId="7" type="noConversion"/>
  </si>
  <si>
    <t>KIOST</t>
    <phoneticPr fontId="7" type="noConversion"/>
  </si>
  <si>
    <t>Klein</t>
    <phoneticPr fontId="7" type="noConversion"/>
  </si>
  <si>
    <t>RTSYS</t>
    <phoneticPr fontId="7" type="noConversion"/>
  </si>
  <si>
    <t>EUR 17,864.00</t>
    <phoneticPr fontId="7" type="noConversion"/>
  </si>
  <si>
    <t>#68558(2개)</t>
    <phoneticPr fontId="7" type="noConversion"/>
  </si>
  <si>
    <t>#66427</t>
    <phoneticPr fontId="7" type="noConversion"/>
  </si>
  <si>
    <t>#66698, 66699</t>
    <phoneticPr fontId="7" type="noConversion"/>
  </si>
  <si>
    <t>-</t>
    <phoneticPr fontId="7" type="noConversion"/>
  </si>
  <si>
    <t>Electrode EDL 1020 2식</t>
    <phoneticPr fontId="7" type="noConversion"/>
  </si>
  <si>
    <t>8/5, 8/11</t>
    <phoneticPr fontId="7" type="noConversion"/>
  </si>
  <si>
    <t>테크노씨앤에스</t>
    <phoneticPr fontId="7" type="noConversion"/>
  </si>
  <si>
    <t>이철우</t>
    <phoneticPr fontId="7" type="noConversion"/>
  </si>
  <si>
    <t>조위관측소 프로그램 수정</t>
    <phoneticPr fontId="7" type="noConversion"/>
  </si>
  <si>
    <t>니스킨채수기2.5L(Teflon Coated), Teflon coated messenger</t>
    <phoneticPr fontId="7" type="noConversion"/>
  </si>
  <si>
    <t>RT Live SW 성능개선</t>
    <phoneticPr fontId="7" type="noConversion"/>
  </si>
  <si>
    <t>#60123, 60125, 60128, 64286, 64282, 68582</t>
    <phoneticPr fontId="7" type="noConversion"/>
  </si>
  <si>
    <t>#68638, 68639</t>
    <phoneticPr fontId="7" type="noConversion"/>
  </si>
  <si>
    <t>#68698, 68699</t>
    <phoneticPr fontId="7" type="noConversion"/>
  </si>
  <si>
    <t>#68700, 68701, 68702, 68703</t>
    <phoneticPr fontId="7" type="noConversion"/>
  </si>
  <si>
    <t>#68709</t>
    <phoneticPr fontId="7" type="noConversion"/>
  </si>
  <si>
    <t>#68710</t>
    <phoneticPr fontId="7" type="noConversion"/>
  </si>
  <si>
    <t>하이드로봇</t>
    <phoneticPr fontId="7" type="noConversion"/>
  </si>
  <si>
    <t>Depressor for S4900</t>
    <phoneticPr fontId="7" type="noConversion"/>
  </si>
  <si>
    <t>UPR x 3ea</t>
    <phoneticPr fontId="7" type="noConversion"/>
  </si>
  <si>
    <t>스파커 수리 및 부품 구매</t>
    <phoneticPr fontId="7" type="noConversion"/>
  </si>
  <si>
    <t>태안항 해양관측부이 보험</t>
    <phoneticPr fontId="7" type="noConversion"/>
  </si>
  <si>
    <t>USD 7,890</t>
    <phoneticPr fontId="7" type="noConversion"/>
  </si>
  <si>
    <t>김선신</t>
    <phoneticPr fontId="7" type="noConversion"/>
  </si>
  <si>
    <t>#68714, 68715, 68716</t>
    <phoneticPr fontId="7" type="noConversion"/>
  </si>
  <si>
    <t>#68711, 68712, 68713</t>
    <phoneticPr fontId="7" type="noConversion"/>
  </si>
  <si>
    <t>#68758, 68759</t>
    <phoneticPr fontId="7" type="noConversion"/>
  </si>
  <si>
    <t>#68738</t>
    <phoneticPr fontId="7" type="noConversion"/>
  </si>
  <si>
    <t>송규민</t>
    <phoneticPr fontId="7" type="noConversion"/>
  </si>
  <si>
    <t>HF radar 장비수리</t>
    <phoneticPr fontId="7" type="noConversion"/>
  </si>
  <si>
    <t>CT 케이블</t>
    <phoneticPr fontId="7" type="noConversion"/>
  </si>
  <si>
    <t xml:space="preserve">#68439, </t>
    <phoneticPr fontId="7" type="noConversion"/>
  </si>
  <si>
    <t>#68838, 68858, 68025</t>
    <phoneticPr fontId="7" type="noConversion"/>
  </si>
  <si>
    <t>전남대</t>
    <phoneticPr fontId="7" type="noConversion"/>
  </si>
  <si>
    <t>김진우</t>
    <phoneticPr fontId="7" type="noConversion"/>
  </si>
  <si>
    <t>수중케이블</t>
    <phoneticPr fontId="7" type="noConversion"/>
  </si>
  <si>
    <t>20년도 계약 건 중 미결재 금액에 대한 계약입니다.</t>
    <phoneticPr fontId="7" type="noConversion"/>
  </si>
  <si>
    <t>#67158</t>
    <phoneticPr fontId="7" type="noConversion"/>
  </si>
  <si>
    <t>R2K용 보조프레임</t>
    <phoneticPr fontId="7" type="noConversion"/>
  </si>
  <si>
    <t>용역 건이라 DB 없음</t>
    <phoneticPr fontId="7" type="noConversion"/>
  </si>
  <si>
    <t># 68382, 68383, 68939</t>
    <phoneticPr fontId="7" type="noConversion"/>
  </si>
  <si>
    <t>우승범</t>
    <phoneticPr fontId="7" type="noConversion"/>
  </si>
  <si>
    <t>김영길</t>
    <phoneticPr fontId="7" type="noConversion"/>
  </si>
  <si>
    <t>UPR 2식</t>
    <phoneticPr fontId="7" type="noConversion"/>
  </si>
  <si>
    <t>UV Anti-fouling 센서</t>
    <phoneticPr fontId="7" type="noConversion"/>
  </si>
  <si>
    <t xml:space="preserve">8/30, </t>
    <phoneticPr fontId="7" type="noConversion"/>
  </si>
  <si>
    <t>#68717, 68718, 68719</t>
    <phoneticPr fontId="7" type="noConversion"/>
  </si>
  <si>
    <t>#68720, 68721, 68722, 68723, 68724</t>
    <phoneticPr fontId="7" type="noConversion"/>
  </si>
  <si>
    <t>#68725</t>
    <phoneticPr fontId="7" type="noConversion"/>
  </si>
  <si>
    <t>8/26, 8/29</t>
    <phoneticPr fontId="7" type="noConversion"/>
  </si>
  <si>
    <t>무인선박 사용 임차</t>
    <phoneticPr fontId="7" type="noConversion"/>
  </si>
  <si>
    <t>Innomar 현장지원</t>
    <phoneticPr fontId="7" type="noConversion"/>
  </si>
  <si>
    <t>WaveGlider 해양관측용역 2차</t>
    <phoneticPr fontId="7" type="noConversion"/>
  </si>
  <si>
    <t>Gun diver 1식</t>
    <phoneticPr fontId="7" type="noConversion"/>
  </si>
  <si>
    <t>Electrode EDL 1020 1식</t>
    <phoneticPr fontId="7" type="noConversion"/>
  </si>
  <si>
    <t>KIGAM 4 Streamer system 현장 설치 및 지원</t>
    <phoneticPr fontId="7" type="noConversion"/>
  </si>
  <si>
    <t>모크니스부품 underwater unit</t>
    <phoneticPr fontId="7" type="noConversion"/>
  </si>
  <si>
    <t>R500</t>
    <phoneticPr fontId="7" type="noConversion"/>
  </si>
  <si>
    <t>#68978</t>
    <phoneticPr fontId="7" type="noConversion"/>
  </si>
  <si>
    <t>전남대(제주대)</t>
    <phoneticPr fontId="7" type="noConversion"/>
  </si>
  <si>
    <t>김정현</t>
    <phoneticPr fontId="7" type="noConversion"/>
  </si>
  <si>
    <t>하지호</t>
    <phoneticPr fontId="7" type="noConversion"/>
  </si>
  <si>
    <t>황유진(김진수)</t>
    <phoneticPr fontId="7" type="noConversion"/>
  </si>
  <si>
    <t>#68558(1개)</t>
    <phoneticPr fontId="7" type="noConversion"/>
  </si>
  <si>
    <t>Caris HIPS and SIPS 업그레이드</t>
    <phoneticPr fontId="7" type="noConversion"/>
  </si>
  <si>
    <t>송지현</t>
    <phoneticPr fontId="7" type="noConversion"/>
  </si>
  <si>
    <t>한국해양조사협회</t>
    <phoneticPr fontId="7" type="noConversion"/>
  </si>
  <si>
    <t>이승헌</t>
    <phoneticPr fontId="7" type="noConversion"/>
  </si>
  <si>
    <t>강명일</t>
    <phoneticPr fontId="7" type="noConversion"/>
  </si>
  <si>
    <t>전보령</t>
    <phoneticPr fontId="7" type="noConversion"/>
  </si>
  <si>
    <t>CT3919 검교정</t>
    <phoneticPr fontId="7" type="noConversion"/>
  </si>
  <si>
    <t>RCM배터리 배터리 케이스,AR865A 배터리</t>
    <phoneticPr fontId="7" type="noConversion"/>
  </si>
  <si>
    <t>RBRconcerto CTD 수리</t>
    <phoneticPr fontId="7" type="noConversion"/>
  </si>
  <si>
    <t>9/7,</t>
    <phoneticPr fontId="7" type="noConversion"/>
  </si>
  <si>
    <t>9/8,</t>
    <phoneticPr fontId="7" type="noConversion"/>
  </si>
  <si>
    <t>6/24, 9/8</t>
    <phoneticPr fontId="7" type="noConversion"/>
  </si>
  <si>
    <t xml:space="preserve">9/7, </t>
    <phoneticPr fontId="7" type="noConversion"/>
  </si>
  <si>
    <t>HydroC CO2</t>
    <phoneticPr fontId="7" type="noConversion"/>
  </si>
  <si>
    <t>HydroC CO2</t>
    <phoneticPr fontId="7" type="noConversion"/>
  </si>
  <si>
    <t>22-217</t>
    <phoneticPr fontId="7" type="noConversion"/>
  </si>
  <si>
    <t>KOPRI</t>
    <phoneticPr fontId="7" type="noConversion"/>
  </si>
  <si>
    <t>4H-JENA</t>
    <phoneticPr fontId="7" type="noConversion"/>
  </si>
  <si>
    <t>EUR 24,700</t>
    <phoneticPr fontId="7" type="noConversion"/>
  </si>
  <si>
    <t>EUR 6,680.00</t>
    <phoneticPr fontId="7" type="noConversion"/>
  </si>
  <si>
    <t>22.08.31</t>
    <phoneticPr fontId="7" type="noConversion"/>
  </si>
  <si>
    <t>22-91</t>
    <phoneticPr fontId="7" type="noConversion"/>
  </si>
  <si>
    <t>R2K 4식</t>
    <phoneticPr fontId="7" type="noConversion"/>
  </si>
  <si>
    <t>USD 51,104.00</t>
    <phoneticPr fontId="7" type="noConversion"/>
  </si>
  <si>
    <t>USD 5,110.40</t>
    <phoneticPr fontId="7" type="noConversion"/>
  </si>
  <si>
    <t>22.09.13</t>
    <phoneticPr fontId="7" type="noConversion"/>
  </si>
  <si>
    <t>용수빈</t>
    <phoneticPr fontId="7" type="noConversion"/>
  </si>
  <si>
    <t>Hydrins 수리</t>
    <phoneticPr fontId="7" type="noConversion"/>
  </si>
  <si>
    <t>#68680, 68818</t>
    <phoneticPr fontId="7" type="noConversion"/>
  </si>
  <si>
    <t>#69178</t>
    <phoneticPr fontId="7" type="noConversion"/>
  </si>
  <si>
    <t>씨테크코퍼레이션</t>
    <phoneticPr fontId="7" type="noConversion"/>
  </si>
  <si>
    <t>이상돈</t>
    <phoneticPr fontId="7" type="noConversion"/>
  </si>
  <si>
    <t>#69218, 69318</t>
    <phoneticPr fontId="7" type="noConversion"/>
  </si>
  <si>
    <t>기상관측장비 예비품</t>
    <phoneticPr fontId="7" type="noConversion"/>
  </si>
  <si>
    <t>UPR 1식</t>
    <phoneticPr fontId="7" type="noConversion"/>
  </si>
  <si>
    <t>온배수 모니터링 시스템 긴급점검</t>
    <phoneticPr fontId="7" type="noConversion"/>
  </si>
  <si>
    <t>Wave Glider 위성통신료</t>
    <phoneticPr fontId="7" type="noConversion"/>
  </si>
  <si>
    <t>TC4040 2식</t>
    <phoneticPr fontId="7" type="noConversion"/>
  </si>
  <si>
    <t>송진일</t>
    <phoneticPr fontId="7" type="noConversion"/>
  </si>
  <si>
    <t>Connector</t>
    <phoneticPr fontId="7" type="noConversion"/>
  </si>
  <si>
    <t>T50 임대</t>
    <phoneticPr fontId="7" type="noConversion"/>
  </si>
  <si>
    <t>한동균</t>
    <phoneticPr fontId="7" type="noConversion"/>
  </si>
  <si>
    <t>#2121, 2122, 17734, 17735, 17736, 32922, 35138</t>
    <phoneticPr fontId="7" type="noConversion"/>
  </si>
  <si>
    <t>WG 부품 교체</t>
    <phoneticPr fontId="7" type="noConversion"/>
  </si>
  <si>
    <t>RBRsolo T 10식</t>
    <phoneticPr fontId="7" type="noConversion"/>
  </si>
  <si>
    <t>부경대(메이텍엔지니어링)</t>
    <phoneticPr fontId="7" type="noConversion"/>
  </si>
  <si>
    <t>#68640</t>
    <phoneticPr fontId="7" type="noConversion"/>
  </si>
  <si>
    <t>#54078</t>
    <phoneticPr fontId="7" type="noConversion"/>
  </si>
  <si>
    <t>한국엠에이</t>
    <phoneticPr fontId="7" type="noConversion"/>
  </si>
  <si>
    <t>한충근</t>
    <phoneticPr fontId="7" type="noConversion"/>
  </si>
  <si>
    <t>서정민</t>
    <phoneticPr fontId="7" type="noConversion"/>
  </si>
  <si>
    <t>ELC 820 2식</t>
    <phoneticPr fontId="7" type="noConversion"/>
  </si>
  <si>
    <t>Solo T</t>
    <phoneticPr fontId="7" type="noConversion"/>
  </si>
  <si>
    <t>압력식 조위계 및 CT 센서</t>
    <phoneticPr fontId="7" type="noConversion"/>
  </si>
  <si>
    <t>MOCNESS 점검 및 수리</t>
    <phoneticPr fontId="7" type="noConversion"/>
  </si>
  <si>
    <t>KIOST</t>
    <phoneticPr fontId="7" type="noConversion"/>
  </si>
  <si>
    <t>김태성</t>
    <phoneticPr fontId="7" type="noConversion"/>
  </si>
  <si>
    <t>CARIS 업그레이드</t>
    <phoneticPr fontId="7" type="noConversion"/>
  </si>
  <si>
    <t>인하대학교 산학협력단</t>
    <phoneticPr fontId="7" type="noConversion"/>
  </si>
  <si>
    <t>#68728, 68729</t>
    <phoneticPr fontId="7" type="noConversion"/>
  </si>
  <si>
    <t xml:space="preserve"> </t>
    <phoneticPr fontId="7" type="noConversion"/>
  </si>
  <si>
    <t>이나래</t>
    <phoneticPr fontId="7" type="noConversion"/>
  </si>
  <si>
    <t>㈜에이스해양</t>
    <phoneticPr fontId="7" type="noConversion"/>
  </si>
  <si>
    <t>더모스트</t>
    <phoneticPr fontId="7" type="noConversion"/>
  </si>
  <si>
    <t>김한준</t>
    <phoneticPr fontId="7" type="noConversion"/>
  </si>
  <si>
    <t>양병률</t>
    <phoneticPr fontId="7" type="noConversion"/>
  </si>
  <si>
    <t>송기성</t>
    <phoneticPr fontId="7" type="noConversion"/>
  </si>
  <si>
    <t>ELP1250 1식</t>
    <phoneticPr fontId="7" type="noConversion"/>
  </si>
  <si>
    <t>Slocum G3 서버 설정, 관리 및 설치</t>
    <phoneticPr fontId="7" type="noConversion"/>
  </si>
  <si>
    <t>#69498, 69499</t>
    <phoneticPr fontId="7" type="noConversion"/>
  </si>
  <si>
    <t>#69418</t>
    <phoneticPr fontId="7" type="noConversion"/>
  </si>
  <si>
    <t>#69458</t>
    <phoneticPr fontId="7" type="noConversion"/>
  </si>
  <si>
    <t>#68192</t>
    <phoneticPr fontId="7" type="noConversion"/>
  </si>
  <si>
    <t>#36158, 64295, 64296, 64297, 64292, 53476, 53477, 65347</t>
    <phoneticPr fontId="7" type="noConversion"/>
  </si>
  <si>
    <t>9/30,</t>
    <phoneticPr fontId="7" type="noConversion"/>
  </si>
  <si>
    <t>프라이스(고호상사)</t>
    <phoneticPr fontId="7" type="noConversion"/>
  </si>
  <si>
    <t>Seaguard II DCP</t>
    <phoneticPr fontId="7" type="noConversion"/>
  </si>
  <si>
    <t>R2K용 Turnaround Kit 2식</t>
    <phoneticPr fontId="7" type="noConversion"/>
  </si>
  <si>
    <t>ELP 1250 3식</t>
    <phoneticPr fontId="7" type="noConversion"/>
  </si>
  <si>
    <t>RBRconcerto³ CTD 2식</t>
    <phoneticPr fontId="7" type="noConversion"/>
  </si>
  <si>
    <t>서갑석</t>
    <phoneticPr fontId="7" type="noConversion"/>
  </si>
  <si>
    <t>M2 Sparker System</t>
    <phoneticPr fontId="7" type="noConversion"/>
  </si>
  <si>
    <t>Cable Grip - 20ea</t>
    <phoneticPr fontId="7" type="noConversion"/>
  </si>
  <si>
    <t>에스아이디텍션</t>
    <phoneticPr fontId="7" type="noConversion"/>
  </si>
  <si>
    <t>임태형</t>
    <phoneticPr fontId="7" type="noConversion"/>
  </si>
  <si>
    <t>인현산업</t>
    <phoneticPr fontId="7" type="noConversion"/>
  </si>
  <si>
    <t>실장님</t>
    <phoneticPr fontId="7" type="noConversion"/>
  </si>
  <si>
    <t>김행운</t>
    <phoneticPr fontId="7" type="noConversion"/>
  </si>
  <si>
    <t>HIPS and SIPS Professional, Subscription</t>
    <phoneticPr fontId="7" type="noConversion"/>
  </si>
  <si>
    <t>안양대학교</t>
    <phoneticPr fontId="7" type="noConversion"/>
  </si>
  <si>
    <t>이무준</t>
    <phoneticPr fontId="7" type="noConversion"/>
  </si>
  <si>
    <t>2030RC Flowmeter 2식</t>
    <phoneticPr fontId="7" type="noConversion"/>
  </si>
  <si>
    <t>EC6076 2식</t>
    <phoneticPr fontId="7" type="noConversion"/>
  </si>
  <si>
    <t>#69680</t>
    <phoneticPr fontId="7" type="noConversion"/>
  </si>
  <si>
    <t>#69578, 69579</t>
    <phoneticPr fontId="7" type="noConversion"/>
  </si>
  <si>
    <t>#66866</t>
    <phoneticPr fontId="7" type="noConversion"/>
  </si>
  <si>
    <t>#68726</t>
    <phoneticPr fontId="7" type="noConversion"/>
  </si>
  <si>
    <t>Glass Flotation Sphere 2식</t>
    <phoneticPr fontId="7" type="noConversion"/>
  </si>
  <si>
    <t>#67310, 67311</t>
    <phoneticPr fontId="7" type="noConversion"/>
  </si>
  <si>
    <t>통신케이블 100m</t>
    <phoneticPr fontId="7" type="noConversion"/>
  </si>
  <si>
    <t>#69778</t>
    <phoneticPr fontId="7" type="noConversion"/>
  </si>
  <si>
    <t>#67619, 67620, 67621, 67622, 67918, 67920, 66428(2개)</t>
    <phoneticPr fontId="7" type="noConversion"/>
  </si>
  <si>
    <t>pCO2 소모품 구매</t>
    <phoneticPr fontId="7" type="noConversion"/>
  </si>
  <si>
    <t>에어건, 스트리머 부품 2</t>
    <phoneticPr fontId="7" type="noConversion"/>
  </si>
  <si>
    <t>Phins 테스트</t>
    <phoneticPr fontId="7" type="noConversion"/>
  </si>
  <si>
    <t>한일뉴즈</t>
    <phoneticPr fontId="7" type="noConversion"/>
  </si>
  <si>
    <t>김성운</t>
    <phoneticPr fontId="7" type="noConversion"/>
  </si>
  <si>
    <t>10/4, 10/7</t>
    <phoneticPr fontId="7" type="noConversion"/>
  </si>
  <si>
    <t>10/5,</t>
    <phoneticPr fontId="7" type="noConversion"/>
  </si>
  <si>
    <t>박요섭</t>
    <phoneticPr fontId="7" type="noConversion"/>
  </si>
  <si>
    <t>Spare parts for slocum G3 glider</t>
    <phoneticPr fontId="7" type="noConversion"/>
  </si>
  <si>
    <t>Glass Floatation Sphere 2식</t>
    <phoneticPr fontId="7" type="noConversion"/>
  </si>
  <si>
    <t>RBRconcerto CTD 1식, RBRconcerto CTD Deep 1식</t>
    <phoneticPr fontId="7" type="noConversion"/>
  </si>
  <si>
    <t>4831 Oxygen Optode</t>
    <phoneticPr fontId="7" type="noConversion"/>
  </si>
  <si>
    <t>9/27, 10/7</t>
    <phoneticPr fontId="7" type="noConversion"/>
  </si>
  <si>
    <t>CO2 누출 모니터링시스템 데크컨트롤러 및 수중컨트롤러</t>
    <phoneticPr fontId="7" type="noConversion"/>
  </si>
  <si>
    <t>나형술</t>
    <phoneticPr fontId="7" type="noConversion"/>
  </si>
  <si>
    <t>IR7300</t>
    <phoneticPr fontId="7" type="noConversion"/>
  </si>
  <si>
    <t>R2k배터리, 징크 각 3식</t>
    <phoneticPr fontId="7" type="noConversion"/>
  </si>
  <si>
    <t>KAIST</t>
    <phoneticPr fontId="7" type="noConversion"/>
  </si>
  <si>
    <t>이윤주</t>
    <phoneticPr fontId="7" type="noConversion"/>
  </si>
  <si>
    <t>해양과학기지 유지물품 12종 구매</t>
    <phoneticPr fontId="7" type="noConversion"/>
  </si>
  <si>
    <t>온배수 모니터링 시스템 3분기 유지보수</t>
    <phoneticPr fontId="7" type="noConversion"/>
  </si>
  <si>
    <t>유속계 터치스크린 교체</t>
    <phoneticPr fontId="7" type="noConversion"/>
  </si>
  <si>
    <t>김도영</t>
    <phoneticPr fontId="7" type="noConversion"/>
  </si>
  <si>
    <t>Releaselt deck unit 수리</t>
    <phoneticPr fontId="7" type="noConversion"/>
  </si>
  <si>
    <t>RBRsolo T 9식</t>
    <phoneticPr fontId="7" type="noConversion"/>
  </si>
  <si>
    <t>#E00009_1, E00011_1</t>
    <phoneticPr fontId="7" type="noConversion"/>
  </si>
  <si>
    <t>#69903</t>
    <phoneticPr fontId="7" type="noConversion"/>
  </si>
  <si>
    <t>#69878</t>
    <phoneticPr fontId="7" type="noConversion"/>
  </si>
  <si>
    <t>#69879</t>
    <phoneticPr fontId="7" type="noConversion"/>
  </si>
  <si>
    <t>#69880</t>
    <phoneticPr fontId="7" type="noConversion"/>
  </si>
  <si>
    <t>#69881</t>
    <phoneticPr fontId="7" type="noConversion"/>
  </si>
  <si>
    <t>#69882, 69883</t>
    <phoneticPr fontId="7" type="noConversion"/>
  </si>
  <si>
    <t>#69884</t>
    <phoneticPr fontId="7" type="noConversion"/>
  </si>
  <si>
    <t>#E00005-1</t>
    <phoneticPr fontId="7" type="noConversion"/>
  </si>
  <si>
    <t>#E00006_1</t>
    <phoneticPr fontId="7" type="noConversion"/>
  </si>
  <si>
    <t xml:space="preserve">10/18, </t>
    <phoneticPr fontId="7" type="noConversion"/>
  </si>
  <si>
    <t>#69201, 69200, 69199</t>
    <phoneticPr fontId="7" type="noConversion"/>
  </si>
  <si>
    <t>보험 건이라 DB없음</t>
    <phoneticPr fontId="7" type="noConversion"/>
  </si>
  <si>
    <t>#66229, #66251, #55238, #55103, #42601, #39904, #39901, #39718, #39058, #34740, #34739, #21881, #18460</t>
    <phoneticPr fontId="7" type="noConversion"/>
  </si>
  <si>
    <t>#68340</t>
    <phoneticPr fontId="7" type="noConversion"/>
  </si>
  <si>
    <t>이시백</t>
    <phoneticPr fontId="7" type="noConversion"/>
  </si>
  <si>
    <t>오태석</t>
    <phoneticPr fontId="7" type="noConversion"/>
  </si>
  <si>
    <t>신정욱</t>
    <phoneticPr fontId="7" type="noConversion"/>
  </si>
  <si>
    <t>SYLENCE-L 3식</t>
    <phoneticPr fontId="7" type="noConversion"/>
  </si>
  <si>
    <t>RCM 부품</t>
    <phoneticPr fontId="7" type="noConversion"/>
  </si>
  <si>
    <t>조위계, 탁도계</t>
    <phoneticPr fontId="7" type="noConversion"/>
  </si>
  <si>
    <t>해양관측부이 데이터로거 수리</t>
    <phoneticPr fontId="7" type="noConversion"/>
  </si>
  <si>
    <t>TC4032 케이블 커넥터 작업</t>
    <phoneticPr fontId="7" type="noConversion"/>
  </si>
  <si>
    <t>RBRconcerto CTD.ODO.fast8.wifi</t>
    <phoneticPr fontId="7" type="noConversion"/>
  </si>
  <si>
    <t>RBR CTD 부속품(pH 센서)</t>
    <phoneticPr fontId="7" type="noConversion"/>
  </si>
  <si>
    <t>#56861, 62180, 64907, 67107, 67108, 67679, 67867, 67874, 68333, 68580, 68583, 68585, 69561, 69918</t>
    <phoneticPr fontId="7" type="noConversion"/>
  </si>
  <si>
    <t>#67673</t>
    <phoneticPr fontId="7" type="noConversion"/>
  </si>
  <si>
    <t>#68088, 68089, 68090, 68091, 68092, 68095</t>
    <phoneticPr fontId="7" type="noConversion"/>
  </si>
  <si>
    <t>#65158</t>
    <phoneticPr fontId="7" type="noConversion"/>
  </si>
  <si>
    <t>#68678</t>
    <phoneticPr fontId="7" type="noConversion"/>
  </si>
  <si>
    <t>#30700</t>
    <phoneticPr fontId="7" type="noConversion"/>
  </si>
  <si>
    <t>#67682</t>
    <phoneticPr fontId="7" type="noConversion"/>
  </si>
  <si>
    <t>#17298</t>
    <phoneticPr fontId="7" type="noConversion"/>
  </si>
  <si>
    <t>#67402</t>
    <phoneticPr fontId="7" type="noConversion"/>
  </si>
  <si>
    <t>#67658</t>
    <phoneticPr fontId="7" type="noConversion"/>
  </si>
  <si>
    <t>#67681</t>
    <phoneticPr fontId="7" type="noConversion"/>
  </si>
  <si>
    <t>용역건이라 DB 없음 / 소모품은있음;#66434 4식, #68138 4식</t>
    <phoneticPr fontId="7" type="noConversion"/>
  </si>
  <si>
    <t xml:space="preserve">#E00018_1, E00018_2 </t>
    <phoneticPr fontId="7" type="noConversion"/>
  </si>
  <si>
    <t>#67420</t>
    <phoneticPr fontId="7" type="noConversion"/>
  </si>
  <si>
    <t>#69699</t>
    <phoneticPr fontId="7" type="noConversion"/>
  </si>
  <si>
    <t>용역건이라 DB 없음 / #67869, 68323</t>
    <phoneticPr fontId="7" type="noConversion"/>
  </si>
  <si>
    <t>#68778</t>
    <phoneticPr fontId="7" type="noConversion"/>
  </si>
  <si>
    <t>#69538, 32608(1개), 49021(1개), 41661(1개)</t>
    <phoneticPr fontId="7" type="noConversion"/>
  </si>
  <si>
    <t xml:space="preserve">정은 과장님, 뒤에 3개 재고번호도 확인 부탁드립니다. (다운) </t>
    <phoneticPr fontId="7" type="noConversion"/>
  </si>
  <si>
    <t>#69478, 69479</t>
    <phoneticPr fontId="7" type="noConversion"/>
  </si>
  <si>
    <t>#69480, 69481, 69482, 69483</t>
    <phoneticPr fontId="7" type="noConversion"/>
  </si>
  <si>
    <t>부경대로 계약 변경 중</t>
    <phoneticPr fontId="7" type="noConversion"/>
  </si>
  <si>
    <t>#68598, 68599, 68600, 68601</t>
    <phoneticPr fontId="7" type="noConversion"/>
  </si>
  <si>
    <t xml:space="preserve">	#E00015_1</t>
    <phoneticPr fontId="7" type="noConversion"/>
  </si>
  <si>
    <t>#67308, 67309</t>
    <phoneticPr fontId="7" type="noConversion"/>
  </si>
  <si>
    <t>#68979</t>
    <phoneticPr fontId="7" type="noConversion"/>
  </si>
  <si>
    <t>부분납품</t>
    <phoneticPr fontId="7" type="noConversion"/>
  </si>
  <si>
    <t>#69682</t>
    <phoneticPr fontId="7" type="noConversion"/>
  </si>
  <si>
    <t>#E00023_1, E00023_2</t>
    <phoneticPr fontId="7" type="noConversion"/>
  </si>
  <si>
    <t>#E00027_1</t>
    <phoneticPr fontId="7" type="noConversion"/>
  </si>
  <si>
    <t>#E00024_1, E00024_2</t>
    <phoneticPr fontId="7" type="noConversion"/>
  </si>
  <si>
    <t>#E00025_1, E00025_2, E00025_3</t>
    <phoneticPr fontId="7" type="noConversion"/>
  </si>
  <si>
    <t>#64158</t>
    <phoneticPr fontId="7" type="noConversion"/>
  </si>
  <si>
    <t>선적 전</t>
    <phoneticPr fontId="7" type="noConversion"/>
  </si>
  <si>
    <t>소모품이라 재고번호 없음.</t>
    <phoneticPr fontId="7" type="noConversion"/>
  </si>
  <si>
    <t>#67401, 68075, 68079, 70021</t>
    <phoneticPr fontId="7" type="noConversion"/>
  </si>
  <si>
    <t>#68203</t>
    <phoneticPr fontId="7" type="noConversion"/>
  </si>
  <si>
    <t>실장님</t>
  </si>
  <si>
    <t>실장님/문기돈</t>
  </si>
  <si>
    <t>오원진(실장님)</t>
  </si>
  <si>
    <t>황유진(실장님)</t>
  </si>
  <si>
    <t>sensorpia 자력계 하우징 및 케이블 제작</t>
    <phoneticPr fontId="7" type="noConversion"/>
  </si>
  <si>
    <t># E00028_1</t>
    <phoneticPr fontId="7" type="noConversion"/>
  </si>
  <si>
    <t>#70118</t>
    <phoneticPr fontId="7" type="noConversion"/>
  </si>
  <si>
    <t>22-30</t>
    <phoneticPr fontId="7" type="noConversion"/>
  </si>
  <si>
    <t>UTS-9500</t>
    <phoneticPr fontId="7" type="noConversion"/>
  </si>
  <si>
    <t>USD14,037.00</t>
    <phoneticPr fontId="7" type="noConversion"/>
  </si>
  <si>
    <t>USD1,403.70</t>
    <phoneticPr fontId="7" type="noConversion"/>
  </si>
  <si>
    <t>22.10.21</t>
    <phoneticPr fontId="7" type="noConversion"/>
  </si>
  <si>
    <t>22-228</t>
    <phoneticPr fontId="7" type="noConversion"/>
  </si>
  <si>
    <t>KIOST</t>
    <phoneticPr fontId="7" type="noConversion"/>
  </si>
  <si>
    <t>Sound source</t>
    <phoneticPr fontId="7" type="noConversion"/>
  </si>
  <si>
    <t>SIG</t>
    <phoneticPr fontId="7" type="noConversion"/>
  </si>
  <si>
    <t>EUR 4,690.00</t>
    <phoneticPr fontId="7" type="noConversion"/>
  </si>
  <si>
    <t>EUR 703.50</t>
    <phoneticPr fontId="7" type="noConversion"/>
  </si>
  <si>
    <t>22.09.28</t>
    <phoneticPr fontId="7" type="noConversion"/>
  </si>
  <si>
    <t>22.08.22 50%( EUR8,932.00) 청구</t>
    <phoneticPr fontId="7" type="noConversion"/>
  </si>
  <si>
    <t>17724, 62600</t>
    <phoneticPr fontId="7" type="noConversion"/>
  </si>
  <si>
    <t>에어건, 스트리머 부품 4</t>
    <phoneticPr fontId="7" type="noConversion"/>
  </si>
  <si>
    <t>Core liner 100 식</t>
    <phoneticPr fontId="7" type="noConversion"/>
  </si>
  <si>
    <t>한광남</t>
    <phoneticPr fontId="7" type="noConversion"/>
  </si>
  <si>
    <t>#E00003_1, E00003_2</t>
    <phoneticPr fontId="7" type="noConversion"/>
  </si>
  <si>
    <t>#E00037_1~9</t>
    <phoneticPr fontId="7" type="noConversion"/>
  </si>
  <si>
    <t>22-09-02 8,932.00 입금</t>
    <phoneticPr fontId="7" type="noConversion"/>
  </si>
  <si>
    <t>22-301</t>
    <phoneticPr fontId="7" type="noConversion"/>
  </si>
  <si>
    <t>Depressor for 4900</t>
    <phoneticPr fontId="7" type="noConversion"/>
  </si>
  <si>
    <t>Klein</t>
    <phoneticPr fontId="7" type="noConversion"/>
  </si>
  <si>
    <t>USD7,890.00</t>
    <phoneticPr fontId="7" type="noConversion"/>
  </si>
  <si>
    <t>USD1,183.50</t>
    <phoneticPr fontId="7" type="noConversion"/>
  </si>
  <si>
    <t>10/20,</t>
    <phoneticPr fontId="7" type="noConversion"/>
  </si>
  <si>
    <t>8/8, 10/25</t>
    <phoneticPr fontId="7" type="noConversion"/>
  </si>
  <si>
    <t>8/10, 10/25</t>
    <phoneticPr fontId="7" type="noConversion"/>
  </si>
  <si>
    <t>나곡(현대건설협력사)</t>
    <phoneticPr fontId="7" type="noConversion"/>
  </si>
  <si>
    <t>최희진</t>
    <phoneticPr fontId="7" type="noConversion"/>
  </si>
  <si>
    <t>송민기</t>
    <phoneticPr fontId="7" type="noConversion"/>
  </si>
  <si>
    <t>장남도</t>
    <phoneticPr fontId="7" type="noConversion"/>
  </si>
  <si>
    <t>진형태</t>
    <phoneticPr fontId="7" type="noConversion"/>
  </si>
  <si>
    <t>최성익</t>
    <phoneticPr fontId="7" type="noConversion"/>
  </si>
  <si>
    <t>DTI300A 수리</t>
    <phoneticPr fontId="7" type="noConversion"/>
  </si>
  <si>
    <t>한울원전 조위계 정상화</t>
    <phoneticPr fontId="7" type="noConversion"/>
  </si>
  <si>
    <t>#24640, 	#E00041_1</t>
    <phoneticPr fontId="7" type="noConversion"/>
  </si>
  <si>
    <t>#E00040_1</t>
    <phoneticPr fontId="7" type="noConversion"/>
  </si>
  <si>
    <t>#E00019_1, #1755 1식</t>
    <phoneticPr fontId="7" type="noConversion"/>
  </si>
  <si>
    <t>김희정</t>
    <phoneticPr fontId="7" type="noConversion"/>
  </si>
  <si>
    <t>양승진</t>
    <phoneticPr fontId="7" type="noConversion"/>
  </si>
  <si>
    <t>넥셀</t>
    <phoneticPr fontId="7" type="noConversion"/>
  </si>
  <si>
    <t>Catch Releaser</t>
    <phoneticPr fontId="7" type="noConversion"/>
  </si>
  <si>
    <t>HydroC CO2 system 업그레이드</t>
    <phoneticPr fontId="7" type="noConversion"/>
  </si>
  <si>
    <t>전력연구원</t>
    <phoneticPr fontId="7" type="noConversion"/>
  </si>
  <si>
    <t>김민석</t>
    <phoneticPr fontId="7" type="noConversion"/>
  </si>
  <si>
    <t>웨이브글라이더 점검 및 유지보수</t>
    <phoneticPr fontId="7" type="noConversion"/>
  </si>
  <si>
    <t>#66718, 69487(확인필요)</t>
    <phoneticPr fontId="7" type="noConversion"/>
  </si>
  <si>
    <t>제주남부 해양관측부이 보험</t>
    <phoneticPr fontId="7" type="noConversion"/>
  </si>
  <si>
    <t>flowmeter 2식</t>
    <phoneticPr fontId="7" type="noConversion"/>
  </si>
  <si>
    <t>그린테크</t>
    <phoneticPr fontId="7" type="noConversion"/>
  </si>
  <si>
    <t>R2K 수리</t>
    <phoneticPr fontId="7" type="noConversion"/>
  </si>
  <si>
    <t xml:space="preserve">#E00049_1 </t>
  </si>
  <si>
    <t>외주건이라 DB 없음</t>
    <phoneticPr fontId="7" type="noConversion"/>
  </si>
  <si>
    <t>#E00047_1</t>
    <phoneticPr fontId="7" type="noConversion"/>
  </si>
  <si>
    <t>E00057_1, E00057_2, E00057_3, E00057_4</t>
    <phoneticPr fontId="7" type="noConversion"/>
  </si>
  <si>
    <t>#E00056_1, #E00056_2, #E00056_3, #E00056_4, #E00056_5, #E00056_6, #E00056_7</t>
    <phoneticPr fontId="7" type="noConversion"/>
  </si>
  <si>
    <t>#E00055_1, #E00055_2</t>
    <phoneticPr fontId="7" type="noConversion"/>
  </si>
  <si>
    <t>#E00054_1, #E00054_2, #E00054_3, #E00054_4, #E00054_5, #E00054_6</t>
    <phoneticPr fontId="7" type="noConversion"/>
  </si>
  <si>
    <t xml:space="preserve">	#67419</t>
    <phoneticPr fontId="7" type="noConversion"/>
  </si>
  <si>
    <t>#69692, 69694, 69695, 69696</t>
    <phoneticPr fontId="7" type="noConversion"/>
  </si>
  <si>
    <t xml:space="preserve">	#E00065_1, #E00065_2</t>
    <phoneticPr fontId="7" type="noConversion"/>
  </si>
  <si>
    <t>61420이 납품된듯</t>
  </si>
  <si>
    <r>
      <t xml:space="preserve">#60122, </t>
    </r>
    <r>
      <rPr>
        <b/>
        <strike/>
        <sz val="10"/>
        <color rgb="FFFF0000"/>
        <rFont val="맑은 고딕"/>
        <family val="3"/>
        <charset val="129"/>
        <scheme val="minor"/>
      </rPr>
      <t>61421</t>
    </r>
    <r>
      <rPr>
        <b/>
        <sz val="10"/>
        <color theme="1"/>
        <rFont val="맑은 고딕"/>
        <family val="3"/>
        <charset val="129"/>
        <scheme val="minor"/>
      </rPr>
      <t>, 64878, 65741, 66510, 66511</t>
    </r>
    <phoneticPr fontId="7" type="noConversion"/>
  </si>
  <si>
    <t>해수유동 관측자료 비교검증 기술지원</t>
    <phoneticPr fontId="7" type="noConversion"/>
  </si>
  <si>
    <t>자가기록식 도플러 유속계용 관측센서</t>
    <phoneticPr fontId="7" type="noConversion"/>
  </si>
  <si>
    <t>11/1, 11/2</t>
    <phoneticPr fontId="7" type="noConversion"/>
  </si>
  <si>
    <t>WG 운용지원</t>
    <phoneticPr fontId="7" type="noConversion"/>
  </si>
  <si>
    <t>CARIS 2식 업그레이드</t>
    <phoneticPr fontId="7" type="noConversion"/>
  </si>
  <si>
    <t>HydroC CO2 수리</t>
    <phoneticPr fontId="7" type="noConversion"/>
  </si>
  <si>
    <t>에어건, 스트리머 부품 3</t>
    <phoneticPr fontId="7" type="noConversion"/>
  </si>
  <si>
    <t>에어건, 스트리머 부품 1</t>
    <phoneticPr fontId="7" type="noConversion"/>
  </si>
  <si>
    <t>ELP1250 1식, Tow cable</t>
    <phoneticPr fontId="7" type="noConversion"/>
  </si>
  <si>
    <t>멀티빔 송신기 수리</t>
    <phoneticPr fontId="7" type="noConversion"/>
  </si>
  <si>
    <t>영상 장비용 프레임 제작</t>
    <phoneticPr fontId="7" type="noConversion"/>
  </si>
  <si>
    <t>#36940</t>
    <phoneticPr fontId="7" type="noConversion"/>
  </si>
  <si>
    <t>금병철</t>
    <phoneticPr fontId="7" type="noConversion"/>
  </si>
  <si>
    <t>김진민</t>
    <phoneticPr fontId="7" type="noConversion"/>
  </si>
  <si>
    <t>EPSI</t>
    <phoneticPr fontId="7" type="noConversion"/>
  </si>
  <si>
    <t>S3900 수리</t>
    <phoneticPr fontId="7" type="noConversion"/>
  </si>
  <si>
    <t>니스킨 채수기 5L, teflon coated messenger 1식</t>
    <phoneticPr fontId="7" type="noConversion"/>
  </si>
  <si>
    <t>강성화</t>
    <phoneticPr fontId="7" type="noConversion"/>
  </si>
  <si>
    <t>Sylence 1식</t>
    <phoneticPr fontId="7" type="noConversion"/>
  </si>
  <si>
    <t>Sparker Electrode EDL1020 3식</t>
    <phoneticPr fontId="7" type="noConversion"/>
  </si>
  <si>
    <t xml:space="preserve">	#E00026_1	</t>
    <phoneticPr fontId="7" type="noConversion"/>
  </si>
  <si>
    <t>#E00077_1</t>
    <phoneticPr fontId="7" type="noConversion"/>
  </si>
  <si>
    <t>#E00077_1, #E00077_2</t>
    <phoneticPr fontId="7" type="noConversion"/>
  </si>
  <si>
    <t>#E00075_1</t>
    <phoneticPr fontId="7" type="noConversion"/>
  </si>
  <si>
    <t>김운갑</t>
    <phoneticPr fontId="7" type="noConversion"/>
  </si>
  <si>
    <t>DCS4830, CT5819</t>
    <phoneticPr fontId="7" type="noConversion"/>
  </si>
  <si>
    <t>재고 안잡혀있는 소모품(WG 에 달려있던 부품)</t>
    <phoneticPr fontId="7" type="noConversion"/>
  </si>
  <si>
    <t>#69758, 69759</t>
    <phoneticPr fontId="7" type="noConversion"/>
  </si>
  <si>
    <t>Watchdog</t>
    <phoneticPr fontId="7" type="noConversion"/>
  </si>
  <si>
    <t>#59939</t>
    <phoneticPr fontId="7" type="noConversion"/>
  </si>
  <si>
    <t>R12K 2식</t>
    <phoneticPr fontId="7" type="noConversion"/>
  </si>
  <si>
    <t>#E00016_1</t>
    <phoneticPr fontId="7" type="noConversion"/>
  </si>
  <si>
    <t>리버앤씨</t>
    <phoneticPr fontId="7" type="noConversion"/>
  </si>
  <si>
    <t>Airmar</t>
    <phoneticPr fontId="7" type="noConversion"/>
  </si>
  <si>
    <t>200WX-IPX7</t>
    <phoneticPr fontId="7" type="noConversion"/>
  </si>
  <si>
    <t>#68180, 68181</t>
    <phoneticPr fontId="7" type="noConversion"/>
  </si>
  <si>
    <t>실제 아닙니다.</t>
    <phoneticPr fontId="7" type="noConversion"/>
  </si>
  <si>
    <t>#E00079_1</t>
    <phoneticPr fontId="7" type="noConversion"/>
  </si>
  <si>
    <t>#E00045_1</t>
    <phoneticPr fontId="7" type="noConversion"/>
  </si>
  <si>
    <t xml:space="preserve">	#E00061_1</t>
    <phoneticPr fontId="7" type="noConversion"/>
  </si>
  <si>
    <t xml:space="preserve">	#E00050_1</t>
    <phoneticPr fontId="7" type="noConversion"/>
  </si>
  <si>
    <t>지엠티엔지니어링</t>
    <phoneticPr fontId="7" type="noConversion"/>
  </si>
  <si>
    <t>부경대학교</t>
    <phoneticPr fontId="7" type="noConversion"/>
  </si>
  <si>
    <t>22-180</t>
    <phoneticPr fontId="7" type="noConversion"/>
  </si>
  <si>
    <t>RCM Blue</t>
    <phoneticPr fontId="7" type="noConversion"/>
  </si>
  <si>
    <t>G.O. (GNM)</t>
    <phoneticPr fontId="7" type="noConversion"/>
  </si>
  <si>
    <t>USD9,000</t>
    <phoneticPr fontId="7" type="noConversion"/>
  </si>
  <si>
    <t>USD2,512.80</t>
    <phoneticPr fontId="7" type="noConversion"/>
  </si>
  <si>
    <t>22-50</t>
    <phoneticPr fontId="7" type="noConversion"/>
  </si>
  <si>
    <t xml:space="preserve">pCO2 </t>
    <phoneticPr fontId="7" type="noConversion"/>
  </si>
  <si>
    <t>AADI</t>
    <phoneticPr fontId="7" type="noConversion"/>
  </si>
  <si>
    <t>USD237,000</t>
    <phoneticPr fontId="7" type="noConversion"/>
  </si>
  <si>
    <t>USD60,440.00</t>
    <phoneticPr fontId="7" type="noConversion"/>
  </si>
  <si>
    <t>11월 07일</t>
    <phoneticPr fontId="7" type="noConversion"/>
  </si>
  <si>
    <t>#E00033_1, #68378</t>
    <phoneticPr fontId="7" type="noConversion"/>
  </si>
  <si>
    <t># 62561, 62562</t>
    <phoneticPr fontId="7" type="noConversion"/>
  </si>
  <si>
    <t>#E00038_1, 68918, 2036</t>
    <phoneticPr fontId="7" type="noConversion"/>
  </si>
  <si>
    <t>남해수산연구소</t>
    <phoneticPr fontId="7" type="noConversion"/>
  </si>
  <si>
    <t>문성용</t>
    <phoneticPr fontId="7" type="noConversion"/>
  </si>
  <si>
    <t>Niskin 5L 2식</t>
    <phoneticPr fontId="7" type="noConversion"/>
  </si>
  <si>
    <t>유비텍(KIGAM)</t>
    <phoneticPr fontId="7" type="noConversion"/>
  </si>
  <si>
    <t>곽예구</t>
    <phoneticPr fontId="7" type="noConversion"/>
  </si>
  <si>
    <t>Balmoral</t>
    <phoneticPr fontId="7" type="noConversion"/>
  </si>
  <si>
    <t>OF3 1000m 20식</t>
    <phoneticPr fontId="7" type="noConversion"/>
  </si>
  <si>
    <t>8/12, 11/10</t>
    <phoneticPr fontId="7" type="noConversion"/>
  </si>
  <si>
    <t>7/5, 11/10</t>
    <phoneticPr fontId="7" type="noConversion"/>
  </si>
  <si>
    <t>EUR 3,58.70</t>
    <phoneticPr fontId="7" type="noConversion"/>
  </si>
  <si>
    <t>#E00029-1, #E00031-1</t>
    <phoneticPr fontId="7" type="noConversion"/>
  </si>
  <si>
    <t>#E00063_1</t>
    <phoneticPr fontId="7" type="noConversion"/>
  </si>
  <si>
    <t>#E00062_1, #E00062_2</t>
    <phoneticPr fontId="7" type="noConversion"/>
  </si>
  <si>
    <t>#68733, #68734</t>
    <phoneticPr fontId="7" type="noConversion"/>
  </si>
  <si>
    <t>Spare parts for GAPS M5</t>
    <phoneticPr fontId="7" type="noConversion"/>
  </si>
  <si>
    <t>자력계 케이블 수리</t>
    <phoneticPr fontId="7" type="noConversion"/>
  </si>
  <si>
    <t>실시간 무인관측기기(wave glider 등)를 이용한 해양기상자료 수집·분석</t>
    <phoneticPr fontId="7" type="noConversion"/>
  </si>
  <si>
    <t xml:space="preserve">CARIS Mira </t>
    <phoneticPr fontId="7" type="noConversion"/>
  </si>
  <si>
    <t>수중위치반응센서 (UPRF)</t>
    <phoneticPr fontId="7" type="noConversion"/>
  </si>
  <si>
    <t>방사능 하우징 부력조절구 제작</t>
    <phoneticPr fontId="7" type="noConversion"/>
  </si>
  <si>
    <t>파랑글라이더 이용 해양과 대기 경계층의 라그랑지안 관측 용역</t>
    <phoneticPr fontId="7" type="noConversion"/>
  </si>
  <si>
    <t>CTD 검교정 및 수리 (4ea)</t>
    <phoneticPr fontId="7" type="noConversion"/>
  </si>
  <si>
    <t>2/25, 11/9,</t>
    <phoneticPr fontId="7" type="noConversion"/>
  </si>
  <si>
    <t>AR 1식, UTS-9400 1식, R500 10식, IR7200 5식</t>
    <phoneticPr fontId="7" type="noConversion"/>
  </si>
  <si>
    <t>#E00094_1</t>
    <phoneticPr fontId="7" type="noConversion"/>
  </si>
  <si>
    <t>#66426 (2식)</t>
    <phoneticPr fontId="7" type="noConversion"/>
  </si>
  <si>
    <t>울릉북서 부이 보험</t>
    <phoneticPr fontId="7" type="noConversion"/>
  </si>
  <si>
    <t>보험건이라 DB 없음</t>
    <phoneticPr fontId="7" type="noConversion"/>
  </si>
  <si>
    <t>Underwater cable</t>
    <phoneticPr fontId="7" type="noConversion"/>
  </si>
  <si>
    <t>신호변환기</t>
    <phoneticPr fontId="7" type="noConversion"/>
  </si>
  <si>
    <t xml:space="preserve">	#E00064_1</t>
    <phoneticPr fontId="7" type="noConversion"/>
  </si>
  <si>
    <t>ADD</t>
    <phoneticPr fontId="7" type="noConversion"/>
  </si>
  <si>
    <t>임수현</t>
    <phoneticPr fontId="7" type="noConversion"/>
  </si>
  <si>
    <t>TC4040-4 2식, EC6081 2식</t>
    <phoneticPr fontId="7" type="noConversion"/>
  </si>
  <si>
    <t>#65698</t>
    <phoneticPr fontId="7" type="noConversion"/>
  </si>
  <si>
    <t>11/16,</t>
    <phoneticPr fontId="7" type="noConversion"/>
  </si>
  <si>
    <t>금년안에 예산이 집행되어야 한다고 해서 계약 취소</t>
    <phoneticPr fontId="7" type="noConversion"/>
  </si>
  <si>
    <t>22-199</t>
    <phoneticPr fontId="7" type="noConversion"/>
  </si>
  <si>
    <t>GAPS M7</t>
  </si>
  <si>
    <t>GAPS M7</t>
    <phoneticPr fontId="7" type="noConversion"/>
  </si>
  <si>
    <t>KIOST</t>
    <phoneticPr fontId="7" type="noConversion"/>
  </si>
  <si>
    <t>ixBlue</t>
    <phoneticPr fontId="7" type="noConversion"/>
  </si>
  <si>
    <t>EUR220,000</t>
    <phoneticPr fontId="7" type="noConversion"/>
  </si>
  <si>
    <t>EUR 50,350</t>
    <phoneticPr fontId="7" type="noConversion"/>
  </si>
  <si>
    <t>서거차도 조위관측소 해양관측장비 제작 및 설치</t>
    <phoneticPr fontId="7" type="noConversion"/>
  </si>
  <si>
    <t>활천상사</t>
    <phoneticPr fontId="7" type="noConversion"/>
  </si>
  <si>
    <t>소나테크</t>
    <phoneticPr fontId="7" type="noConversion"/>
  </si>
  <si>
    <t>해양정보기술</t>
    <phoneticPr fontId="7" type="noConversion"/>
  </si>
  <si>
    <t>구민수</t>
    <phoneticPr fontId="7" type="noConversion"/>
  </si>
  <si>
    <t>윤현기</t>
    <phoneticPr fontId="7" type="noConversion"/>
  </si>
  <si>
    <t>홍종화</t>
    <phoneticPr fontId="7" type="noConversion"/>
  </si>
  <si>
    <t>진상엽</t>
    <phoneticPr fontId="7" type="noConversion"/>
  </si>
  <si>
    <t>R500 배터리 5식</t>
    <phoneticPr fontId="7" type="noConversion"/>
  </si>
  <si>
    <t>#E00076_1</t>
    <phoneticPr fontId="7" type="noConversion"/>
  </si>
  <si>
    <t>Underwater locator Beacon 5식</t>
    <phoneticPr fontId="7" type="noConversion"/>
  </si>
  <si>
    <t>연곡 멀티빔 해저면 조사</t>
    <phoneticPr fontId="7" type="noConversion"/>
  </si>
  <si>
    <t xml:space="preserve">Tow cable 수리 </t>
    <phoneticPr fontId="7" type="noConversion"/>
  </si>
  <si>
    <t>IP Multi Seacam 3식, LED sealite 3식</t>
    <phoneticPr fontId="7" type="noConversion"/>
  </si>
  <si>
    <t>11/17,</t>
    <phoneticPr fontId="7" type="noConversion"/>
  </si>
  <si>
    <t>11/15,</t>
    <phoneticPr fontId="7" type="noConversion"/>
  </si>
  <si>
    <t>11/16, 11/16</t>
    <phoneticPr fontId="7" type="noConversion"/>
  </si>
  <si>
    <t>10/28, 11/18</t>
    <phoneticPr fontId="7" type="noConversion"/>
  </si>
  <si>
    <t>10/28, 11/18</t>
    <phoneticPr fontId="7" type="noConversion"/>
  </si>
  <si>
    <t>Explorer tow cable</t>
    <phoneticPr fontId="7" type="noConversion"/>
  </si>
  <si>
    <t>Niskin repair kit</t>
    <phoneticPr fontId="7" type="noConversion"/>
  </si>
  <si>
    <t>CTD 국내수리</t>
    <phoneticPr fontId="7" type="noConversion"/>
  </si>
  <si>
    <t>챔버 부품</t>
    <phoneticPr fontId="7" type="noConversion"/>
  </si>
  <si>
    <t>시계열 퇴적물 포집장치</t>
    <phoneticPr fontId="7" type="noConversion"/>
  </si>
  <si>
    <t>Turnaround Kit for R500 5식</t>
    <phoneticPr fontId="7" type="noConversion"/>
  </si>
  <si>
    <t>865AR 배터리 8식</t>
    <phoneticPr fontId="7" type="noConversion"/>
  </si>
  <si>
    <t>11/21,</t>
    <phoneticPr fontId="7" type="noConversion"/>
  </si>
  <si>
    <t>7/18, 11/21</t>
    <phoneticPr fontId="7" type="noConversion"/>
  </si>
  <si>
    <t>고리원전</t>
    <phoneticPr fontId="7" type="noConversion"/>
  </si>
  <si>
    <t>구희재</t>
    <phoneticPr fontId="7" type="noConversion"/>
  </si>
  <si>
    <t>온배수모니터링시스템 복구</t>
    <phoneticPr fontId="7" type="noConversion"/>
  </si>
  <si>
    <t>DCS 4830</t>
    <phoneticPr fontId="7" type="noConversion"/>
  </si>
  <si>
    <t>국립수산과학원</t>
    <phoneticPr fontId="7" type="noConversion"/>
  </si>
  <si>
    <t>이동헌</t>
    <phoneticPr fontId="7" type="noConversion"/>
  </si>
  <si>
    <t>Real time option &amp; cable</t>
    <phoneticPr fontId="7" type="noConversion"/>
  </si>
  <si>
    <t>상품</t>
    <phoneticPr fontId="7" type="noConversion"/>
  </si>
  <si>
    <t>내자</t>
    <phoneticPr fontId="7" type="noConversion"/>
  </si>
  <si>
    <t>강성화</t>
    <phoneticPr fontId="7" type="noConversion"/>
  </si>
  <si>
    <t>#E00109_1, E00110_1</t>
    <phoneticPr fontId="7" type="noConversion"/>
  </si>
  <si>
    <t>씨나비정보기술</t>
    <phoneticPr fontId="7" type="noConversion"/>
  </si>
  <si>
    <t>바다로1호 SBP 현장지원</t>
    <phoneticPr fontId="7" type="noConversion"/>
  </si>
  <si>
    <t>Wave Unit</t>
    <phoneticPr fontId="7" type="noConversion"/>
  </si>
  <si>
    <t>S4900 system 수리</t>
    <phoneticPr fontId="7" type="noConversion"/>
  </si>
  <si>
    <t>11/22,</t>
    <phoneticPr fontId="7" type="noConversion"/>
  </si>
  <si>
    <t>7/6, 11/22</t>
    <phoneticPr fontId="7" type="noConversion"/>
  </si>
  <si>
    <t>#E00116_1</t>
    <phoneticPr fontId="7" type="noConversion"/>
  </si>
  <si>
    <t>#52143</t>
    <phoneticPr fontId="7" type="noConversion"/>
  </si>
  <si>
    <t>#E00119_1</t>
    <phoneticPr fontId="7" type="noConversion"/>
  </si>
  <si>
    <t>2022년 광역 해수유동 관측기기 현장점검 및 철거</t>
    <phoneticPr fontId="7" type="noConversion"/>
  </si>
  <si>
    <t>SonarWiz office suite</t>
    <phoneticPr fontId="7" type="noConversion"/>
  </si>
  <si>
    <t>#68140, 68381</t>
    <phoneticPr fontId="7" type="noConversion"/>
  </si>
  <si>
    <t>#E00104_1</t>
    <phoneticPr fontId="7" type="noConversion"/>
  </si>
  <si>
    <t>해양관측부이 예비품 센서 수리</t>
    <phoneticPr fontId="7" type="noConversion"/>
  </si>
  <si>
    <t>조진형</t>
    <phoneticPr fontId="7" type="noConversion"/>
  </si>
  <si>
    <t>수중통신 및 수중글라이더 케이블</t>
    <phoneticPr fontId="7" type="noConversion"/>
  </si>
  <si>
    <t>멀티빔 기술지원 외</t>
    <phoneticPr fontId="7" type="noConversion"/>
  </si>
  <si>
    <t>#66801, 31679, 65238, 62258, 65781</t>
    <phoneticPr fontId="7" type="noConversion"/>
  </si>
  <si>
    <t>신마산 OTT 디스플레이 장치 정상화</t>
    <phoneticPr fontId="7" type="noConversion"/>
  </si>
  <si>
    <t>사업팀</t>
    <phoneticPr fontId="7" type="noConversion"/>
  </si>
  <si>
    <t>사업팀</t>
    <phoneticPr fontId="7" type="noConversion"/>
  </si>
  <si>
    <t>기술팀</t>
    <phoneticPr fontId="7" type="noConversion"/>
  </si>
  <si>
    <t>강성화(실장님)</t>
    <phoneticPr fontId="7" type="noConversion"/>
  </si>
  <si>
    <t>강성화(실장님)</t>
    <phoneticPr fontId="7" type="noConversion"/>
  </si>
  <si>
    <t>연구팀</t>
    <phoneticPr fontId="7" type="noConversion"/>
  </si>
  <si>
    <t>오원진(무인팀)</t>
    <phoneticPr fontId="7" type="noConversion"/>
  </si>
  <si>
    <t>10/14, 11/30</t>
    <phoneticPr fontId="7" type="noConversion"/>
  </si>
  <si>
    <t>11/25, 11/28</t>
    <phoneticPr fontId="7" type="noConversion"/>
  </si>
  <si>
    <t>2/25, 11/30,</t>
    <phoneticPr fontId="7" type="noConversion"/>
  </si>
  <si>
    <t xml:space="preserve">7/18, 11/28 </t>
    <phoneticPr fontId="7" type="noConversion"/>
  </si>
  <si>
    <t>11/8, 11/30</t>
    <phoneticPr fontId="7" type="noConversion"/>
  </si>
  <si>
    <t xml:space="preserve">#70138, E00046_1, 49962, 52581, 59819, 49962, 70138, 50660, 33580, 53362, 33582, 68038, 67670, 70098, #E00121_1 </t>
    <phoneticPr fontId="7" type="noConversion"/>
  </si>
  <si>
    <t>#E00124</t>
    <phoneticPr fontId="7" type="noConversion"/>
  </si>
  <si>
    <t>#E00074_1</t>
    <phoneticPr fontId="7" type="noConversion"/>
  </si>
  <si>
    <t>시스템 추가점검으로 인한 계약금액 증가(변경)</t>
    <phoneticPr fontId="7" type="noConversion"/>
  </si>
  <si>
    <t>RCM IW</t>
    <phoneticPr fontId="7" type="noConversion"/>
  </si>
  <si>
    <t>김지윤</t>
    <phoneticPr fontId="7" type="noConversion"/>
  </si>
  <si>
    <t>무인해양조사선 교체부품</t>
    <phoneticPr fontId="7" type="noConversion"/>
  </si>
  <si>
    <t>황유진(문기돈)</t>
    <phoneticPr fontId="7" type="noConversion"/>
  </si>
  <si>
    <t>수중커넥터</t>
    <phoneticPr fontId="7" type="noConversion"/>
  </si>
  <si>
    <t>HF 레이더 납품 지원</t>
    <phoneticPr fontId="7" type="noConversion"/>
  </si>
  <si>
    <t>현대건설</t>
    <phoneticPr fontId="7" type="noConversion"/>
  </si>
  <si>
    <t>공기수</t>
    <phoneticPr fontId="7" type="noConversion"/>
  </si>
  <si>
    <t>신한울원자력 조위계 교체 및 정상화</t>
    <phoneticPr fontId="7" type="noConversion"/>
  </si>
  <si>
    <t>#E00144_1</t>
    <phoneticPr fontId="7" type="noConversion"/>
  </si>
  <si>
    <t>#E00145_1</t>
    <phoneticPr fontId="7" type="noConversion"/>
  </si>
  <si>
    <t>#E00136</t>
    <phoneticPr fontId="7" type="noConversion"/>
  </si>
  <si>
    <t>#E00138_1</t>
    <phoneticPr fontId="7" type="noConversion"/>
  </si>
  <si>
    <t>#E00137_1, E00137_2, E00137_3</t>
    <phoneticPr fontId="7" type="noConversion"/>
  </si>
  <si>
    <t>#E00148_1, #E00148_2, #E00148_3, #E00148_4, #E00148_5</t>
    <phoneticPr fontId="7" type="noConversion"/>
  </si>
  <si>
    <t>박기홍</t>
    <phoneticPr fontId="7" type="noConversion"/>
  </si>
  <si>
    <t xml:space="preserve">	#E00001_1</t>
    <phoneticPr fontId="7" type="noConversion"/>
  </si>
  <si>
    <t xml:space="preserve">	#E00001_2</t>
    <phoneticPr fontId="7" type="noConversion"/>
  </si>
  <si>
    <t>Metering Flow Switch</t>
    <phoneticPr fontId="7" type="noConversion"/>
  </si>
  <si>
    <t>무인해양조사선 소모품 구매</t>
    <phoneticPr fontId="7" type="noConversion"/>
  </si>
  <si>
    <t>REMHY 추가 보강작업 (부력보강, STS 프레임 보강)</t>
    <phoneticPr fontId="7" type="noConversion"/>
  </si>
  <si>
    <t>#E00150_1</t>
    <phoneticPr fontId="7" type="noConversion"/>
  </si>
  <si>
    <t>오션사이언스(RBR)</t>
    <phoneticPr fontId="7" type="noConversion"/>
  </si>
  <si>
    <t>Thermistor string 검교정</t>
    <phoneticPr fontId="7" type="noConversion"/>
  </si>
  <si>
    <t>어비스테크</t>
    <phoneticPr fontId="7" type="noConversion"/>
  </si>
  <si>
    <t>박재영</t>
    <phoneticPr fontId="7" type="noConversion"/>
  </si>
  <si>
    <t>해양장비 자료처리 기술자문</t>
    <phoneticPr fontId="7" type="noConversion"/>
  </si>
  <si>
    <t>모크니스 배터리팩 2식</t>
    <phoneticPr fontId="7" type="noConversion"/>
  </si>
  <si>
    <t>LRI</t>
    <phoneticPr fontId="7" type="noConversion"/>
  </si>
  <si>
    <t>파랑글라이더 모니터링 시스템 구독 (WGMS)</t>
    <phoneticPr fontId="7" type="noConversion"/>
  </si>
  <si>
    <t>서성봉</t>
    <phoneticPr fontId="7" type="noConversion"/>
  </si>
  <si>
    <t>CTD 성능시험 및 검교정</t>
    <phoneticPr fontId="7" type="noConversion"/>
  </si>
  <si>
    <t>#E00021_1</t>
    <phoneticPr fontId="7" type="noConversion"/>
  </si>
  <si>
    <t>#62058</t>
    <phoneticPr fontId="7" type="noConversion"/>
  </si>
  <si>
    <t>용역이라 DB 없음</t>
    <phoneticPr fontId="7" type="noConversion"/>
  </si>
  <si>
    <t>#E00135, E00167_2</t>
    <phoneticPr fontId="7" type="noConversion"/>
  </si>
  <si>
    <t>#E00058_1, E00133</t>
    <phoneticPr fontId="7" type="noConversion"/>
  </si>
  <si>
    <t>UST21</t>
    <phoneticPr fontId="7" type="noConversion"/>
  </si>
  <si>
    <t>8/24, 12/14</t>
    <phoneticPr fontId="7" type="noConversion"/>
  </si>
  <si>
    <t>10/14, 12/15</t>
    <phoneticPr fontId="7" type="noConversion"/>
  </si>
  <si>
    <t>IR-7300</t>
    <phoneticPr fontId="7" type="noConversion"/>
  </si>
  <si>
    <t>#E00173_1</t>
    <phoneticPr fontId="7" type="noConversion"/>
  </si>
  <si>
    <t xml:space="preserve">#E00112_1,  #E00112_1, #66319 2식  </t>
    <phoneticPr fontId="7" type="noConversion"/>
  </si>
  <si>
    <t>1/12, 12/16</t>
    <phoneticPr fontId="7" type="noConversion"/>
  </si>
  <si>
    <t>1/11, 12/14</t>
    <phoneticPr fontId="7" type="noConversion"/>
  </si>
  <si>
    <t>3/29, 12/15</t>
    <phoneticPr fontId="7" type="noConversion"/>
  </si>
  <si>
    <t>865AR 배터리 6식</t>
    <phoneticPr fontId="7" type="noConversion"/>
  </si>
  <si>
    <t>Teledyne PDS</t>
    <phoneticPr fontId="7" type="noConversion"/>
  </si>
  <si>
    <t>PDS 업그레이드</t>
    <phoneticPr fontId="7" type="noConversion"/>
  </si>
  <si>
    <t>T50 receiver 수리</t>
    <phoneticPr fontId="7" type="noConversion"/>
  </si>
  <si>
    <t>박철수</t>
    <phoneticPr fontId="7" type="noConversion"/>
  </si>
  <si>
    <t>REMHY 부이 옵션 (RF, wifi 등)</t>
    <phoneticPr fontId="7" type="noConversion"/>
  </si>
  <si>
    <t>곽상철</t>
    <phoneticPr fontId="7" type="noConversion"/>
  </si>
  <si>
    <t>T50 수리</t>
    <phoneticPr fontId="7" type="noConversion"/>
  </si>
  <si>
    <t>EUR 35,052</t>
    <phoneticPr fontId="7" type="noConversion"/>
  </si>
  <si>
    <t>대우  ENC</t>
    <phoneticPr fontId="7" type="noConversion"/>
  </si>
  <si>
    <t>중문해수욕장 보험</t>
    <phoneticPr fontId="7" type="noConversion"/>
  </si>
  <si>
    <t>비앤피시스템</t>
    <phoneticPr fontId="7" type="noConversion"/>
  </si>
  <si>
    <t>신용은</t>
    <phoneticPr fontId="7" type="noConversion"/>
  </si>
  <si>
    <t>#E00182_1</t>
    <phoneticPr fontId="7" type="noConversion"/>
  </si>
  <si>
    <t>#E00180_1</t>
    <phoneticPr fontId="7" type="noConversion"/>
  </si>
  <si>
    <t>#E00179_1</t>
    <phoneticPr fontId="7" type="noConversion"/>
  </si>
  <si>
    <t>소프트웨어 건이라 DB 없음</t>
    <phoneticPr fontId="7" type="noConversion"/>
  </si>
  <si>
    <t>5/12, 12/20</t>
    <phoneticPr fontId="7" type="noConversion"/>
  </si>
  <si>
    <t>#E00181_1</t>
    <phoneticPr fontId="7" type="noConversion"/>
  </si>
  <si>
    <t xml:space="preserve">	#69778, #65698</t>
    <phoneticPr fontId="7" type="noConversion"/>
  </si>
  <si>
    <t>엠에스티</t>
    <phoneticPr fontId="7" type="noConversion"/>
  </si>
  <si>
    <t>김성철</t>
    <phoneticPr fontId="7" type="noConversion"/>
  </si>
  <si>
    <t>#69684, #69688</t>
    <phoneticPr fontId="7" type="noConversion"/>
  </si>
  <si>
    <t>6/24, 12/21</t>
    <phoneticPr fontId="7" type="noConversion"/>
  </si>
  <si>
    <t>6/27, 12/21</t>
    <phoneticPr fontId="7" type="noConversion"/>
  </si>
  <si>
    <t>5/17, 12/21</t>
    <phoneticPr fontId="7" type="noConversion"/>
  </si>
  <si>
    <t>3/30, 12/21</t>
    <phoneticPr fontId="7" type="noConversion"/>
  </si>
  <si>
    <t>1/13, 12/20</t>
    <phoneticPr fontId="7" type="noConversion"/>
  </si>
  <si>
    <t>#E00185_1</t>
    <phoneticPr fontId="7" type="noConversion"/>
  </si>
  <si>
    <t>#E00186_1</t>
    <phoneticPr fontId="7" type="noConversion"/>
  </si>
  <si>
    <t>Core liner x 6ea</t>
    <phoneticPr fontId="7" type="noConversion"/>
  </si>
  <si>
    <t>#67871, E00111_1</t>
    <phoneticPr fontId="7" type="noConversion"/>
  </si>
  <si>
    <t>LIGNex1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</si>
  <si>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</si>
  <si>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</si>
  <si>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</si>
  <si>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장비 해상시험지원(1차, 2차)</t>
    <phoneticPr fontId="7" type="noConversion"/>
  </si>
  <si>
    <t>강성화(무인팀)</t>
    <phoneticPr fontId="7" type="noConversion"/>
  </si>
  <si>
    <t>용역이라 DB 없음</t>
    <phoneticPr fontId="7" type="noConversion"/>
  </si>
  <si>
    <t>고태호</t>
    <phoneticPr fontId="7" type="noConversion"/>
  </si>
  <si>
    <t>보험 건이라 DB 없음</t>
    <phoneticPr fontId="7" type="noConversion"/>
  </si>
  <si>
    <t>CARIS MIRA AI 모듈 구입</t>
    <phoneticPr fontId="7" type="noConversion"/>
  </si>
  <si>
    <t>12/26,</t>
    <phoneticPr fontId="7" type="noConversion"/>
  </si>
  <si>
    <t>5/18, 12/26</t>
    <phoneticPr fontId="7" type="noConversion"/>
  </si>
  <si>
    <t xml:space="preserve">308 CTD </t>
    <phoneticPr fontId="7" type="noConversion"/>
  </si>
  <si>
    <t>부산대학교 산학협력단</t>
    <phoneticPr fontId="7" type="noConversion"/>
  </si>
  <si>
    <t>이인희</t>
    <phoneticPr fontId="7" type="noConversion"/>
  </si>
  <si>
    <t>Oxygen optode 센서</t>
    <phoneticPr fontId="7" type="noConversion"/>
  </si>
  <si>
    <t>UPRF 2식</t>
    <phoneticPr fontId="7" type="noConversion"/>
  </si>
  <si>
    <t>#33279, 30724</t>
    <phoneticPr fontId="7" type="noConversion"/>
  </si>
  <si>
    <t>#E00060_1, #E00070_1,#E00070_2, #E00071_1, #E00106_1, E00192_1</t>
    <phoneticPr fontId="7" type="noConversion"/>
  </si>
  <si>
    <t>#E00193_1, E00193_2</t>
    <phoneticPr fontId="7" type="noConversion"/>
  </si>
  <si>
    <t>#67958, 67959, 67960, 67961, E00142_1, E00190_1</t>
    <phoneticPr fontId="7" type="noConversion"/>
  </si>
  <si>
    <t>김동훈</t>
    <phoneticPr fontId="7" type="noConversion"/>
  </si>
  <si>
    <t>LSL-2000 x 2ea</t>
    <phoneticPr fontId="7" type="noConversion"/>
  </si>
  <si>
    <t>11/18, 12/28</t>
    <phoneticPr fontId="7" type="noConversion"/>
  </si>
  <si>
    <t>4/14, 12/27</t>
    <phoneticPr fontId="7" type="noConversion"/>
  </si>
  <si>
    <t>4/18, 12/28</t>
    <phoneticPr fontId="7" type="noConversion"/>
  </si>
  <si>
    <t>4/29, 7/26, 11/21, 12/26</t>
    <phoneticPr fontId="7" type="noConversion"/>
  </si>
  <si>
    <t>12/27, 12/28</t>
    <phoneticPr fontId="7" type="noConversion"/>
  </si>
  <si>
    <r>
      <t xml:space="preserve">#66533, </t>
    </r>
    <r>
      <rPr>
        <b/>
        <sz val="10"/>
        <color rgb="FFFF0000"/>
        <rFont val="맑은 고딕"/>
        <family val="3"/>
        <charset val="129"/>
        <scheme val="minor"/>
      </rPr>
      <t>66534(반품인데?)</t>
    </r>
    <r>
      <rPr>
        <b/>
        <sz val="10"/>
        <color theme="1"/>
        <rFont val="맑은 고딕"/>
        <family val="3"/>
        <charset val="129"/>
        <scheme val="minor"/>
      </rPr>
      <t>, 66535, 66536, 66537, 66539</t>
    </r>
    <phoneticPr fontId="7" type="noConversion"/>
  </si>
  <si>
    <r>
      <t xml:space="preserve">#52825, 66219, </t>
    </r>
    <r>
      <rPr>
        <b/>
        <sz val="10"/>
        <color rgb="FFFF0000"/>
        <rFont val="맑은 고딕"/>
        <family val="3"/>
        <charset val="129"/>
        <scheme val="minor"/>
      </rPr>
      <t>66340(오류)</t>
    </r>
    <r>
      <rPr>
        <b/>
        <sz val="10"/>
        <color theme="1"/>
        <rFont val="맑은 고딕"/>
        <family val="3"/>
        <charset val="129"/>
        <scheme val="minor"/>
      </rPr>
      <t>, 64338, 66704, 66705, 66706, 66707</t>
    </r>
    <phoneticPr fontId="7" type="noConversion"/>
  </si>
  <si>
    <t>#66902, 66905</t>
    <phoneticPr fontId="7" type="noConversion"/>
  </si>
  <si>
    <t>교육 및 기술지원 3건</t>
    <phoneticPr fontId="7" type="noConversion"/>
  </si>
  <si>
    <t>대성발전기</t>
    <phoneticPr fontId="7" type="noConversion"/>
  </si>
  <si>
    <t xml:space="preserve">오션테크 </t>
    <phoneticPr fontId="7" type="noConversion"/>
  </si>
  <si>
    <t>이어도 해양과학기지 긴급점검 및 복구</t>
    <phoneticPr fontId="7" type="noConversion"/>
  </si>
  <si>
    <t>정세영</t>
    <phoneticPr fontId="7" type="noConversion"/>
  </si>
  <si>
    <t>Rochester cable 7,000m</t>
    <phoneticPr fontId="7" type="noConversion"/>
  </si>
  <si>
    <t>#68731</t>
    <phoneticPr fontId="7" type="noConversion"/>
  </si>
  <si>
    <t>#E00201_1</t>
    <phoneticPr fontId="7" type="noConversion"/>
  </si>
  <si>
    <t>소프트웨어건이라 DB 없음</t>
    <phoneticPr fontId="7" type="noConversion"/>
  </si>
  <si>
    <t xml:space="preserve">	#E00161_1</t>
    <phoneticPr fontId="7" type="noConversion"/>
  </si>
  <si>
    <t>2023년 입고 예정</t>
    <phoneticPr fontId="7" type="noConversion"/>
  </si>
  <si>
    <t>#33578, 40038, 49962, 52580, 58641, 60939</t>
    <phoneticPr fontId="7" type="noConversion"/>
  </si>
  <si>
    <t>#11733, 11744, 11735</t>
    <phoneticPr fontId="7" type="noConversion"/>
  </si>
  <si>
    <r>
      <rPr>
        <b/>
        <sz val="10"/>
        <color rgb="FFFF0000"/>
        <rFont val="맑은 고딕"/>
        <family val="3"/>
        <charset val="129"/>
        <scheme val="minor"/>
      </rPr>
      <t>#67101,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 67162, 67163,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67164, 67165, 67166, 67167, 67168, 67169, 67858, 67860, 67123</t>
    </r>
    <phoneticPr fontId="7" type="noConversion"/>
  </si>
  <si>
    <r>
      <rPr>
        <b/>
        <sz val="10"/>
        <color rgb="FFFF0000"/>
        <rFont val="맑은 고딕"/>
        <family val="3"/>
        <charset val="129"/>
        <scheme val="minor"/>
      </rPr>
      <t>#67163(출고필요)</t>
    </r>
    <r>
      <rPr>
        <b/>
        <sz val="10"/>
        <color theme="1"/>
        <rFont val="맑은 고딕"/>
        <family val="3"/>
        <charset val="129"/>
        <scheme val="minor"/>
      </rPr>
      <t>,</t>
    </r>
    <r>
      <rPr>
        <b/>
        <sz val="10"/>
        <color rgb="FFFF0000"/>
        <rFont val="맑은 고딕"/>
        <family val="3"/>
        <charset val="129"/>
        <scheme val="minor"/>
      </rPr>
      <t xml:space="preserve"> 69960(추가함)</t>
    </r>
    <r>
      <rPr>
        <b/>
        <sz val="10"/>
        <color theme="1"/>
        <rFont val="맑은 고딕"/>
        <family val="3"/>
        <charset val="129"/>
        <scheme val="minor"/>
      </rPr>
      <t>, 67339, 67340, 67341, 67342, 67343, 67344, 67345,</t>
    </r>
    <phoneticPr fontId="7" type="noConversion"/>
  </si>
  <si>
    <t>#69339, 68097, 68087, 68098, 68074, 68074, 68074, 68068</t>
    <phoneticPr fontId="7" type="noConversion"/>
  </si>
  <si>
    <t>상품</t>
    <phoneticPr fontId="7" type="noConversion"/>
  </si>
  <si>
    <r>
      <t xml:space="preserve">#69838, </t>
    </r>
    <r>
      <rPr>
        <b/>
        <sz val="10"/>
        <color rgb="FFFF0000"/>
        <rFont val="맑은 고딕"/>
        <family val="3"/>
        <charset val="129"/>
        <scheme val="minor"/>
      </rPr>
      <t>#69798(누락)</t>
    </r>
    <phoneticPr fontId="7" type="noConversion"/>
  </si>
  <si>
    <r>
      <t xml:space="preserve">#67018, 67019, 67020, </t>
    </r>
    <r>
      <rPr>
        <b/>
        <sz val="10"/>
        <color rgb="FFFF0000"/>
        <rFont val="맑은 고딕"/>
        <family val="3"/>
        <charset val="129"/>
        <scheme val="minor"/>
      </rPr>
      <t>69938(누락)</t>
    </r>
    <phoneticPr fontId="7" type="noConversion"/>
  </si>
  <si>
    <r>
      <t xml:space="preserve">#E00048_1, </t>
    </r>
    <r>
      <rPr>
        <b/>
        <sz val="10"/>
        <color rgb="FFFF0000"/>
        <rFont val="맑은 고딕"/>
        <family val="3"/>
        <charset val="129"/>
        <scheme val="minor"/>
      </rPr>
      <t>E00101_1(누락)</t>
    </r>
    <phoneticPr fontId="7" type="noConversion"/>
  </si>
  <si>
    <r>
      <t>용역건이라 DB 없음 ?</t>
    </r>
    <r>
      <rPr>
        <b/>
        <sz val="10"/>
        <color rgb="FFFF0000"/>
        <rFont val="맑은 고딕"/>
        <family val="3"/>
        <charset val="129"/>
        <scheme val="minor"/>
      </rPr>
      <t xml:space="preserve">  E00167_1 (누락)</t>
    </r>
    <phoneticPr fontId="7" type="noConversion"/>
  </si>
  <si>
    <r>
      <t xml:space="preserve">#65918, </t>
    </r>
    <r>
      <rPr>
        <b/>
        <sz val="10"/>
        <color rgb="FFFF0000"/>
        <rFont val="맑은 고딕"/>
        <family val="3"/>
        <charset val="129"/>
        <scheme val="minor"/>
      </rPr>
      <t>68085?(확인필요)</t>
    </r>
    <phoneticPr fontId="7" type="noConversion"/>
  </si>
  <si>
    <r>
      <t xml:space="preserve">#E00115_1, E00115_2, </t>
    </r>
    <r>
      <rPr>
        <b/>
        <sz val="10"/>
        <color rgb="FFFF0000"/>
        <rFont val="맑은 고딕"/>
        <family val="3"/>
        <charset val="129"/>
        <scheme val="minor"/>
      </rPr>
      <t>E00127_1~2(누락)</t>
    </r>
    <phoneticPr fontId="7" type="noConversion"/>
  </si>
  <si>
    <r>
      <t xml:space="preserve">보험 건이라 DB없음/ </t>
    </r>
    <r>
      <rPr>
        <b/>
        <sz val="10"/>
        <color rgb="FFFF0000"/>
        <rFont val="맑은 고딕"/>
        <family val="3"/>
        <charset val="129"/>
        <scheme val="minor"/>
      </rPr>
      <t>사업부 정리중</t>
    </r>
    <phoneticPr fontId="7" type="noConversion"/>
  </si>
  <si>
    <t>21년 수리물품 재고로있어요..( 66311, 66310)</t>
    <phoneticPr fontId="7" type="noConversion"/>
  </si>
  <si>
    <t>투입물품있음</t>
    <phoneticPr fontId="7" type="noConversion"/>
  </si>
  <si>
    <t>23년 1/2</t>
    <phoneticPr fontId="7" type="noConversion"/>
  </si>
  <si>
    <t>#67779</t>
    <phoneticPr fontId="7" type="noConversion"/>
  </si>
  <si>
    <t>#E00208_1, E00208_2</t>
    <phoneticPr fontId="7" type="noConversion"/>
  </si>
  <si>
    <t>#E00213_1~5</t>
    <phoneticPr fontId="7" type="noConversion"/>
  </si>
  <si>
    <t>#68704, 68705, 68706, 68707, 68708, E00072_1~6, E00134_1~4, E00209_1, E00210_1, E00211_1</t>
    <phoneticPr fontId="7" type="noConversion"/>
  </si>
  <si>
    <r>
      <t xml:space="preserve">#E00149_1  </t>
    </r>
    <r>
      <rPr>
        <b/>
        <sz val="10"/>
        <color rgb="FFFF0000"/>
        <rFont val="맑은 고딕"/>
        <family val="3"/>
        <charset val="129"/>
        <scheme val="minor"/>
      </rPr>
      <t>#E00171_1 (출고 신청완료)</t>
    </r>
    <phoneticPr fontId="7" type="noConversion"/>
  </si>
  <si>
    <t>12/9, 12/12, 12/23</t>
    <phoneticPr fontId="7" type="noConversion"/>
  </si>
  <si>
    <t>5/19, 12/28</t>
    <phoneticPr fontId="7" type="noConversion"/>
  </si>
  <si>
    <t>5/10, 8/4, 11/22, 12/29</t>
    <phoneticPr fontId="7" type="noConversion"/>
  </si>
  <si>
    <t>#E00212_1, E00218_1</t>
    <phoneticPr fontId="7" type="noConversion"/>
  </si>
  <si>
    <t>#E00191_1, E00196_2, E00093_1</t>
    <phoneticPr fontId="7" type="noConversion"/>
  </si>
  <si>
    <t>#E00093_2</t>
    <phoneticPr fontId="7" type="noConversion"/>
  </si>
  <si>
    <t>12/23, 23년 1/11</t>
    <phoneticPr fontId="7" type="noConversion"/>
  </si>
  <si>
    <t>23년 1/6</t>
    <phoneticPr fontId="7" type="noConversion"/>
  </si>
  <si>
    <t>23년 1/9</t>
    <phoneticPr fontId="7" type="noConversion"/>
  </si>
  <si>
    <t>23년 1/3</t>
    <phoneticPr fontId="7" type="noConversion"/>
  </si>
  <si>
    <t>6/30, 
23년 01/04</t>
    <phoneticPr fontId="7" type="noConversion"/>
  </si>
  <si>
    <t>6/30, 
23년 01/13</t>
    <phoneticPr fontId="7" type="noConversion"/>
  </si>
  <si>
    <t>11/8, 23년 1/4</t>
    <phoneticPr fontId="7" type="noConversion"/>
  </si>
  <si>
    <t xml:space="preserve"> 발급</t>
    <phoneticPr fontId="7" type="noConversion"/>
  </si>
  <si>
    <t xml:space="preserve"> </t>
    <phoneticPr fontId="7" type="noConversion"/>
  </si>
  <si>
    <t>#E002511_1~2</t>
    <phoneticPr fontId="7" type="noConversion"/>
  </si>
  <si>
    <t>#E00232_1</t>
    <phoneticPr fontId="7" type="noConversion"/>
  </si>
  <si>
    <t>23년 1/20</t>
    <phoneticPr fontId="7" type="noConversion"/>
  </si>
  <si>
    <t>23년 1/19</t>
    <phoneticPr fontId="7" type="noConversion"/>
  </si>
  <si>
    <t>11/18, 23년 1/16</t>
    <phoneticPr fontId="7" type="noConversion"/>
  </si>
  <si>
    <t>23년 1/30</t>
    <phoneticPr fontId="7" type="noConversion"/>
  </si>
  <si>
    <t>12/16, 23년 2/1</t>
    <phoneticPr fontId="7" type="noConversion"/>
  </si>
  <si>
    <t>12/21, 23년 2/2</t>
    <phoneticPr fontId="7" type="noConversion"/>
  </si>
  <si>
    <t>23년 2/1</t>
    <phoneticPr fontId="7" type="noConversion"/>
  </si>
  <si>
    <t>23년 1/31</t>
    <phoneticPr fontId="7" type="noConversion"/>
  </si>
  <si>
    <t>11/30, 23년 1/31</t>
    <phoneticPr fontId="7" type="noConversion"/>
  </si>
  <si>
    <t>RESEA 550 (4채널 음향레코더) 1식</t>
    <phoneticPr fontId="7" type="noConversion"/>
  </si>
  <si>
    <t>RESEA 550 1식</t>
    <phoneticPr fontId="7" type="noConversion"/>
  </si>
  <si>
    <t>대한해협 부이 보험 / 22년 전체매출임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</si>
</sst>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24" formatCode="\$#,##0_);[Red]\(\$#,##0\)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  <numFmt numFmtId="180" formatCode="_-[$€-C07]\ * #,##0_-;\-[$€-C07]\ * #,##0_-;_-[$€-C07]\ * &quot;-&quot;_-;_-@_-"/>
    <numFmt numFmtId="181" formatCode="_-[$$-409]* #,##0.00_ ;_-[$$-409]* \-#,##0.00\ ;_-[$$-409]* &quot;-&quot;??_ ;_-@_ "/>
    <numFmt numFmtId="182" formatCode="yyyy&quot;년&quot;\ m&quot;월&quot;\ d&quot;일&quot;;@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265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178" fontId="15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8" fontId="16" fillId="2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82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2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24" fontId="24" fillId="0" borderId="0" xfId="0" applyNumberFormat="1" applyFont="1" applyAlignment="1">
      <alignment horizontal="center" vertical="center"/>
    </xf>
    <xf numFmtId="178" fontId="24" fillId="5" borderId="0" xfId="0" applyNumberFormat="1" applyFont="1" applyFill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24" fontId="27" fillId="0" borderId="0" xfId="0" applyNumberFormat="1" applyFont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24" fontId="25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4" fillId="8" borderId="3" xfId="0" applyNumberFormat="1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left" vertical="center"/>
    </xf>
    <xf numFmtId="0" fontId="24" fillId="8" borderId="0" xfId="0" applyFont="1" applyFill="1" applyAlignment="1">
      <alignment horizontal="center" vertical="center"/>
    </xf>
    <xf numFmtId="41" fontId="24" fillId="8" borderId="3" xfId="1" applyFont="1" applyFill="1" applyBorder="1" applyAlignment="1">
      <alignment horizontal="right" vertical="center"/>
    </xf>
    <xf numFmtId="178" fontId="24" fillId="8" borderId="0" xfId="0" applyNumberFormat="1" applyFont="1" applyFill="1" applyAlignment="1">
      <alignment horizontal="center" vertical="center"/>
    </xf>
    <xf numFmtId="182" fontId="24" fillId="8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>
      <alignment vertical="center"/>
    </xf>
    <xf numFmtId="49" fontId="24" fillId="9" borderId="3" xfId="0" applyNumberFormat="1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left" vertical="center"/>
    </xf>
    <xf numFmtId="41" fontId="24" fillId="9" borderId="3" xfId="1" applyFont="1" applyFill="1" applyBorder="1" applyAlignment="1">
      <alignment horizontal="right" vertical="center"/>
    </xf>
    <xf numFmtId="178" fontId="24" fillId="9" borderId="3" xfId="0" applyNumberFormat="1" applyFont="1" applyFill="1" applyBorder="1" applyAlignment="1">
      <alignment horizontal="center" vertical="center"/>
    </xf>
    <xf numFmtId="182" fontId="24" fillId="9" borderId="3" xfId="0" applyNumberFormat="1" applyFont="1" applyFill="1" applyBorder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center" vertical="center"/>
    </xf>
    <xf numFmtId="182" fontId="24" fillId="9" borderId="7" xfId="0" applyNumberFormat="1" applyFont="1" applyFill="1" applyBorder="1" applyAlignment="1">
      <alignment horizontal="center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>
      <alignment vertical="center"/>
    </xf>
    <xf numFmtId="0" fontId="24" fillId="7" borderId="0" xfId="0" applyFont="1" applyFill="1">
      <alignment vertical="center"/>
    </xf>
    <xf numFmtId="0" fontId="24" fillId="7" borderId="0" xfId="0" applyFont="1" applyFill="1" applyAlignment="1">
      <alignment horizontal="left" vertical="center"/>
    </xf>
    <xf numFmtId="0" fontId="24" fillId="7" borderId="0" xfId="0" applyFont="1" applyFill="1" applyAlignment="1">
      <alignment horizontal="center" vertical="center"/>
    </xf>
    <xf numFmtId="178" fontId="24" fillId="7" borderId="0" xfId="0" applyNumberFormat="1" applyFont="1" applyFill="1" applyAlignment="1">
      <alignment horizontal="center" vertical="center"/>
    </xf>
    <xf numFmtId="182" fontId="24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4" fillId="7" borderId="9" xfId="0" applyFont="1" applyFill="1" applyBorder="1" applyAlignment="1">
      <alignment horizontal="left" vertical="center"/>
    </xf>
    <xf numFmtId="49" fontId="24" fillId="7" borderId="8" xfId="0" applyNumberFormat="1" applyFont="1" applyFill="1" applyBorder="1" applyAlignment="1">
      <alignment horizontal="center" vertical="center"/>
    </xf>
    <xf numFmtId="0" fontId="24" fillId="7" borderId="9" xfId="0" applyFont="1" applyFill="1" applyBorder="1" applyAlignment="1">
      <alignment horizontal="center" vertical="center"/>
    </xf>
    <xf numFmtId="0" fontId="24" fillId="7" borderId="10" xfId="0" applyFont="1" applyFill="1" applyBorder="1">
      <alignment vertical="center"/>
    </xf>
    <xf numFmtId="41" fontId="24" fillId="7" borderId="10" xfId="0" applyNumberFormat="1" applyFont="1" applyFill="1" applyBorder="1" applyAlignment="1">
      <alignment horizontal="right" vertical="center"/>
    </xf>
    <xf numFmtId="14" fontId="24" fillId="7" borderId="4" xfId="0" applyNumberFormat="1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left" vertical="center"/>
    </xf>
    <xf numFmtId="49" fontId="24" fillId="7" borderId="11" xfId="0" applyNumberFormat="1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left" vertical="center"/>
    </xf>
    <xf numFmtId="0" fontId="24" fillId="7" borderId="12" xfId="0" applyFont="1" applyFill="1" applyBorder="1">
      <alignment vertical="center"/>
    </xf>
    <xf numFmtId="41" fontId="24" fillId="7" borderId="12" xfId="0" applyNumberFormat="1" applyFont="1" applyFill="1" applyBorder="1" applyAlignment="1">
      <alignment horizontal="right" vertical="center"/>
    </xf>
    <xf numFmtId="0" fontId="26" fillId="7" borderId="1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left" vertical="center"/>
    </xf>
    <xf numFmtId="41" fontId="24" fillId="7" borderId="13" xfId="0" applyNumberFormat="1" applyFont="1" applyFill="1" applyBorder="1" applyAlignment="1">
      <alignment horizontal="right" vertical="center"/>
    </xf>
    <xf numFmtId="0" fontId="26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left" vertical="center"/>
    </xf>
    <xf numFmtId="0" fontId="24" fillId="7" borderId="13" xfId="0" applyFont="1" applyFill="1" applyBorder="1">
      <alignment vertical="center"/>
    </xf>
    <xf numFmtId="49" fontId="24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41" fontId="24" fillId="0" borderId="3" xfId="1" applyFont="1" applyBorder="1" applyAlignment="1">
      <alignment horizontal="right" vertical="center"/>
    </xf>
    <xf numFmtId="14" fontId="24" fillId="0" borderId="3" xfId="0" applyNumberFormat="1" applyFont="1" applyBorder="1" applyAlignment="1">
      <alignment horizontal="center" vertical="center"/>
    </xf>
    <xf numFmtId="182" fontId="24" fillId="0" borderId="3" xfId="0" applyNumberFormat="1" applyFont="1" applyBorder="1" applyAlignment="1">
      <alignment horizontal="center" vertical="center"/>
    </xf>
    <xf numFmtId="176" fontId="24" fillId="0" borderId="3" xfId="0" applyNumberFormat="1" applyFont="1" applyBorder="1" applyAlignment="1">
      <alignment horizontal="center" vertical="center"/>
    </xf>
    <xf numFmtId="177" fontId="24" fillId="3" borderId="3" xfId="0" applyNumberFormat="1" applyFont="1" applyFill="1" applyBorder="1" applyAlignment="1">
      <alignment horizontal="center" vertical="center"/>
    </xf>
    <xf numFmtId="178" fontId="24" fillId="0" borderId="3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49" fontId="24" fillId="10" borderId="3" xfId="0" applyNumberFormat="1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left" vertical="center"/>
    </xf>
    <xf numFmtId="41" fontId="24" fillId="10" borderId="3" xfId="1" applyFont="1" applyFill="1" applyBorder="1" applyAlignment="1">
      <alignment horizontal="right" vertical="center"/>
    </xf>
    <xf numFmtId="14" fontId="24" fillId="10" borderId="3" xfId="0" applyNumberFormat="1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182" fontId="24" fillId="10" borderId="3" xfId="0" applyNumberFormat="1" applyFont="1" applyFill="1" applyBorder="1" applyAlignment="1">
      <alignment horizontal="center" vertical="center"/>
    </xf>
    <xf numFmtId="176" fontId="24" fillId="10" borderId="3" xfId="0" applyNumberFormat="1" applyFont="1" applyFill="1" applyBorder="1" applyAlignment="1">
      <alignment horizontal="center" vertical="center"/>
    </xf>
    <xf numFmtId="176" fontId="24" fillId="10" borderId="0" xfId="0" applyNumberFormat="1" applyFont="1" applyFill="1" applyAlignment="1">
      <alignment horizontal="center" vertical="center"/>
    </xf>
    <xf numFmtId="177" fontId="24" fillId="10" borderId="0" xfId="0" applyNumberFormat="1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center" vertical="center"/>
    </xf>
    <xf numFmtId="178" fontId="24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1" fontId="24" fillId="7" borderId="3" xfId="1" applyFont="1" applyFill="1" applyBorder="1" applyAlignment="1">
      <alignment horizontal="right" vertical="center"/>
    </xf>
    <xf numFmtId="178" fontId="24" fillId="7" borderId="14" xfId="0" applyNumberFormat="1" applyFont="1" applyFill="1" applyBorder="1" applyAlignment="1">
      <alignment horizontal="center" vertical="center"/>
    </xf>
    <xf numFmtId="182" fontId="24" fillId="7" borderId="3" xfId="0" applyNumberFormat="1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4" fillId="2" borderId="0" xfId="0" applyFont="1" applyFill="1">
      <alignment vertical="center"/>
    </xf>
    <xf numFmtId="14" fontId="24" fillId="7" borderId="0" xfId="0" applyNumberFormat="1" applyFont="1" applyFill="1">
      <alignment vertical="center"/>
    </xf>
    <xf numFmtId="0" fontId="24" fillId="9" borderId="0" xfId="0" applyFont="1" applyFill="1" applyAlignment="1">
      <alignment horizontal="center" vertical="center"/>
    </xf>
    <xf numFmtId="178" fontId="24" fillId="9" borderId="14" xfId="0" applyNumberFormat="1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178" fontId="24" fillId="9" borderId="0" xfId="0" applyNumberFormat="1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182" fontId="24" fillId="9" borderId="0" xfId="0" applyNumberFormat="1" applyFont="1" applyFill="1" applyAlignment="1">
      <alignment horizontal="center" vertical="center"/>
    </xf>
    <xf numFmtId="0" fontId="24" fillId="7" borderId="1" xfId="0" applyFont="1" applyFill="1" applyBorder="1">
      <alignment vertical="center"/>
    </xf>
    <xf numFmtId="49" fontId="24" fillId="7" borderId="15" xfId="0" applyNumberFormat="1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left" vertical="center"/>
    </xf>
    <xf numFmtId="41" fontId="24" fillId="7" borderId="15" xfId="1" applyFont="1" applyFill="1" applyBorder="1" applyAlignment="1">
      <alignment horizontal="right" vertical="center"/>
    </xf>
    <xf numFmtId="178" fontId="24" fillId="7" borderId="1" xfId="0" applyNumberFormat="1" applyFont="1" applyFill="1" applyBorder="1" applyAlignment="1">
      <alignment horizontal="center" vertical="center"/>
    </xf>
    <xf numFmtId="182" fontId="24" fillId="7" borderId="1" xfId="0" applyNumberFormat="1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/>
    </xf>
    <xf numFmtId="49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/>
    </xf>
    <xf numFmtId="41" fontId="24" fillId="0" borderId="2" xfId="1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4" fillId="2" borderId="1" xfId="0" applyFont="1" applyFill="1" applyBorder="1">
      <alignment vertical="center"/>
    </xf>
    <xf numFmtId="49" fontId="24" fillId="7" borderId="17" xfId="0" applyNumberFormat="1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left" vertical="center"/>
    </xf>
    <xf numFmtId="49" fontId="24" fillId="7" borderId="2" xfId="0" applyNumberFormat="1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left" vertical="center"/>
    </xf>
    <xf numFmtId="41" fontId="24" fillId="7" borderId="2" xfId="1" applyFont="1" applyFill="1" applyBorder="1" applyAlignment="1">
      <alignment horizontal="right" vertical="center"/>
    </xf>
    <xf numFmtId="3" fontId="24" fillId="7" borderId="0" xfId="0" applyNumberFormat="1" applyFont="1" applyFill="1" applyAlignment="1">
      <alignment horizontal="right" vertical="center"/>
    </xf>
    <xf numFmtId="0" fontId="24" fillId="9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182" fontId="24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78" fontId="24" fillId="10" borderId="0" xfId="0" applyNumberFormat="1" applyFont="1" applyFill="1" applyAlignment="1">
      <alignment horizontal="center" vertical="center"/>
    </xf>
    <xf numFmtId="182" fontId="24" fillId="10" borderId="0" xfId="0" applyNumberFormat="1" applyFont="1" applyFill="1" applyAlignment="1">
      <alignment horizontal="center" vertical="center"/>
    </xf>
    <xf numFmtId="0" fontId="24" fillId="10" borderId="0" xfId="0" applyFont="1" applyFill="1">
      <alignment vertical="center"/>
    </xf>
    <xf numFmtId="178" fontId="28" fillId="7" borderId="0" xfId="0" applyNumberFormat="1" applyFont="1" applyFill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41" fontId="24" fillId="2" borderId="3" xfId="1" applyFont="1" applyFill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11" borderId="0" xfId="0" applyFont="1" applyFill="1">
      <alignment vertical="center"/>
    </xf>
    <xf numFmtId="0" fontId="24" fillId="11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center" vertical="center"/>
    </xf>
    <xf numFmtId="178" fontId="24" fillId="11" borderId="0" xfId="0" applyNumberFormat="1" applyFont="1" applyFill="1" applyAlignment="1">
      <alignment horizontal="center" vertical="center"/>
    </xf>
    <xf numFmtId="182" fontId="24" fillId="11" borderId="0" xfId="0" applyNumberFormat="1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41" fontId="29" fillId="0" borderId="0" xfId="1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180" fontId="29" fillId="0" borderId="0" xfId="1" applyNumberFormat="1" applyFont="1" applyAlignment="1">
      <alignment horizontal="right" vertical="center"/>
    </xf>
    <xf numFmtId="181" fontId="29" fillId="0" borderId="0" xfId="1" applyNumberFormat="1" applyFont="1" applyAlignment="1">
      <alignment horizontal="right" vertical="center"/>
    </xf>
    <xf numFmtId="41" fontId="29" fillId="0" borderId="0" xfId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41" fontId="29" fillId="0" borderId="1" xfId="1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182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>
      <alignment vertical="center"/>
    </xf>
    <xf numFmtId="41" fontId="29" fillId="7" borderId="1" xfId="1" applyFont="1" applyFill="1" applyBorder="1" applyAlignment="1">
      <alignment horizontal="right" vertical="center"/>
    </xf>
    <xf numFmtId="181" fontId="29" fillId="0" borderId="0" xfId="1" applyNumberFormat="1" applyFont="1" applyBorder="1" applyAlignment="1">
      <alignment horizontal="center" vertical="center"/>
    </xf>
    <xf numFmtId="41" fontId="29" fillId="0" borderId="0" xfId="1" applyFont="1" applyBorder="1" applyAlignment="1">
      <alignment horizontal="right" vertical="center"/>
    </xf>
    <xf numFmtId="0" fontId="29" fillId="2" borderId="0" xfId="0" applyFont="1" applyFill="1" applyAlignment="1">
      <alignment horizontal="center" vertical="center"/>
    </xf>
    <xf numFmtId="41" fontId="29" fillId="2" borderId="0" xfId="1" applyFont="1" applyFill="1" applyBorder="1" applyAlignment="1">
      <alignment horizontal="right" vertical="center"/>
    </xf>
    <xf numFmtId="0" fontId="29" fillId="11" borderId="0" xfId="0" applyFont="1" applyFill="1" applyAlignment="1">
      <alignment horizontal="center" vertical="center"/>
    </xf>
    <xf numFmtId="41" fontId="29" fillId="11" borderId="0" xfId="1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41" fontId="29" fillId="7" borderId="0" xfId="1" applyFont="1" applyFill="1" applyAlignment="1">
      <alignment horizontal="right" vertical="center"/>
    </xf>
    <xf numFmtId="178" fontId="24" fillId="0" borderId="0" xfId="0" applyNumberFormat="1" applyFont="1" applyAlignment="1">
      <alignment horizontal="right" vertical="center"/>
    </xf>
    <xf numFmtId="178" fontId="28" fillId="0" borderId="0" xfId="0" applyNumberFormat="1" applyFont="1" applyAlignment="1">
      <alignment horizontal="right" vertical="center"/>
    </xf>
    <xf numFmtId="18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8" fontId="24" fillId="2" borderId="0" xfId="0" applyNumberFormat="1" applyFont="1" applyFill="1" applyAlignment="1">
      <alignment horizontal="right" vertical="center"/>
    </xf>
    <xf numFmtId="0" fontId="24" fillId="0" borderId="0" xfId="0" applyFont="1" applyAlignment="1">
      <alignment horizontal="center" vertical="center" wrapText="1"/>
    </xf>
    <xf numFmtId="0" fontId="29" fillId="0" borderId="0" xfId="0" applyFont="1">
      <alignment vertical="center"/>
    </xf>
    <xf numFmtId="41" fontId="10" fillId="0" borderId="0" xfId="1" applyFont="1" applyAlignment="1">
      <alignment horizontal="right" vertical="center"/>
    </xf>
    <xf numFmtId="41" fontId="13" fillId="0" borderId="1" xfId="1" applyFont="1" applyBorder="1" applyAlignment="1">
      <alignment horizontal="right" vertical="center"/>
    </xf>
    <xf numFmtId="41" fontId="9" fillId="0" borderId="0" xfId="1" applyFont="1" applyAlignment="1">
      <alignment horizontal="right" vertical="center"/>
    </xf>
    <xf numFmtId="41" fontId="10" fillId="0" borderId="0" xfId="1" applyFont="1" applyFill="1" applyAlignment="1">
      <alignment horizontal="right" vertical="center"/>
    </xf>
    <xf numFmtId="0" fontId="24" fillId="7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41" fontId="33" fillId="0" borderId="0" xfId="1" applyFont="1" applyFill="1" applyAlignment="1">
      <alignment horizontal="right" vertical="center"/>
    </xf>
    <xf numFmtId="178" fontId="24" fillId="0" borderId="0" xfId="0" applyNumberFormat="1" applyFont="1" applyAlignment="1">
      <alignment horizontal="right" vertical="center"/>
    </xf>
    <xf numFmtId="182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41" fontId="16" fillId="0" borderId="2" xfId="1" applyFont="1" applyFill="1" applyBorder="1" applyAlignment="1">
      <alignment horizontal="right" vertical="center"/>
    </xf>
    <xf numFmtId="176" fontId="16" fillId="0" borderId="2" xfId="0" applyNumberFormat="1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quotePrefix="1" applyFont="1" applyFill="1" applyAlignment="1">
      <alignment horizontal="left" vertical="center"/>
    </xf>
    <xf numFmtId="179" fontId="10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10" fillId="0" borderId="0" xfId="0" quotePrefix="1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14" fontId="10" fillId="0" borderId="0" xfId="0" quotePrefix="1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179" fontId="33" fillId="0" borderId="0" xfId="0" applyNumberFormat="1" applyFont="1" applyFill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3" fillId="0" borderId="0" xfId="0" applyFont="1" applyFill="1">
      <alignment vertical="center"/>
    </xf>
    <xf numFmtId="0" fontId="4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79" fontId="10" fillId="0" borderId="0" xfId="0" quotePrefix="1" applyNumberFormat="1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horizontal="left" vertical="center"/>
    </xf>
    <xf numFmtId="0" fontId="3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14" fontId="11" fillId="0" borderId="0" xfId="0" applyNumberFormat="1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center" vertical="center"/>
    </xf>
    <xf numFmtId="55" fontId="10" fillId="0" borderId="0" xfId="0" applyNumberFormat="1" applyFont="1" applyFill="1" applyAlignment="1">
      <alignment horizontal="center" vertical="center"/>
    </xf>
    <xf numFmtId="31" fontId="10" fillId="0" borderId="0" xfId="0" applyNumberFormat="1" applyFont="1" applyFill="1" applyAlignment="1">
      <alignment horizontal="center" vertical="center"/>
    </xf>
  </cellXfs>
  <cellStyles count="5">
    <cellStyle name="쉼표 [0]" xfId="1" builtinId="6"/>
    <cellStyle name="쉼표 [0] 2" xfId="3" xr:uid="{00000000-0005-0000-0000-000001000000}"/>
    <cellStyle name="표준" xfId="0" builtinId="0"/>
    <cellStyle name="표준 10" xfId="4" xr:uid="{00000000-0005-0000-0000-000003000000}"/>
    <cellStyle name="표준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56"/>
  <sheetViews>
    <sheetView tabSelected="1" zoomScaleNormal="100" workbookViewId="0">
      <pane xSplit="6" ySplit="3" topLeftCell="G389" activePane="bottomRight" state="frozen"/>
      <selection pane="topRight" activeCell="G1" sqref="G1"/>
      <selection pane="bottomLeft" activeCell="A4" sqref="A4"/>
      <selection pane="bottomRight" activeCell="E418" sqref="E418"/>
    </sheetView>
  </sheetViews>
  <sheetFormatPr defaultColWidth="9" defaultRowHeight="16.5"/>
  <cols>
    <col min="1" max="1" width="4" style="27" customWidth="1"/>
    <col min="2" max="2" width="23.125" style="3" customWidth="1"/>
    <col min="3" max="3" width="10" style="3" customWidth="1"/>
    <col min="4" max="4" width="19" style="3" customWidth="1"/>
    <col min="5" max="5" width="53.125" style="3" customWidth="1"/>
    <col min="6" max="6" width="6.375" style="3" customWidth="1"/>
    <col min="7" max="7" width="16.875" style="3" customWidth="1"/>
    <col min="8" max="8" width="9" style="3" customWidth="1"/>
    <col min="9" max="9" width="14.625" style="214" customWidth="1"/>
    <col min="10" max="10" width="9.75" style="3" customWidth="1"/>
    <col min="11" max="11" width="9.875" style="3" bestFit="1" customWidth="1"/>
    <col min="12" max="12" width="10.25" style="3" customWidth="1"/>
    <col min="13" max="13" width="11" style="3" customWidth="1"/>
    <col min="14" max="14" width="3" style="3" hidden="1" customWidth="1"/>
    <col min="15" max="15" width="13.25" style="1" hidden="1" customWidth="1"/>
    <col min="16" max="16" width="9" style="3" hidden="1" customWidth="1"/>
    <col min="17" max="17" width="12.875" style="3" hidden="1" customWidth="1"/>
    <col min="18" max="18" width="13.375" style="3" hidden="1" customWidth="1"/>
    <col min="19" max="22" width="9" style="3" hidden="1" customWidth="1"/>
    <col min="23" max="23" width="14.75" style="3" hidden="1" customWidth="1"/>
    <col min="24" max="24" width="35.5" style="2" hidden="1" customWidth="1"/>
    <col min="25" max="25" width="18.25" style="1" hidden="1" customWidth="1"/>
    <col min="26" max="26" width="56.625" style="3" hidden="1" customWidth="1"/>
    <col min="27" max="27" width="0" style="3" hidden="1" customWidth="1"/>
    <col min="28" max="16384" width="9" style="3"/>
  </cols>
  <sheetData>
    <row r="1" spans="1:29" s="5" customFormat="1" ht="27">
      <c r="A1" s="26"/>
      <c r="B1" s="4" t="s">
        <v>28</v>
      </c>
      <c r="E1" s="6"/>
      <c r="F1" s="6"/>
      <c r="G1" s="6"/>
      <c r="H1" s="6"/>
      <c r="I1" s="213"/>
      <c r="J1" s="7"/>
      <c r="K1" s="7"/>
      <c r="L1" s="18" t="s">
        <v>1495</v>
      </c>
      <c r="M1" s="19" t="s">
        <v>433</v>
      </c>
      <c r="N1" s="8"/>
      <c r="O1" s="20"/>
      <c r="P1" s="8"/>
      <c r="Q1" s="9" t="s">
        <v>402</v>
      </c>
      <c r="R1" s="10" t="s">
        <v>403</v>
      </c>
      <c r="S1" s="11"/>
      <c r="T1" s="6"/>
      <c r="U1" s="12"/>
      <c r="V1" s="12"/>
      <c r="W1" s="13" t="s">
        <v>5</v>
      </c>
      <c r="X1" s="23"/>
      <c r="Y1" s="25"/>
      <c r="Z1" s="30" t="s">
        <v>515</v>
      </c>
      <c r="AA1" s="29" t="s">
        <v>514</v>
      </c>
      <c r="AB1" s="15"/>
    </row>
    <row r="2" spans="1:29" s="6" customFormat="1" ht="19.5" customHeight="1">
      <c r="A2" s="26"/>
      <c r="B2" s="4" t="s">
        <v>28</v>
      </c>
      <c r="C2" s="5"/>
      <c r="I2" s="213"/>
      <c r="O2" s="21"/>
      <c r="Q2" s="14" t="s">
        <v>396</v>
      </c>
      <c r="S2" s="16" t="s">
        <v>6</v>
      </c>
      <c r="X2" s="24" t="s">
        <v>7</v>
      </c>
      <c r="Y2" s="22"/>
      <c r="Z2" s="17"/>
      <c r="AA2" s="28"/>
      <c r="AB2" s="17"/>
      <c r="AC2" s="15"/>
    </row>
    <row r="3" spans="1:29" s="233" customFormat="1" ht="30" customHeight="1">
      <c r="A3" s="223" t="s">
        <v>28</v>
      </c>
      <c r="B3" s="224" t="s">
        <v>0</v>
      </c>
      <c r="C3" s="224" t="s">
        <v>1</v>
      </c>
      <c r="D3" s="224" t="s">
        <v>22</v>
      </c>
      <c r="E3" s="224" t="s">
        <v>2</v>
      </c>
      <c r="F3" s="224" t="s">
        <v>3</v>
      </c>
      <c r="G3" s="224" t="s">
        <v>420</v>
      </c>
      <c r="H3" s="224" t="s">
        <v>4</v>
      </c>
      <c r="I3" s="225" t="s">
        <v>8</v>
      </c>
      <c r="J3" s="226" t="s">
        <v>9</v>
      </c>
      <c r="K3" s="226" t="s">
        <v>10</v>
      </c>
      <c r="L3" s="226" t="s">
        <v>11</v>
      </c>
      <c r="M3" s="227" t="s">
        <v>12</v>
      </c>
      <c r="N3" s="224" t="s">
        <v>13</v>
      </c>
      <c r="O3" s="228" t="s">
        <v>802</v>
      </c>
      <c r="P3" s="224" t="s">
        <v>14</v>
      </c>
      <c r="Q3" s="224" t="s">
        <v>15</v>
      </c>
      <c r="R3" s="224" t="s">
        <v>16</v>
      </c>
      <c r="S3" s="229" t="s">
        <v>17</v>
      </c>
      <c r="T3" s="223" t="s">
        <v>18</v>
      </c>
      <c r="U3" s="230" t="s">
        <v>19</v>
      </c>
      <c r="V3" s="230" t="s">
        <v>20</v>
      </c>
      <c r="W3" s="230" t="s">
        <v>21</v>
      </c>
      <c r="X3" s="231"/>
      <c r="Y3" s="232"/>
    </row>
    <row r="4" spans="1:29" s="238" customFormat="1" ht="16.5" customHeight="1">
      <c r="A4" s="234">
        <v>1</v>
      </c>
      <c r="B4" s="234" t="s">
        <v>503</v>
      </c>
      <c r="C4" s="234" t="s">
        <v>601</v>
      </c>
      <c r="D4" s="234" t="s">
        <v>406</v>
      </c>
      <c r="E4" s="234" t="s">
        <v>579</v>
      </c>
      <c r="F4" s="235" t="s">
        <v>502</v>
      </c>
      <c r="G4" s="236" t="s">
        <v>814</v>
      </c>
      <c r="H4" s="235" t="s">
        <v>405</v>
      </c>
      <c r="I4" s="215">
        <v>417780000</v>
      </c>
      <c r="J4" s="237">
        <v>44546</v>
      </c>
      <c r="K4" s="237">
        <v>44904</v>
      </c>
      <c r="L4" s="235" t="s">
        <v>2071</v>
      </c>
      <c r="M4" s="235" t="s">
        <v>2070</v>
      </c>
      <c r="N4" s="235"/>
      <c r="O4" s="235" t="s">
        <v>752</v>
      </c>
      <c r="P4" s="235"/>
      <c r="Q4" s="235"/>
      <c r="R4" s="235"/>
      <c r="S4" s="235"/>
      <c r="T4" s="235"/>
      <c r="U4" s="235"/>
      <c r="V4" s="235"/>
      <c r="W4" s="235"/>
      <c r="X4" s="234" t="s">
        <v>864</v>
      </c>
      <c r="Y4" s="235"/>
      <c r="AA4" s="239"/>
      <c r="AB4" s="235"/>
    </row>
    <row r="5" spans="1:29" s="238" customFormat="1" ht="16.5" customHeight="1">
      <c r="A5" s="234">
        <v>2</v>
      </c>
      <c r="B5" s="234" t="s">
        <v>503</v>
      </c>
      <c r="C5" s="234" t="s">
        <v>504</v>
      </c>
      <c r="D5" s="234" t="s">
        <v>406</v>
      </c>
      <c r="E5" s="234" t="s">
        <v>580</v>
      </c>
      <c r="F5" s="235" t="s">
        <v>502</v>
      </c>
      <c r="G5" s="236" t="s">
        <v>813</v>
      </c>
      <c r="H5" s="235" t="s">
        <v>405</v>
      </c>
      <c r="I5" s="215">
        <v>2548402560</v>
      </c>
      <c r="J5" s="237">
        <v>44553</v>
      </c>
      <c r="K5" s="237">
        <v>44904</v>
      </c>
      <c r="L5" s="237" t="s">
        <v>2070</v>
      </c>
      <c r="M5" s="237" t="s">
        <v>2100</v>
      </c>
      <c r="N5" s="235"/>
      <c r="O5" s="235" t="s">
        <v>753</v>
      </c>
      <c r="P5" s="235"/>
      <c r="Q5" s="235"/>
      <c r="R5" s="235"/>
      <c r="S5" s="235"/>
      <c r="T5" s="235"/>
      <c r="U5" s="235"/>
      <c r="V5" s="235"/>
      <c r="W5" s="235"/>
      <c r="X5" s="234" t="s">
        <v>864</v>
      </c>
      <c r="Y5" s="235"/>
      <c r="AA5" s="239"/>
      <c r="AB5" s="235"/>
    </row>
    <row r="6" spans="1:29" s="238" customFormat="1" ht="16.5" customHeight="1">
      <c r="A6" s="234">
        <v>3</v>
      </c>
      <c r="B6" s="235" t="s">
        <v>585</v>
      </c>
      <c r="C6" s="235" t="s">
        <v>587</v>
      </c>
      <c r="D6" s="235" t="s">
        <v>513</v>
      </c>
      <c r="E6" s="235" t="s">
        <v>889</v>
      </c>
      <c r="F6" s="235" t="s">
        <v>591</v>
      </c>
      <c r="G6" s="240" t="s">
        <v>408</v>
      </c>
      <c r="H6" s="235" t="s">
        <v>405</v>
      </c>
      <c r="I6" s="215">
        <v>15840000</v>
      </c>
      <c r="J6" s="237">
        <v>44564</v>
      </c>
      <c r="K6" s="237">
        <v>44630</v>
      </c>
      <c r="L6" s="237">
        <v>44606</v>
      </c>
      <c r="M6" s="237">
        <v>44635</v>
      </c>
      <c r="N6" s="235"/>
      <c r="O6" s="235" t="s">
        <v>590</v>
      </c>
      <c r="P6" s="235"/>
      <c r="Q6" s="235"/>
      <c r="R6" s="235"/>
      <c r="S6" s="235"/>
      <c r="T6" s="235"/>
      <c r="U6" s="235"/>
      <c r="V6" s="235"/>
      <c r="W6" s="235"/>
      <c r="X6" s="234" t="s">
        <v>695</v>
      </c>
      <c r="Y6" s="235"/>
      <c r="AA6" s="239"/>
      <c r="AB6" s="235"/>
    </row>
    <row r="7" spans="1:29" s="238" customFormat="1" ht="16.5" customHeight="1">
      <c r="A7" s="234">
        <v>4</v>
      </c>
      <c r="B7" s="235" t="s">
        <v>585</v>
      </c>
      <c r="C7" s="235" t="s">
        <v>587</v>
      </c>
      <c r="D7" s="235" t="s">
        <v>586</v>
      </c>
      <c r="E7" s="235" t="s">
        <v>589</v>
      </c>
      <c r="F7" s="235" t="s">
        <v>591</v>
      </c>
      <c r="G7" s="240" t="s">
        <v>408</v>
      </c>
      <c r="H7" s="235" t="s">
        <v>405</v>
      </c>
      <c r="I7" s="215">
        <v>18700000</v>
      </c>
      <c r="J7" s="237">
        <v>44564</v>
      </c>
      <c r="K7" s="237">
        <v>44652</v>
      </c>
      <c r="L7" s="237">
        <v>44662</v>
      </c>
      <c r="M7" s="237">
        <v>44680</v>
      </c>
      <c r="N7" s="235"/>
      <c r="O7" s="235" t="s">
        <v>590</v>
      </c>
      <c r="P7" s="235"/>
      <c r="Q7" s="235"/>
      <c r="R7" s="235"/>
      <c r="S7" s="235"/>
      <c r="T7" s="235"/>
      <c r="U7" s="235"/>
      <c r="V7" s="235"/>
      <c r="W7" s="235"/>
      <c r="X7" s="234" t="s">
        <v>1030</v>
      </c>
      <c r="Y7" s="235"/>
      <c r="AA7" s="239"/>
      <c r="AB7" s="235"/>
    </row>
    <row r="8" spans="1:29" s="238" customFormat="1" ht="16.5" customHeight="1">
      <c r="A8" s="234">
        <v>5</v>
      </c>
      <c r="B8" s="235" t="s">
        <v>585</v>
      </c>
      <c r="C8" s="235" t="s">
        <v>587</v>
      </c>
      <c r="D8" s="235" t="s">
        <v>404</v>
      </c>
      <c r="E8" s="235" t="s">
        <v>588</v>
      </c>
      <c r="F8" s="235" t="s">
        <v>591</v>
      </c>
      <c r="G8" s="240" t="s">
        <v>408</v>
      </c>
      <c r="H8" s="235" t="s">
        <v>405</v>
      </c>
      <c r="I8" s="215">
        <v>75900000</v>
      </c>
      <c r="J8" s="237">
        <v>44564</v>
      </c>
      <c r="K8" s="237">
        <v>44681</v>
      </c>
      <c r="L8" s="237">
        <v>44631</v>
      </c>
      <c r="M8" s="237">
        <v>44672</v>
      </c>
      <c r="N8" s="235"/>
      <c r="O8" s="235" t="s">
        <v>590</v>
      </c>
      <c r="P8" s="235"/>
      <c r="Q8" s="235"/>
      <c r="R8" s="235"/>
      <c r="S8" s="235"/>
      <c r="T8" s="235"/>
      <c r="U8" s="235"/>
      <c r="V8" s="235"/>
      <c r="W8" s="235"/>
      <c r="X8" s="234" t="s">
        <v>844</v>
      </c>
      <c r="Y8" s="235"/>
      <c r="AA8" s="239"/>
      <c r="AB8" s="235"/>
    </row>
    <row r="9" spans="1:29" s="238" customFormat="1" ht="16.5" customHeight="1">
      <c r="A9" s="234">
        <v>6</v>
      </c>
      <c r="B9" s="235" t="s">
        <v>581</v>
      </c>
      <c r="C9" s="235" t="s">
        <v>582</v>
      </c>
      <c r="D9" s="235" t="s">
        <v>406</v>
      </c>
      <c r="E9" s="235" t="s">
        <v>798</v>
      </c>
      <c r="F9" s="235" t="s">
        <v>591</v>
      </c>
      <c r="G9" s="235" t="s">
        <v>408</v>
      </c>
      <c r="H9" s="235" t="s">
        <v>405</v>
      </c>
      <c r="I9" s="215">
        <v>1507000</v>
      </c>
      <c r="J9" s="237">
        <v>44565</v>
      </c>
      <c r="K9" s="237">
        <v>44576</v>
      </c>
      <c r="L9" s="237">
        <v>44589</v>
      </c>
      <c r="M9" s="237">
        <v>44617</v>
      </c>
      <c r="N9" s="235"/>
      <c r="O9" s="235" t="s">
        <v>584</v>
      </c>
      <c r="P9" s="235"/>
      <c r="Q9" s="235"/>
      <c r="R9" s="235"/>
      <c r="S9" s="235"/>
      <c r="T9" s="235"/>
      <c r="U9" s="235"/>
      <c r="V9" s="235"/>
      <c r="W9" s="235"/>
      <c r="X9" s="234" t="s">
        <v>583</v>
      </c>
      <c r="Y9" s="235"/>
      <c r="AA9" s="239"/>
      <c r="AB9" s="235"/>
    </row>
    <row r="10" spans="1:29" s="238" customFormat="1" ht="16.5" customHeight="1">
      <c r="A10" s="234">
        <v>7</v>
      </c>
      <c r="B10" s="235" t="s">
        <v>592</v>
      </c>
      <c r="C10" s="235" t="s">
        <v>593</v>
      </c>
      <c r="D10" s="235" t="s">
        <v>594</v>
      </c>
      <c r="E10" s="235" t="s">
        <v>595</v>
      </c>
      <c r="F10" s="235" t="s">
        <v>591</v>
      </c>
      <c r="G10" s="235" t="s">
        <v>408</v>
      </c>
      <c r="H10" s="235" t="s">
        <v>405</v>
      </c>
      <c r="I10" s="215">
        <v>12760000</v>
      </c>
      <c r="J10" s="237">
        <v>44566</v>
      </c>
      <c r="K10" s="237">
        <v>44635</v>
      </c>
      <c r="L10" s="237">
        <v>44566</v>
      </c>
      <c r="M10" s="237">
        <v>44566</v>
      </c>
      <c r="N10" s="235"/>
      <c r="O10" s="235" t="s">
        <v>596</v>
      </c>
      <c r="P10" s="235"/>
      <c r="Q10" s="235"/>
      <c r="R10" s="235"/>
      <c r="S10" s="235"/>
      <c r="T10" s="235"/>
      <c r="U10" s="235"/>
      <c r="V10" s="235"/>
      <c r="W10" s="235"/>
      <c r="X10" s="234" t="s">
        <v>843</v>
      </c>
      <c r="Y10" s="235"/>
      <c r="AA10" s="239"/>
      <c r="AB10" s="235"/>
    </row>
    <row r="11" spans="1:29" s="238" customFormat="1" ht="16.5" customHeight="1">
      <c r="A11" s="234">
        <v>8</v>
      </c>
      <c r="B11" s="235" t="s">
        <v>597</v>
      </c>
      <c r="C11" s="235" t="s">
        <v>408</v>
      </c>
      <c r="D11" s="235" t="s">
        <v>406</v>
      </c>
      <c r="E11" s="235" t="s">
        <v>600</v>
      </c>
      <c r="F11" s="235" t="s">
        <v>591</v>
      </c>
      <c r="G11" s="235" t="s">
        <v>408</v>
      </c>
      <c r="H11" s="235" t="s">
        <v>405</v>
      </c>
      <c r="I11" s="215">
        <v>4059000</v>
      </c>
      <c r="J11" s="237">
        <v>44566</v>
      </c>
      <c r="K11" s="237">
        <v>44596</v>
      </c>
      <c r="L11" s="237">
        <v>44567</v>
      </c>
      <c r="M11" s="237">
        <v>44572</v>
      </c>
      <c r="N11" s="235"/>
      <c r="O11" s="235" t="s">
        <v>590</v>
      </c>
      <c r="P11" s="235"/>
      <c r="Q11" s="235"/>
      <c r="R11" s="235"/>
      <c r="S11" s="235"/>
      <c r="T11" s="235"/>
      <c r="U11" s="235"/>
      <c r="V11" s="235"/>
      <c r="W11" s="235"/>
      <c r="X11" s="234" t="s">
        <v>602</v>
      </c>
      <c r="Y11" s="235"/>
      <c r="AA11" s="239"/>
      <c r="AB11" s="235"/>
    </row>
    <row r="12" spans="1:29" s="238" customFormat="1" ht="16.5" customHeight="1">
      <c r="A12" s="234">
        <v>9</v>
      </c>
      <c r="B12" s="235" t="s">
        <v>512</v>
      </c>
      <c r="C12" s="235" t="s">
        <v>599</v>
      </c>
      <c r="D12" s="235" t="s">
        <v>594</v>
      </c>
      <c r="E12" s="235" t="s">
        <v>598</v>
      </c>
      <c r="F12" s="235" t="s">
        <v>591</v>
      </c>
      <c r="G12" s="235" t="s">
        <v>408</v>
      </c>
      <c r="H12" s="235" t="s">
        <v>405</v>
      </c>
      <c r="I12" s="215">
        <v>6600000</v>
      </c>
      <c r="J12" s="237">
        <v>44567</v>
      </c>
      <c r="K12" s="237">
        <v>44581</v>
      </c>
      <c r="L12" s="237">
        <v>44571</v>
      </c>
      <c r="M12" s="237">
        <v>44575</v>
      </c>
      <c r="N12" s="235"/>
      <c r="O12" s="235" t="s">
        <v>747</v>
      </c>
      <c r="P12" s="235"/>
      <c r="Q12" s="235"/>
      <c r="R12" s="235"/>
      <c r="S12" s="235"/>
      <c r="T12" s="235"/>
      <c r="U12" s="235"/>
      <c r="V12" s="235"/>
      <c r="W12" s="235"/>
      <c r="X12" s="234" t="s">
        <v>663</v>
      </c>
      <c r="Y12" s="235"/>
      <c r="AA12" s="239"/>
      <c r="AB12" s="235"/>
    </row>
    <row r="13" spans="1:29" s="238" customFormat="1" ht="16.5" customHeight="1">
      <c r="A13" s="234">
        <v>10</v>
      </c>
      <c r="B13" s="235" t="s">
        <v>503</v>
      </c>
      <c r="C13" s="235" t="s">
        <v>667</v>
      </c>
      <c r="D13" s="235" t="s">
        <v>406</v>
      </c>
      <c r="E13" s="235" t="s">
        <v>666</v>
      </c>
      <c r="F13" s="235" t="s">
        <v>591</v>
      </c>
      <c r="G13" s="235" t="s">
        <v>408</v>
      </c>
      <c r="H13" s="235" t="s">
        <v>405</v>
      </c>
      <c r="I13" s="215">
        <v>2504700</v>
      </c>
      <c r="J13" s="237">
        <v>44572</v>
      </c>
      <c r="K13" s="237">
        <v>44572</v>
      </c>
      <c r="L13" s="237">
        <v>44572</v>
      </c>
      <c r="M13" s="237">
        <v>44595</v>
      </c>
      <c r="N13" s="235"/>
      <c r="O13" s="235" t="s">
        <v>748</v>
      </c>
      <c r="P13" s="235"/>
      <c r="Q13" s="235"/>
      <c r="R13" s="235"/>
      <c r="S13" s="235"/>
      <c r="T13" s="235"/>
      <c r="U13" s="235"/>
      <c r="V13" s="235"/>
      <c r="W13" s="235"/>
      <c r="X13" s="234" t="s">
        <v>1413</v>
      </c>
      <c r="Y13" s="235"/>
      <c r="AA13" s="239"/>
      <c r="AB13" s="235"/>
    </row>
    <row r="14" spans="1:29" s="238" customFormat="1" ht="16.5" customHeight="1">
      <c r="A14" s="234">
        <v>11</v>
      </c>
      <c r="B14" s="235" t="s">
        <v>512</v>
      </c>
      <c r="C14" s="235" t="s">
        <v>664</v>
      </c>
      <c r="D14" s="235" t="s">
        <v>665</v>
      </c>
      <c r="E14" s="235" t="s">
        <v>861</v>
      </c>
      <c r="F14" s="235" t="s">
        <v>591</v>
      </c>
      <c r="G14" s="235" t="s">
        <v>408</v>
      </c>
      <c r="H14" s="235" t="s">
        <v>405</v>
      </c>
      <c r="I14" s="215">
        <v>16170000</v>
      </c>
      <c r="J14" s="237">
        <v>44572</v>
      </c>
      <c r="K14" s="237">
        <v>44602</v>
      </c>
      <c r="L14" s="237">
        <v>44658</v>
      </c>
      <c r="M14" s="237">
        <v>44662</v>
      </c>
      <c r="N14" s="235"/>
      <c r="O14" s="235" t="s">
        <v>749</v>
      </c>
      <c r="P14" s="235"/>
      <c r="Q14" s="235"/>
      <c r="R14" s="235"/>
      <c r="S14" s="235"/>
      <c r="T14" s="235"/>
      <c r="U14" s="235"/>
      <c r="V14" s="235"/>
      <c r="W14" s="235"/>
      <c r="X14" s="234" t="s">
        <v>860</v>
      </c>
      <c r="Y14" s="235"/>
      <c r="AA14" s="239"/>
      <c r="AB14" s="235"/>
    </row>
    <row r="15" spans="1:29" s="238" customFormat="1" ht="16.5" customHeight="1">
      <c r="A15" s="234">
        <v>12</v>
      </c>
      <c r="B15" s="235" t="s">
        <v>512</v>
      </c>
      <c r="C15" s="235" t="s">
        <v>680</v>
      </c>
      <c r="D15" s="235" t="s">
        <v>678</v>
      </c>
      <c r="E15" s="235" t="s">
        <v>675</v>
      </c>
      <c r="F15" s="235" t="s">
        <v>591</v>
      </c>
      <c r="G15" s="235" t="s">
        <v>408</v>
      </c>
      <c r="H15" s="235" t="s">
        <v>405</v>
      </c>
      <c r="I15" s="215">
        <v>9594200</v>
      </c>
      <c r="J15" s="237">
        <v>44579</v>
      </c>
      <c r="K15" s="235" t="s">
        <v>713</v>
      </c>
      <c r="L15" s="237">
        <v>44749</v>
      </c>
      <c r="M15" s="237">
        <v>44750</v>
      </c>
      <c r="N15" s="235"/>
      <c r="O15" s="235" t="s">
        <v>590</v>
      </c>
      <c r="P15" s="235"/>
      <c r="Q15" s="235"/>
      <c r="R15" s="235"/>
      <c r="S15" s="235"/>
      <c r="T15" s="235"/>
      <c r="U15" s="235"/>
      <c r="V15" s="235"/>
      <c r="W15" s="235"/>
      <c r="X15" s="234" t="s">
        <v>1285</v>
      </c>
      <c r="Y15" s="235"/>
      <c r="AA15" s="239"/>
      <c r="AB15" s="235"/>
    </row>
    <row r="16" spans="1:29" s="238" customFormat="1" ht="16.5" customHeight="1">
      <c r="A16" s="234">
        <v>13</v>
      </c>
      <c r="B16" s="235" t="s">
        <v>512</v>
      </c>
      <c r="C16" s="235" t="s">
        <v>681</v>
      </c>
      <c r="D16" s="235" t="s">
        <v>679</v>
      </c>
      <c r="E16" s="235" t="s">
        <v>676</v>
      </c>
      <c r="F16" s="235" t="s">
        <v>591</v>
      </c>
      <c r="G16" s="235" t="s">
        <v>408</v>
      </c>
      <c r="H16" s="235" t="s">
        <v>405</v>
      </c>
      <c r="I16" s="215">
        <v>15523200</v>
      </c>
      <c r="J16" s="237">
        <v>44579</v>
      </c>
      <c r="K16" s="235" t="s">
        <v>713</v>
      </c>
      <c r="L16" s="237">
        <v>44600</v>
      </c>
      <c r="M16" s="237">
        <v>44607</v>
      </c>
      <c r="N16" s="235"/>
      <c r="O16" s="235" t="s">
        <v>590</v>
      </c>
      <c r="P16" s="235"/>
      <c r="Q16" s="235"/>
      <c r="R16" s="235"/>
      <c r="S16" s="235"/>
      <c r="T16" s="235"/>
      <c r="U16" s="235"/>
      <c r="V16" s="235"/>
      <c r="W16" s="235"/>
      <c r="X16" s="234" t="s">
        <v>740</v>
      </c>
      <c r="Y16" s="235"/>
      <c r="AA16" s="239"/>
      <c r="AB16" s="235"/>
    </row>
    <row r="17" spans="1:28" s="238" customFormat="1" ht="16.5" customHeight="1">
      <c r="A17" s="234">
        <v>14</v>
      </c>
      <c r="B17" s="235" t="s">
        <v>512</v>
      </c>
      <c r="C17" s="235" t="s">
        <v>682</v>
      </c>
      <c r="D17" s="235" t="s">
        <v>678</v>
      </c>
      <c r="E17" s="235" t="s">
        <v>677</v>
      </c>
      <c r="F17" s="235" t="s">
        <v>591</v>
      </c>
      <c r="G17" s="235" t="s">
        <v>408</v>
      </c>
      <c r="H17" s="235" t="s">
        <v>405</v>
      </c>
      <c r="I17" s="215">
        <v>8354500</v>
      </c>
      <c r="J17" s="237">
        <v>44579</v>
      </c>
      <c r="K17" s="235" t="s">
        <v>713</v>
      </c>
      <c r="L17" s="237">
        <v>44671</v>
      </c>
      <c r="M17" s="237">
        <v>44673</v>
      </c>
      <c r="N17" s="235"/>
      <c r="O17" s="235" t="s">
        <v>590</v>
      </c>
      <c r="P17" s="235"/>
      <c r="Q17" s="235"/>
      <c r="R17" s="235"/>
      <c r="S17" s="235"/>
      <c r="T17" s="235"/>
      <c r="U17" s="235"/>
      <c r="V17" s="235"/>
      <c r="W17" s="235"/>
      <c r="X17" s="241" t="s">
        <v>2134</v>
      </c>
      <c r="Y17" s="235"/>
      <c r="AA17" s="239"/>
      <c r="AB17" s="235"/>
    </row>
    <row r="18" spans="1:28" s="238" customFormat="1" ht="16.5" customHeight="1">
      <c r="A18" s="234">
        <v>15</v>
      </c>
      <c r="B18" s="235" t="s">
        <v>683</v>
      </c>
      <c r="C18" s="235" t="s">
        <v>687</v>
      </c>
      <c r="D18" s="235" t="s">
        <v>678</v>
      </c>
      <c r="E18" s="235" t="s">
        <v>688</v>
      </c>
      <c r="F18" s="235" t="s">
        <v>591</v>
      </c>
      <c r="G18" s="235" t="s">
        <v>408</v>
      </c>
      <c r="H18" s="235" t="s">
        <v>405</v>
      </c>
      <c r="I18" s="215">
        <v>2310000</v>
      </c>
      <c r="J18" s="237">
        <v>44580</v>
      </c>
      <c r="K18" s="235" t="s">
        <v>713</v>
      </c>
      <c r="L18" s="237">
        <v>44651</v>
      </c>
      <c r="M18" s="237">
        <v>44673</v>
      </c>
      <c r="N18" s="235"/>
      <c r="O18" s="235" t="s">
        <v>590</v>
      </c>
      <c r="P18" s="235"/>
      <c r="Q18" s="235"/>
      <c r="R18" s="235"/>
      <c r="S18" s="235"/>
      <c r="T18" s="235"/>
      <c r="U18" s="235"/>
      <c r="V18" s="235"/>
      <c r="W18" s="235"/>
      <c r="X18" s="234" t="s">
        <v>907</v>
      </c>
      <c r="Y18" s="235"/>
      <c r="AA18" s="239"/>
      <c r="AB18" s="235"/>
    </row>
    <row r="19" spans="1:28" s="238" customFormat="1" ht="16.5" customHeight="1">
      <c r="A19" s="234">
        <v>16</v>
      </c>
      <c r="B19" s="235" t="s">
        <v>512</v>
      </c>
      <c r="C19" s="235" t="s">
        <v>691</v>
      </c>
      <c r="D19" s="235" t="s">
        <v>686</v>
      </c>
      <c r="E19" s="235" t="s">
        <v>689</v>
      </c>
      <c r="F19" s="235" t="s">
        <v>591</v>
      </c>
      <c r="G19" s="235" t="s">
        <v>408</v>
      </c>
      <c r="H19" s="235" t="s">
        <v>405</v>
      </c>
      <c r="I19" s="215">
        <v>10780000</v>
      </c>
      <c r="J19" s="237">
        <v>44580</v>
      </c>
      <c r="K19" s="235" t="s">
        <v>713</v>
      </c>
      <c r="L19" s="237">
        <v>44588</v>
      </c>
      <c r="M19" s="237">
        <v>44603</v>
      </c>
      <c r="N19" s="235"/>
      <c r="O19" s="235" t="s">
        <v>747</v>
      </c>
      <c r="P19" s="235"/>
      <c r="Q19" s="235"/>
      <c r="R19" s="235"/>
      <c r="S19" s="235"/>
      <c r="T19" s="235"/>
      <c r="U19" s="235"/>
      <c r="V19" s="235"/>
      <c r="W19" s="235"/>
      <c r="X19" s="234" t="s">
        <v>778</v>
      </c>
      <c r="Y19" s="235"/>
      <c r="AA19" s="239"/>
      <c r="AB19" s="235"/>
    </row>
    <row r="20" spans="1:28" s="238" customFormat="1" ht="16.5" customHeight="1">
      <c r="A20" s="234">
        <v>17</v>
      </c>
      <c r="B20" s="235" t="s">
        <v>684</v>
      </c>
      <c r="C20" s="235" t="s">
        <v>690</v>
      </c>
      <c r="D20" s="235" t="s">
        <v>404</v>
      </c>
      <c r="E20" s="235" t="s">
        <v>1038</v>
      </c>
      <c r="F20" s="235" t="s">
        <v>591</v>
      </c>
      <c r="G20" s="235" t="s">
        <v>408</v>
      </c>
      <c r="H20" s="235" t="s">
        <v>405</v>
      </c>
      <c r="I20" s="215">
        <v>6820000</v>
      </c>
      <c r="J20" s="237">
        <v>44581</v>
      </c>
      <c r="K20" s="235" t="s">
        <v>713</v>
      </c>
      <c r="L20" s="237">
        <v>44656</v>
      </c>
      <c r="M20" s="237">
        <v>44662</v>
      </c>
      <c r="N20" s="235"/>
      <c r="O20" s="235" t="s">
        <v>750</v>
      </c>
      <c r="P20" s="235"/>
      <c r="Q20" s="235"/>
      <c r="R20" s="235"/>
      <c r="S20" s="235"/>
      <c r="T20" s="235"/>
      <c r="U20" s="235"/>
      <c r="V20" s="235"/>
      <c r="W20" s="235"/>
      <c r="X20" s="234" t="s">
        <v>1309</v>
      </c>
      <c r="Y20" s="235"/>
      <c r="AA20" s="239"/>
      <c r="AB20" s="235"/>
    </row>
    <row r="21" spans="1:28" s="238" customFormat="1" ht="16.5" customHeight="1">
      <c r="A21" s="234">
        <v>18</v>
      </c>
      <c r="B21" s="235" t="s">
        <v>685</v>
      </c>
      <c r="C21" s="235" t="s">
        <v>692</v>
      </c>
      <c r="D21" s="235" t="s">
        <v>404</v>
      </c>
      <c r="E21" s="235" t="s">
        <v>693</v>
      </c>
      <c r="F21" s="235" t="s">
        <v>591</v>
      </c>
      <c r="G21" s="235" t="s">
        <v>408</v>
      </c>
      <c r="H21" s="235" t="s">
        <v>405</v>
      </c>
      <c r="I21" s="215">
        <v>2970000</v>
      </c>
      <c r="J21" s="237">
        <v>44581</v>
      </c>
      <c r="K21" s="235" t="s">
        <v>713</v>
      </c>
      <c r="L21" s="237">
        <v>44565</v>
      </c>
      <c r="M21" s="237">
        <v>44588</v>
      </c>
      <c r="N21" s="235"/>
      <c r="O21" s="235" t="s">
        <v>751</v>
      </c>
      <c r="P21" s="235"/>
      <c r="Q21" s="235"/>
      <c r="R21" s="235"/>
      <c r="S21" s="235"/>
      <c r="T21" s="235"/>
      <c r="U21" s="235"/>
      <c r="V21" s="235"/>
      <c r="W21" s="235"/>
      <c r="X21" s="234" t="s">
        <v>961</v>
      </c>
      <c r="Y21" s="235"/>
      <c r="AA21" s="239"/>
      <c r="AB21" s="235"/>
    </row>
    <row r="22" spans="1:28" s="238" customFormat="1" ht="16.5" customHeight="1">
      <c r="A22" s="234">
        <v>19</v>
      </c>
      <c r="B22" s="235" t="s">
        <v>512</v>
      </c>
      <c r="C22" s="235" t="s">
        <v>691</v>
      </c>
      <c r="D22" s="235" t="s">
        <v>404</v>
      </c>
      <c r="E22" s="235" t="s">
        <v>694</v>
      </c>
      <c r="F22" s="235" t="s">
        <v>591</v>
      </c>
      <c r="G22" s="235" t="s">
        <v>408</v>
      </c>
      <c r="H22" s="235" t="s">
        <v>405</v>
      </c>
      <c r="I22" s="215">
        <v>40480000</v>
      </c>
      <c r="J22" s="237">
        <v>44582</v>
      </c>
      <c r="K22" s="242">
        <v>44957</v>
      </c>
      <c r="L22" s="237" t="s">
        <v>2175</v>
      </c>
      <c r="M22" s="235" t="s">
        <v>2176</v>
      </c>
      <c r="N22" s="235"/>
      <c r="O22" s="235" t="s">
        <v>747</v>
      </c>
      <c r="P22" s="235"/>
      <c r="Q22" s="235"/>
      <c r="R22" s="235"/>
      <c r="S22" s="235"/>
      <c r="T22" s="235"/>
      <c r="U22" s="235"/>
      <c r="V22" s="235"/>
      <c r="W22" s="235"/>
      <c r="X22" s="234" t="s">
        <v>2164</v>
      </c>
      <c r="Y22" s="235"/>
      <c r="AA22" s="239"/>
      <c r="AB22" s="235"/>
    </row>
    <row r="23" spans="1:28" s="238" customFormat="1" ht="16.5" customHeight="1">
      <c r="A23" s="234">
        <v>20</v>
      </c>
      <c r="B23" s="235" t="s">
        <v>696</v>
      </c>
      <c r="C23" s="235" t="s">
        <v>697</v>
      </c>
      <c r="D23" s="235" t="s">
        <v>407</v>
      </c>
      <c r="E23" s="235" t="s">
        <v>698</v>
      </c>
      <c r="F23" s="235" t="s">
        <v>591</v>
      </c>
      <c r="G23" s="235" t="s">
        <v>408</v>
      </c>
      <c r="H23" s="235" t="s">
        <v>405</v>
      </c>
      <c r="I23" s="215">
        <v>6930000</v>
      </c>
      <c r="J23" s="237">
        <v>44585</v>
      </c>
      <c r="K23" s="237">
        <v>44635</v>
      </c>
      <c r="L23" s="237">
        <v>44622</v>
      </c>
      <c r="M23" s="237">
        <v>44623</v>
      </c>
      <c r="N23" s="235"/>
      <c r="O23" s="235" t="s">
        <v>749</v>
      </c>
      <c r="P23" s="235"/>
      <c r="Q23" s="235"/>
      <c r="R23" s="235"/>
      <c r="S23" s="235"/>
      <c r="T23" s="235"/>
      <c r="U23" s="235"/>
      <c r="V23" s="235"/>
      <c r="W23" s="235"/>
      <c r="X23" s="234" t="s">
        <v>858</v>
      </c>
      <c r="Y23" s="235"/>
      <c r="AA23" s="239"/>
      <c r="AB23" s="235"/>
    </row>
    <row r="24" spans="1:28" s="238" customFormat="1" ht="16.5" customHeight="1">
      <c r="A24" s="234">
        <v>21</v>
      </c>
      <c r="B24" s="235" t="s">
        <v>503</v>
      </c>
      <c r="C24" s="235" t="s">
        <v>667</v>
      </c>
      <c r="D24" s="235" t="s">
        <v>406</v>
      </c>
      <c r="E24" s="235" t="s">
        <v>701</v>
      </c>
      <c r="F24" s="235" t="s">
        <v>591</v>
      </c>
      <c r="G24" s="235" t="s">
        <v>408</v>
      </c>
      <c r="H24" s="235" t="s">
        <v>405</v>
      </c>
      <c r="I24" s="215">
        <v>4688200</v>
      </c>
      <c r="J24" s="237">
        <v>44587</v>
      </c>
      <c r="K24" s="235" t="s">
        <v>713</v>
      </c>
      <c r="L24" s="237">
        <v>44587</v>
      </c>
      <c r="M24" s="237">
        <v>44620</v>
      </c>
      <c r="N24" s="235"/>
      <c r="O24" s="235" t="s">
        <v>748</v>
      </c>
      <c r="P24" s="235"/>
      <c r="Q24" s="235"/>
      <c r="R24" s="235"/>
      <c r="S24" s="235"/>
      <c r="T24" s="235"/>
      <c r="U24" s="235"/>
      <c r="V24" s="235"/>
      <c r="W24" s="235"/>
      <c r="X24" s="234" t="s">
        <v>1414</v>
      </c>
      <c r="Y24" s="235"/>
      <c r="AA24" s="239"/>
      <c r="AB24" s="235"/>
    </row>
    <row r="25" spans="1:28" s="238" customFormat="1" ht="16.5" customHeight="1">
      <c r="A25" s="234">
        <v>22</v>
      </c>
      <c r="B25" s="235" t="s">
        <v>512</v>
      </c>
      <c r="C25" s="235" t="s">
        <v>699</v>
      </c>
      <c r="D25" s="235" t="s">
        <v>686</v>
      </c>
      <c r="E25" s="235" t="s">
        <v>1001</v>
      </c>
      <c r="F25" s="235" t="s">
        <v>591</v>
      </c>
      <c r="G25" s="235" t="s">
        <v>408</v>
      </c>
      <c r="H25" s="235" t="s">
        <v>405</v>
      </c>
      <c r="I25" s="215">
        <v>37719000</v>
      </c>
      <c r="J25" s="237">
        <v>44587</v>
      </c>
      <c r="K25" s="237">
        <v>44620</v>
      </c>
      <c r="L25" s="237">
        <v>44603</v>
      </c>
      <c r="M25" s="237">
        <v>44607</v>
      </c>
      <c r="N25" s="235"/>
      <c r="O25" s="235" t="s">
        <v>747</v>
      </c>
      <c r="P25" s="235"/>
      <c r="Q25" s="235"/>
      <c r="R25" s="235"/>
      <c r="S25" s="235"/>
      <c r="T25" s="235"/>
      <c r="U25" s="235"/>
      <c r="V25" s="235"/>
      <c r="W25" s="235"/>
      <c r="X25" s="234" t="s">
        <v>1006</v>
      </c>
      <c r="Y25" s="235"/>
      <c r="AA25" s="239"/>
      <c r="AB25" s="235"/>
    </row>
    <row r="26" spans="1:28" s="238" customFormat="1" ht="16.5" customHeight="1">
      <c r="A26" s="234">
        <v>23</v>
      </c>
      <c r="B26" s="235" t="s">
        <v>512</v>
      </c>
      <c r="C26" s="235" t="s">
        <v>700</v>
      </c>
      <c r="D26" s="235" t="s">
        <v>703</v>
      </c>
      <c r="E26" s="235" t="s">
        <v>702</v>
      </c>
      <c r="F26" s="235" t="s">
        <v>591</v>
      </c>
      <c r="G26" s="235" t="s">
        <v>408</v>
      </c>
      <c r="H26" s="235" t="s">
        <v>405</v>
      </c>
      <c r="I26" s="215">
        <v>21021000</v>
      </c>
      <c r="J26" s="237">
        <v>44587</v>
      </c>
      <c r="K26" s="237">
        <v>44733</v>
      </c>
      <c r="L26" s="237">
        <v>44615</v>
      </c>
      <c r="M26" s="237">
        <v>44624</v>
      </c>
      <c r="N26" s="235"/>
      <c r="O26" s="235" t="s">
        <v>596</v>
      </c>
      <c r="P26" s="235"/>
      <c r="Q26" s="235"/>
      <c r="R26" s="235"/>
      <c r="S26" s="235"/>
      <c r="T26" s="235"/>
      <c r="U26" s="235"/>
      <c r="V26" s="235"/>
      <c r="W26" s="235"/>
      <c r="X26" s="234" t="s">
        <v>726</v>
      </c>
      <c r="Y26" s="235"/>
      <c r="AA26" s="239"/>
      <c r="AB26" s="235"/>
    </row>
    <row r="27" spans="1:28" s="238" customFormat="1" ht="16.5" customHeight="1">
      <c r="A27" s="234">
        <v>24</v>
      </c>
      <c r="B27" s="235" t="s">
        <v>704</v>
      </c>
      <c r="C27" s="235" t="s">
        <v>707</v>
      </c>
      <c r="D27" s="235" t="s">
        <v>711</v>
      </c>
      <c r="E27" s="235" t="s">
        <v>712</v>
      </c>
      <c r="F27" s="235" t="s">
        <v>591</v>
      </c>
      <c r="G27" s="235" t="s">
        <v>713</v>
      </c>
      <c r="H27" s="235" t="s">
        <v>714</v>
      </c>
      <c r="I27" s="215">
        <v>7535000</v>
      </c>
      <c r="J27" s="237">
        <v>44588</v>
      </c>
      <c r="K27" s="237">
        <v>44672</v>
      </c>
      <c r="L27" s="237">
        <v>44603</v>
      </c>
      <c r="M27" s="237">
        <v>44609</v>
      </c>
      <c r="N27" s="235"/>
      <c r="O27" s="235" t="s">
        <v>715</v>
      </c>
      <c r="P27" s="235"/>
      <c r="Q27" s="235"/>
      <c r="R27" s="235"/>
      <c r="S27" s="235"/>
      <c r="T27" s="235"/>
      <c r="U27" s="235"/>
      <c r="V27" s="235"/>
      <c r="W27" s="235"/>
      <c r="X27" s="234" t="s">
        <v>741</v>
      </c>
      <c r="Y27" s="235"/>
      <c r="AA27" s="239"/>
      <c r="AB27" s="235"/>
    </row>
    <row r="28" spans="1:28" s="238" customFormat="1" ht="16.5" customHeight="1">
      <c r="A28" s="234">
        <v>25</v>
      </c>
      <c r="B28" s="235" t="s">
        <v>705</v>
      </c>
      <c r="C28" s="235" t="s">
        <v>708</v>
      </c>
      <c r="D28" s="235" t="s">
        <v>404</v>
      </c>
      <c r="E28" s="235" t="s">
        <v>716</v>
      </c>
      <c r="F28" s="235" t="s">
        <v>591</v>
      </c>
      <c r="G28" s="235" t="s">
        <v>713</v>
      </c>
      <c r="H28" s="235" t="s">
        <v>714</v>
      </c>
      <c r="I28" s="215">
        <v>2145000</v>
      </c>
      <c r="J28" s="235"/>
      <c r="K28" s="235" t="s">
        <v>713</v>
      </c>
      <c r="L28" s="237">
        <v>44606</v>
      </c>
      <c r="M28" s="237">
        <v>44610</v>
      </c>
      <c r="N28" s="235"/>
      <c r="O28" s="235" t="s">
        <v>717</v>
      </c>
      <c r="P28" s="235"/>
      <c r="Q28" s="235"/>
      <c r="R28" s="235"/>
      <c r="S28" s="235"/>
      <c r="T28" s="235"/>
      <c r="U28" s="235"/>
      <c r="V28" s="235"/>
      <c r="W28" s="235"/>
      <c r="X28" s="243" t="s">
        <v>746</v>
      </c>
      <c r="Y28" s="235"/>
      <c r="AA28" s="239"/>
      <c r="AB28" s="235"/>
    </row>
    <row r="29" spans="1:28" s="238" customFormat="1" ht="16.5" customHeight="1">
      <c r="A29" s="234">
        <v>26</v>
      </c>
      <c r="B29" s="235" t="s">
        <v>585</v>
      </c>
      <c r="C29" s="235" t="s">
        <v>709</v>
      </c>
      <c r="D29" s="235" t="s">
        <v>718</v>
      </c>
      <c r="E29" s="235" t="s">
        <v>946</v>
      </c>
      <c r="F29" s="235" t="s">
        <v>591</v>
      </c>
      <c r="G29" s="235" t="s">
        <v>713</v>
      </c>
      <c r="H29" s="235" t="s">
        <v>714</v>
      </c>
      <c r="I29" s="215">
        <v>28600000</v>
      </c>
      <c r="J29" s="237">
        <v>44588</v>
      </c>
      <c r="K29" s="237">
        <v>44672</v>
      </c>
      <c r="L29" s="237">
        <v>44631</v>
      </c>
      <c r="M29" s="237">
        <v>44643</v>
      </c>
      <c r="N29" s="235"/>
      <c r="O29" s="235" t="s">
        <v>717</v>
      </c>
      <c r="P29" s="235"/>
      <c r="Q29" s="235"/>
      <c r="R29" s="235"/>
      <c r="S29" s="235"/>
      <c r="T29" s="235"/>
      <c r="U29" s="235"/>
      <c r="V29" s="235"/>
      <c r="W29" s="235"/>
      <c r="X29" s="234" t="s">
        <v>845</v>
      </c>
      <c r="Y29" s="235"/>
      <c r="AA29" s="239"/>
      <c r="AB29" s="235"/>
    </row>
    <row r="30" spans="1:28" s="238" customFormat="1" ht="16.5" customHeight="1">
      <c r="A30" s="234">
        <v>27</v>
      </c>
      <c r="B30" s="235" t="s">
        <v>706</v>
      </c>
      <c r="C30" s="235" t="s">
        <v>710</v>
      </c>
      <c r="D30" s="235" t="s">
        <v>719</v>
      </c>
      <c r="E30" s="235" t="s">
        <v>720</v>
      </c>
      <c r="F30" s="235" t="s">
        <v>591</v>
      </c>
      <c r="G30" s="235" t="s">
        <v>713</v>
      </c>
      <c r="H30" s="235" t="s">
        <v>405</v>
      </c>
      <c r="I30" s="215">
        <v>8200000</v>
      </c>
      <c r="J30" s="237">
        <v>44588</v>
      </c>
      <c r="K30" s="237">
        <v>44644</v>
      </c>
      <c r="L30" s="237">
        <v>44685</v>
      </c>
      <c r="M30" s="237">
        <v>44692</v>
      </c>
      <c r="N30" s="235"/>
      <c r="O30" s="235" t="s">
        <v>717</v>
      </c>
      <c r="P30" s="235"/>
      <c r="Q30" s="235"/>
      <c r="R30" s="235"/>
      <c r="S30" s="235"/>
      <c r="T30" s="235"/>
      <c r="U30" s="235"/>
      <c r="V30" s="235"/>
      <c r="W30" s="235"/>
      <c r="X30" s="234" t="s">
        <v>1121</v>
      </c>
      <c r="Y30" s="235"/>
      <c r="AA30" s="239"/>
      <c r="AB30" s="235"/>
    </row>
    <row r="31" spans="1:28" s="238" customFormat="1" ht="16.5" customHeight="1">
      <c r="A31" s="234">
        <v>28</v>
      </c>
      <c r="B31" s="235" t="s">
        <v>503</v>
      </c>
      <c r="C31" s="235" t="s">
        <v>601</v>
      </c>
      <c r="D31" s="235" t="s">
        <v>406</v>
      </c>
      <c r="E31" s="235" t="s">
        <v>721</v>
      </c>
      <c r="F31" s="235" t="s">
        <v>591</v>
      </c>
      <c r="G31" s="235" t="s">
        <v>713</v>
      </c>
      <c r="H31" s="235" t="s">
        <v>714</v>
      </c>
      <c r="I31" s="215">
        <v>47806224</v>
      </c>
      <c r="J31" s="235"/>
      <c r="K31" s="235" t="s">
        <v>713</v>
      </c>
      <c r="L31" s="237" t="s">
        <v>800</v>
      </c>
      <c r="M31" s="237" t="s">
        <v>800</v>
      </c>
      <c r="N31" s="235"/>
      <c r="O31" s="235" t="s">
        <v>725</v>
      </c>
      <c r="P31" s="235"/>
      <c r="Q31" s="235"/>
      <c r="R31" s="235"/>
      <c r="S31" s="235"/>
      <c r="T31" s="235"/>
      <c r="U31" s="235"/>
      <c r="V31" s="235"/>
      <c r="W31" s="235"/>
      <c r="X31" s="234" t="s">
        <v>1731</v>
      </c>
      <c r="Y31" s="235"/>
      <c r="AA31" s="239"/>
      <c r="AB31" s="235"/>
    </row>
    <row r="32" spans="1:28" s="238" customFormat="1" ht="16.5" customHeight="1">
      <c r="A32" s="234">
        <v>29</v>
      </c>
      <c r="B32" s="235" t="s">
        <v>722</v>
      </c>
      <c r="C32" s="235" t="s">
        <v>724</v>
      </c>
      <c r="D32" s="235" t="s">
        <v>678</v>
      </c>
      <c r="E32" s="235" t="s">
        <v>723</v>
      </c>
      <c r="F32" s="235" t="s">
        <v>591</v>
      </c>
      <c r="G32" s="235" t="s">
        <v>408</v>
      </c>
      <c r="H32" s="235" t="s">
        <v>405</v>
      </c>
      <c r="I32" s="215">
        <v>7700000</v>
      </c>
      <c r="J32" s="237">
        <v>44596</v>
      </c>
      <c r="K32" s="237">
        <v>44631</v>
      </c>
      <c r="L32" s="237">
        <v>44641</v>
      </c>
      <c r="M32" s="237">
        <v>44642</v>
      </c>
      <c r="N32" s="235"/>
      <c r="O32" s="235" t="s">
        <v>590</v>
      </c>
      <c r="P32" s="235"/>
      <c r="Q32" s="235"/>
      <c r="R32" s="235"/>
      <c r="S32" s="235"/>
      <c r="T32" s="235"/>
      <c r="U32" s="235"/>
      <c r="V32" s="235"/>
      <c r="W32" s="235"/>
      <c r="X32" s="234" t="s">
        <v>1364</v>
      </c>
      <c r="Y32" s="235"/>
      <c r="AA32" s="239"/>
      <c r="AB32" s="235"/>
    </row>
    <row r="33" spans="1:28" s="238" customFormat="1" ht="16.5" customHeight="1">
      <c r="A33" s="234">
        <v>30</v>
      </c>
      <c r="B33" s="235" t="s">
        <v>412</v>
      </c>
      <c r="C33" s="235" t="s">
        <v>729</v>
      </c>
      <c r="D33" s="235" t="s">
        <v>404</v>
      </c>
      <c r="E33" s="235" t="s">
        <v>421</v>
      </c>
      <c r="F33" s="235" t="s">
        <v>591</v>
      </c>
      <c r="G33" s="235" t="s">
        <v>408</v>
      </c>
      <c r="H33" s="235" t="s">
        <v>733</v>
      </c>
      <c r="I33" s="215" t="s">
        <v>734</v>
      </c>
      <c r="J33" s="237">
        <v>44599</v>
      </c>
      <c r="K33" s="237">
        <v>44865</v>
      </c>
      <c r="L33" s="235" t="s">
        <v>408</v>
      </c>
      <c r="M33" s="235" t="s">
        <v>408</v>
      </c>
      <c r="N33" s="235"/>
      <c r="O33" s="235" t="s">
        <v>735</v>
      </c>
      <c r="P33" s="235"/>
      <c r="Q33" s="235"/>
      <c r="R33" s="235"/>
      <c r="S33" s="235"/>
      <c r="T33" s="235"/>
      <c r="U33" s="235"/>
      <c r="V33" s="235"/>
      <c r="W33" s="235"/>
      <c r="X33" s="234" t="s">
        <v>1115</v>
      </c>
      <c r="Y33" s="235"/>
      <c r="AA33" s="239"/>
      <c r="AB33" s="235"/>
    </row>
    <row r="34" spans="1:28" s="247" customFormat="1" ht="16.5" customHeight="1">
      <c r="A34" s="244">
        <v>31</v>
      </c>
      <c r="B34" s="245" t="s">
        <v>730</v>
      </c>
      <c r="C34" s="245" t="s">
        <v>731</v>
      </c>
      <c r="D34" s="245" t="s">
        <v>407</v>
      </c>
      <c r="E34" s="245" t="s">
        <v>732</v>
      </c>
      <c r="F34" s="245" t="s">
        <v>591</v>
      </c>
      <c r="G34" s="245" t="s">
        <v>408</v>
      </c>
      <c r="H34" s="245" t="s">
        <v>405</v>
      </c>
      <c r="I34" s="219">
        <v>2200000</v>
      </c>
      <c r="J34" s="246">
        <v>44599</v>
      </c>
      <c r="K34" s="246">
        <v>44617</v>
      </c>
      <c r="L34" s="246" t="s">
        <v>849</v>
      </c>
      <c r="M34" s="245" t="s">
        <v>849</v>
      </c>
      <c r="N34" s="245"/>
      <c r="O34" s="245" t="s">
        <v>596</v>
      </c>
      <c r="P34" s="245"/>
      <c r="Q34" s="245"/>
      <c r="R34" s="245"/>
      <c r="S34" s="245"/>
      <c r="T34" s="245"/>
      <c r="U34" s="245"/>
      <c r="V34" s="245"/>
      <c r="W34" s="245"/>
      <c r="X34" s="244" t="s">
        <v>1358</v>
      </c>
      <c r="Y34" s="245"/>
      <c r="AA34" s="248"/>
      <c r="AB34" s="245"/>
    </row>
    <row r="35" spans="1:28" s="238" customFormat="1" ht="16.5" customHeight="1">
      <c r="A35" s="234">
        <v>32</v>
      </c>
      <c r="B35" s="235" t="s">
        <v>730</v>
      </c>
      <c r="C35" s="235" t="s">
        <v>731</v>
      </c>
      <c r="D35" s="235" t="s">
        <v>406</v>
      </c>
      <c r="E35" s="235" t="s">
        <v>795</v>
      </c>
      <c r="F35" s="235" t="s">
        <v>591</v>
      </c>
      <c r="G35" s="235" t="s">
        <v>408</v>
      </c>
      <c r="H35" s="235" t="s">
        <v>405</v>
      </c>
      <c r="I35" s="215">
        <v>7040000</v>
      </c>
      <c r="J35" s="237">
        <v>44599</v>
      </c>
      <c r="K35" s="237">
        <v>44617</v>
      </c>
      <c r="L35" s="237">
        <v>44608</v>
      </c>
      <c r="M35" s="237">
        <v>44617</v>
      </c>
      <c r="N35" s="235"/>
      <c r="O35" s="235" t="s">
        <v>596</v>
      </c>
      <c r="P35" s="235"/>
      <c r="Q35" s="235"/>
      <c r="R35" s="235"/>
      <c r="S35" s="235"/>
      <c r="T35" s="235"/>
      <c r="U35" s="235"/>
      <c r="V35" s="235"/>
      <c r="W35" s="235"/>
      <c r="X35" s="234" t="s">
        <v>864</v>
      </c>
      <c r="Y35" s="249" t="s">
        <v>2160</v>
      </c>
      <c r="AA35" s="239"/>
      <c r="AB35" s="235"/>
    </row>
    <row r="36" spans="1:28" s="238" customFormat="1" ht="16.5" customHeight="1">
      <c r="A36" s="234">
        <v>33</v>
      </c>
      <c r="B36" s="235" t="s">
        <v>705</v>
      </c>
      <c r="C36" s="235" t="s">
        <v>727</v>
      </c>
      <c r="D36" s="235" t="s">
        <v>711</v>
      </c>
      <c r="E36" s="235" t="s">
        <v>728</v>
      </c>
      <c r="F36" s="235" t="s">
        <v>591</v>
      </c>
      <c r="G36" s="240" t="s">
        <v>408</v>
      </c>
      <c r="H36" s="235" t="s">
        <v>405</v>
      </c>
      <c r="I36" s="215">
        <v>1870000</v>
      </c>
      <c r="J36" s="237">
        <v>44600</v>
      </c>
      <c r="K36" s="235" t="s">
        <v>713</v>
      </c>
      <c r="L36" s="237">
        <v>44614</v>
      </c>
      <c r="M36" s="237">
        <v>44631</v>
      </c>
      <c r="N36" s="235"/>
      <c r="O36" s="235" t="s">
        <v>584</v>
      </c>
      <c r="P36" s="235"/>
      <c r="Q36" s="235"/>
      <c r="R36" s="235"/>
      <c r="S36" s="235"/>
      <c r="T36" s="235"/>
      <c r="U36" s="235"/>
      <c r="V36" s="235"/>
      <c r="W36" s="235"/>
      <c r="X36" s="234" t="s">
        <v>781</v>
      </c>
      <c r="Y36" s="235"/>
      <c r="AA36" s="239"/>
      <c r="AB36" s="235"/>
    </row>
    <row r="37" spans="1:28" s="238" customFormat="1" ht="16.5" customHeight="1">
      <c r="A37" s="234">
        <v>34</v>
      </c>
      <c r="B37" s="235" t="s">
        <v>503</v>
      </c>
      <c r="C37" s="235" t="s">
        <v>408</v>
      </c>
      <c r="D37" s="235"/>
      <c r="E37" s="235" t="s">
        <v>736</v>
      </c>
      <c r="F37" s="235" t="s">
        <v>591</v>
      </c>
      <c r="G37" s="235" t="s">
        <v>408</v>
      </c>
      <c r="H37" s="235" t="s">
        <v>405</v>
      </c>
      <c r="I37" s="215">
        <v>19396217</v>
      </c>
      <c r="J37" s="237">
        <v>44592</v>
      </c>
      <c r="K37" s="235" t="s">
        <v>713</v>
      </c>
      <c r="L37" s="237" t="s">
        <v>800</v>
      </c>
      <c r="M37" s="237" t="s">
        <v>800</v>
      </c>
      <c r="N37" s="235"/>
      <c r="O37" s="235" t="s">
        <v>2012</v>
      </c>
      <c r="P37" s="235"/>
      <c r="Q37" s="235"/>
      <c r="R37" s="235"/>
      <c r="S37" s="235"/>
      <c r="T37" s="235"/>
      <c r="U37" s="235"/>
      <c r="V37" s="235"/>
      <c r="W37" s="235"/>
      <c r="X37" s="234" t="s">
        <v>1731</v>
      </c>
      <c r="Y37" s="235"/>
      <c r="AA37" s="239"/>
      <c r="AB37" s="235"/>
    </row>
    <row r="38" spans="1:28" s="238" customFormat="1" ht="16.5" customHeight="1">
      <c r="A38" s="234">
        <v>35</v>
      </c>
      <c r="B38" s="235" t="s">
        <v>685</v>
      </c>
      <c r="C38" s="235" t="s">
        <v>739</v>
      </c>
      <c r="D38" s="235" t="s">
        <v>513</v>
      </c>
      <c r="E38" s="235" t="s">
        <v>737</v>
      </c>
      <c r="F38" s="235" t="s">
        <v>591</v>
      </c>
      <c r="G38" s="235" t="s">
        <v>408</v>
      </c>
      <c r="H38" s="235" t="s">
        <v>405</v>
      </c>
      <c r="I38" s="215">
        <v>11000000</v>
      </c>
      <c r="J38" s="237">
        <v>44601</v>
      </c>
      <c r="K38" s="237">
        <v>44640</v>
      </c>
      <c r="L38" s="237">
        <v>44669</v>
      </c>
      <c r="M38" s="235" t="s">
        <v>1118</v>
      </c>
      <c r="N38" s="235"/>
      <c r="O38" s="235" t="s">
        <v>738</v>
      </c>
      <c r="P38" s="235"/>
      <c r="Q38" s="235"/>
      <c r="R38" s="235"/>
      <c r="S38" s="235"/>
      <c r="T38" s="235"/>
      <c r="U38" s="235"/>
      <c r="V38" s="235"/>
      <c r="W38" s="235"/>
      <c r="X38" s="234" t="s">
        <v>846</v>
      </c>
      <c r="Y38" s="235"/>
      <c r="AA38" s="239"/>
      <c r="AB38" s="235"/>
    </row>
    <row r="39" spans="1:28" s="238" customFormat="1" ht="16.5" customHeight="1">
      <c r="A39" s="234">
        <v>36</v>
      </c>
      <c r="B39" s="235" t="s">
        <v>581</v>
      </c>
      <c r="C39" s="235" t="s">
        <v>745</v>
      </c>
      <c r="D39" s="235" t="s">
        <v>406</v>
      </c>
      <c r="E39" s="235" t="s">
        <v>1235</v>
      </c>
      <c r="F39" s="235" t="s">
        <v>502</v>
      </c>
      <c r="G39" s="235" t="s">
        <v>408</v>
      </c>
      <c r="H39" s="235" t="s">
        <v>405</v>
      </c>
      <c r="I39" s="215">
        <v>44000000</v>
      </c>
      <c r="J39" s="237">
        <v>44603</v>
      </c>
      <c r="K39" s="237">
        <v>44651</v>
      </c>
      <c r="L39" s="237">
        <v>44662</v>
      </c>
      <c r="M39" s="237">
        <v>44712</v>
      </c>
      <c r="N39" s="235"/>
      <c r="O39" s="235" t="s">
        <v>1781</v>
      </c>
      <c r="P39" s="235"/>
      <c r="Q39" s="235"/>
      <c r="R39" s="235"/>
      <c r="S39" s="235"/>
      <c r="T39" s="235"/>
      <c r="U39" s="235"/>
      <c r="V39" s="235"/>
      <c r="W39" s="235"/>
      <c r="X39" s="234" t="s">
        <v>864</v>
      </c>
      <c r="Y39" s="235"/>
      <c r="AA39" s="239"/>
      <c r="AB39" s="235"/>
    </row>
    <row r="40" spans="1:28" s="238" customFormat="1" ht="16.5" customHeight="1">
      <c r="A40" s="234">
        <v>37</v>
      </c>
      <c r="B40" s="235" t="s">
        <v>742</v>
      </c>
      <c r="C40" s="235" t="s">
        <v>744</v>
      </c>
      <c r="D40" s="235" t="s">
        <v>406</v>
      </c>
      <c r="E40" s="235" t="s">
        <v>743</v>
      </c>
      <c r="F40" s="235" t="s">
        <v>502</v>
      </c>
      <c r="G40" s="235" t="s">
        <v>408</v>
      </c>
      <c r="H40" s="235" t="s">
        <v>405</v>
      </c>
      <c r="I40" s="215">
        <v>7304000</v>
      </c>
      <c r="J40" s="237">
        <v>44601</v>
      </c>
      <c r="K40" s="237">
        <v>44630</v>
      </c>
      <c r="L40" s="237">
        <v>44651</v>
      </c>
      <c r="M40" s="237">
        <v>44663</v>
      </c>
      <c r="N40" s="235"/>
      <c r="O40" s="235" t="s">
        <v>590</v>
      </c>
      <c r="P40" s="235"/>
      <c r="Q40" s="235"/>
      <c r="R40" s="235"/>
      <c r="S40" s="235"/>
      <c r="T40" s="235"/>
      <c r="U40" s="235"/>
      <c r="V40" s="235"/>
      <c r="W40" s="235"/>
      <c r="X40" s="234" t="s">
        <v>864</v>
      </c>
      <c r="Y40" s="235"/>
      <c r="AA40" s="239"/>
      <c r="AB40" s="235"/>
    </row>
    <row r="41" spans="1:28" s="238" customFormat="1" ht="16.5" customHeight="1">
      <c r="A41" s="234">
        <v>38</v>
      </c>
      <c r="B41" s="235" t="s">
        <v>683</v>
      </c>
      <c r="C41" s="235" t="s">
        <v>408</v>
      </c>
      <c r="D41" s="235" t="s">
        <v>807</v>
      </c>
      <c r="E41" s="235" t="s">
        <v>1033</v>
      </c>
      <c r="F41" s="235" t="s">
        <v>591</v>
      </c>
      <c r="G41" s="235" t="s">
        <v>408</v>
      </c>
      <c r="H41" s="235" t="s">
        <v>405</v>
      </c>
      <c r="I41" s="215">
        <v>3300000</v>
      </c>
      <c r="J41" s="237">
        <v>44607</v>
      </c>
      <c r="K41" s="235" t="s">
        <v>713</v>
      </c>
      <c r="L41" s="237">
        <v>44651</v>
      </c>
      <c r="M41" s="237">
        <v>44666</v>
      </c>
      <c r="N41" s="235"/>
      <c r="O41" s="235" t="s">
        <v>590</v>
      </c>
      <c r="P41" s="235"/>
      <c r="Q41" s="235"/>
      <c r="R41" s="235"/>
      <c r="S41" s="235"/>
      <c r="T41" s="235"/>
      <c r="U41" s="235"/>
      <c r="V41" s="235"/>
      <c r="W41" s="235"/>
      <c r="X41" s="234" t="s">
        <v>848</v>
      </c>
      <c r="Y41" s="235"/>
      <c r="AA41" s="239"/>
      <c r="AB41" s="235"/>
    </row>
    <row r="42" spans="1:28" s="238" customFormat="1" ht="16.5" customHeight="1">
      <c r="A42" s="234">
        <v>39</v>
      </c>
      <c r="B42" s="235" t="s">
        <v>977</v>
      </c>
      <c r="C42" s="235" t="s">
        <v>754</v>
      </c>
      <c r="D42" s="235" t="s">
        <v>665</v>
      </c>
      <c r="E42" s="235" t="s">
        <v>755</v>
      </c>
      <c r="F42" s="235" t="s">
        <v>591</v>
      </c>
      <c r="G42" s="235" t="s">
        <v>408</v>
      </c>
      <c r="H42" s="235" t="s">
        <v>405</v>
      </c>
      <c r="I42" s="215">
        <v>8800000</v>
      </c>
      <c r="J42" s="237">
        <v>44607</v>
      </c>
      <c r="K42" s="237">
        <v>44634</v>
      </c>
      <c r="L42" s="237">
        <v>44659</v>
      </c>
      <c r="M42" s="237">
        <v>44662</v>
      </c>
      <c r="N42" s="235"/>
      <c r="O42" s="235" t="s">
        <v>715</v>
      </c>
      <c r="P42" s="235"/>
      <c r="Q42" s="235"/>
      <c r="R42" s="235"/>
      <c r="S42" s="235"/>
      <c r="T42" s="235"/>
      <c r="U42" s="235"/>
      <c r="V42" s="235"/>
      <c r="W42" s="235"/>
      <c r="X42" s="234" t="s">
        <v>857</v>
      </c>
      <c r="Y42" s="235"/>
      <c r="AA42" s="239"/>
      <c r="AB42" s="235"/>
    </row>
    <row r="43" spans="1:28" s="238" customFormat="1" ht="16.5" customHeight="1">
      <c r="A43" s="234">
        <v>40</v>
      </c>
      <c r="B43" s="235" t="s">
        <v>756</v>
      </c>
      <c r="C43" s="235" t="s">
        <v>763</v>
      </c>
      <c r="D43" s="235" t="s">
        <v>764</v>
      </c>
      <c r="E43" s="235" t="s">
        <v>767</v>
      </c>
      <c r="F43" s="235" t="s">
        <v>765</v>
      </c>
      <c r="G43" s="240" t="s">
        <v>760</v>
      </c>
      <c r="H43" s="235" t="s">
        <v>766</v>
      </c>
      <c r="I43" s="215">
        <v>7700000</v>
      </c>
      <c r="J43" s="237">
        <v>44608</v>
      </c>
      <c r="K43" s="237">
        <v>44926</v>
      </c>
      <c r="L43" s="237">
        <v>44916</v>
      </c>
      <c r="M43" s="237">
        <v>44917</v>
      </c>
      <c r="N43" s="235"/>
      <c r="O43" s="235" t="s">
        <v>747</v>
      </c>
      <c r="P43" s="235"/>
      <c r="Q43" s="235"/>
      <c r="R43" s="235"/>
      <c r="S43" s="235"/>
      <c r="T43" s="235"/>
      <c r="U43" s="235"/>
      <c r="V43" s="235"/>
      <c r="W43" s="235"/>
      <c r="X43" s="234" t="s">
        <v>864</v>
      </c>
      <c r="Y43" s="235"/>
      <c r="AA43" s="239"/>
      <c r="AB43" s="235"/>
    </row>
    <row r="44" spans="1:28" s="238" customFormat="1" ht="16.5" customHeight="1">
      <c r="A44" s="234">
        <v>41</v>
      </c>
      <c r="B44" s="235" t="s">
        <v>768</v>
      </c>
      <c r="C44" s="235" t="s">
        <v>769</v>
      </c>
      <c r="D44" s="235" t="s">
        <v>770</v>
      </c>
      <c r="E44" s="235" t="s">
        <v>947</v>
      </c>
      <c r="F44" s="235" t="s">
        <v>771</v>
      </c>
      <c r="G44" s="235" t="s">
        <v>760</v>
      </c>
      <c r="H44" s="235" t="s">
        <v>766</v>
      </c>
      <c r="I44" s="215">
        <v>46200000</v>
      </c>
      <c r="J44" s="237">
        <v>44607</v>
      </c>
      <c r="K44" s="237">
        <v>44727</v>
      </c>
      <c r="L44" s="237">
        <v>44670</v>
      </c>
      <c r="M44" s="235" t="s">
        <v>1148</v>
      </c>
      <c r="N44" s="235"/>
      <c r="O44" s="235" t="s">
        <v>761</v>
      </c>
      <c r="P44" s="235"/>
      <c r="Q44" s="235"/>
      <c r="R44" s="235"/>
      <c r="S44" s="235"/>
      <c r="T44" s="235"/>
      <c r="U44" s="235"/>
      <c r="V44" s="235"/>
      <c r="W44" s="235"/>
      <c r="X44" s="234" t="s">
        <v>1039</v>
      </c>
      <c r="Y44" s="235"/>
      <c r="AA44" s="239"/>
      <c r="AB44" s="235"/>
    </row>
    <row r="45" spans="1:28" s="238" customFormat="1" ht="16.5" customHeight="1">
      <c r="A45" s="234">
        <v>42</v>
      </c>
      <c r="B45" s="235" t="s">
        <v>772</v>
      </c>
      <c r="C45" s="235" t="s">
        <v>773</v>
      </c>
      <c r="D45" s="235" t="s">
        <v>774</v>
      </c>
      <c r="E45" s="235" t="s">
        <v>797</v>
      </c>
      <c r="F45" s="235" t="s">
        <v>775</v>
      </c>
      <c r="G45" s="235" t="s">
        <v>760</v>
      </c>
      <c r="H45" s="235" t="s">
        <v>766</v>
      </c>
      <c r="I45" s="215">
        <v>10901000</v>
      </c>
      <c r="J45" s="235" t="s">
        <v>776</v>
      </c>
      <c r="K45" s="237">
        <v>44608</v>
      </c>
      <c r="L45" s="237">
        <v>44609</v>
      </c>
      <c r="M45" s="237">
        <v>44614</v>
      </c>
      <c r="N45" s="235"/>
      <c r="O45" s="235" t="s">
        <v>777</v>
      </c>
      <c r="P45" s="235"/>
      <c r="Q45" s="235"/>
      <c r="R45" s="235"/>
      <c r="S45" s="235"/>
      <c r="T45" s="235"/>
      <c r="U45" s="235"/>
      <c r="V45" s="235"/>
      <c r="W45" s="235"/>
      <c r="X45" s="234" t="s">
        <v>864</v>
      </c>
      <c r="Y45" s="235"/>
      <c r="AA45" s="239"/>
      <c r="AB45" s="235"/>
    </row>
    <row r="46" spans="1:28" s="238" customFormat="1" ht="16.5" customHeight="1">
      <c r="A46" s="234">
        <v>43</v>
      </c>
      <c r="B46" s="235" t="s">
        <v>756</v>
      </c>
      <c r="C46" s="235" t="s">
        <v>757</v>
      </c>
      <c r="D46" s="235" t="s">
        <v>404</v>
      </c>
      <c r="E46" s="235" t="s">
        <v>831</v>
      </c>
      <c r="F46" s="235" t="s">
        <v>758</v>
      </c>
      <c r="G46" s="240" t="s">
        <v>760</v>
      </c>
      <c r="H46" s="235" t="s">
        <v>759</v>
      </c>
      <c r="I46" s="215">
        <v>2860000</v>
      </c>
      <c r="J46" s="235" t="s">
        <v>762</v>
      </c>
      <c r="K46" s="237">
        <v>44692</v>
      </c>
      <c r="L46" s="237">
        <v>44711</v>
      </c>
      <c r="M46" s="237">
        <v>44719</v>
      </c>
      <c r="N46" s="235"/>
      <c r="O46" s="235" t="s">
        <v>761</v>
      </c>
      <c r="P46" s="235"/>
      <c r="Q46" s="235"/>
      <c r="R46" s="235"/>
      <c r="S46" s="235"/>
      <c r="T46" s="235"/>
      <c r="U46" s="235"/>
      <c r="V46" s="235"/>
      <c r="W46" s="235"/>
      <c r="X46" s="234" t="s">
        <v>1178</v>
      </c>
      <c r="Y46" s="235"/>
      <c r="AA46" s="239"/>
      <c r="AB46" s="235"/>
    </row>
    <row r="47" spans="1:28" s="238" customFormat="1" ht="16.5" customHeight="1">
      <c r="A47" s="234">
        <v>44</v>
      </c>
      <c r="B47" s="235" t="s">
        <v>779</v>
      </c>
      <c r="C47" s="235" t="s">
        <v>780</v>
      </c>
      <c r="D47" s="235" t="s">
        <v>406</v>
      </c>
      <c r="E47" s="235" t="s">
        <v>799</v>
      </c>
      <c r="F47" s="235" t="s">
        <v>502</v>
      </c>
      <c r="G47" s="235" t="s">
        <v>408</v>
      </c>
      <c r="H47" s="235" t="s">
        <v>405</v>
      </c>
      <c r="I47" s="215">
        <v>4656312</v>
      </c>
      <c r="J47" s="235"/>
      <c r="K47" s="235" t="s">
        <v>713</v>
      </c>
      <c r="L47" s="237">
        <v>44610</v>
      </c>
      <c r="M47" s="237">
        <v>44613</v>
      </c>
      <c r="N47" s="235"/>
      <c r="O47" s="235" t="s">
        <v>590</v>
      </c>
      <c r="P47" s="235"/>
      <c r="Q47" s="235"/>
      <c r="R47" s="235"/>
      <c r="S47" s="235"/>
      <c r="T47" s="235"/>
      <c r="U47" s="235"/>
      <c r="V47" s="235"/>
      <c r="W47" s="235"/>
      <c r="X47" s="234" t="s">
        <v>864</v>
      </c>
      <c r="Y47" s="235"/>
      <c r="AA47" s="239"/>
      <c r="AB47" s="235"/>
    </row>
    <row r="48" spans="1:28" s="238" customFormat="1" ht="16.5" customHeight="1">
      <c r="A48" s="234">
        <v>45</v>
      </c>
      <c r="B48" s="235" t="s">
        <v>512</v>
      </c>
      <c r="C48" s="235" t="s">
        <v>782</v>
      </c>
      <c r="D48" s="235" t="s">
        <v>406</v>
      </c>
      <c r="E48" s="235" t="s">
        <v>783</v>
      </c>
      <c r="F48" s="235" t="s">
        <v>591</v>
      </c>
      <c r="G48" s="240" t="s">
        <v>408</v>
      </c>
      <c r="H48" s="235" t="s">
        <v>405</v>
      </c>
      <c r="I48" s="215">
        <v>19250000</v>
      </c>
      <c r="J48" s="237">
        <v>44613</v>
      </c>
      <c r="K48" s="237">
        <v>44640</v>
      </c>
      <c r="L48" s="237">
        <v>44617</v>
      </c>
      <c r="M48" s="237">
        <v>44622</v>
      </c>
      <c r="N48" s="235"/>
      <c r="O48" s="235" t="s">
        <v>1297</v>
      </c>
      <c r="P48" s="235"/>
      <c r="Q48" s="235"/>
      <c r="R48" s="235"/>
      <c r="S48" s="235"/>
      <c r="T48" s="235"/>
      <c r="U48" s="235"/>
      <c r="V48" s="235"/>
      <c r="W48" s="235"/>
      <c r="X48" s="234" t="s">
        <v>1125</v>
      </c>
      <c r="Y48" s="235"/>
      <c r="AA48" s="235"/>
      <c r="AB48" s="235"/>
    </row>
    <row r="49" spans="1:28" s="238" customFormat="1" ht="16.5" customHeight="1">
      <c r="A49" s="234">
        <v>46</v>
      </c>
      <c r="B49" s="235" t="s">
        <v>784</v>
      </c>
      <c r="C49" s="235" t="s">
        <v>408</v>
      </c>
      <c r="D49" s="235" t="s">
        <v>786</v>
      </c>
      <c r="E49" s="235" t="s">
        <v>785</v>
      </c>
      <c r="F49" s="235" t="s">
        <v>591</v>
      </c>
      <c r="G49" s="240" t="s">
        <v>408</v>
      </c>
      <c r="H49" s="235" t="s">
        <v>405</v>
      </c>
      <c r="I49" s="215">
        <v>34100000</v>
      </c>
      <c r="J49" s="237">
        <v>44613</v>
      </c>
      <c r="K49" s="237">
        <v>44700</v>
      </c>
      <c r="L49" s="235" t="s">
        <v>1497</v>
      </c>
      <c r="M49" s="235" t="s">
        <v>1498</v>
      </c>
      <c r="N49" s="235"/>
      <c r="O49" s="235" t="s">
        <v>1781</v>
      </c>
      <c r="P49" s="235"/>
      <c r="Q49" s="235"/>
      <c r="R49" s="235"/>
      <c r="S49" s="235"/>
      <c r="T49" s="235"/>
      <c r="U49" s="235"/>
      <c r="V49" s="235"/>
      <c r="W49" s="235"/>
      <c r="X49" s="234" t="s">
        <v>2154</v>
      </c>
      <c r="Y49" s="235"/>
      <c r="AA49" s="235"/>
      <c r="AB49" s="235"/>
    </row>
    <row r="50" spans="1:28" s="238" customFormat="1" ht="16.5" customHeight="1">
      <c r="A50" s="234">
        <v>47</v>
      </c>
      <c r="B50" s="235" t="s">
        <v>742</v>
      </c>
      <c r="C50" s="235" t="s">
        <v>408</v>
      </c>
      <c r="D50" s="235" t="s">
        <v>406</v>
      </c>
      <c r="E50" s="235" t="s">
        <v>789</v>
      </c>
      <c r="F50" s="235" t="s">
        <v>502</v>
      </c>
      <c r="G50" s="240" t="s">
        <v>815</v>
      </c>
      <c r="H50" s="235" t="s">
        <v>405</v>
      </c>
      <c r="I50" s="215">
        <v>277778600</v>
      </c>
      <c r="J50" s="237">
        <v>44624</v>
      </c>
      <c r="K50" s="237">
        <v>44926</v>
      </c>
      <c r="L50" s="235" t="s">
        <v>2131</v>
      </c>
      <c r="M50" s="235" t="s">
        <v>2170</v>
      </c>
      <c r="N50" s="235"/>
      <c r="O50" s="235" t="s">
        <v>833</v>
      </c>
      <c r="P50" s="235"/>
      <c r="Q50" s="235"/>
      <c r="R50" s="235"/>
      <c r="S50" s="235"/>
      <c r="T50" s="235"/>
      <c r="U50" s="235"/>
      <c r="V50" s="235"/>
      <c r="W50" s="235"/>
      <c r="X50" s="234" t="s">
        <v>1759</v>
      </c>
      <c r="Y50" s="235"/>
      <c r="AA50" s="235"/>
      <c r="AB50" s="235"/>
    </row>
    <row r="51" spans="1:28" s="238" customFormat="1" ht="16.5" customHeight="1">
      <c r="A51" s="234">
        <v>48</v>
      </c>
      <c r="B51" s="235" t="s">
        <v>1351</v>
      </c>
      <c r="C51" s="235" t="s">
        <v>787</v>
      </c>
      <c r="D51" s="235" t="s">
        <v>788</v>
      </c>
      <c r="E51" s="235" t="s">
        <v>949</v>
      </c>
      <c r="F51" s="235" t="s">
        <v>591</v>
      </c>
      <c r="G51" s="240" t="s">
        <v>408</v>
      </c>
      <c r="H51" s="235" t="s">
        <v>405</v>
      </c>
      <c r="I51" s="215">
        <v>11000000</v>
      </c>
      <c r="J51" s="237">
        <v>44616</v>
      </c>
      <c r="K51" s="235" t="s">
        <v>713</v>
      </c>
      <c r="L51" s="237">
        <v>44645</v>
      </c>
      <c r="M51" s="237">
        <v>44645</v>
      </c>
      <c r="N51" s="235"/>
      <c r="O51" s="235" t="s">
        <v>1781</v>
      </c>
      <c r="P51" s="235"/>
      <c r="Q51" s="235"/>
      <c r="R51" s="235"/>
      <c r="S51" s="235"/>
      <c r="T51" s="235"/>
      <c r="U51" s="235"/>
      <c r="V51" s="235"/>
      <c r="W51" s="235"/>
      <c r="X51" s="234" t="s">
        <v>958</v>
      </c>
      <c r="Y51" s="235"/>
      <c r="AA51" s="235"/>
      <c r="AB51" s="235"/>
    </row>
    <row r="52" spans="1:28" s="238" customFormat="1" ht="16.5" customHeight="1">
      <c r="A52" s="234">
        <v>49</v>
      </c>
      <c r="B52" s="235" t="s">
        <v>412</v>
      </c>
      <c r="C52" s="235" t="s">
        <v>729</v>
      </c>
      <c r="D52" s="235" t="s">
        <v>404</v>
      </c>
      <c r="E52" s="235" t="s">
        <v>1233</v>
      </c>
      <c r="F52" s="235" t="s">
        <v>591</v>
      </c>
      <c r="G52" s="240" t="s">
        <v>408</v>
      </c>
      <c r="H52" s="235" t="s">
        <v>405</v>
      </c>
      <c r="I52" s="215">
        <v>6820000</v>
      </c>
      <c r="J52" s="237">
        <v>44616</v>
      </c>
      <c r="K52" s="237">
        <v>44722</v>
      </c>
      <c r="L52" s="237">
        <v>44708</v>
      </c>
      <c r="M52" s="237">
        <v>44715</v>
      </c>
      <c r="N52" s="235"/>
      <c r="O52" s="235" t="s">
        <v>715</v>
      </c>
      <c r="P52" s="235"/>
      <c r="Q52" s="235"/>
      <c r="R52" s="235"/>
      <c r="S52" s="235"/>
      <c r="T52" s="235"/>
      <c r="U52" s="235"/>
      <c r="V52" s="235"/>
      <c r="W52" s="235"/>
      <c r="X52" s="234" t="s">
        <v>1183</v>
      </c>
      <c r="Y52" s="235"/>
      <c r="AA52" s="235"/>
      <c r="AB52" s="235"/>
    </row>
    <row r="53" spans="1:28" s="238" customFormat="1" ht="16.5" customHeight="1">
      <c r="A53" s="234">
        <v>50</v>
      </c>
      <c r="B53" s="235" t="s">
        <v>790</v>
      </c>
      <c r="C53" s="235" t="s">
        <v>791</v>
      </c>
      <c r="D53" s="235" t="s">
        <v>678</v>
      </c>
      <c r="E53" s="235" t="s">
        <v>792</v>
      </c>
      <c r="F53" s="235" t="s">
        <v>591</v>
      </c>
      <c r="G53" s="235" t="s">
        <v>408</v>
      </c>
      <c r="H53" s="235" t="s">
        <v>733</v>
      </c>
      <c r="I53" s="215" t="s">
        <v>793</v>
      </c>
      <c r="J53" s="237">
        <v>44616</v>
      </c>
      <c r="K53" s="235" t="s">
        <v>713</v>
      </c>
      <c r="L53" s="235" t="s">
        <v>408</v>
      </c>
      <c r="M53" s="235" t="s">
        <v>408</v>
      </c>
      <c r="N53" s="235"/>
      <c r="O53" s="235" t="s">
        <v>590</v>
      </c>
      <c r="P53" s="235"/>
      <c r="Q53" s="235"/>
      <c r="R53" s="235"/>
      <c r="S53" s="235"/>
      <c r="T53" s="235"/>
      <c r="U53" s="235"/>
      <c r="V53" s="235"/>
      <c r="W53" s="235"/>
      <c r="X53" s="234" t="s">
        <v>1115</v>
      </c>
      <c r="Y53" s="235"/>
      <c r="AA53" s="235"/>
      <c r="AB53" s="235"/>
    </row>
    <row r="54" spans="1:28" s="238" customFormat="1" ht="16.5" customHeight="1">
      <c r="A54" s="234">
        <v>51</v>
      </c>
      <c r="B54" s="235" t="s">
        <v>790</v>
      </c>
      <c r="C54" s="235" t="s">
        <v>791</v>
      </c>
      <c r="D54" s="235" t="s">
        <v>678</v>
      </c>
      <c r="E54" s="235" t="s">
        <v>796</v>
      </c>
      <c r="F54" s="235" t="s">
        <v>591</v>
      </c>
      <c r="G54" s="240" t="s">
        <v>408</v>
      </c>
      <c r="H54" s="235" t="s">
        <v>405</v>
      </c>
      <c r="I54" s="215">
        <v>81400000</v>
      </c>
      <c r="J54" s="237">
        <v>44616</v>
      </c>
      <c r="K54" s="235" t="s">
        <v>713</v>
      </c>
      <c r="L54" s="235" t="s">
        <v>1931</v>
      </c>
      <c r="M54" s="235" t="s">
        <v>2020</v>
      </c>
      <c r="N54" s="235"/>
      <c r="O54" s="235" t="s">
        <v>590</v>
      </c>
      <c r="P54" s="235"/>
      <c r="Q54" s="235"/>
      <c r="R54" s="235"/>
      <c r="S54" s="235"/>
      <c r="T54" s="235"/>
      <c r="U54" s="235"/>
      <c r="V54" s="235"/>
      <c r="W54" s="235"/>
      <c r="X54" s="234" t="s">
        <v>1246</v>
      </c>
      <c r="Y54" s="235"/>
      <c r="AA54" s="235"/>
      <c r="AB54" s="235"/>
    </row>
    <row r="55" spans="1:28" s="238" customFormat="1" ht="16.5" customHeight="1">
      <c r="A55" s="234">
        <v>52</v>
      </c>
      <c r="B55" s="235" t="s">
        <v>1462</v>
      </c>
      <c r="C55" s="235" t="s">
        <v>408</v>
      </c>
      <c r="D55" s="235" t="s">
        <v>404</v>
      </c>
      <c r="E55" s="235" t="s">
        <v>794</v>
      </c>
      <c r="F55" s="235" t="s">
        <v>591</v>
      </c>
      <c r="G55" s="240" t="s">
        <v>408</v>
      </c>
      <c r="H55" s="235" t="s">
        <v>405</v>
      </c>
      <c r="I55" s="215">
        <v>21120000</v>
      </c>
      <c r="J55" s="237">
        <v>44616</v>
      </c>
      <c r="K55" s="235" t="s">
        <v>713</v>
      </c>
      <c r="L55" s="237">
        <v>44627</v>
      </c>
      <c r="M55" s="237">
        <v>44628</v>
      </c>
      <c r="N55" s="235"/>
      <c r="O55" s="235" t="s">
        <v>590</v>
      </c>
      <c r="P55" s="235"/>
      <c r="Q55" s="235"/>
      <c r="R55" s="235"/>
      <c r="S55" s="235"/>
      <c r="T55" s="235"/>
      <c r="U55" s="235"/>
      <c r="V55" s="235"/>
      <c r="W55" s="235"/>
      <c r="X55" s="234" t="s">
        <v>960</v>
      </c>
      <c r="Y55" s="235"/>
      <c r="AA55" s="235"/>
      <c r="AB55" s="235"/>
    </row>
    <row r="56" spans="1:28" s="238" customFormat="1" ht="16.5" customHeight="1">
      <c r="A56" s="234">
        <v>53</v>
      </c>
      <c r="B56" s="235" t="s">
        <v>801</v>
      </c>
      <c r="C56" s="235" t="s">
        <v>408</v>
      </c>
      <c r="D56" s="235" t="s">
        <v>406</v>
      </c>
      <c r="E56" s="235" t="s">
        <v>803</v>
      </c>
      <c r="F56" s="235" t="s">
        <v>591</v>
      </c>
      <c r="G56" s="250" t="s">
        <v>814</v>
      </c>
      <c r="H56" s="235" t="s">
        <v>405</v>
      </c>
      <c r="I56" s="215">
        <v>213400000</v>
      </c>
      <c r="J56" s="237">
        <v>44617</v>
      </c>
      <c r="K56" s="237">
        <v>44773</v>
      </c>
      <c r="L56" s="237">
        <v>44778</v>
      </c>
      <c r="M56" s="237">
        <v>44781</v>
      </c>
      <c r="N56" s="235"/>
      <c r="O56" s="235" t="s">
        <v>804</v>
      </c>
      <c r="P56" s="235"/>
      <c r="Q56" s="235"/>
      <c r="R56" s="235"/>
      <c r="S56" s="235"/>
      <c r="T56" s="235"/>
      <c r="U56" s="235"/>
      <c r="V56" s="235"/>
      <c r="W56" s="235"/>
      <c r="X56" s="241" t="s">
        <v>2150</v>
      </c>
      <c r="Y56" s="235"/>
      <c r="AA56" s="235"/>
      <c r="AB56" s="235"/>
    </row>
    <row r="57" spans="1:28" s="238" customFormat="1" ht="16.5" customHeight="1">
      <c r="A57" s="234">
        <v>54</v>
      </c>
      <c r="B57" s="235" t="s">
        <v>805</v>
      </c>
      <c r="C57" s="235" t="s">
        <v>806</v>
      </c>
      <c r="D57" s="235" t="s">
        <v>807</v>
      </c>
      <c r="E57" s="235" t="s">
        <v>808</v>
      </c>
      <c r="F57" s="235" t="s">
        <v>591</v>
      </c>
      <c r="G57" s="235" t="s">
        <v>809</v>
      </c>
      <c r="H57" s="235" t="s">
        <v>405</v>
      </c>
      <c r="I57" s="215">
        <v>6600000</v>
      </c>
      <c r="J57" s="237">
        <v>44622</v>
      </c>
      <c r="K57" s="237">
        <v>44630</v>
      </c>
      <c r="L57" s="237">
        <v>44623</v>
      </c>
      <c r="M57" s="237">
        <v>44624</v>
      </c>
      <c r="N57" s="235"/>
      <c r="O57" s="235" t="s">
        <v>596</v>
      </c>
      <c r="P57" s="235"/>
      <c r="Q57" s="235"/>
      <c r="R57" s="235"/>
      <c r="S57" s="235"/>
      <c r="T57" s="235"/>
      <c r="U57" s="235"/>
      <c r="V57" s="235"/>
      <c r="W57" s="235"/>
      <c r="X57" s="234" t="s">
        <v>810</v>
      </c>
      <c r="Y57" s="235"/>
      <c r="AA57" s="235"/>
      <c r="AB57" s="235"/>
    </row>
    <row r="58" spans="1:28" s="238" customFormat="1" ht="16.5" customHeight="1">
      <c r="A58" s="234">
        <v>55</v>
      </c>
      <c r="B58" s="235" t="s">
        <v>811</v>
      </c>
      <c r="C58" s="235"/>
      <c r="D58" s="235" t="s">
        <v>406</v>
      </c>
      <c r="E58" s="235" t="s">
        <v>812</v>
      </c>
      <c r="F58" s="235" t="s">
        <v>502</v>
      </c>
      <c r="G58" s="235" t="s">
        <v>809</v>
      </c>
      <c r="H58" s="235" t="s">
        <v>405</v>
      </c>
      <c r="I58" s="215">
        <v>1276000</v>
      </c>
      <c r="J58" s="237">
        <v>44622</v>
      </c>
      <c r="K58" s="237">
        <v>44630</v>
      </c>
      <c r="L58" s="237">
        <v>44628</v>
      </c>
      <c r="M58" s="237">
        <v>44630</v>
      </c>
      <c r="N58" s="235"/>
      <c r="O58" s="235" t="s">
        <v>1298</v>
      </c>
      <c r="P58" s="235"/>
      <c r="Q58" s="235"/>
      <c r="R58" s="235"/>
      <c r="S58" s="235"/>
      <c r="T58" s="235"/>
      <c r="U58" s="235"/>
      <c r="V58" s="235"/>
      <c r="W58" s="235"/>
      <c r="X58" s="234" t="s">
        <v>864</v>
      </c>
      <c r="Y58" s="235"/>
      <c r="AA58" s="235"/>
      <c r="AB58" s="235"/>
    </row>
    <row r="59" spans="1:28" s="238" customFormat="1" ht="16.5" customHeight="1">
      <c r="A59" s="234">
        <v>56</v>
      </c>
      <c r="B59" s="235" t="s">
        <v>816</v>
      </c>
      <c r="C59" s="235" t="s">
        <v>817</v>
      </c>
      <c r="D59" s="235" t="s">
        <v>513</v>
      </c>
      <c r="E59" s="235" t="s">
        <v>1098</v>
      </c>
      <c r="F59" s="235" t="s">
        <v>591</v>
      </c>
      <c r="G59" s="240" t="s">
        <v>408</v>
      </c>
      <c r="H59" s="235" t="s">
        <v>405</v>
      </c>
      <c r="I59" s="215">
        <v>1760000</v>
      </c>
      <c r="J59" s="237">
        <v>44623</v>
      </c>
      <c r="K59" s="235" t="s">
        <v>713</v>
      </c>
      <c r="L59" s="237">
        <v>44670</v>
      </c>
      <c r="M59" s="237">
        <v>44679</v>
      </c>
      <c r="N59" s="235"/>
      <c r="O59" s="235" t="s">
        <v>738</v>
      </c>
      <c r="P59" s="235"/>
      <c r="Q59" s="235"/>
      <c r="R59" s="235"/>
      <c r="S59" s="235"/>
      <c r="T59" s="235"/>
      <c r="U59" s="235"/>
      <c r="V59" s="235"/>
      <c r="W59" s="235"/>
      <c r="X59" s="234" t="s">
        <v>1005</v>
      </c>
      <c r="Y59" s="235"/>
      <c r="AA59" s="235"/>
      <c r="AB59" s="235"/>
    </row>
    <row r="60" spans="1:28" s="238" customFormat="1" ht="16.5" customHeight="1">
      <c r="A60" s="234">
        <v>57</v>
      </c>
      <c r="B60" s="235" t="s">
        <v>818</v>
      </c>
      <c r="C60" s="235" t="s">
        <v>819</v>
      </c>
      <c r="D60" s="235" t="s">
        <v>820</v>
      </c>
      <c r="E60" s="235" t="s">
        <v>832</v>
      </c>
      <c r="F60" s="235" t="s">
        <v>821</v>
      </c>
      <c r="G60" s="240" t="s">
        <v>823</v>
      </c>
      <c r="H60" s="235" t="s">
        <v>822</v>
      </c>
      <c r="I60" s="215">
        <v>10780000</v>
      </c>
      <c r="J60" s="237">
        <v>44627</v>
      </c>
      <c r="K60" s="235" t="s">
        <v>713</v>
      </c>
      <c r="L60" s="237">
        <v>44627</v>
      </c>
      <c r="M60" s="237">
        <v>44659</v>
      </c>
      <c r="N60" s="235"/>
      <c r="O60" s="235" t="s">
        <v>890</v>
      </c>
      <c r="P60" s="235"/>
      <c r="Q60" s="235"/>
      <c r="R60" s="235"/>
      <c r="S60" s="235"/>
      <c r="T60" s="235"/>
      <c r="U60" s="235"/>
      <c r="V60" s="235"/>
      <c r="W60" s="235"/>
      <c r="X60" s="234" t="s">
        <v>842</v>
      </c>
      <c r="Y60" s="235"/>
      <c r="AA60" s="235"/>
      <c r="AB60" s="235"/>
    </row>
    <row r="61" spans="1:28" s="238" customFormat="1" ht="16.5" customHeight="1">
      <c r="A61" s="234">
        <v>58</v>
      </c>
      <c r="B61" s="235" t="s">
        <v>824</v>
      </c>
      <c r="C61" s="235" t="s">
        <v>825</v>
      </c>
      <c r="D61" s="235" t="s">
        <v>404</v>
      </c>
      <c r="E61" s="235" t="s">
        <v>1035</v>
      </c>
      <c r="F61" s="235" t="s">
        <v>827</v>
      </c>
      <c r="G61" s="240" t="s">
        <v>823</v>
      </c>
      <c r="H61" s="235" t="s">
        <v>828</v>
      </c>
      <c r="I61" s="215">
        <v>4290000</v>
      </c>
      <c r="J61" s="235" t="s">
        <v>829</v>
      </c>
      <c r="K61" s="235" t="s">
        <v>713</v>
      </c>
      <c r="L61" s="237">
        <v>44658</v>
      </c>
      <c r="M61" s="237">
        <v>44663</v>
      </c>
      <c r="N61" s="235"/>
      <c r="O61" s="235" t="s">
        <v>830</v>
      </c>
      <c r="P61" s="235"/>
      <c r="Q61" s="235"/>
      <c r="R61" s="235"/>
      <c r="S61" s="235"/>
      <c r="T61" s="235"/>
      <c r="U61" s="235"/>
      <c r="V61" s="235"/>
      <c r="W61" s="235"/>
      <c r="X61" s="234" t="s">
        <v>980</v>
      </c>
      <c r="Y61" s="235"/>
      <c r="AA61" s="235"/>
      <c r="AB61" s="235"/>
    </row>
    <row r="62" spans="1:28" s="238" customFormat="1" ht="16.5" customHeight="1">
      <c r="A62" s="234">
        <v>59</v>
      </c>
      <c r="B62" s="235" t="s">
        <v>824</v>
      </c>
      <c r="C62" s="235" t="s">
        <v>826</v>
      </c>
      <c r="D62" s="235" t="s">
        <v>404</v>
      </c>
      <c r="E62" s="235" t="s">
        <v>831</v>
      </c>
      <c r="F62" s="235" t="s">
        <v>821</v>
      </c>
      <c r="G62" s="240" t="s">
        <v>823</v>
      </c>
      <c r="H62" s="235" t="s">
        <v>828</v>
      </c>
      <c r="I62" s="215">
        <v>2860000</v>
      </c>
      <c r="J62" s="235" t="s">
        <v>829</v>
      </c>
      <c r="K62" s="235" t="s">
        <v>713</v>
      </c>
      <c r="L62" s="237">
        <v>44711</v>
      </c>
      <c r="M62" s="237">
        <v>44739</v>
      </c>
      <c r="N62" s="235"/>
      <c r="O62" s="235" t="s">
        <v>830</v>
      </c>
      <c r="P62" s="235"/>
      <c r="Q62" s="235"/>
      <c r="R62" s="235"/>
      <c r="S62" s="235"/>
      <c r="T62" s="235"/>
      <c r="U62" s="235"/>
      <c r="V62" s="235"/>
      <c r="W62" s="235"/>
      <c r="X62" s="234" t="s">
        <v>1179</v>
      </c>
      <c r="Y62" s="235"/>
      <c r="AA62" s="235"/>
      <c r="AB62" s="235"/>
    </row>
    <row r="63" spans="1:28" s="238" customFormat="1" ht="16.5" customHeight="1">
      <c r="A63" s="234">
        <v>60</v>
      </c>
      <c r="B63" s="235" t="s">
        <v>834</v>
      </c>
      <c r="C63" s="235" t="s">
        <v>965</v>
      </c>
      <c r="D63" s="235" t="s">
        <v>835</v>
      </c>
      <c r="E63" s="235" t="s">
        <v>836</v>
      </c>
      <c r="F63" s="235" t="s">
        <v>591</v>
      </c>
      <c r="G63" s="240" t="s">
        <v>408</v>
      </c>
      <c r="H63" s="235" t="s">
        <v>733</v>
      </c>
      <c r="I63" s="215" t="s">
        <v>837</v>
      </c>
      <c r="J63" s="237">
        <v>44627</v>
      </c>
      <c r="K63" s="251" t="s">
        <v>971</v>
      </c>
      <c r="L63" s="235" t="s">
        <v>408</v>
      </c>
      <c r="M63" s="235" t="s">
        <v>408</v>
      </c>
      <c r="N63" s="235"/>
      <c r="O63" s="235" t="s">
        <v>584</v>
      </c>
      <c r="P63" s="235"/>
      <c r="Q63" s="235"/>
      <c r="R63" s="235"/>
      <c r="S63" s="235"/>
      <c r="T63" s="235"/>
      <c r="U63" s="235"/>
      <c r="V63" s="235"/>
      <c r="W63" s="235"/>
      <c r="X63" s="234" t="s">
        <v>838</v>
      </c>
      <c r="Y63" s="235"/>
      <c r="AA63" s="235"/>
      <c r="AB63" s="235"/>
    </row>
    <row r="64" spans="1:28" s="238" customFormat="1" ht="16.5" customHeight="1">
      <c r="A64" s="234">
        <v>61</v>
      </c>
      <c r="B64" s="235" t="s">
        <v>696</v>
      </c>
      <c r="C64" s="235" t="s">
        <v>697</v>
      </c>
      <c r="D64" s="235" t="s">
        <v>841</v>
      </c>
      <c r="E64" s="235" t="s">
        <v>1301</v>
      </c>
      <c r="F64" s="235" t="s">
        <v>591</v>
      </c>
      <c r="G64" s="240" t="s">
        <v>408</v>
      </c>
      <c r="H64" s="235" t="s">
        <v>405</v>
      </c>
      <c r="I64" s="215">
        <v>11330000</v>
      </c>
      <c r="J64" s="237">
        <v>44628</v>
      </c>
      <c r="K64" s="237">
        <v>44658</v>
      </c>
      <c r="L64" s="237">
        <v>44677</v>
      </c>
      <c r="M64" s="237">
        <v>44915</v>
      </c>
      <c r="N64" s="235"/>
      <c r="O64" s="235" t="s">
        <v>596</v>
      </c>
      <c r="P64" s="235"/>
      <c r="Q64" s="235"/>
      <c r="R64" s="235"/>
      <c r="S64" s="235"/>
      <c r="T64" s="235"/>
      <c r="U64" s="235"/>
      <c r="V64" s="235"/>
      <c r="W64" s="235"/>
      <c r="X64" s="234" t="s">
        <v>2157</v>
      </c>
      <c r="Y64" s="235"/>
      <c r="AA64" s="235"/>
      <c r="AB64" s="235"/>
    </row>
    <row r="65" spans="1:28" s="238" customFormat="1" ht="16.5" customHeight="1">
      <c r="A65" s="234">
        <v>62</v>
      </c>
      <c r="B65" s="235" t="s">
        <v>839</v>
      </c>
      <c r="C65" s="235" t="s">
        <v>840</v>
      </c>
      <c r="D65" s="235" t="s">
        <v>404</v>
      </c>
      <c r="E65" s="235" t="s">
        <v>1037</v>
      </c>
      <c r="F65" s="235" t="s">
        <v>591</v>
      </c>
      <c r="G65" s="240" t="s">
        <v>408</v>
      </c>
      <c r="H65" s="235" t="s">
        <v>405</v>
      </c>
      <c r="I65" s="215">
        <v>2992000</v>
      </c>
      <c r="J65" s="237">
        <v>44630</v>
      </c>
      <c r="K65" s="235" t="s">
        <v>713</v>
      </c>
      <c r="L65" s="237">
        <v>44630</v>
      </c>
      <c r="M65" s="237">
        <v>44663</v>
      </c>
      <c r="N65" s="235"/>
      <c r="O65" s="235" t="s">
        <v>1781</v>
      </c>
      <c r="P65" s="235"/>
      <c r="Q65" s="235"/>
      <c r="R65" s="235"/>
      <c r="S65" s="235"/>
      <c r="T65" s="235"/>
      <c r="U65" s="235"/>
      <c r="V65" s="235"/>
      <c r="W65" s="235"/>
      <c r="X65" s="234" t="s">
        <v>850</v>
      </c>
      <c r="Y65" s="235"/>
      <c r="AA65" s="235"/>
      <c r="AB65" s="235"/>
    </row>
    <row r="66" spans="1:28" s="238" customFormat="1" ht="16.5" customHeight="1">
      <c r="A66" s="234">
        <v>63</v>
      </c>
      <c r="B66" s="235" t="s">
        <v>705</v>
      </c>
      <c r="C66" s="235" t="s">
        <v>847</v>
      </c>
      <c r="D66" s="235"/>
      <c r="E66" s="235" t="s">
        <v>1190</v>
      </c>
      <c r="F66" s="235" t="s">
        <v>591</v>
      </c>
      <c r="G66" s="235" t="s">
        <v>408</v>
      </c>
      <c r="H66" s="235" t="s">
        <v>405</v>
      </c>
      <c r="I66" s="215">
        <v>19800000</v>
      </c>
      <c r="J66" s="237">
        <v>44630</v>
      </c>
      <c r="K66" s="235" t="s">
        <v>713</v>
      </c>
      <c r="L66" s="237">
        <v>44694</v>
      </c>
      <c r="M66" s="237">
        <v>44701</v>
      </c>
      <c r="N66" s="235"/>
      <c r="O66" s="235" t="s">
        <v>590</v>
      </c>
      <c r="P66" s="235"/>
      <c r="Q66" s="235"/>
      <c r="R66" s="235"/>
      <c r="S66" s="235"/>
      <c r="T66" s="235"/>
      <c r="U66" s="235"/>
      <c r="V66" s="235"/>
      <c r="W66" s="235"/>
      <c r="X66" s="234" t="s">
        <v>1761</v>
      </c>
      <c r="Y66" s="241" t="s">
        <v>1762</v>
      </c>
      <c r="AA66" s="235"/>
      <c r="AB66" s="235"/>
    </row>
    <row r="67" spans="1:28" s="238" customFormat="1" ht="16.5" customHeight="1">
      <c r="A67" s="234">
        <v>64</v>
      </c>
      <c r="B67" s="235" t="s">
        <v>851</v>
      </c>
      <c r="C67" s="235" t="s">
        <v>852</v>
      </c>
      <c r="D67" s="235" t="s">
        <v>404</v>
      </c>
      <c r="E67" s="235" t="s">
        <v>1265</v>
      </c>
      <c r="F67" s="235" t="s">
        <v>853</v>
      </c>
      <c r="G67" s="240" t="s">
        <v>854</v>
      </c>
      <c r="H67" s="235" t="s">
        <v>855</v>
      </c>
      <c r="I67" s="215">
        <v>1540000</v>
      </c>
      <c r="J67" s="237">
        <v>44634</v>
      </c>
      <c r="K67" s="237">
        <v>44718</v>
      </c>
      <c r="L67" s="237">
        <v>44711</v>
      </c>
      <c r="M67" s="237">
        <v>44719</v>
      </c>
      <c r="N67" s="235"/>
      <c r="O67" s="235" t="s">
        <v>856</v>
      </c>
      <c r="P67" s="235"/>
      <c r="Q67" s="235"/>
      <c r="R67" s="235"/>
      <c r="S67" s="235"/>
      <c r="T67" s="235"/>
      <c r="U67" s="235"/>
      <c r="V67" s="235"/>
      <c r="W67" s="235"/>
      <c r="X67" s="234" t="s">
        <v>1180</v>
      </c>
      <c r="Y67" s="235"/>
      <c r="AA67" s="235"/>
      <c r="AB67" s="235"/>
    </row>
    <row r="68" spans="1:28" s="238" customFormat="1" ht="16.5" customHeight="1">
      <c r="A68" s="234">
        <v>65</v>
      </c>
      <c r="B68" s="235" t="s">
        <v>859</v>
      </c>
      <c r="C68" s="235" t="s">
        <v>840</v>
      </c>
      <c r="D68" s="235" t="s">
        <v>513</v>
      </c>
      <c r="E68" s="235" t="s">
        <v>887</v>
      </c>
      <c r="F68" s="235" t="s">
        <v>591</v>
      </c>
      <c r="G68" s="240" t="s">
        <v>408</v>
      </c>
      <c r="H68" s="235" t="s">
        <v>405</v>
      </c>
      <c r="I68" s="215">
        <v>3710000</v>
      </c>
      <c r="J68" s="237">
        <v>44607</v>
      </c>
      <c r="K68" s="237">
        <v>44635</v>
      </c>
      <c r="L68" s="237">
        <v>44635</v>
      </c>
      <c r="M68" s="237">
        <v>44638</v>
      </c>
      <c r="N68" s="235"/>
      <c r="O68" s="235" t="s">
        <v>891</v>
      </c>
      <c r="P68" s="235"/>
      <c r="Q68" s="235"/>
      <c r="R68" s="235"/>
      <c r="S68" s="235"/>
      <c r="T68" s="235"/>
      <c r="U68" s="235"/>
      <c r="V68" s="235"/>
      <c r="W68" s="235"/>
      <c r="X68" s="234" t="s">
        <v>1004</v>
      </c>
      <c r="Y68" s="235"/>
      <c r="AA68" s="235"/>
      <c r="AB68" s="235"/>
    </row>
    <row r="69" spans="1:28" s="238" customFormat="1" ht="16.5" customHeight="1">
      <c r="A69" s="234">
        <v>66</v>
      </c>
      <c r="B69" s="235" t="s">
        <v>419</v>
      </c>
      <c r="C69" s="235" t="s">
        <v>862</v>
      </c>
      <c r="D69" s="235" t="s">
        <v>406</v>
      </c>
      <c r="E69" s="250" t="s">
        <v>863</v>
      </c>
      <c r="F69" s="235" t="s">
        <v>502</v>
      </c>
      <c r="G69" s="250" t="s">
        <v>865</v>
      </c>
      <c r="H69" s="235" t="s">
        <v>405</v>
      </c>
      <c r="I69" s="215">
        <v>78397000</v>
      </c>
      <c r="J69" s="237">
        <v>44631</v>
      </c>
      <c r="K69" s="237">
        <v>44720</v>
      </c>
      <c r="L69" s="237">
        <v>44725</v>
      </c>
      <c r="M69" s="237">
        <v>44727</v>
      </c>
      <c r="N69" s="235"/>
      <c r="O69" s="235" t="s">
        <v>890</v>
      </c>
      <c r="P69" s="235"/>
      <c r="Q69" s="235"/>
      <c r="R69" s="235"/>
      <c r="S69" s="235"/>
      <c r="T69" s="235"/>
      <c r="U69" s="235"/>
      <c r="V69" s="235"/>
      <c r="W69" s="235"/>
      <c r="X69" s="234" t="s">
        <v>864</v>
      </c>
      <c r="Y69" s="235"/>
      <c r="AA69" s="235"/>
      <c r="AB69" s="235"/>
    </row>
    <row r="70" spans="1:28" s="238" customFormat="1" ht="16.5" customHeight="1">
      <c r="A70" s="234">
        <v>67</v>
      </c>
      <c r="B70" s="235" t="s">
        <v>866</v>
      </c>
      <c r="C70" s="235" t="s">
        <v>867</v>
      </c>
      <c r="D70" s="235" t="s">
        <v>678</v>
      </c>
      <c r="E70" s="235" t="s">
        <v>888</v>
      </c>
      <c r="F70" s="235" t="s">
        <v>591</v>
      </c>
      <c r="G70" s="240" t="s">
        <v>408</v>
      </c>
      <c r="H70" s="235" t="s">
        <v>405</v>
      </c>
      <c r="I70" s="215">
        <v>46970000</v>
      </c>
      <c r="J70" s="237">
        <v>44635</v>
      </c>
      <c r="K70" s="237">
        <v>44737</v>
      </c>
      <c r="L70" s="237" t="s">
        <v>1241</v>
      </c>
      <c r="M70" s="237" t="s">
        <v>1287</v>
      </c>
      <c r="N70" s="235"/>
      <c r="O70" s="235" t="s">
        <v>590</v>
      </c>
      <c r="P70" s="235"/>
      <c r="Q70" s="235"/>
      <c r="R70" s="235"/>
      <c r="S70" s="235"/>
      <c r="T70" s="235"/>
      <c r="U70" s="235"/>
      <c r="V70" s="235"/>
      <c r="W70" s="235"/>
      <c r="X70" s="234" t="s">
        <v>1239</v>
      </c>
      <c r="Y70" s="235"/>
    </row>
    <row r="71" spans="1:28" s="238" customFormat="1" ht="16.5" customHeight="1">
      <c r="A71" s="234">
        <v>68</v>
      </c>
      <c r="B71" s="235" t="s">
        <v>412</v>
      </c>
      <c r="C71" s="235" t="s">
        <v>729</v>
      </c>
      <c r="D71" s="235" t="s">
        <v>404</v>
      </c>
      <c r="E71" s="235" t="s">
        <v>1232</v>
      </c>
      <c r="F71" s="235" t="s">
        <v>591</v>
      </c>
      <c r="G71" s="240" t="s">
        <v>408</v>
      </c>
      <c r="H71" s="235" t="s">
        <v>405</v>
      </c>
      <c r="I71" s="215">
        <v>8580000</v>
      </c>
      <c r="J71" s="237">
        <v>44636</v>
      </c>
      <c r="K71" s="237">
        <v>44722</v>
      </c>
      <c r="L71" s="237">
        <v>44708</v>
      </c>
      <c r="M71" s="237">
        <v>44715</v>
      </c>
      <c r="N71" s="235"/>
      <c r="O71" s="235" t="s">
        <v>715</v>
      </c>
      <c r="P71" s="235"/>
      <c r="Q71" s="235"/>
      <c r="R71" s="235"/>
      <c r="S71" s="235"/>
      <c r="T71" s="235"/>
      <c r="U71" s="235"/>
      <c r="V71" s="235"/>
      <c r="W71" s="235"/>
      <c r="X71" s="234" t="s">
        <v>1184</v>
      </c>
      <c r="Y71" s="235"/>
    </row>
    <row r="72" spans="1:28" s="238" customFormat="1" ht="16.5" customHeight="1">
      <c r="A72" s="234">
        <v>69</v>
      </c>
      <c r="B72" s="235" t="s">
        <v>412</v>
      </c>
      <c r="C72" s="235" t="s">
        <v>729</v>
      </c>
      <c r="D72" s="235" t="s">
        <v>404</v>
      </c>
      <c r="E72" s="235" t="s">
        <v>1231</v>
      </c>
      <c r="F72" s="235" t="s">
        <v>591</v>
      </c>
      <c r="G72" s="240" t="s">
        <v>408</v>
      </c>
      <c r="H72" s="235" t="s">
        <v>405</v>
      </c>
      <c r="I72" s="215">
        <v>4180000</v>
      </c>
      <c r="J72" s="237">
        <v>44636</v>
      </c>
      <c r="K72" s="237">
        <v>44722</v>
      </c>
      <c r="L72" s="237">
        <v>44708</v>
      </c>
      <c r="M72" s="237">
        <v>44715</v>
      </c>
      <c r="N72" s="235"/>
      <c r="O72" s="235" t="s">
        <v>715</v>
      </c>
      <c r="P72" s="235"/>
      <c r="Q72" s="235"/>
      <c r="R72" s="235"/>
      <c r="S72" s="235"/>
      <c r="T72" s="235"/>
      <c r="U72" s="235"/>
      <c r="V72" s="235"/>
      <c r="W72" s="235"/>
      <c r="X72" s="234" t="s">
        <v>1181</v>
      </c>
      <c r="Y72" s="235"/>
    </row>
    <row r="73" spans="1:28" s="238" customFormat="1" ht="16.5" customHeight="1">
      <c r="A73" s="234">
        <v>70</v>
      </c>
      <c r="B73" s="235" t="s">
        <v>868</v>
      </c>
      <c r="C73" s="235" t="s">
        <v>869</v>
      </c>
      <c r="D73" s="235" t="s">
        <v>807</v>
      </c>
      <c r="E73" s="235" t="s">
        <v>1342</v>
      </c>
      <c r="F73" s="235" t="s">
        <v>591</v>
      </c>
      <c r="G73" s="240" t="s">
        <v>408</v>
      </c>
      <c r="H73" s="235" t="s">
        <v>405</v>
      </c>
      <c r="I73" s="215">
        <v>6380000</v>
      </c>
      <c r="J73" s="237">
        <v>44636</v>
      </c>
      <c r="K73" s="237">
        <v>44642</v>
      </c>
      <c r="L73" s="237">
        <v>44636</v>
      </c>
      <c r="M73" s="237">
        <v>44741</v>
      </c>
      <c r="N73" s="235"/>
      <c r="O73" s="235" t="s">
        <v>590</v>
      </c>
      <c r="P73" s="235"/>
      <c r="Q73" s="235"/>
      <c r="R73" s="235"/>
      <c r="S73" s="235"/>
      <c r="T73" s="235"/>
      <c r="U73" s="235"/>
      <c r="V73" s="235"/>
      <c r="W73" s="235"/>
      <c r="X73" s="234" t="s">
        <v>1366</v>
      </c>
      <c r="Y73" s="235"/>
    </row>
    <row r="74" spans="1:28" s="238" customFormat="1" ht="16.5" customHeight="1">
      <c r="A74" s="234">
        <v>71</v>
      </c>
      <c r="B74" s="235" t="s">
        <v>512</v>
      </c>
      <c r="C74" s="235" t="s">
        <v>870</v>
      </c>
      <c r="D74" s="235" t="s">
        <v>871</v>
      </c>
      <c r="E74" s="235" t="s">
        <v>872</v>
      </c>
      <c r="F74" s="235" t="s">
        <v>591</v>
      </c>
      <c r="G74" s="240" t="s">
        <v>408</v>
      </c>
      <c r="H74" s="235" t="s">
        <v>405</v>
      </c>
      <c r="I74" s="215">
        <v>5500000</v>
      </c>
      <c r="J74" s="237">
        <v>44636</v>
      </c>
      <c r="K74" s="237">
        <v>44671</v>
      </c>
      <c r="L74" s="237">
        <v>44670</v>
      </c>
      <c r="M74" s="237">
        <v>44672</v>
      </c>
      <c r="N74" s="235"/>
      <c r="O74" s="235" t="s">
        <v>738</v>
      </c>
      <c r="P74" s="235"/>
      <c r="Q74" s="235"/>
      <c r="R74" s="235"/>
      <c r="S74" s="235"/>
      <c r="T74" s="235"/>
      <c r="U74" s="235"/>
      <c r="V74" s="235"/>
      <c r="W74" s="235"/>
      <c r="X74" s="234" t="s">
        <v>1071</v>
      </c>
      <c r="Y74" s="235"/>
    </row>
    <row r="75" spans="1:28" s="238" customFormat="1" ht="16.5" customHeight="1">
      <c r="A75" s="234">
        <v>72</v>
      </c>
      <c r="B75" s="235" t="s">
        <v>512</v>
      </c>
      <c r="C75" s="235" t="s">
        <v>870</v>
      </c>
      <c r="D75" s="235" t="s">
        <v>665</v>
      </c>
      <c r="E75" s="235" t="s">
        <v>873</v>
      </c>
      <c r="F75" s="235" t="s">
        <v>591</v>
      </c>
      <c r="G75" s="240" t="s">
        <v>408</v>
      </c>
      <c r="H75" s="235" t="s">
        <v>405</v>
      </c>
      <c r="I75" s="215">
        <v>2750000</v>
      </c>
      <c r="J75" s="237">
        <v>44636</v>
      </c>
      <c r="K75" s="237">
        <v>44671</v>
      </c>
      <c r="L75" s="237">
        <v>44658</v>
      </c>
      <c r="M75" s="237">
        <v>44663</v>
      </c>
      <c r="N75" s="235"/>
      <c r="O75" s="235" t="s">
        <v>735</v>
      </c>
      <c r="P75" s="235"/>
      <c r="Q75" s="235"/>
      <c r="R75" s="235"/>
      <c r="S75" s="235"/>
      <c r="T75" s="235"/>
      <c r="U75" s="235"/>
      <c r="V75" s="235"/>
      <c r="W75" s="235"/>
      <c r="X75" s="234" t="s">
        <v>959</v>
      </c>
      <c r="Y75" s="235"/>
    </row>
    <row r="76" spans="1:28" s="238" customFormat="1" ht="16.5" customHeight="1">
      <c r="A76" s="234">
        <v>73</v>
      </c>
      <c r="B76" s="235" t="s">
        <v>874</v>
      </c>
      <c r="C76" s="235" t="s">
        <v>875</v>
      </c>
      <c r="D76" s="235" t="s">
        <v>594</v>
      </c>
      <c r="E76" s="235" t="s">
        <v>945</v>
      </c>
      <c r="F76" s="235" t="s">
        <v>591</v>
      </c>
      <c r="G76" s="240" t="s">
        <v>408</v>
      </c>
      <c r="H76" s="235" t="s">
        <v>405</v>
      </c>
      <c r="I76" s="215">
        <v>15400000</v>
      </c>
      <c r="J76" s="237">
        <v>44637</v>
      </c>
      <c r="K76" s="235" t="s">
        <v>713</v>
      </c>
      <c r="L76" s="237">
        <v>44638</v>
      </c>
      <c r="M76" s="237">
        <v>44641</v>
      </c>
      <c r="N76" s="235"/>
      <c r="O76" s="235" t="s">
        <v>590</v>
      </c>
      <c r="P76" s="235"/>
      <c r="Q76" s="235"/>
      <c r="R76" s="235"/>
      <c r="S76" s="235"/>
      <c r="T76" s="235"/>
      <c r="U76" s="235"/>
      <c r="V76" s="235"/>
      <c r="W76" s="235"/>
      <c r="X76" s="234" t="s">
        <v>1363</v>
      </c>
      <c r="Y76" s="235"/>
    </row>
    <row r="77" spans="1:28" s="238" customFormat="1" ht="16.5" customHeight="1">
      <c r="A77" s="234">
        <v>74</v>
      </c>
      <c r="B77" s="235" t="s">
        <v>412</v>
      </c>
      <c r="C77" s="235" t="s">
        <v>408</v>
      </c>
      <c r="D77" s="235" t="s">
        <v>406</v>
      </c>
      <c r="E77" s="235" t="s">
        <v>1234</v>
      </c>
      <c r="F77" s="235" t="s">
        <v>502</v>
      </c>
      <c r="G77" s="240" t="s">
        <v>408</v>
      </c>
      <c r="H77" s="235" t="s">
        <v>405</v>
      </c>
      <c r="I77" s="215">
        <v>178200000</v>
      </c>
      <c r="J77" s="237">
        <v>44638</v>
      </c>
      <c r="K77" s="237">
        <v>44712</v>
      </c>
      <c r="L77" s="237">
        <v>44712</v>
      </c>
      <c r="M77" s="237">
        <v>44714</v>
      </c>
      <c r="N77" s="235"/>
      <c r="O77" s="235" t="s">
        <v>1782</v>
      </c>
      <c r="P77" s="235"/>
      <c r="Q77" s="235"/>
      <c r="R77" s="235"/>
      <c r="S77" s="235"/>
      <c r="T77" s="235"/>
      <c r="U77" s="235"/>
      <c r="V77" s="235"/>
      <c r="W77" s="235"/>
      <c r="X77" s="234" t="s">
        <v>864</v>
      </c>
      <c r="Y77" s="235"/>
    </row>
    <row r="78" spans="1:28" s="238" customFormat="1" ht="16.5" customHeight="1">
      <c r="A78" s="234">
        <v>75</v>
      </c>
      <c r="B78" s="235" t="s">
        <v>512</v>
      </c>
      <c r="C78" s="235" t="s">
        <v>870</v>
      </c>
      <c r="D78" s="235" t="s">
        <v>413</v>
      </c>
      <c r="E78" s="235" t="s">
        <v>876</v>
      </c>
      <c r="F78" s="235" t="s">
        <v>591</v>
      </c>
      <c r="G78" s="240" t="s">
        <v>408</v>
      </c>
      <c r="H78" s="235" t="s">
        <v>405</v>
      </c>
      <c r="I78" s="215">
        <v>8272000</v>
      </c>
      <c r="J78" s="237">
        <v>44637</v>
      </c>
      <c r="K78" s="237">
        <v>44681</v>
      </c>
      <c r="L78" s="237">
        <v>44670</v>
      </c>
      <c r="M78" s="237">
        <v>44672</v>
      </c>
      <c r="N78" s="235"/>
      <c r="O78" s="235" t="s">
        <v>735</v>
      </c>
      <c r="P78" s="235"/>
      <c r="Q78" s="235"/>
      <c r="R78" s="235"/>
      <c r="S78" s="235"/>
      <c r="T78" s="235"/>
      <c r="U78" s="235"/>
      <c r="V78" s="235"/>
      <c r="W78" s="235"/>
      <c r="X78" s="234" t="s">
        <v>1002</v>
      </c>
      <c r="Y78" s="235"/>
    </row>
    <row r="79" spans="1:28" s="238" customFormat="1" ht="16.5" customHeight="1">
      <c r="A79" s="234">
        <v>76</v>
      </c>
      <c r="B79" s="235" t="s">
        <v>705</v>
      </c>
      <c r="C79" s="235" t="s">
        <v>877</v>
      </c>
      <c r="D79" s="235" t="s">
        <v>665</v>
      </c>
      <c r="E79" s="235" t="s">
        <v>878</v>
      </c>
      <c r="F79" s="235" t="s">
        <v>591</v>
      </c>
      <c r="G79" s="240" t="s">
        <v>408</v>
      </c>
      <c r="H79" s="235" t="s">
        <v>405</v>
      </c>
      <c r="I79" s="215">
        <v>10208000</v>
      </c>
      <c r="J79" s="235"/>
      <c r="K79" s="235" t="s">
        <v>713</v>
      </c>
      <c r="L79" s="237">
        <v>44638</v>
      </c>
      <c r="M79" s="237">
        <v>44645</v>
      </c>
      <c r="N79" s="235"/>
      <c r="O79" s="235" t="s">
        <v>590</v>
      </c>
      <c r="P79" s="235"/>
      <c r="Q79" s="235"/>
      <c r="R79" s="235"/>
      <c r="S79" s="235"/>
      <c r="T79" s="235"/>
      <c r="U79" s="235"/>
      <c r="V79" s="235"/>
      <c r="W79" s="235"/>
      <c r="X79" s="234" t="s">
        <v>1306</v>
      </c>
      <c r="Y79" s="235"/>
    </row>
    <row r="80" spans="1:28" s="238" customFormat="1" ht="16.5" customHeight="1">
      <c r="A80" s="234">
        <v>77</v>
      </c>
      <c r="B80" s="235" t="s">
        <v>879</v>
      </c>
      <c r="C80" s="235" t="s">
        <v>408</v>
      </c>
      <c r="D80" s="235"/>
      <c r="E80" s="235" t="s">
        <v>880</v>
      </c>
      <c r="F80" s="235" t="s">
        <v>591</v>
      </c>
      <c r="G80" s="240" t="s">
        <v>408</v>
      </c>
      <c r="H80" s="235" t="s">
        <v>405</v>
      </c>
      <c r="I80" s="215" t="s">
        <v>882</v>
      </c>
      <c r="J80" s="237">
        <v>44624</v>
      </c>
      <c r="K80" s="237">
        <v>45002</v>
      </c>
      <c r="L80" s="235" t="s">
        <v>1084</v>
      </c>
      <c r="M80" s="235" t="s">
        <v>1096</v>
      </c>
      <c r="N80" s="235"/>
      <c r="O80" s="235" t="s">
        <v>590</v>
      </c>
      <c r="P80" s="235"/>
      <c r="Q80" s="235"/>
      <c r="R80" s="235"/>
      <c r="S80" s="235"/>
      <c r="T80" s="235"/>
      <c r="U80" s="235"/>
      <c r="V80" s="235"/>
      <c r="W80" s="235"/>
      <c r="X80" s="234" t="s">
        <v>1745</v>
      </c>
      <c r="Y80" s="235"/>
    </row>
    <row r="81" spans="1:25" s="238" customFormat="1" ht="16.5" customHeight="1">
      <c r="A81" s="234">
        <v>78</v>
      </c>
      <c r="B81" s="235" t="s">
        <v>879</v>
      </c>
      <c r="C81" s="235" t="s">
        <v>408</v>
      </c>
      <c r="D81" s="235"/>
      <c r="E81" s="235" t="s">
        <v>881</v>
      </c>
      <c r="F81" s="235" t="s">
        <v>591</v>
      </c>
      <c r="G81" s="240" t="s">
        <v>408</v>
      </c>
      <c r="H81" s="235" t="s">
        <v>405</v>
      </c>
      <c r="I81" s="215" t="s">
        <v>883</v>
      </c>
      <c r="J81" s="237">
        <v>44636</v>
      </c>
      <c r="K81" s="237">
        <v>45002</v>
      </c>
      <c r="L81" s="235" t="s">
        <v>1084</v>
      </c>
      <c r="M81" s="235" t="s">
        <v>1097</v>
      </c>
      <c r="N81" s="235"/>
      <c r="O81" s="235" t="s">
        <v>590</v>
      </c>
      <c r="P81" s="235"/>
      <c r="Q81" s="235"/>
      <c r="R81" s="235"/>
      <c r="S81" s="235"/>
      <c r="T81" s="235"/>
      <c r="U81" s="235"/>
      <c r="V81" s="235"/>
      <c r="W81" s="235"/>
      <c r="X81" s="234" t="s">
        <v>1245</v>
      </c>
      <c r="Y81" s="235"/>
    </row>
    <row r="82" spans="1:25" s="238" customFormat="1" ht="16.5" customHeight="1">
      <c r="A82" s="234">
        <v>79</v>
      </c>
      <c r="B82" s="235" t="s">
        <v>884</v>
      </c>
      <c r="C82" s="235" t="s">
        <v>885</v>
      </c>
      <c r="D82" s="235" t="s">
        <v>407</v>
      </c>
      <c r="E82" s="235" t="s">
        <v>886</v>
      </c>
      <c r="F82" s="235" t="s">
        <v>591</v>
      </c>
      <c r="G82" s="240" t="s">
        <v>408</v>
      </c>
      <c r="H82" s="235" t="s">
        <v>405</v>
      </c>
      <c r="I82" s="215">
        <v>7040000</v>
      </c>
      <c r="J82" s="237">
        <v>44638</v>
      </c>
      <c r="K82" s="237">
        <v>44715</v>
      </c>
      <c r="L82" s="237">
        <v>44720</v>
      </c>
      <c r="M82" s="237">
        <v>44726</v>
      </c>
      <c r="N82" s="235"/>
      <c r="O82" s="235" t="s">
        <v>590</v>
      </c>
      <c r="P82" s="235"/>
      <c r="Q82" s="235"/>
      <c r="R82" s="235"/>
      <c r="S82" s="235"/>
      <c r="T82" s="235"/>
      <c r="U82" s="235"/>
      <c r="V82" s="235"/>
      <c r="W82" s="235"/>
      <c r="X82" s="234" t="s">
        <v>1530</v>
      </c>
      <c r="Y82" s="235"/>
    </row>
    <row r="83" spans="1:25" s="238" customFormat="1" ht="16.5" customHeight="1">
      <c r="A83" s="234">
        <v>80</v>
      </c>
      <c r="B83" s="235" t="s">
        <v>412</v>
      </c>
      <c r="C83" s="235" t="s">
        <v>729</v>
      </c>
      <c r="D83" s="235" t="s">
        <v>404</v>
      </c>
      <c r="E83" s="235" t="s">
        <v>1237</v>
      </c>
      <c r="F83" s="235" t="s">
        <v>591</v>
      </c>
      <c r="G83" s="240" t="s">
        <v>408</v>
      </c>
      <c r="H83" s="235" t="s">
        <v>405</v>
      </c>
      <c r="I83" s="215">
        <v>1650000</v>
      </c>
      <c r="J83" s="237">
        <v>44638</v>
      </c>
      <c r="K83" s="237">
        <v>44722</v>
      </c>
      <c r="L83" s="237">
        <v>44705</v>
      </c>
      <c r="M83" s="237">
        <v>44711</v>
      </c>
      <c r="N83" s="235"/>
      <c r="O83" s="235" t="s">
        <v>715</v>
      </c>
      <c r="P83" s="235"/>
      <c r="Q83" s="235"/>
      <c r="R83" s="235"/>
      <c r="S83" s="235"/>
      <c r="T83" s="235"/>
      <c r="U83" s="235"/>
      <c r="V83" s="235"/>
      <c r="W83" s="235"/>
      <c r="X83" s="234" t="s">
        <v>1182</v>
      </c>
      <c r="Y83" s="235"/>
    </row>
    <row r="84" spans="1:25" s="238" customFormat="1" ht="16.5" customHeight="1">
      <c r="A84" s="234">
        <v>81</v>
      </c>
      <c r="B84" s="235" t="s">
        <v>706</v>
      </c>
      <c r="C84" s="235" t="s">
        <v>895</v>
      </c>
      <c r="D84" s="235" t="s">
        <v>406</v>
      </c>
      <c r="E84" s="235" t="s">
        <v>905</v>
      </c>
      <c r="F84" s="235" t="s">
        <v>906</v>
      </c>
      <c r="G84" s="235" t="s">
        <v>897</v>
      </c>
      <c r="H84" s="235" t="s">
        <v>405</v>
      </c>
      <c r="I84" s="215">
        <v>66000000</v>
      </c>
      <c r="J84" s="237">
        <v>44641</v>
      </c>
      <c r="K84" s="237">
        <v>44926</v>
      </c>
      <c r="L84" s="235" t="s">
        <v>1980</v>
      </c>
      <c r="M84" s="235" t="s">
        <v>2021</v>
      </c>
      <c r="N84" s="235"/>
      <c r="O84" s="235" t="s">
        <v>904</v>
      </c>
      <c r="P84" s="235"/>
      <c r="Q84" s="235"/>
      <c r="R84" s="235"/>
      <c r="S84" s="235"/>
      <c r="T84" s="235"/>
      <c r="U84" s="235"/>
      <c r="V84" s="235"/>
      <c r="W84" s="235"/>
      <c r="X84" s="234" t="s">
        <v>1755</v>
      </c>
      <c r="Y84" s="235"/>
    </row>
    <row r="85" spans="1:25" s="238" customFormat="1" ht="16.5" customHeight="1">
      <c r="A85" s="234">
        <v>82</v>
      </c>
      <c r="B85" s="235" t="s">
        <v>892</v>
      </c>
      <c r="C85" s="235" t="s">
        <v>896</v>
      </c>
      <c r="D85" s="235" t="s">
        <v>711</v>
      </c>
      <c r="E85" s="235" t="s">
        <v>902</v>
      </c>
      <c r="F85" s="235" t="s">
        <v>899</v>
      </c>
      <c r="G85" s="235" t="s">
        <v>897</v>
      </c>
      <c r="H85" s="235" t="s">
        <v>405</v>
      </c>
      <c r="I85" s="215">
        <v>5940000</v>
      </c>
      <c r="J85" s="237">
        <v>44641</v>
      </c>
      <c r="K85" s="237">
        <v>44662</v>
      </c>
      <c r="L85" s="237">
        <v>44641</v>
      </c>
      <c r="M85" s="237">
        <v>44656</v>
      </c>
      <c r="N85" s="235"/>
      <c r="O85" s="235" t="s">
        <v>903</v>
      </c>
      <c r="P85" s="235"/>
      <c r="Q85" s="235"/>
      <c r="R85" s="235"/>
      <c r="S85" s="235"/>
      <c r="T85" s="235"/>
      <c r="U85" s="235"/>
      <c r="V85" s="235"/>
      <c r="W85" s="235"/>
      <c r="X85" s="234" t="s">
        <v>1185</v>
      </c>
      <c r="Y85" s="235"/>
    </row>
    <row r="86" spans="1:25" s="238" customFormat="1" ht="16.5" customHeight="1">
      <c r="A86" s="234">
        <v>83</v>
      </c>
      <c r="B86" s="235" t="s">
        <v>893</v>
      </c>
      <c r="C86" s="235" t="s">
        <v>897</v>
      </c>
      <c r="D86" s="235" t="s">
        <v>406</v>
      </c>
      <c r="E86" s="235" t="s">
        <v>1349</v>
      </c>
      <c r="F86" s="235" t="s">
        <v>899</v>
      </c>
      <c r="G86" s="250" t="s">
        <v>814</v>
      </c>
      <c r="H86" s="235" t="s">
        <v>405</v>
      </c>
      <c r="I86" s="215">
        <v>224631000</v>
      </c>
      <c r="J86" s="237">
        <v>44641</v>
      </c>
      <c r="K86" s="237">
        <v>44727</v>
      </c>
      <c r="L86" s="235" t="s">
        <v>1338</v>
      </c>
      <c r="M86" s="235" t="s">
        <v>1339</v>
      </c>
      <c r="N86" s="235"/>
      <c r="O86" s="235" t="s">
        <v>944</v>
      </c>
      <c r="P86" s="235"/>
      <c r="Q86" s="235"/>
      <c r="R86" s="235"/>
      <c r="S86" s="235"/>
      <c r="T86" s="235"/>
      <c r="U86" s="235"/>
      <c r="V86" s="235"/>
      <c r="W86" s="235"/>
      <c r="X86" s="234" t="s">
        <v>962</v>
      </c>
      <c r="Y86" s="235"/>
    </row>
    <row r="87" spans="1:25" s="238" customFormat="1" ht="16.5" customHeight="1">
      <c r="A87" s="234">
        <v>84</v>
      </c>
      <c r="B87" s="235" t="s">
        <v>894</v>
      </c>
      <c r="C87" s="235" t="s">
        <v>898</v>
      </c>
      <c r="D87" s="235" t="s">
        <v>871</v>
      </c>
      <c r="E87" s="235" t="s">
        <v>1101</v>
      </c>
      <c r="F87" s="235" t="s">
        <v>899</v>
      </c>
      <c r="G87" s="235" t="s">
        <v>897</v>
      </c>
      <c r="H87" s="235" t="s">
        <v>900</v>
      </c>
      <c r="I87" s="215">
        <v>2858900</v>
      </c>
      <c r="J87" s="237">
        <v>44641</v>
      </c>
      <c r="K87" s="237">
        <v>44697</v>
      </c>
      <c r="L87" s="237">
        <v>44670</v>
      </c>
      <c r="M87" s="237">
        <v>44677</v>
      </c>
      <c r="N87" s="235"/>
      <c r="O87" s="235" t="s">
        <v>901</v>
      </c>
      <c r="P87" s="235"/>
      <c r="Q87" s="235"/>
      <c r="R87" s="235"/>
      <c r="S87" s="235"/>
      <c r="T87" s="235"/>
      <c r="U87" s="235"/>
      <c r="V87" s="235"/>
      <c r="W87" s="235"/>
      <c r="X87" s="234" t="s">
        <v>2135</v>
      </c>
      <c r="Y87" s="235"/>
    </row>
    <row r="88" spans="1:25" s="238" customFormat="1" ht="16.5" customHeight="1">
      <c r="A88" s="234">
        <v>85</v>
      </c>
      <c r="B88" s="235" t="s">
        <v>894</v>
      </c>
      <c r="C88" s="235" t="s">
        <v>898</v>
      </c>
      <c r="D88" s="235" t="s">
        <v>871</v>
      </c>
      <c r="E88" s="235" t="s">
        <v>1099</v>
      </c>
      <c r="F88" s="235" t="s">
        <v>899</v>
      </c>
      <c r="G88" s="235" t="s">
        <v>897</v>
      </c>
      <c r="H88" s="235" t="s">
        <v>900</v>
      </c>
      <c r="I88" s="215">
        <v>2858900</v>
      </c>
      <c r="J88" s="237">
        <v>44641</v>
      </c>
      <c r="K88" s="237">
        <v>44697</v>
      </c>
      <c r="L88" s="237">
        <v>44670</v>
      </c>
      <c r="M88" s="237">
        <v>44678</v>
      </c>
      <c r="N88" s="235"/>
      <c r="O88" s="235" t="s">
        <v>901</v>
      </c>
      <c r="P88" s="235"/>
      <c r="Q88" s="235"/>
      <c r="R88" s="235"/>
      <c r="S88" s="235"/>
      <c r="T88" s="235"/>
      <c r="U88" s="235"/>
      <c r="V88" s="235"/>
      <c r="W88" s="235"/>
      <c r="X88" s="234" t="s">
        <v>1070</v>
      </c>
      <c r="Y88" s="235"/>
    </row>
    <row r="89" spans="1:25" s="238" customFormat="1" ht="16.5" customHeight="1">
      <c r="A89" s="234">
        <v>86</v>
      </c>
      <c r="B89" s="235" t="s">
        <v>409</v>
      </c>
      <c r="C89" s="235" t="s">
        <v>994</v>
      </c>
      <c r="D89" s="235" t="s">
        <v>406</v>
      </c>
      <c r="E89" s="235" t="s">
        <v>2136</v>
      </c>
      <c r="F89" s="235" t="s">
        <v>502</v>
      </c>
      <c r="G89" s="235" t="s">
        <v>408</v>
      </c>
      <c r="H89" s="235" t="s">
        <v>405</v>
      </c>
      <c r="I89" s="215">
        <v>67100000</v>
      </c>
      <c r="J89" s="237">
        <v>44563</v>
      </c>
      <c r="K89" s="235"/>
      <c r="L89" s="237" t="s">
        <v>2168</v>
      </c>
      <c r="M89" s="237">
        <v>44924</v>
      </c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4" t="s">
        <v>2061</v>
      </c>
      <c r="Y89" s="235"/>
    </row>
    <row r="90" spans="1:25" s="238" customFormat="1" ht="16.5" customHeight="1">
      <c r="A90" s="234">
        <v>87</v>
      </c>
      <c r="B90" s="235" t="s">
        <v>908</v>
      </c>
      <c r="C90" s="235" t="s">
        <v>909</v>
      </c>
      <c r="D90" s="235" t="s">
        <v>407</v>
      </c>
      <c r="E90" s="235" t="s">
        <v>732</v>
      </c>
      <c r="F90" s="235" t="s">
        <v>591</v>
      </c>
      <c r="G90" s="235" t="s">
        <v>408</v>
      </c>
      <c r="H90" s="235" t="s">
        <v>405</v>
      </c>
      <c r="I90" s="215">
        <v>2200000</v>
      </c>
      <c r="J90" s="237">
        <v>44643</v>
      </c>
      <c r="K90" s="237">
        <v>44659</v>
      </c>
      <c r="L90" s="237">
        <v>44662</v>
      </c>
      <c r="M90" s="237">
        <v>44663</v>
      </c>
      <c r="N90" s="235"/>
      <c r="O90" s="235" t="s">
        <v>715</v>
      </c>
      <c r="P90" s="235"/>
      <c r="Q90" s="235"/>
      <c r="R90" s="235"/>
      <c r="S90" s="235"/>
      <c r="T90" s="235"/>
      <c r="U90" s="235"/>
      <c r="V90" s="235"/>
      <c r="W90" s="235"/>
      <c r="X90" s="234" t="s">
        <v>1049</v>
      </c>
      <c r="Y90" s="235"/>
    </row>
    <row r="91" spans="1:25" s="238" customFormat="1" ht="16.5" customHeight="1">
      <c r="A91" s="234">
        <v>88</v>
      </c>
      <c r="B91" s="235" t="s">
        <v>581</v>
      </c>
      <c r="C91" s="235" t="s">
        <v>582</v>
      </c>
      <c r="D91" s="235" t="s">
        <v>406</v>
      </c>
      <c r="E91" s="235" t="s">
        <v>912</v>
      </c>
      <c r="F91" s="235" t="s">
        <v>591</v>
      </c>
      <c r="G91" s="235" t="s">
        <v>408</v>
      </c>
      <c r="H91" s="235" t="s">
        <v>405</v>
      </c>
      <c r="I91" s="215">
        <f>3000000*1.1*3</f>
        <v>9900000.0000000019</v>
      </c>
      <c r="J91" s="237">
        <v>44643</v>
      </c>
      <c r="K91" s="235" t="s">
        <v>713</v>
      </c>
      <c r="L91" s="237">
        <v>44655</v>
      </c>
      <c r="M91" s="237">
        <v>44691</v>
      </c>
      <c r="N91" s="235"/>
      <c r="O91" s="235" t="s">
        <v>915</v>
      </c>
      <c r="P91" s="235"/>
      <c r="Q91" s="235"/>
      <c r="R91" s="235"/>
      <c r="S91" s="235"/>
      <c r="T91" s="235"/>
      <c r="U91" s="235"/>
      <c r="V91" s="235"/>
      <c r="W91" s="235"/>
      <c r="X91" s="234" t="s">
        <v>1116</v>
      </c>
      <c r="Y91" s="235"/>
    </row>
    <row r="92" spans="1:25" s="238" customFormat="1" ht="16.5" customHeight="1">
      <c r="A92" s="234">
        <v>89</v>
      </c>
      <c r="B92" s="235" t="s">
        <v>705</v>
      </c>
      <c r="C92" s="235" t="s">
        <v>910</v>
      </c>
      <c r="D92" s="235" t="s">
        <v>406</v>
      </c>
      <c r="E92" s="235" t="s">
        <v>913</v>
      </c>
      <c r="F92" s="235" t="s">
        <v>591</v>
      </c>
      <c r="G92" s="235" t="s">
        <v>408</v>
      </c>
      <c r="H92" s="235" t="s">
        <v>405</v>
      </c>
      <c r="I92" s="215">
        <v>18480000</v>
      </c>
      <c r="J92" s="237">
        <v>44643</v>
      </c>
      <c r="K92" s="235" t="s">
        <v>713</v>
      </c>
      <c r="L92" s="237">
        <v>44643</v>
      </c>
      <c r="M92" s="237">
        <v>44657</v>
      </c>
      <c r="N92" s="235"/>
      <c r="O92" s="235" t="s">
        <v>915</v>
      </c>
      <c r="P92" s="235"/>
      <c r="Q92" s="235"/>
      <c r="R92" s="235"/>
      <c r="S92" s="235"/>
      <c r="T92" s="235"/>
      <c r="U92" s="235"/>
      <c r="V92" s="235"/>
      <c r="W92" s="235"/>
      <c r="X92" s="241" t="s">
        <v>2133</v>
      </c>
      <c r="Y92" s="235"/>
    </row>
    <row r="93" spans="1:25" s="238" customFormat="1" ht="16.5" customHeight="1">
      <c r="A93" s="234">
        <v>90</v>
      </c>
      <c r="B93" s="235" t="s">
        <v>412</v>
      </c>
      <c r="C93" s="235" t="s">
        <v>911</v>
      </c>
      <c r="D93" s="235" t="s">
        <v>404</v>
      </c>
      <c r="E93" s="235" t="s">
        <v>914</v>
      </c>
      <c r="F93" s="235" t="s">
        <v>591</v>
      </c>
      <c r="G93" s="235" t="s">
        <v>408</v>
      </c>
      <c r="H93" s="235" t="s">
        <v>733</v>
      </c>
      <c r="I93" s="215" t="s">
        <v>916</v>
      </c>
      <c r="J93" s="237">
        <v>44643</v>
      </c>
      <c r="K93" s="237">
        <v>44895</v>
      </c>
      <c r="L93" s="235" t="s">
        <v>408</v>
      </c>
      <c r="M93" s="235" t="s">
        <v>408</v>
      </c>
      <c r="N93" s="235"/>
      <c r="O93" s="235" t="s">
        <v>715</v>
      </c>
      <c r="P93" s="235"/>
      <c r="Q93" s="235"/>
      <c r="R93" s="235"/>
      <c r="S93" s="235"/>
      <c r="T93" s="235"/>
      <c r="U93" s="235"/>
      <c r="V93" s="235"/>
      <c r="W93" s="235"/>
      <c r="X93" s="234" t="s">
        <v>1115</v>
      </c>
      <c r="Y93" s="235"/>
    </row>
    <row r="94" spans="1:25" s="238" customFormat="1" ht="16.5" customHeight="1">
      <c r="A94" s="234">
        <v>91</v>
      </c>
      <c r="B94" s="235" t="s">
        <v>412</v>
      </c>
      <c r="C94" s="235" t="s">
        <v>729</v>
      </c>
      <c r="D94" s="235" t="s">
        <v>404</v>
      </c>
      <c r="E94" s="235" t="s">
        <v>588</v>
      </c>
      <c r="F94" s="235" t="s">
        <v>591</v>
      </c>
      <c r="G94" s="235" t="s">
        <v>809</v>
      </c>
      <c r="H94" s="235" t="s">
        <v>733</v>
      </c>
      <c r="I94" s="215" t="s">
        <v>919</v>
      </c>
      <c r="J94" s="237">
        <v>44645</v>
      </c>
      <c r="K94" s="237">
        <v>44895</v>
      </c>
      <c r="L94" s="235" t="s">
        <v>408</v>
      </c>
      <c r="M94" s="235" t="s">
        <v>408</v>
      </c>
      <c r="N94" s="235"/>
      <c r="O94" s="235" t="s">
        <v>715</v>
      </c>
      <c r="P94" s="235"/>
      <c r="Q94" s="235"/>
      <c r="R94" s="235"/>
      <c r="S94" s="235"/>
      <c r="T94" s="235"/>
      <c r="U94" s="235"/>
      <c r="V94" s="235"/>
      <c r="W94" s="235"/>
      <c r="X94" s="234" t="s">
        <v>1115</v>
      </c>
      <c r="Y94" s="235"/>
    </row>
    <row r="95" spans="1:25" s="238" customFormat="1" ht="16.5" customHeight="1">
      <c r="A95" s="234">
        <v>92</v>
      </c>
      <c r="B95" s="235" t="s">
        <v>768</v>
      </c>
      <c r="C95" s="235" t="s">
        <v>769</v>
      </c>
      <c r="D95" s="235" t="s">
        <v>703</v>
      </c>
      <c r="E95" s="235" t="s">
        <v>917</v>
      </c>
      <c r="F95" s="235" t="s">
        <v>591</v>
      </c>
      <c r="G95" s="235" t="s">
        <v>918</v>
      </c>
      <c r="H95" s="235" t="s">
        <v>405</v>
      </c>
      <c r="I95" s="215">
        <v>16170000</v>
      </c>
      <c r="J95" s="237">
        <v>44645</v>
      </c>
      <c r="K95" s="235"/>
      <c r="L95" s="235"/>
      <c r="M95" s="235" t="s">
        <v>948</v>
      </c>
      <c r="N95" s="235"/>
      <c r="O95" s="235" t="s">
        <v>596</v>
      </c>
      <c r="P95" s="235"/>
      <c r="Q95" s="235"/>
      <c r="R95" s="235"/>
      <c r="S95" s="235"/>
      <c r="T95" s="235"/>
      <c r="U95" s="235"/>
      <c r="V95" s="235"/>
      <c r="W95" s="235"/>
      <c r="X95" s="234"/>
      <c r="Y95" s="235"/>
    </row>
    <row r="96" spans="1:25" s="238" customFormat="1" ht="16.5" customHeight="1">
      <c r="A96" s="234">
        <v>93</v>
      </c>
      <c r="B96" s="235" t="s">
        <v>512</v>
      </c>
      <c r="C96" s="235" t="s">
        <v>920</v>
      </c>
      <c r="D96" s="235" t="s">
        <v>871</v>
      </c>
      <c r="E96" s="235" t="s">
        <v>921</v>
      </c>
      <c r="F96" s="235" t="s">
        <v>591</v>
      </c>
      <c r="G96" s="235" t="s">
        <v>922</v>
      </c>
      <c r="H96" s="235" t="s">
        <v>405</v>
      </c>
      <c r="I96" s="215">
        <v>27500000</v>
      </c>
      <c r="J96" s="237">
        <v>44645</v>
      </c>
      <c r="K96" s="237">
        <v>44804</v>
      </c>
      <c r="L96" s="237">
        <v>44749</v>
      </c>
      <c r="M96" s="237">
        <v>44754</v>
      </c>
      <c r="N96" s="235"/>
      <c r="O96" s="235" t="s">
        <v>923</v>
      </c>
      <c r="P96" s="235"/>
      <c r="Q96" s="235"/>
      <c r="R96" s="235"/>
      <c r="S96" s="235"/>
      <c r="T96" s="235"/>
      <c r="U96" s="235"/>
      <c r="V96" s="235"/>
      <c r="W96" s="235"/>
      <c r="X96" s="234" t="s">
        <v>1308</v>
      </c>
      <c r="Y96" s="235"/>
    </row>
    <row r="97" spans="1:25" s="238" customFormat="1" ht="16.5" customHeight="1">
      <c r="A97" s="234">
        <v>94</v>
      </c>
      <c r="B97" s="235" t="s">
        <v>924</v>
      </c>
      <c r="C97" s="235" t="s">
        <v>925</v>
      </c>
      <c r="D97" s="235" t="s">
        <v>807</v>
      </c>
      <c r="E97" s="235" t="s">
        <v>926</v>
      </c>
      <c r="F97" s="235" t="s">
        <v>591</v>
      </c>
      <c r="G97" s="235" t="s">
        <v>922</v>
      </c>
      <c r="H97" s="235" t="s">
        <v>405</v>
      </c>
      <c r="I97" s="215">
        <v>12936000</v>
      </c>
      <c r="J97" s="237">
        <v>44645</v>
      </c>
      <c r="K97" s="237">
        <v>44771</v>
      </c>
      <c r="L97" s="237">
        <v>44729</v>
      </c>
      <c r="M97" s="237">
        <v>44733</v>
      </c>
      <c r="N97" s="235"/>
      <c r="O97" s="235" t="s">
        <v>927</v>
      </c>
      <c r="P97" s="235"/>
      <c r="Q97" s="235"/>
      <c r="R97" s="235"/>
      <c r="S97" s="235"/>
      <c r="T97" s="235"/>
      <c r="U97" s="235"/>
      <c r="V97" s="235"/>
      <c r="W97" s="235"/>
      <c r="X97" s="234" t="s">
        <v>1243</v>
      </c>
      <c r="Y97" s="235"/>
    </row>
    <row r="98" spans="1:25" s="238" customFormat="1" ht="16.5" customHeight="1">
      <c r="A98" s="234">
        <v>95</v>
      </c>
      <c r="B98" s="234" t="s">
        <v>503</v>
      </c>
      <c r="C98" s="234" t="s">
        <v>408</v>
      </c>
      <c r="D98" s="234" t="s">
        <v>406</v>
      </c>
      <c r="E98" s="234" t="s">
        <v>936</v>
      </c>
      <c r="F98" s="234" t="s">
        <v>502</v>
      </c>
      <c r="G98" s="235" t="s">
        <v>939</v>
      </c>
      <c r="H98" s="235" t="s">
        <v>405</v>
      </c>
      <c r="I98" s="215">
        <v>1053950540</v>
      </c>
      <c r="J98" s="237">
        <v>44645</v>
      </c>
      <c r="K98" s="237">
        <v>44904</v>
      </c>
      <c r="L98" s="235" t="s">
        <v>2072</v>
      </c>
      <c r="M98" s="235" t="s">
        <v>2099</v>
      </c>
      <c r="N98" s="235"/>
      <c r="O98" s="235" t="s">
        <v>944</v>
      </c>
      <c r="P98" s="235"/>
      <c r="Q98" s="235"/>
      <c r="R98" s="235"/>
      <c r="S98" s="235"/>
      <c r="T98" s="235"/>
      <c r="U98" s="235"/>
      <c r="V98" s="235"/>
      <c r="W98" s="235"/>
      <c r="X98" s="234" t="s">
        <v>864</v>
      </c>
      <c r="Y98" s="235"/>
    </row>
    <row r="99" spans="1:25" s="238" customFormat="1" ht="16.5" customHeight="1">
      <c r="A99" s="234">
        <v>96</v>
      </c>
      <c r="B99" s="235" t="s">
        <v>934</v>
      </c>
      <c r="C99" s="235" t="s">
        <v>942</v>
      </c>
      <c r="D99" s="235" t="s">
        <v>406</v>
      </c>
      <c r="E99" s="235" t="s">
        <v>937</v>
      </c>
      <c r="F99" s="235" t="s">
        <v>502</v>
      </c>
      <c r="G99" s="235" t="s">
        <v>408</v>
      </c>
      <c r="H99" s="235" t="s">
        <v>405</v>
      </c>
      <c r="I99" s="215">
        <v>67000000</v>
      </c>
      <c r="J99" s="237">
        <v>44643</v>
      </c>
      <c r="K99" s="237">
        <v>44926</v>
      </c>
      <c r="L99" s="235" t="s">
        <v>408</v>
      </c>
      <c r="M99" s="235" t="s">
        <v>408</v>
      </c>
      <c r="N99" s="235"/>
      <c r="O99" s="235" t="s">
        <v>804</v>
      </c>
      <c r="P99" s="235"/>
      <c r="Q99" s="235"/>
      <c r="R99" s="235"/>
      <c r="S99" s="235"/>
      <c r="T99" s="235"/>
      <c r="U99" s="235"/>
      <c r="V99" s="235"/>
      <c r="W99" s="235"/>
      <c r="X99" s="235" t="s">
        <v>943</v>
      </c>
      <c r="Y99" s="235"/>
    </row>
    <row r="100" spans="1:25" s="238" customFormat="1" ht="16.5" customHeight="1">
      <c r="A100" s="234">
        <v>97</v>
      </c>
      <c r="B100" s="235" t="s">
        <v>1594</v>
      </c>
      <c r="C100" s="235" t="s">
        <v>928</v>
      </c>
      <c r="D100" s="235" t="s">
        <v>929</v>
      </c>
      <c r="E100" s="235" t="s">
        <v>1036</v>
      </c>
      <c r="F100" s="235" t="s">
        <v>591</v>
      </c>
      <c r="G100" s="235" t="s">
        <v>408</v>
      </c>
      <c r="H100" s="235" t="s">
        <v>405</v>
      </c>
      <c r="I100" s="215">
        <v>3509000</v>
      </c>
      <c r="J100" s="237">
        <v>44651</v>
      </c>
      <c r="K100" s="237">
        <v>44658</v>
      </c>
      <c r="L100" s="237">
        <v>44651</v>
      </c>
      <c r="M100" s="237">
        <v>44663</v>
      </c>
      <c r="N100" s="235"/>
      <c r="O100" s="235" t="s">
        <v>596</v>
      </c>
      <c r="P100" s="235"/>
      <c r="Q100" s="235"/>
      <c r="R100" s="235"/>
      <c r="S100" s="235"/>
      <c r="T100" s="235"/>
      <c r="U100" s="235"/>
      <c r="V100" s="235"/>
      <c r="W100" s="235"/>
      <c r="X100" s="234" t="s">
        <v>930</v>
      </c>
      <c r="Y100" s="235"/>
    </row>
    <row r="101" spans="1:25" s="238" customFormat="1" ht="16.5" customHeight="1">
      <c r="A101" s="234">
        <v>98</v>
      </c>
      <c r="B101" s="235" t="s">
        <v>935</v>
      </c>
      <c r="C101" s="235" t="s">
        <v>408</v>
      </c>
      <c r="D101" s="235" t="s">
        <v>718</v>
      </c>
      <c r="E101" s="235" t="s">
        <v>950</v>
      </c>
      <c r="F101" s="235" t="s">
        <v>591</v>
      </c>
      <c r="G101" s="235" t="s">
        <v>408</v>
      </c>
      <c r="H101" s="235" t="s">
        <v>405</v>
      </c>
      <c r="I101" s="215">
        <v>1210000</v>
      </c>
      <c r="J101" s="237">
        <v>44651</v>
      </c>
      <c r="K101" s="235" t="s">
        <v>713</v>
      </c>
      <c r="L101" s="237">
        <v>44651</v>
      </c>
      <c r="M101" s="237">
        <v>44652</v>
      </c>
      <c r="N101" s="235"/>
      <c r="O101" s="235" t="s">
        <v>715</v>
      </c>
      <c r="P101" s="235"/>
      <c r="Q101" s="235"/>
      <c r="R101" s="235"/>
      <c r="S101" s="235"/>
      <c r="T101" s="235"/>
      <c r="U101" s="235"/>
      <c r="V101" s="235"/>
      <c r="W101" s="235"/>
      <c r="X101" s="234" t="s">
        <v>1003</v>
      </c>
      <c r="Y101" s="235"/>
    </row>
    <row r="102" spans="1:25" s="238" customFormat="1" ht="16.5" customHeight="1">
      <c r="A102" s="234">
        <v>99</v>
      </c>
      <c r="B102" s="234" t="s">
        <v>503</v>
      </c>
      <c r="C102" s="234" t="s">
        <v>408</v>
      </c>
      <c r="D102" s="234" t="s">
        <v>406</v>
      </c>
      <c r="E102" s="234" t="s">
        <v>938</v>
      </c>
      <c r="F102" s="234" t="s">
        <v>502</v>
      </c>
      <c r="G102" s="235" t="s">
        <v>940</v>
      </c>
      <c r="H102" s="235" t="s">
        <v>405</v>
      </c>
      <c r="I102" s="215">
        <v>719440000</v>
      </c>
      <c r="J102" s="237">
        <v>44651</v>
      </c>
      <c r="K102" s="237">
        <v>44918</v>
      </c>
      <c r="L102" s="235" t="s">
        <v>2129</v>
      </c>
      <c r="M102" s="235" t="s">
        <v>2130</v>
      </c>
      <c r="N102" s="235"/>
      <c r="O102" s="235" t="s">
        <v>752</v>
      </c>
      <c r="P102" s="235"/>
      <c r="Q102" s="235"/>
      <c r="R102" s="235"/>
      <c r="S102" s="235"/>
      <c r="T102" s="235"/>
      <c r="U102" s="235"/>
      <c r="V102" s="235"/>
      <c r="W102" s="235"/>
      <c r="X102" s="234" t="s">
        <v>864</v>
      </c>
      <c r="Y102" s="235"/>
    </row>
    <row r="103" spans="1:25" s="238" customFormat="1" ht="16.5" customHeight="1">
      <c r="A103" s="234">
        <v>100</v>
      </c>
      <c r="B103" s="235" t="s">
        <v>931</v>
      </c>
      <c r="C103" s="235" t="s">
        <v>408</v>
      </c>
      <c r="D103" s="235" t="s">
        <v>932</v>
      </c>
      <c r="E103" s="235" t="s">
        <v>933</v>
      </c>
      <c r="F103" s="235" t="s">
        <v>591</v>
      </c>
      <c r="G103" s="235" t="s">
        <v>809</v>
      </c>
      <c r="H103" s="235" t="s">
        <v>405</v>
      </c>
      <c r="I103" s="215">
        <v>56650000</v>
      </c>
      <c r="J103" s="237">
        <v>44652</v>
      </c>
      <c r="K103" s="237">
        <v>44774</v>
      </c>
      <c r="L103" s="237" t="s">
        <v>1219</v>
      </c>
      <c r="M103" s="237" t="s">
        <v>1264</v>
      </c>
      <c r="N103" s="235"/>
      <c r="O103" s="235" t="s">
        <v>596</v>
      </c>
      <c r="P103" s="235"/>
      <c r="Q103" s="235"/>
      <c r="R103" s="235"/>
      <c r="S103" s="235"/>
      <c r="T103" s="235"/>
      <c r="U103" s="235"/>
      <c r="V103" s="235"/>
      <c r="W103" s="235"/>
      <c r="X103" s="234" t="s">
        <v>1091</v>
      </c>
      <c r="Y103" s="235"/>
    </row>
    <row r="104" spans="1:25" s="238" customFormat="1" ht="16.5" customHeight="1">
      <c r="A104" s="234">
        <v>101</v>
      </c>
      <c r="B104" s="235" t="s">
        <v>956</v>
      </c>
      <c r="C104" s="235" t="s">
        <v>408</v>
      </c>
      <c r="D104" s="235" t="s">
        <v>957</v>
      </c>
      <c r="E104" s="235" t="s">
        <v>955</v>
      </c>
      <c r="F104" s="235" t="s">
        <v>591</v>
      </c>
      <c r="G104" s="235" t="s">
        <v>809</v>
      </c>
      <c r="H104" s="235" t="s">
        <v>405</v>
      </c>
      <c r="I104" s="215">
        <v>125433000</v>
      </c>
      <c r="J104" s="237">
        <v>44652</v>
      </c>
      <c r="K104" s="237">
        <v>44742</v>
      </c>
      <c r="L104" s="237">
        <v>44734</v>
      </c>
      <c r="M104" s="237">
        <v>44735</v>
      </c>
      <c r="N104" s="235"/>
      <c r="O104" s="235" t="s">
        <v>590</v>
      </c>
      <c r="P104" s="235"/>
      <c r="Q104" s="235"/>
      <c r="R104" s="235"/>
      <c r="S104" s="235"/>
      <c r="T104" s="235"/>
      <c r="U104" s="235"/>
      <c r="V104" s="235"/>
      <c r="W104" s="235"/>
      <c r="X104" s="234" t="s">
        <v>1362</v>
      </c>
      <c r="Y104" s="235"/>
    </row>
    <row r="105" spans="1:25" s="238" customFormat="1" ht="16.5" customHeight="1">
      <c r="A105" s="234">
        <v>102</v>
      </c>
      <c r="B105" s="235" t="s">
        <v>951</v>
      </c>
      <c r="C105" s="235" t="s">
        <v>408</v>
      </c>
      <c r="D105" s="235" t="s">
        <v>952</v>
      </c>
      <c r="E105" s="235" t="s">
        <v>953</v>
      </c>
      <c r="F105" s="235" t="s">
        <v>591</v>
      </c>
      <c r="G105" s="235" t="s">
        <v>809</v>
      </c>
      <c r="H105" s="235" t="s">
        <v>405</v>
      </c>
      <c r="I105" s="215">
        <v>29700000</v>
      </c>
      <c r="J105" s="237">
        <v>44648</v>
      </c>
      <c r="K105" s="235" t="s">
        <v>713</v>
      </c>
      <c r="L105" s="237">
        <v>44651</v>
      </c>
      <c r="M105" s="237">
        <v>44658</v>
      </c>
      <c r="N105" s="235"/>
      <c r="O105" s="235" t="s">
        <v>596</v>
      </c>
      <c r="P105" s="235"/>
      <c r="Q105" s="235"/>
      <c r="R105" s="235"/>
      <c r="S105" s="235"/>
      <c r="T105" s="235"/>
      <c r="U105" s="235"/>
      <c r="V105" s="235"/>
      <c r="W105" s="235"/>
      <c r="X105" s="234" t="s">
        <v>954</v>
      </c>
      <c r="Y105" s="235"/>
    </row>
    <row r="106" spans="1:25" s="238" customFormat="1" ht="16.5" customHeight="1">
      <c r="A106" s="234">
        <v>103</v>
      </c>
      <c r="B106" s="235" t="s">
        <v>512</v>
      </c>
      <c r="C106" s="235" t="s">
        <v>964</v>
      </c>
      <c r="D106" s="235" t="s">
        <v>788</v>
      </c>
      <c r="E106" s="235" t="s">
        <v>963</v>
      </c>
      <c r="F106" s="235" t="s">
        <v>591</v>
      </c>
      <c r="G106" s="235" t="s">
        <v>809</v>
      </c>
      <c r="H106" s="235" t="s">
        <v>405</v>
      </c>
      <c r="I106" s="215">
        <v>2640000</v>
      </c>
      <c r="J106" s="237">
        <v>44656</v>
      </c>
      <c r="K106" s="235" t="s">
        <v>713</v>
      </c>
      <c r="L106" s="237">
        <v>44680</v>
      </c>
      <c r="M106" s="237">
        <v>44684</v>
      </c>
      <c r="N106" s="235"/>
      <c r="O106" s="235" t="s">
        <v>1783</v>
      </c>
      <c r="P106" s="235"/>
      <c r="Q106" s="235"/>
      <c r="R106" s="235"/>
      <c r="S106" s="235"/>
      <c r="T106" s="235"/>
      <c r="U106" s="235"/>
      <c r="V106" s="235"/>
      <c r="W106" s="235"/>
      <c r="X106" s="234" t="s">
        <v>1095</v>
      </c>
      <c r="Y106" s="235"/>
    </row>
    <row r="107" spans="1:25" s="238" customFormat="1" ht="16.5" customHeight="1">
      <c r="A107" s="234">
        <v>104</v>
      </c>
      <c r="B107" s="235" t="s">
        <v>834</v>
      </c>
      <c r="C107" s="235" t="s">
        <v>966</v>
      </c>
      <c r="D107" s="235" t="s">
        <v>967</v>
      </c>
      <c r="E107" s="235" t="s">
        <v>968</v>
      </c>
      <c r="F107" s="235" t="s">
        <v>591</v>
      </c>
      <c r="G107" s="240" t="s">
        <v>408</v>
      </c>
      <c r="H107" s="235" t="s">
        <v>733</v>
      </c>
      <c r="I107" s="215" t="s">
        <v>969</v>
      </c>
      <c r="J107" s="237">
        <v>44656</v>
      </c>
      <c r="K107" s="251" t="s">
        <v>970</v>
      </c>
      <c r="L107" s="235" t="s">
        <v>408</v>
      </c>
      <c r="M107" s="235" t="s">
        <v>408</v>
      </c>
      <c r="N107" s="235"/>
      <c r="O107" s="235" t="s">
        <v>584</v>
      </c>
      <c r="P107" s="235"/>
      <c r="Q107" s="235"/>
      <c r="R107" s="235"/>
      <c r="S107" s="235"/>
      <c r="T107" s="235"/>
      <c r="U107" s="235"/>
      <c r="V107" s="235"/>
      <c r="W107" s="235"/>
      <c r="X107" s="234" t="s">
        <v>1115</v>
      </c>
      <c r="Y107" s="235"/>
    </row>
    <row r="108" spans="1:25" s="238" customFormat="1" ht="16.5" customHeight="1">
      <c r="A108" s="234">
        <v>105</v>
      </c>
      <c r="B108" s="235" t="s">
        <v>973</v>
      </c>
      <c r="C108" s="235" t="s">
        <v>408</v>
      </c>
      <c r="D108" s="235" t="s">
        <v>406</v>
      </c>
      <c r="E108" s="235" t="s">
        <v>972</v>
      </c>
      <c r="F108" s="235" t="s">
        <v>591</v>
      </c>
      <c r="G108" s="240" t="s">
        <v>408</v>
      </c>
      <c r="H108" s="235" t="s">
        <v>405</v>
      </c>
      <c r="I108" s="215">
        <v>360000000</v>
      </c>
      <c r="J108" s="237">
        <v>44658</v>
      </c>
      <c r="K108" s="235" t="s">
        <v>713</v>
      </c>
      <c r="L108" s="235" t="s">
        <v>408</v>
      </c>
      <c r="M108" s="237">
        <v>44638</v>
      </c>
      <c r="N108" s="235"/>
      <c r="O108" s="235" t="s">
        <v>941</v>
      </c>
      <c r="P108" s="235"/>
      <c r="Q108" s="235"/>
      <c r="R108" s="235"/>
      <c r="S108" s="235"/>
      <c r="T108" s="235"/>
      <c r="U108" s="235"/>
      <c r="V108" s="235"/>
      <c r="W108" s="235"/>
      <c r="X108" s="234" t="s">
        <v>1731</v>
      </c>
      <c r="Y108" s="235"/>
    </row>
    <row r="109" spans="1:25" s="238" customFormat="1" ht="16.5" customHeight="1">
      <c r="A109" s="234">
        <v>106</v>
      </c>
      <c r="B109" s="235" t="s">
        <v>512</v>
      </c>
      <c r="C109" s="235" t="s">
        <v>870</v>
      </c>
      <c r="D109" s="235" t="s">
        <v>413</v>
      </c>
      <c r="E109" s="235" t="s">
        <v>976</v>
      </c>
      <c r="F109" s="235" t="s">
        <v>591</v>
      </c>
      <c r="G109" s="240" t="s">
        <v>408</v>
      </c>
      <c r="H109" s="235" t="s">
        <v>405</v>
      </c>
      <c r="I109" s="215">
        <v>14850000</v>
      </c>
      <c r="J109" s="237">
        <v>44658</v>
      </c>
      <c r="K109" s="235" t="s">
        <v>713</v>
      </c>
      <c r="L109" s="237">
        <v>44679</v>
      </c>
      <c r="M109" s="237">
        <v>44683</v>
      </c>
      <c r="N109" s="235"/>
      <c r="O109" s="235" t="s">
        <v>584</v>
      </c>
      <c r="P109" s="235"/>
      <c r="Q109" s="235"/>
      <c r="R109" s="235"/>
      <c r="S109" s="235"/>
      <c r="T109" s="235"/>
      <c r="U109" s="235"/>
      <c r="V109" s="235"/>
      <c r="W109" s="235"/>
      <c r="X109" s="234" t="s">
        <v>1275</v>
      </c>
      <c r="Y109" s="235"/>
    </row>
    <row r="110" spans="1:25" s="238" customFormat="1" ht="16.5" customHeight="1">
      <c r="A110" s="234">
        <v>107</v>
      </c>
      <c r="B110" s="235" t="s">
        <v>722</v>
      </c>
      <c r="C110" s="235" t="s">
        <v>408</v>
      </c>
      <c r="D110" s="235" t="s">
        <v>807</v>
      </c>
      <c r="E110" s="235" t="s">
        <v>974</v>
      </c>
      <c r="F110" s="235" t="s">
        <v>591</v>
      </c>
      <c r="G110" s="240" t="s">
        <v>408</v>
      </c>
      <c r="H110" s="235" t="s">
        <v>405</v>
      </c>
      <c r="I110" s="215">
        <v>21890000</v>
      </c>
      <c r="J110" s="237">
        <v>44657</v>
      </c>
      <c r="K110" s="237">
        <v>44810</v>
      </c>
      <c r="L110" s="237">
        <v>44769</v>
      </c>
      <c r="M110" s="237">
        <v>44770</v>
      </c>
      <c r="N110" s="235"/>
      <c r="O110" s="235" t="s">
        <v>975</v>
      </c>
      <c r="P110" s="235"/>
      <c r="Q110" s="235"/>
      <c r="R110" s="235"/>
      <c r="S110" s="235"/>
      <c r="T110" s="235"/>
      <c r="U110" s="235"/>
      <c r="V110" s="235"/>
      <c r="W110" s="235"/>
      <c r="X110" s="234" t="s">
        <v>1386</v>
      </c>
      <c r="Y110" s="235"/>
    </row>
    <row r="111" spans="1:25" s="238" customFormat="1" ht="16.5" customHeight="1">
      <c r="A111" s="234">
        <v>108</v>
      </c>
      <c r="B111" s="235" t="s">
        <v>722</v>
      </c>
      <c r="C111" s="235" t="s">
        <v>408</v>
      </c>
      <c r="D111" s="235" t="s">
        <v>406</v>
      </c>
      <c r="E111" s="235" t="s">
        <v>1191</v>
      </c>
      <c r="F111" s="235" t="s">
        <v>502</v>
      </c>
      <c r="G111" s="240" t="s">
        <v>408</v>
      </c>
      <c r="H111" s="235" t="s">
        <v>405</v>
      </c>
      <c r="I111" s="215">
        <v>78107850</v>
      </c>
      <c r="J111" s="237">
        <v>44659</v>
      </c>
      <c r="K111" s="237">
        <v>44897</v>
      </c>
      <c r="L111" s="235" t="s">
        <v>2116</v>
      </c>
      <c r="M111" s="235" t="s">
        <v>2169</v>
      </c>
      <c r="N111" s="235"/>
      <c r="O111" s="235" t="s">
        <v>981</v>
      </c>
      <c r="P111" s="235"/>
      <c r="Q111" s="235"/>
      <c r="R111" s="235"/>
      <c r="S111" s="235"/>
      <c r="T111" s="235"/>
      <c r="U111" s="235"/>
      <c r="V111" s="235"/>
      <c r="W111" s="235"/>
      <c r="X111" s="234" t="s">
        <v>864</v>
      </c>
      <c r="Y111" s="235"/>
    </row>
    <row r="112" spans="1:25" s="238" customFormat="1" ht="16.5" customHeight="1">
      <c r="A112" s="234">
        <v>109</v>
      </c>
      <c r="B112" s="235" t="s">
        <v>684</v>
      </c>
      <c r="C112" s="235" t="s">
        <v>978</v>
      </c>
      <c r="D112" s="235" t="s">
        <v>979</v>
      </c>
      <c r="E112" s="235" t="s">
        <v>1100</v>
      </c>
      <c r="F112" s="235" t="s">
        <v>591</v>
      </c>
      <c r="G112" s="240" t="s">
        <v>408</v>
      </c>
      <c r="H112" s="235" t="s">
        <v>405</v>
      </c>
      <c r="I112" s="215">
        <v>6688000</v>
      </c>
      <c r="J112" s="237">
        <v>44659</v>
      </c>
      <c r="K112" s="237">
        <v>44720</v>
      </c>
      <c r="L112" s="237">
        <v>44673</v>
      </c>
      <c r="M112" s="237">
        <v>44678</v>
      </c>
      <c r="N112" s="235"/>
      <c r="O112" s="235" t="s">
        <v>596</v>
      </c>
      <c r="P112" s="235"/>
      <c r="Q112" s="235"/>
      <c r="R112" s="235"/>
      <c r="S112" s="235"/>
      <c r="T112" s="235"/>
      <c r="U112" s="235"/>
      <c r="V112" s="235"/>
      <c r="W112" s="235"/>
      <c r="X112" s="234" t="s">
        <v>1089</v>
      </c>
      <c r="Y112" s="235"/>
    </row>
    <row r="113" spans="1:25" s="238" customFormat="1" ht="16.5" customHeight="1">
      <c r="A113" s="234">
        <v>110</v>
      </c>
      <c r="B113" s="235" t="s">
        <v>512</v>
      </c>
      <c r="C113" s="235" t="s">
        <v>699</v>
      </c>
      <c r="D113" s="235" t="s">
        <v>686</v>
      </c>
      <c r="E113" s="235" t="s">
        <v>1001</v>
      </c>
      <c r="F113" s="235" t="s">
        <v>591</v>
      </c>
      <c r="G113" s="240" t="s">
        <v>408</v>
      </c>
      <c r="H113" s="235" t="s">
        <v>405</v>
      </c>
      <c r="I113" s="215">
        <v>37719000</v>
      </c>
      <c r="J113" s="237">
        <v>44662</v>
      </c>
      <c r="K113" s="237">
        <v>44676</v>
      </c>
      <c r="L113" s="237">
        <v>44676</v>
      </c>
      <c r="M113" s="237">
        <v>44677</v>
      </c>
      <c r="N113" s="235"/>
      <c r="O113" s="235" t="s">
        <v>590</v>
      </c>
      <c r="P113" s="235"/>
      <c r="Q113" s="235"/>
      <c r="R113" s="235"/>
      <c r="S113" s="235"/>
      <c r="T113" s="235"/>
      <c r="U113" s="235"/>
      <c r="V113" s="235"/>
      <c r="W113" s="235"/>
      <c r="X113" s="234" t="s">
        <v>1007</v>
      </c>
      <c r="Y113" s="235"/>
    </row>
    <row r="114" spans="1:25" s="238" customFormat="1" ht="16.5" customHeight="1">
      <c r="A114" s="234">
        <v>111</v>
      </c>
      <c r="B114" s="235" t="s">
        <v>683</v>
      </c>
      <c r="C114" s="235" t="s">
        <v>982</v>
      </c>
      <c r="D114" s="235" t="s">
        <v>984</v>
      </c>
      <c r="E114" s="235" t="s">
        <v>983</v>
      </c>
      <c r="F114" s="235" t="s">
        <v>591</v>
      </c>
      <c r="G114" s="240" t="s">
        <v>408</v>
      </c>
      <c r="H114" s="235" t="s">
        <v>405</v>
      </c>
      <c r="I114" s="215">
        <v>275000000</v>
      </c>
      <c r="J114" s="237">
        <v>44662</v>
      </c>
      <c r="K114" s="237">
        <v>44781</v>
      </c>
      <c r="L114" s="237">
        <v>44662</v>
      </c>
      <c r="M114" s="237">
        <v>44666</v>
      </c>
      <c r="N114" s="235"/>
      <c r="O114" s="235" t="s">
        <v>584</v>
      </c>
      <c r="P114" s="235"/>
      <c r="Q114" s="235"/>
      <c r="R114" s="235"/>
      <c r="S114" s="235"/>
      <c r="T114" s="235"/>
      <c r="U114" s="235"/>
      <c r="V114" s="235"/>
      <c r="W114" s="235"/>
      <c r="X114" s="234" t="s">
        <v>1304</v>
      </c>
      <c r="Y114" s="235"/>
    </row>
    <row r="115" spans="1:25" s="238" customFormat="1" ht="16.5" customHeight="1">
      <c r="A115" s="234">
        <v>112</v>
      </c>
      <c r="B115" s="235" t="s">
        <v>985</v>
      </c>
      <c r="C115" s="235" t="s">
        <v>986</v>
      </c>
      <c r="D115" s="235" t="s">
        <v>987</v>
      </c>
      <c r="E115" s="235" t="s">
        <v>988</v>
      </c>
      <c r="F115" s="235" t="s">
        <v>989</v>
      </c>
      <c r="G115" s="235" t="s">
        <v>990</v>
      </c>
      <c r="H115" s="235" t="s">
        <v>991</v>
      </c>
      <c r="I115" s="215">
        <v>11000000</v>
      </c>
      <c r="J115" s="237">
        <v>44662</v>
      </c>
      <c r="K115" s="237">
        <v>44760</v>
      </c>
      <c r="L115" s="237">
        <v>44664</v>
      </c>
      <c r="M115" s="237">
        <v>44664</v>
      </c>
      <c r="N115" s="235"/>
      <c r="O115" s="235" t="s">
        <v>992</v>
      </c>
      <c r="P115" s="235"/>
      <c r="Q115" s="235"/>
      <c r="R115" s="235"/>
      <c r="S115" s="235"/>
      <c r="T115" s="235"/>
      <c r="U115" s="235"/>
      <c r="V115" s="235"/>
      <c r="W115" s="235"/>
      <c r="X115" s="234" t="s">
        <v>1299</v>
      </c>
      <c r="Y115" s="235"/>
    </row>
    <row r="116" spans="1:25" s="238" customFormat="1" ht="16.5" customHeight="1">
      <c r="A116" s="234">
        <v>113</v>
      </c>
      <c r="B116" s="235" t="s">
        <v>993</v>
      </c>
      <c r="C116" s="235" t="s">
        <v>994</v>
      </c>
      <c r="D116" s="235" t="s">
        <v>678</v>
      </c>
      <c r="E116" s="235" t="s">
        <v>1461</v>
      </c>
      <c r="F116" s="235" t="s">
        <v>989</v>
      </c>
      <c r="G116" s="235" t="s">
        <v>990</v>
      </c>
      <c r="H116" s="235" t="s">
        <v>405</v>
      </c>
      <c r="I116" s="215">
        <v>2812480</v>
      </c>
      <c r="J116" s="237">
        <v>44664</v>
      </c>
      <c r="K116" s="237">
        <v>44692</v>
      </c>
      <c r="L116" s="237">
        <v>44700</v>
      </c>
      <c r="M116" s="237">
        <v>44775</v>
      </c>
      <c r="N116" s="235"/>
      <c r="O116" s="235" t="s">
        <v>994</v>
      </c>
      <c r="P116" s="235"/>
      <c r="Q116" s="235"/>
      <c r="R116" s="235"/>
      <c r="S116" s="235"/>
      <c r="T116" s="235"/>
      <c r="U116" s="235"/>
      <c r="V116" s="235"/>
      <c r="W116" s="235"/>
      <c r="X116" s="234" t="s">
        <v>1665</v>
      </c>
      <c r="Y116" s="235"/>
    </row>
    <row r="117" spans="1:25" s="238" customFormat="1" ht="16.5" customHeight="1">
      <c r="A117" s="234">
        <v>114</v>
      </c>
      <c r="B117" s="235" t="s">
        <v>995</v>
      </c>
      <c r="C117" s="235" t="s">
        <v>990</v>
      </c>
      <c r="D117" s="235" t="s">
        <v>406</v>
      </c>
      <c r="E117" s="235" t="s">
        <v>996</v>
      </c>
      <c r="F117" s="235" t="s">
        <v>1000</v>
      </c>
      <c r="G117" s="235" t="s">
        <v>990</v>
      </c>
      <c r="H117" s="235" t="s">
        <v>405</v>
      </c>
      <c r="I117" s="215">
        <v>437500000</v>
      </c>
      <c r="J117" s="237">
        <v>44562</v>
      </c>
      <c r="K117" s="237">
        <v>44926</v>
      </c>
      <c r="L117" s="235" t="s">
        <v>990</v>
      </c>
      <c r="M117" s="235" t="s">
        <v>999</v>
      </c>
      <c r="N117" s="235"/>
      <c r="O117" s="235" t="s">
        <v>997</v>
      </c>
      <c r="P117" s="235"/>
      <c r="Q117" s="235"/>
      <c r="R117" s="235"/>
      <c r="S117" s="235"/>
      <c r="T117" s="235"/>
      <c r="U117" s="235"/>
      <c r="V117" s="235"/>
      <c r="W117" s="235"/>
      <c r="X117" s="235" t="s">
        <v>998</v>
      </c>
      <c r="Y117" s="235"/>
    </row>
    <row r="118" spans="1:25" s="238" customFormat="1" ht="16.5" customHeight="1">
      <c r="A118" s="234">
        <v>115</v>
      </c>
      <c r="B118" s="235" t="s">
        <v>1008</v>
      </c>
      <c r="C118" s="235" t="s">
        <v>1015</v>
      </c>
      <c r="D118" s="235" t="s">
        <v>1014</v>
      </c>
      <c r="E118" s="235" t="s">
        <v>1013</v>
      </c>
      <c r="F118" s="235" t="s">
        <v>1009</v>
      </c>
      <c r="G118" s="235" t="s">
        <v>1010</v>
      </c>
      <c r="H118" s="235" t="s">
        <v>1011</v>
      </c>
      <c r="I118" s="215" t="s">
        <v>1012</v>
      </c>
      <c r="J118" s="235" t="s">
        <v>1079</v>
      </c>
      <c r="K118" s="252">
        <v>45013</v>
      </c>
      <c r="L118" s="235" t="s">
        <v>408</v>
      </c>
      <c r="M118" s="235" t="s">
        <v>408</v>
      </c>
      <c r="N118" s="235"/>
      <c r="O118" s="235" t="s">
        <v>584</v>
      </c>
      <c r="P118" s="235"/>
      <c r="Q118" s="235"/>
      <c r="R118" s="235"/>
      <c r="S118" s="235"/>
      <c r="T118" s="235"/>
      <c r="U118" s="235"/>
      <c r="V118" s="235"/>
      <c r="W118" s="235"/>
      <c r="X118" s="234" t="s">
        <v>1115</v>
      </c>
      <c r="Y118" s="235"/>
    </row>
    <row r="119" spans="1:25" s="238" customFormat="1" ht="16.5" customHeight="1">
      <c r="A119" s="234">
        <v>116</v>
      </c>
      <c r="B119" s="235" t="s">
        <v>1016</v>
      </c>
      <c r="C119" s="235" t="s">
        <v>408</v>
      </c>
      <c r="D119" s="235" t="s">
        <v>406</v>
      </c>
      <c r="E119" s="235" t="s">
        <v>1017</v>
      </c>
      <c r="F119" s="235" t="s">
        <v>502</v>
      </c>
      <c r="G119" s="235" t="s">
        <v>408</v>
      </c>
      <c r="H119" s="235" t="s">
        <v>405</v>
      </c>
      <c r="I119" s="215">
        <v>56078000</v>
      </c>
      <c r="J119" s="237">
        <v>44664</v>
      </c>
      <c r="K119" s="235"/>
      <c r="L119" s="237">
        <v>44908</v>
      </c>
      <c r="M119" s="237">
        <v>44910</v>
      </c>
      <c r="N119" s="235"/>
      <c r="O119" s="235" t="s">
        <v>833</v>
      </c>
      <c r="P119" s="235"/>
      <c r="Q119" s="235"/>
      <c r="R119" s="235"/>
      <c r="S119" s="235"/>
      <c r="T119" s="235"/>
      <c r="U119" s="235"/>
      <c r="V119" s="235"/>
      <c r="W119" s="235"/>
      <c r="X119" s="234" t="s">
        <v>864</v>
      </c>
      <c r="Y119" s="235"/>
    </row>
    <row r="120" spans="1:25" s="238" customFormat="1" ht="16.5" customHeight="1">
      <c r="A120" s="234">
        <v>117</v>
      </c>
      <c r="B120" s="235" t="s">
        <v>412</v>
      </c>
      <c r="C120" s="235" t="s">
        <v>1019</v>
      </c>
      <c r="D120" s="235" t="s">
        <v>678</v>
      </c>
      <c r="E120" s="235" t="s">
        <v>1018</v>
      </c>
      <c r="F120" s="235" t="s">
        <v>591</v>
      </c>
      <c r="G120" s="235" t="s">
        <v>408</v>
      </c>
      <c r="H120" s="235" t="s">
        <v>405</v>
      </c>
      <c r="I120" s="215">
        <v>2420000</v>
      </c>
      <c r="J120" s="237">
        <v>44665</v>
      </c>
      <c r="K120" s="237">
        <v>44701</v>
      </c>
      <c r="L120" s="237">
        <v>44694</v>
      </c>
      <c r="M120" s="237">
        <v>44698</v>
      </c>
      <c r="N120" s="235"/>
      <c r="O120" s="235" t="s">
        <v>590</v>
      </c>
      <c r="P120" s="235"/>
      <c r="Q120" s="235"/>
      <c r="R120" s="235"/>
      <c r="S120" s="235"/>
      <c r="T120" s="235"/>
      <c r="U120" s="235"/>
      <c r="V120" s="235"/>
      <c r="W120" s="235"/>
      <c r="X120" s="234" t="s">
        <v>1139</v>
      </c>
      <c r="Y120" s="235"/>
    </row>
    <row r="121" spans="1:25" s="238" customFormat="1" ht="16.5" customHeight="1">
      <c r="A121" s="234">
        <v>118</v>
      </c>
      <c r="B121" s="235" t="s">
        <v>742</v>
      </c>
      <c r="C121" s="235" t="s">
        <v>408</v>
      </c>
      <c r="D121" s="235" t="s">
        <v>406</v>
      </c>
      <c r="E121" s="235" t="s">
        <v>1034</v>
      </c>
      <c r="F121" s="235" t="s">
        <v>502</v>
      </c>
      <c r="G121" s="235"/>
      <c r="H121" s="235" t="s">
        <v>405</v>
      </c>
      <c r="I121" s="215">
        <v>8993700</v>
      </c>
      <c r="J121" s="237">
        <v>44665</v>
      </c>
      <c r="K121" s="235" t="s">
        <v>713</v>
      </c>
      <c r="L121" s="237">
        <v>44659</v>
      </c>
      <c r="M121" s="237">
        <v>44665</v>
      </c>
      <c r="N121" s="235"/>
      <c r="O121" s="235" t="s">
        <v>833</v>
      </c>
      <c r="P121" s="235"/>
      <c r="Q121" s="235"/>
      <c r="R121" s="235"/>
      <c r="S121" s="235"/>
      <c r="T121" s="235"/>
      <c r="U121" s="235"/>
      <c r="V121" s="235"/>
      <c r="W121" s="235"/>
      <c r="X121" s="234" t="s">
        <v>864</v>
      </c>
      <c r="Y121" s="235"/>
    </row>
    <row r="122" spans="1:25" s="238" customFormat="1" ht="16.5" customHeight="1">
      <c r="A122" s="234">
        <v>119</v>
      </c>
      <c r="B122" s="235" t="s">
        <v>696</v>
      </c>
      <c r="C122" s="235" t="s">
        <v>697</v>
      </c>
      <c r="D122" s="235" t="s">
        <v>1105</v>
      </c>
      <c r="E122" s="235" t="s">
        <v>1020</v>
      </c>
      <c r="F122" s="235" t="s">
        <v>591</v>
      </c>
      <c r="G122" s="235" t="s">
        <v>809</v>
      </c>
      <c r="H122" s="235" t="s">
        <v>405</v>
      </c>
      <c r="I122" s="215">
        <v>27500000</v>
      </c>
      <c r="J122" s="237">
        <v>44665</v>
      </c>
      <c r="K122" s="237">
        <v>44681</v>
      </c>
      <c r="L122" s="237">
        <v>44735</v>
      </c>
      <c r="M122" s="237">
        <v>44749</v>
      </c>
      <c r="N122" s="235"/>
      <c r="O122" s="235" t="s">
        <v>596</v>
      </c>
      <c r="P122" s="235"/>
      <c r="Q122" s="235"/>
      <c r="R122" s="235"/>
      <c r="S122" s="235"/>
      <c r="T122" s="235"/>
      <c r="U122" s="235"/>
      <c r="V122" s="235"/>
      <c r="W122" s="235"/>
      <c r="X122" s="234" t="s">
        <v>1305</v>
      </c>
      <c r="Y122" s="235"/>
    </row>
    <row r="123" spans="1:25" s="238" customFormat="1" ht="16.5" customHeight="1">
      <c r="A123" s="234">
        <v>120</v>
      </c>
      <c r="B123" s="235" t="s">
        <v>722</v>
      </c>
      <c r="C123" s="235" t="s">
        <v>1021</v>
      </c>
      <c r="D123" s="235" t="s">
        <v>807</v>
      </c>
      <c r="E123" s="235" t="s">
        <v>1156</v>
      </c>
      <c r="F123" s="235" t="s">
        <v>591</v>
      </c>
      <c r="G123" s="235" t="s">
        <v>1022</v>
      </c>
      <c r="H123" s="235" t="s">
        <v>405</v>
      </c>
      <c r="I123" s="215">
        <v>2090000</v>
      </c>
      <c r="J123" s="237">
        <v>44665</v>
      </c>
      <c r="K123" s="235" t="s">
        <v>713</v>
      </c>
      <c r="L123" s="237">
        <v>44725</v>
      </c>
      <c r="M123" s="237">
        <v>44726</v>
      </c>
      <c r="N123" s="235"/>
      <c r="O123" s="235" t="s">
        <v>1023</v>
      </c>
      <c r="P123" s="235"/>
      <c r="Q123" s="235"/>
      <c r="R123" s="235"/>
      <c r="S123" s="235"/>
      <c r="T123" s="235"/>
      <c r="U123" s="235"/>
      <c r="V123" s="235"/>
      <c r="W123" s="235"/>
      <c r="X123" s="234" t="s">
        <v>1157</v>
      </c>
      <c r="Y123" s="235"/>
    </row>
    <row r="124" spans="1:25" s="238" customFormat="1" ht="16.5" customHeight="1">
      <c r="A124" s="234">
        <v>121</v>
      </c>
      <c r="B124" s="235" t="s">
        <v>1024</v>
      </c>
      <c r="C124" s="235" t="s">
        <v>1025</v>
      </c>
      <c r="D124" s="235" t="s">
        <v>594</v>
      </c>
      <c r="E124" s="235" t="s">
        <v>1026</v>
      </c>
      <c r="F124" s="235" t="s">
        <v>591</v>
      </c>
      <c r="G124" s="235" t="s">
        <v>408</v>
      </c>
      <c r="H124" s="235" t="s">
        <v>405</v>
      </c>
      <c r="I124" s="215">
        <v>3300000</v>
      </c>
      <c r="J124" s="237">
        <v>44663</v>
      </c>
      <c r="K124" s="235" t="s">
        <v>713</v>
      </c>
      <c r="L124" s="237">
        <v>44664</v>
      </c>
      <c r="M124" s="237">
        <v>44664</v>
      </c>
      <c r="N124" s="235"/>
      <c r="O124" s="235" t="s">
        <v>590</v>
      </c>
      <c r="P124" s="235"/>
      <c r="Q124" s="235"/>
      <c r="R124" s="235"/>
      <c r="S124" s="235"/>
      <c r="T124" s="235"/>
      <c r="U124" s="235"/>
      <c r="V124" s="235"/>
      <c r="W124" s="235"/>
      <c r="X124" s="234" t="s">
        <v>1029</v>
      </c>
      <c r="Y124" s="235"/>
    </row>
    <row r="125" spans="1:25" s="238" customFormat="1" ht="16.5" customHeight="1">
      <c r="A125" s="234">
        <v>122</v>
      </c>
      <c r="B125" s="235" t="s">
        <v>705</v>
      </c>
      <c r="C125" s="235" t="s">
        <v>1027</v>
      </c>
      <c r="D125" s="235" t="s">
        <v>711</v>
      </c>
      <c r="E125" s="235" t="s">
        <v>1028</v>
      </c>
      <c r="F125" s="235" t="s">
        <v>591</v>
      </c>
      <c r="G125" s="235" t="s">
        <v>408</v>
      </c>
      <c r="H125" s="235" t="s">
        <v>405</v>
      </c>
      <c r="I125" s="215">
        <v>660000000</v>
      </c>
      <c r="J125" s="237">
        <v>44665</v>
      </c>
      <c r="K125" s="235" t="s">
        <v>713</v>
      </c>
      <c r="L125" s="237">
        <v>44665</v>
      </c>
      <c r="M125" s="237">
        <v>44665</v>
      </c>
      <c r="N125" s="235"/>
      <c r="O125" s="235" t="s">
        <v>1781</v>
      </c>
      <c r="P125" s="235"/>
      <c r="Q125" s="235"/>
      <c r="R125" s="235"/>
      <c r="S125" s="235"/>
      <c r="T125" s="235"/>
      <c r="U125" s="235"/>
      <c r="V125" s="235"/>
      <c r="W125" s="235"/>
      <c r="X125" s="241" t="s">
        <v>2149</v>
      </c>
      <c r="Y125" s="235"/>
    </row>
    <row r="126" spans="1:25" s="238" customFormat="1" ht="16.5" customHeight="1">
      <c r="A126" s="234">
        <v>123</v>
      </c>
      <c r="B126" s="235" t="s">
        <v>419</v>
      </c>
      <c r="C126" s="235" t="s">
        <v>408</v>
      </c>
      <c r="D126" s="235" t="s">
        <v>406</v>
      </c>
      <c r="E126" s="235" t="s">
        <v>1031</v>
      </c>
      <c r="F126" s="235" t="s">
        <v>502</v>
      </c>
      <c r="G126" s="235" t="s">
        <v>408</v>
      </c>
      <c r="H126" s="235" t="s">
        <v>405</v>
      </c>
      <c r="I126" s="215">
        <v>4900000</v>
      </c>
      <c r="J126" s="237">
        <v>44666</v>
      </c>
      <c r="K126" s="237">
        <v>44695</v>
      </c>
      <c r="L126" s="237">
        <v>44671</v>
      </c>
      <c r="M126" s="237">
        <v>44673</v>
      </c>
      <c r="N126" s="235"/>
      <c r="O126" s="235" t="s">
        <v>590</v>
      </c>
      <c r="P126" s="235"/>
      <c r="Q126" s="235"/>
      <c r="R126" s="235"/>
      <c r="S126" s="235"/>
      <c r="T126" s="235"/>
      <c r="U126" s="235"/>
      <c r="V126" s="235"/>
      <c r="W126" s="235"/>
      <c r="X126" s="234">
        <v>67121</v>
      </c>
      <c r="Y126" s="235"/>
    </row>
    <row r="127" spans="1:25" s="238" customFormat="1" ht="16.5" customHeight="1">
      <c r="A127" s="234">
        <v>124</v>
      </c>
      <c r="B127" s="235" t="s">
        <v>512</v>
      </c>
      <c r="C127" s="235" t="s">
        <v>408</v>
      </c>
      <c r="D127" s="235" t="s">
        <v>594</v>
      </c>
      <c r="E127" s="235" t="s">
        <v>1192</v>
      </c>
      <c r="F127" s="235" t="s">
        <v>591</v>
      </c>
      <c r="G127" s="235" t="s">
        <v>408</v>
      </c>
      <c r="H127" s="235" t="s">
        <v>405</v>
      </c>
      <c r="I127" s="215">
        <v>13200000</v>
      </c>
      <c r="J127" s="237">
        <v>44666</v>
      </c>
      <c r="K127" s="237">
        <v>44736</v>
      </c>
      <c r="L127" s="237">
        <v>44699</v>
      </c>
      <c r="M127" s="237">
        <v>44701</v>
      </c>
      <c r="N127" s="235"/>
      <c r="O127" s="235" t="s">
        <v>738</v>
      </c>
      <c r="P127" s="235"/>
      <c r="Q127" s="235"/>
      <c r="R127" s="235"/>
      <c r="S127" s="235"/>
      <c r="T127" s="235"/>
      <c r="U127" s="235"/>
      <c r="V127" s="235"/>
      <c r="W127" s="235"/>
      <c r="X127" s="234" t="s">
        <v>1155</v>
      </c>
      <c r="Y127" s="235"/>
    </row>
    <row r="128" spans="1:25" s="238" customFormat="1" ht="16.5" customHeight="1">
      <c r="A128" s="234">
        <v>125</v>
      </c>
      <c r="B128" s="235" t="s">
        <v>811</v>
      </c>
      <c r="C128" s="235" t="s">
        <v>408</v>
      </c>
      <c r="D128" s="235" t="s">
        <v>406</v>
      </c>
      <c r="E128" s="235" t="s">
        <v>1032</v>
      </c>
      <c r="F128" s="235" t="s">
        <v>502</v>
      </c>
      <c r="G128" s="235" t="s">
        <v>408</v>
      </c>
      <c r="H128" s="235" t="s">
        <v>405</v>
      </c>
      <c r="I128" s="215">
        <v>12650000</v>
      </c>
      <c r="J128" s="237">
        <v>44666</v>
      </c>
      <c r="K128" s="237">
        <v>44712</v>
      </c>
      <c r="L128" s="237">
        <v>44735</v>
      </c>
      <c r="M128" s="237">
        <v>44736</v>
      </c>
      <c r="N128" s="235"/>
      <c r="O128" s="235" t="s">
        <v>590</v>
      </c>
      <c r="P128" s="235"/>
      <c r="Q128" s="235"/>
      <c r="R128" s="235"/>
      <c r="S128" s="235"/>
      <c r="T128" s="235"/>
      <c r="U128" s="235"/>
      <c r="V128" s="235"/>
      <c r="W128" s="235"/>
      <c r="X128" s="234" t="s">
        <v>1296</v>
      </c>
      <c r="Y128" s="235"/>
    </row>
    <row r="129" spans="1:25" s="238" customFormat="1" ht="16.5" customHeight="1">
      <c r="A129" s="234">
        <v>126</v>
      </c>
      <c r="B129" s="235" t="s">
        <v>1040</v>
      </c>
      <c r="C129" s="235" t="s">
        <v>1042</v>
      </c>
      <c r="D129" s="235" t="s">
        <v>1104</v>
      </c>
      <c r="E129" s="235" t="s">
        <v>1041</v>
      </c>
      <c r="F129" s="235" t="s">
        <v>591</v>
      </c>
      <c r="G129" s="235" t="s">
        <v>408</v>
      </c>
      <c r="H129" s="235" t="s">
        <v>405</v>
      </c>
      <c r="I129" s="215">
        <v>4781700</v>
      </c>
      <c r="J129" s="237">
        <v>44669</v>
      </c>
      <c r="K129" s="235" t="s">
        <v>713</v>
      </c>
      <c r="L129" s="237">
        <v>44725</v>
      </c>
      <c r="M129" s="237">
        <v>44760</v>
      </c>
      <c r="N129" s="235"/>
      <c r="O129" s="235" t="s">
        <v>584</v>
      </c>
      <c r="P129" s="235"/>
      <c r="Q129" s="235"/>
      <c r="R129" s="235"/>
      <c r="S129" s="235"/>
      <c r="T129" s="235"/>
      <c r="U129" s="235"/>
      <c r="V129" s="235"/>
      <c r="W129" s="235"/>
      <c r="X129" s="234" t="s">
        <v>1113</v>
      </c>
      <c r="Y129" s="235"/>
    </row>
    <row r="130" spans="1:25" s="238" customFormat="1" ht="16.5" customHeight="1">
      <c r="A130" s="234">
        <v>127</v>
      </c>
      <c r="B130" s="235" t="s">
        <v>1043</v>
      </c>
      <c r="C130" s="235" t="s">
        <v>1044</v>
      </c>
      <c r="D130" s="235"/>
      <c r="E130" s="235" t="s">
        <v>1046</v>
      </c>
      <c r="F130" s="235" t="s">
        <v>591</v>
      </c>
      <c r="G130" s="235" t="s">
        <v>408</v>
      </c>
      <c r="H130" s="235" t="s">
        <v>405</v>
      </c>
      <c r="I130" s="215">
        <v>2200000</v>
      </c>
      <c r="J130" s="237">
        <v>44669</v>
      </c>
      <c r="K130" s="235" t="s">
        <v>713</v>
      </c>
      <c r="L130" s="237">
        <v>44669</v>
      </c>
      <c r="M130" s="237">
        <v>44670</v>
      </c>
      <c r="N130" s="235"/>
      <c r="O130" s="235" t="s">
        <v>1111</v>
      </c>
      <c r="P130" s="235"/>
      <c r="Q130" s="235"/>
      <c r="R130" s="235"/>
      <c r="S130" s="235"/>
      <c r="T130" s="235"/>
      <c r="U130" s="235"/>
      <c r="V130" s="235"/>
      <c r="W130" s="235"/>
      <c r="X130" s="234" t="s">
        <v>1413</v>
      </c>
      <c r="Y130" s="235"/>
    </row>
    <row r="131" spans="1:25" s="238" customFormat="1" ht="16.5" customHeight="1">
      <c r="A131" s="234">
        <v>128</v>
      </c>
      <c r="B131" s="235" t="s">
        <v>705</v>
      </c>
      <c r="C131" s="235" t="s">
        <v>910</v>
      </c>
      <c r="D131" s="235" t="s">
        <v>404</v>
      </c>
      <c r="E131" s="235" t="s">
        <v>1047</v>
      </c>
      <c r="F131" s="235" t="s">
        <v>591</v>
      </c>
      <c r="G131" s="235" t="s">
        <v>408</v>
      </c>
      <c r="H131" s="235" t="s">
        <v>405</v>
      </c>
      <c r="I131" s="215">
        <v>5170000</v>
      </c>
      <c r="J131" s="237">
        <v>44669</v>
      </c>
      <c r="K131" s="235" t="s">
        <v>713</v>
      </c>
      <c r="L131" s="237">
        <v>44711</v>
      </c>
      <c r="M131" s="237">
        <v>44736</v>
      </c>
      <c r="N131" s="235"/>
      <c r="O131" s="235" t="s">
        <v>596</v>
      </c>
      <c r="P131" s="235"/>
      <c r="Q131" s="235"/>
      <c r="R131" s="235"/>
      <c r="S131" s="235"/>
      <c r="T131" s="235"/>
      <c r="U131" s="235"/>
      <c r="V131" s="235"/>
      <c r="W131" s="235"/>
      <c r="X131" s="234" t="s">
        <v>1303</v>
      </c>
      <c r="Y131" s="235"/>
    </row>
    <row r="132" spans="1:25" s="238" customFormat="1" ht="33.75" customHeight="1">
      <c r="A132" s="234">
        <v>129</v>
      </c>
      <c r="B132" s="253" t="s">
        <v>1147</v>
      </c>
      <c r="C132" s="235" t="s">
        <v>1045</v>
      </c>
      <c r="D132" s="235" t="s">
        <v>594</v>
      </c>
      <c r="E132" s="235" t="s">
        <v>1048</v>
      </c>
      <c r="F132" s="235" t="s">
        <v>591</v>
      </c>
      <c r="G132" s="235" t="s">
        <v>408</v>
      </c>
      <c r="H132" s="235" t="s">
        <v>405</v>
      </c>
      <c r="I132" s="215">
        <v>3300000</v>
      </c>
      <c r="J132" s="237">
        <v>44669</v>
      </c>
      <c r="K132" s="235" t="s">
        <v>713</v>
      </c>
      <c r="L132" s="237">
        <v>44671</v>
      </c>
      <c r="M132" s="237">
        <v>44690</v>
      </c>
      <c r="N132" s="235"/>
      <c r="O132" s="235" t="s">
        <v>738</v>
      </c>
      <c r="P132" s="235"/>
      <c r="Q132" s="235"/>
      <c r="R132" s="235"/>
      <c r="S132" s="235"/>
      <c r="T132" s="235"/>
      <c r="U132" s="235"/>
      <c r="V132" s="235"/>
      <c r="W132" s="235"/>
      <c r="X132" s="234" t="s">
        <v>1300</v>
      </c>
      <c r="Y132" s="235"/>
    </row>
    <row r="133" spans="1:25" s="238" customFormat="1" ht="16.5" customHeight="1">
      <c r="A133" s="234">
        <v>130</v>
      </c>
      <c r="B133" s="235" t="s">
        <v>512</v>
      </c>
      <c r="C133" s="235" t="s">
        <v>1050</v>
      </c>
      <c r="D133" s="235" t="s">
        <v>404</v>
      </c>
      <c r="E133" s="235" t="s">
        <v>1051</v>
      </c>
      <c r="F133" s="235" t="s">
        <v>1052</v>
      </c>
      <c r="G133" s="235" t="s">
        <v>1053</v>
      </c>
      <c r="H133" s="235" t="s">
        <v>405</v>
      </c>
      <c r="I133" s="215">
        <v>3850000</v>
      </c>
      <c r="J133" s="237">
        <v>44670</v>
      </c>
      <c r="K133" s="237">
        <v>44705</v>
      </c>
      <c r="L133" s="237">
        <v>44680</v>
      </c>
      <c r="M133" s="237">
        <v>44684</v>
      </c>
      <c r="N133" s="235"/>
      <c r="O133" s="235" t="s">
        <v>1054</v>
      </c>
      <c r="P133" s="235"/>
      <c r="Q133" s="235"/>
      <c r="R133" s="235"/>
      <c r="S133" s="235"/>
      <c r="T133" s="235"/>
      <c r="U133" s="235"/>
      <c r="V133" s="235"/>
      <c r="W133" s="235"/>
      <c r="X133" s="234" t="s">
        <v>1090</v>
      </c>
      <c r="Y133" s="235"/>
    </row>
    <row r="134" spans="1:25" s="238" customFormat="1" ht="16.5" customHeight="1">
      <c r="A134" s="234">
        <v>131</v>
      </c>
      <c r="B134" s="235" t="s">
        <v>742</v>
      </c>
      <c r="C134" s="235" t="s">
        <v>1053</v>
      </c>
      <c r="D134" s="235" t="s">
        <v>406</v>
      </c>
      <c r="E134" s="235" t="s">
        <v>1055</v>
      </c>
      <c r="F134" s="235" t="s">
        <v>1052</v>
      </c>
      <c r="G134" s="235" t="s">
        <v>815</v>
      </c>
      <c r="H134" s="235" t="s">
        <v>1056</v>
      </c>
      <c r="I134" s="215">
        <v>59356000</v>
      </c>
      <c r="J134" s="237">
        <v>44669</v>
      </c>
      <c r="K134" s="237">
        <v>44819</v>
      </c>
      <c r="L134" s="237">
        <v>44881</v>
      </c>
      <c r="M134" s="235" t="s">
        <v>2019</v>
      </c>
      <c r="N134" s="235"/>
      <c r="O134" s="235" t="s">
        <v>1110</v>
      </c>
      <c r="P134" s="235"/>
      <c r="Q134" s="235"/>
      <c r="R134" s="235"/>
      <c r="S134" s="235"/>
      <c r="T134" s="235"/>
      <c r="U134" s="235"/>
      <c r="V134" s="235"/>
      <c r="W134" s="235"/>
      <c r="X134" s="241" t="s">
        <v>1744</v>
      </c>
      <c r="Y134" s="235"/>
    </row>
    <row r="135" spans="1:25" s="238" customFormat="1" ht="16.5" customHeight="1">
      <c r="A135" s="234">
        <v>132</v>
      </c>
      <c r="B135" s="235" t="s">
        <v>859</v>
      </c>
      <c r="C135" s="235" t="s">
        <v>1057</v>
      </c>
      <c r="D135" s="235" t="s">
        <v>407</v>
      </c>
      <c r="E135" s="235" t="s">
        <v>1058</v>
      </c>
      <c r="F135" s="235" t="s">
        <v>1059</v>
      </c>
      <c r="G135" s="235" t="s">
        <v>1060</v>
      </c>
      <c r="H135" s="235" t="s">
        <v>405</v>
      </c>
      <c r="I135" s="215">
        <v>18700000</v>
      </c>
      <c r="J135" s="237">
        <v>44666</v>
      </c>
      <c r="K135" s="237">
        <v>44778</v>
      </c>
      <c r="L135" s="237">
        <v>44722</v>
      </c>
      <c r="M135" s="237">
        <v>44735</v>
      </c>
      <c r="N135" s="235"/>
      <c r="O135" s="235" t="s">
        <v>1061</v>
      </c>
      <c r="P135" s="235"/>
      <c r="Q135" s="235"/>
      <c r="R135" s="235"/>
      <c r="S135" s="235"/>
      <c r="T135" s="235"/>
      <c r="U135" s="235"/>
      <c r="V135" s="235"/>
      <c r="W135" s="235"/>
      <c r="X135" s="234" t="s">
        <v>1244</v>
      </c>
      <c r="Y135" s="235"/>
    </row>
    <row r="136" spans="1:25" s="238" customFormat="1" ht="16.5" customHeight="1">
      <c r="A136" s="234">
        <v>133</v>
      </c>
      <c r="B136" s="235" t="s">
        <v>585</v>
      </c>
      <c r="C136" s="235" t="s">
        <v>1062</v>
      </c>
      <c r="D136" s="235" t="s">
        <v>513</v>
      </c>
      <c r="E136" s="235" t="s">
        <v>1064</v>
      </c>
      <c r="F136" s="235" t="s">
        <v>591</v>
      </c>
      <c r="G136" s="235" t="s">
        <v>1060</v>
      </c>
      <c r="H136" s="235" t="s">
        <v>405</v>
      </c>
      <c r="I136" s="215">
        <v>15290000</v>
      </c>
      <c r="J136" s="237">
        <v>44671</v>
      </c>
      <c r="K136" s="237">
        <v>44741</v>
      </c>
      <c r="L136" s="237">
        <v>44727</v>
      </c>
      <c r="M136" s="237">
        <v>44799</v>
      </c>
      <c r="N136" s="235"/>
      <c r="O136" s="235" t="s">
        <v>1065</v>
      </c>
      <c r="P136" s="235"/>
      <c r="Q136" s="235"/>
      <c r="R136" s="235"/>
      <c r="S136" s="235"/>
      <c r="T136" s="235"/>
      <c r="U136" s="235"/>
      <c r="V136" s="235"/>
      <c r="W136" s="235"/>
      <c r="X136" s="234" t="s">
        <v>1284</v>
      </c>
      <c r="Y136" s="235"/>
    </row>
    <row r="137" spans="1:25" s="238" customFormat="1" ht="16.5" customHeight="1">
      <c r="A137" s="234">
        <v>134</v>
      </c>
      <c r="B137" s="235" t="s">
        <v>585</v>
      </c>
      <c r="C137" s="235" t="s">
        <v>1062</v>
      </c>
      <c r="D137" s="235" t="s">
        <v>404</v>
      </c>
      <c r="E137" s="235" t="s">
        <v>1063</v>
      </c>
      <c r="F137" s="235" t="s">
        <v>591</v>
      </c>
      <c r="G137" s="235" t="s">
        <v>1060</v>
      </c>
      <c r="H137" s="235" t="s">
        <v>405</v>
      </c>
      <c r="I137" s="215">
        <v>40480000</v>
      </c>
      <c r="J137" s="237">
        <v>44671</v>
      </c>
      <c r="K137" s="235"/>
      <c r="L137" s="237" t="s">
        <v>2176</v>
      </c>
      <c r="M137" s="235"/>
      <c r="N137" s="235"/>
      <c r="O137" s="235" t="s">
        <v>1065</v>
      </c>
      <c r="P137" s="235"/>
      <c r="Q137" s="235"/>
      <c r="R137" s="235"/>
      <c r="S137" s="235"/>
      <c r="T137" s="235"/>
      <c r="U137" s="235"/>
      <c r="V137" s="235"/>
      <c r="W137" s="235"/>
      <c r="X137" s="234" t="s">
        <v>2171</v>
      </c>
      <c r="Y137" s="235"/>
    </row>
    <row r="138" spans="1:25" s="238" customFormat="1" ht="16.5" customHeight="1">
      <c r="A138" s="234">
        <v>135</v>
      </c>
      <c r="B138" s="235" t="s">
        <v>1067</v>
      </c>
      <c r="C138" s="235" t="s">
        <v>1068</v>
      </c>
      <c r="D138" s="235" t="s">
        <v>406</v>
      </c>
      <c r="E138" s="235" t="s">
        <v>1069</v>
      </c>
      <c r="F138" s="235" t="s">
        <v>1059</v>
      </c>
      <c r="G138" s="235" t="s">
        <v>1060</v>
      </c>
      <c r="H138" s="235" t="s">
        <v>405</v>
      </c>
      <c r="I138" s="215">
        <v>16280000</v>
      </c>
      <c r="J138" s="237">
        <v>44672</v>
      </c>
      <c r="K138" s="237">
        <v>44910</v>
      </c>
      <c r="L138" s="237">
        <v>44777</v>
      </c>
      <c r="M138" s="237">
        <v>44781</v>
      </c>
      <c r="N138" s="235"/>
      <c r="O138" s="235" t="s">
        <v>1066</v>
      </c>
      <c r="P138" s="235"/>
      <c r="Q138" s="235"/>
      <c r="R138" s="235"/>
      <c r="S138" s="235"/>
      <c r="T138" s="235"/>
      <c r="U138" s="235"/>
      <c r="V138" s="235"/>
      <c r="W138" s="235"/>
      <c r="X138" s="234" t="s">
        <v>1457</v>
      </c>
      <c r="Y138" s="235"/>
    </row>
    <row r="139" spans="1:25" s="238" customFormat="1" ht="16.5" customHeight="1">
      <c r="A139" s="234">
        <v>136</v>
      </c>
      <c r="B139" s="235" t="s">
        <v>1008</v>
      </c>
      <c r="C139" s="235" t="s">
        <v>1072</v>
      </c>
      <c r="D139" s="235" t="s">
        <v>413</v>
      </c>
      <c r="E139" s="235" t="s">
        <v>1073</v>
      </c>
      <c r="F139" s="235" t="s">
        <v>1009</v>
      </c>
      <c r="G139" s="235" t="s">
        <v>1010</v>
      </c>
      <c r="H139" s="235" t="s">
        <v>1011</v>
      </c>
      <c r="I139" s="215" t="s">
        <v>1077</v>
      </c>
      <c r="J139" s="237">
        <v>44656</v>
      </c>
      <c r="K139" s="252">
        <v>45015</v>
      </c>
      <c r="L139" s="235" t="s">
        <v>408</v>
      </c>
      <c r="M139" s="235" t="s">
        <v>408</v>
      </c>
      <c r="N139" s="235"/>
      <c r="O139" s="235" t="s">
        <v>584</v>
      </c>
      <c r="P139" s="235"/>
      <c r="Q139" s="235"/>
      <c r="R139" s="235"/>
      <c r="S139" s="235"/>
      <c r="T139" s="235"/>
      <c r="U139" s="235"/>
      <c r="V139" s="235"/>
      <c r="W139" s="235"/>
      <c r="X139" s="234" t="s">
        <v>1115</v>
      </c>
      <c r="Y139" s="241" t="s">
        <v>1078</v>
      </c>
    </row>
    <row r="140" spans="1:25" s="238" customFormat="1" ht="16.5" customHeight="1">
      <c r="A140" s="234">
        <v>137</v>
      </c>
      <c r="B140" s="235" t="s">
        <v>1008</v>
      </c>
      <c r="C140" s="235" t="s">
        <v>1072</v>
      </c>
      <c r="D140" s="235" t="s">
        <v>413</v>
      </c>
      <c r="E140" s="235" t="s">
        <v>686</v>
      </c>
      <c r="F140" s="235" t="s">
        <v>1009</v>
      </c>
      <c r="G140" s="235" t="s">
        <v>1010</v>
      </c>
      <c r="H140" s="235" t="s">
        <v>1011</v>
      </c>
      <c r="I140" s="215" t="s">
        <v>1076</v>
      </c>
      <c r="J140" s="237">
        <v>44656</v>
      </c>
      <c r="K140" s="252">
        <v>45015</v>
      </c>
      <c r="L140" s="235" t="s">
        <v>408</v>
      </c>
      <c r="M140" s="235" t="s">
        <v>408</v>
      </c>
      <c r="N140" s="235"/>
      <c r="O140" s="235" t="s">
        <v>584</v>
      </c>
      <c r="P140" s="235"/>
      <c r="Q140" s="235"/>
      <c r="R140" s="235"/>
      <c r="S140" s="235"/>
      <c r="T140" s="235"/>
      <c r="U140" s="235"/>
      <c r="V140" s="235"/>
      <c r="W140" s="235"/>
      <c r="X140" s="234" t="s">
        <v>1115</v>
      </c>
      <c r="Y140" s="241" t="s">
        <v>1078</v>
      </c>
    </row>
    <row r="141" spans="1:25" s="238" customFormat="1" ht="16.5" customHeight="1">
      <c r="A141" s="234">
        <v>138</v>
      </c>
      <c r="B141" s="235" t="s">
        <v>1008</v>
      </c>
      <c r="C141" s="235" t="s">
        <v>1072</v>
      </c>
      <c r="D141" s="235" t="s">
        <v>413</v>
      </c>
      <c r="E141" s="235" t="s">
        <v>1074</v>
      </c>
      <c r="F141" s="235" t="s">
        <v>1009</v>
      </c>
      <c r="G141" s="235" t="s">
        <v>1010</v>
      </c>
      <c r="H141" s="235" t="s">
        <v>1011</v>
      </c>
      <c r="I141" s="215" t="s">
        <v>1075</v>
      </c>
      <c r="J141" s="237">
        <v>44656</v>
      </c>
      <c r="K141" s="252">
        <v>45015</v>
      </c>
      <c r="L141" s="235" t="s">
        <v>408</v>
      </c>
      <c r="M141" s="235" t="s">
        <v>408</v>
      </c>
      <c r="N141" s="235"/>
      <c r="O141" s="235" t="s">
        <v>584</v>
      </c>
      <c r="P141" s="235"/>
      <c r="Q141" s="235"/>
      <c r="R141" s="235"/>
      <c r="S141" s="235"/>
      <c r="T141" s="235"/>
      <c r="U141" s="235"/>
      <c r="V141" s="235"/>
      <c r="W141" s="235"/>
      <c r="X141" s="234" t="s">
        <v>1115</v>
      </c>
      <c r="Y141" s="241" t="s">
        <v>1078</v>
      </c>
    </row>
    <row r="142" spans="1:25" s="238" customFormat="1" ht="16.5" customHeight="1">
      <c r="A142" s="234">
        <v>139</v>
      </c>
      <c r="B142" s="235" t="s">
        <v>512</v>
      </c>
      <c r="C142" s="235" t="s">
        <v>1080</v>
      </c>
      <c r="D142" s="235" t="s">
        <v>404</v>
      </c>
      <c r="E142" s="235" t="s">
        <v>1081</v>
      </c>
      <c r="F142" s="235" t="s">
        <v>591</v>
      </c>
      <c r="G142" s="235" t="s">
        <v>1082</v>
      </c>
      <c r="H142" s="235" t="s">
        <v>405</v>
      </c>
      <c r="I142" s="215">
        <v>11440000</v>
      </c>
      <c r="J142" s="237">
        <v>44673</v>
      </c>
      <c r="K142" s="237">
        <v>44729</v>
      </c>
      <c r="L142" s="237">
        <v>44711</v>
      </c>
      <c r="M142" s="237">
        <v>44719</v>
      </c>
      <c r="N142" s="235"/>
      <c r="O142" s="235" t="s">
        <v>1083</v>
      </c>
      <c r="P142" s="235"/>
      <c r="Q142" s="235"/>
      <c r="R142" s="235"/>
      <c r="S142" s="235"/>
      <c r="T142" s="235"/>
      <c r="U142" s="235"/>
      <c r="V142" s="235"/>
      <c r="W142" s="235"/>
      <c r="X142" s="234" t="s">
        <v>1282</v>
      </c>
      <c r="Y142" s="235"/>
    </row>
    <row r="143" spans="1:25" s="238" customFormat="1" ht="16.5" customHeight="1">
      <c r="A143" s="234">
        <v>140</v>
      </c>
      <c r="B143" s="235" t="s">
        <v>772</v>
      </c>
      <c r="C143" s="235" t="s">
        <v>408</v>
      </c>
      <c r="D143" s="235" t="s">
        <v>407</v>
      </c>
      <c r="E143" s="235" t="s">
        <v>1088</v>
      </c>
      <c r="F143" s="235" t="s">
        <v>591</v>
      </c>
      <c r="G143" s="235" t="s">
        <v>408</v>
      </c>
      <c r="H143" s="235" t="s">
        <v>405</v>
      </c>
      <c r="I143" s="215">
        <v>20486400</v>
      </c>
      <c r="J143" s="237">
        <v>44677</v>
      </c>
      <c r="K143" s="237">
        <v>44707</v>
      </c>
      <c r="L143" s="237">
        <v>44698</v>
      </c>
      <c r="M143" s="237">
        <v>44701</v>
      </c>
      <c r="N143" s="235"/>
      <c r="O143" s="235" t="s">
        <v>1109</v>
      </c>
      <c r="P143" s="235"/>
      <c r="Q143" s="235"/>
      <c r="R143" s="235"/>
      <c r="S143" s="235"/>
      <c r="T143" s="235"/>
      <c r="U143" s="235"/>
      <c r="V143" s="235"/>
      <c r="W143" s="235"/>
      <c r="X143" s="234" t="s">
        <v>1835</v>
      </c>
      <c r="Y143" s="235"/>
    </row>
    <row r="144" spans="1:25" s="238" customFormat="1" ht="16.5" customHeight="1">
      <c r="A144" s="234">
        <v>141</v>
      </c>
      <c r="B144" s="235" t="s">
        <v>683</v>
      </c>
      <c r="C144" s="235" t="s">
        <v>1085</v>
      </c>
      <c r="D144" s="235" t="s">
        <v>807</v>
      </c>
      <c r="E144" s="235" t="s">
        <v>1086</v>
      </c>
      <c r="F144" s="235" t="s">
        <v>591</v>
      </c>
      <c r="G144" s="235" t="s">
        <v>408</v>
      </c>
      <c r="H144" s="235" t="s">
        <v>405</v>
      </c>
      <c r="I144" s="215">
        <v>27500000</v>
      </c>
      <c r="J144" s="237">
        <v>44676</v>
      </c>
      <c r="K144" s="235" t="s">
        <v>713</v>
      </c>
      <c r="L144" s="237">
        <v>44740</v>
      </c>
      <c r="M144" s="237">
        <v>44750</v>
      </c>
      <c r="N144" s="235"/>
      <c r="O144" s="235" t="s">
        <v>590</v>
      </c>
      <c r="P144" s="235"/>
      <c r="Q144" s="235"/>
      <c r="R144" s="235"/>
      <c r="S144" s="235"/>
      <c r="T144" s="235"/>
      <c r="U144" s="235"/>
      <c r="V144" s="235"/>
      <c r="W144" s="235"/>
      <c r="X144" s="234" t="s">
        <v>1365</v>
      </c>
      <c r="Y144" s="235"/>
    </row>
    <row r="145" spans="1:25" s="238" customFormat="1" ht="16.5" customHeight="1">
      <c r="A145" s="234">
        <v>142</v>
      </c>
      <c r="B145" s="235" t="s">
        <v>512</v>
      </c>
      <c r="C145" s="235" t="s">
        <v>782</v>
      </c>
      <c r="D145" s="235" t="s">
        <v>406</v>
      </c>
      <c r="E145" s="235" t="s">
        <v>1087</v>
      </c>
      <c r="F145" s="235" t="s">
        <v>591</v>
      </c>
      <c r="G145" s="235" t="s">
        <v>408</v>
      </c>
      <c r="H145" s="235" t="s">
        <v>405</v>
      </c>
      <c r="I145" s="215">
        <v>21340000</v>
      </c>
      <c r="J145" s="237">
        <v>44676</v>
      </c>
      <c r="K145" s="235" t="s">
        <v>713</v>
      </c>
      <c r="L145" s="237">
        <v>44692</v>
      </c>
      <c r="M145" s="237">
        <v>44693</v>
      </c>
      <c r="N145" s="235"/>
      <c r="O145" s="235" t="s">
        <v>738</v>
      </c>
      <c r="P145" s="235"/>
      <c r="Q145" s="235"/>
      <c r="R145" s="235"/>
      <c r="S145" s="235"/>
      <c r="T145" s="235"/>
      <c r="U145" s="235"/>
      <c r="V145" s="235"/>
      <c r="W145" s="235"/>
      <c r="X145" s="234" t="s">
        <v>1851</v>
      </c>
      <c r="Y145" s="254" t="s">
        <v>1850</v>
      </c>
    </row>
    <row r="146" spans="1:25" s="238" customFormat="1" ht="16.5" customHeight="1">
      <c r="A146" s="234">
        <v>143</v>
      </c>
      <c r="B146" s="235" t="s">
        <v>512</v>
      </c>
      <c r="C146" s="235" t="s">
        <v>699</v>
      </c>
      <c r="D146" s="235" t="s">
        <v>404</v>
      </c>
      <c r="E146" s="235" t="s">
        <v>1093</v>
      </c>
      <c r="F146" s="235" t="s">
        <v>591</v>
      </c>
      <c r="G146" s="235" t="s">
        <v>408</v>
      </c>
      <c r="H146" s="235" t="s">
        <v>405</v>
      </c>
      <c r="I146" s="215">
        <v>3520000</v>
      </c>
      <c r="J146" s="237">
        <v>44677</v>
      </c>
      <c r="K146" s="235" t="s">
        <v>713</v>
      </c>
      <c r="L146" s="237">
        <v>44692</v>
      </c>
      <c r="M146" s="237">
        <v>44694</v>
      </c>
      <c r="N146" s="235"/>
      <c r="O146" s="235" t="s">
        <v>735</v>
      </c>
      <c r="P146" s="235"/>
      <c r="Q146" s="235"/>
      <c r="R146" s="235"/>
      <c r="S146" s="235"/>
      <c r="T146" s="235"/>
      <c r="U146" s="235"/>
      <c r="V146" s="235"/>
      <c r="W146" s="235"/>
      <c r="X146" s="234" t="s">
        <v>1361</v>
      </c>
      <c r="Y146" s="235"/>
    </row>
    <row r="147" spans="1:25" s="238" customFormat="1" ht="16.5" customHeight="1">
      <c r="A147" s="234">
        <v>144</v>
      </c>
      <c r="B147" s="235" t="s">
        <v>512</v>
      </c>
      <c r="C147" s="235" t="s">
        <v>1092</v>
      </c>
      <c r="D147" s="235" t="s">
        <v>807</v>
      </c>
      <c r="E147" s="235" t="s">
        <v>1188</v>
      </c>
      <c r="F147" s="235" t="s">
        <v>591</v>
      </c>
      <c r="G147" s="235" t="s">
        <v>408</v>
      </c>
      <c r="H147" s="235" t="s">
        <v>405</v>
      </c>
      <c r="I147" s="215">
        <v>5995000</v>
      </c>
      <c r="J147" s="237">
        <v>44678</v>
      </c>
      <c r="K147" s="235" t="s">
        <v>713</v>
      </c>
      <c r="L147" s="237">
        <v>44698</v>
      </c>
      <c r="M147" s="237">
        <v>44700</v>
      </c>
      <c r="N147" s="235"/>
      <c r="O147" s="235" t="s">
        <v>1781</v>
      </c>
      <c r="P147" s="235"/>
      <c r="Q147" s="235"/>
      <c r="R147" s="235"/>
      <c r="S147" s="235"/>
      <c r="T147" s="235"/>
      <c r="U147" s="235"/>
      <c r="V147" s="235"/>
      <c r="W147" s="235"/>
      <c r="X147" s="234" t="s">
        <v>1117</v>
      </c>
      <c r="Y147" s="235"/>
    </row>
    <row r="148" spans="1:25" s="238" customFormat="1" ht="16.5" customHeight="1">
      <c r="A148" s="234">
        <v>145</v>
      </c>
      <c r="B148" s="235" t="s">
        <v>419</v>
      </c>
      <c r="C148" s="235" t="s">
        <v>408</v>
      </c>
      <c r="D148" s="235" t="s">
        <v>406</v>
      </c>
      <c r="E148" s="235" t="s">
        <v>1094</v>
      </c>
      <c r="F148" s="235" t="s">
        <v>502</v>
      </c>
      <c r="G148" s="235" t="s">
        <v>408</v>
      </c>
      <c r="H148" s="235" t="s">
        <v>405</v>
      </c>
      <c r="I148" s="215">
        <v>11600000</v>
      </c>
      <c r="J148" s="237">
        <v>44680</v>
      </c>
      <c r="K148" s="237">
        <v>44709</v>
      </c>
      <c r="L148" s="237">
        <v>44714</v>
      </c>
      <c r="M148" s="237">
        <v>44718</v>
      </c>
      <c r="N148" s="235"/>
      <c r="O148" s="235" t="s">
        <v>590</v>
      </c>
      <c r="P148" s="235"/>
      <c r="Q148" s="235"/>
      <c r="R148" s="235"/>
      <c r="S148" s="235"/>
      <c r="T148" s="235"/>
      <c r="U148" s="235"/>
      <c r="V148" s="235"/>
      <c r="W148" s="235"/>
      <c r="X148" s="234" t="s">
        <v>864</v>
      </c>
      <c r="Y148" s="235"/>
    </row>
    <row r="149" spans="1:25" s="238" customFormat="1" ht="16.5" customHeight="1">
      <c r="A149" s="234">
        <v>146</v>
      </c>
      <c r="B149" s="235" t="s">
        <v>581</v>
      </c>
      <c r="C149" s="235" t="s">
        <v>408</v>
      </c>
      <c r="D149" s="235" t="s">
        <v>406</v>
      </c>
      <c r="E149" s="235" t="s">
        <v>1580</v>
      </c>
      <c r="F149" s="235" t="s">
        <v>502</v>
      </c>
      <c r="G149" s="235" t="s">
        <v>408</v>
      </c>
      <c r="H149" s="235" t="s">
        <v>405</v>
      </c>
      <c r="I149" s="215">
        <v>66000000</v>
      </c>
      <c r="J149" s="237">
        <v>44682</v>
      </c>
      <c r="K149" s="237">
        <v>44742</v>
      </c>
      <c r="L149" s="237">
        <v>44771</v>
      </c>
      <c r="M149" s="237">
        <v>44804</v>
      </c>
      <c r="N149" s="235"/>
      <c r="O149" s="235" t="s">
        <v>1108</v>
      </c>
      <c r="P149" s="235"/>
      <c r="Q149" s="235"/>
      <c r="R149" s="235"/>
      <c r="S149" s="235"/>
      <c r="T149" s="235"/>
      <c r="U149" s="235"/>
      <c r="V149" s="235"/>
      <c r="W149" s="235"/>
      <c r="X149" s="234" t="s">
        <v>864</v>
      </c>
      <c r="Y149" s="235"/>
    </row>
    <row r="150" spans="1:25" s="238" customFormat="1" ht="16.5" customHeight="1">
      <c r="A150" s="234">
        <v>147</v>
      </c>
      <c r="B150" s="234" t="s">
        <v>503</v>
      </c>
      <c r="C150" s="234" t="s">
        <v>408</v>
      </c>
      <c r="D150" s="234" t="s">
        <v>406</v>
      </c>
      <c r="E150" s="234" t="s">
        <v>1187</v>
      </c>
      <c r="F150" s="234" t="s">
        <v>502</v>
      </c>
      <c r="G150" s="255" t="s">
        <v>1102</v>
      </c>
      <c r="H150" s="235" t="s">
        <v>405</v>
      </c>
      <c r="I150" s="215">
        <v>275560000</v>
      </c>
      <c r="J150" s="237">
        <v>44683</v>
      </c>
      <c r="K150" s="237">
        <v>44904</v>
      </c>
      <c r="L150" s="235" t="s">
        <v>2090</v>
      </c>
      <c r="M150" s="235" t="s">
        <v>2098</v>
      </c>
      <c r="N150" s="235"/>
      <c r="O150" s="235" t="s">
        <v>941</v>
      </c>
      <c r="P150" s="235"/>
      <c r="Q150" s="235"/>
      <c r="R150" s="235"/>
      <c r="S150" s="235"/>
      <c r="T150" s="235"/>
      <c r="U150" s="235"/>
      <c r="V150" s="235"/>
      <c r="W150" s="235"/>
      <c r="X150" s="234" t="s">
        <v>864</v>
      </c>
      <c r="Y150" s="235"/>
    </row>
    <row r="151" spans="1:25" s="238" customFormat="1" ht="16.5" customHeight="1">
      <c r="A151" s="234">
        <v>148</v>
      </c>
      <c r="B151" s="235" t="s">
        <v>705</v>
      </c>
      <c r="C151" s="235" t="s">
        <v>1103</v>
      </c>
      <c r="D151" s="235" t="s">
        <v>1104</v>
      </c>
      <c r="E151" s="235" t="s">
        <v>1263</v>
      </c>
      <c r="F151" s="235" t="s">
        <v>591</v>
      </c>
      <c r="G151" s="235" t="s">
        <v>1106</v>
      </c>
      <c r="H151" s="235" t="s">
        <v>405</v>
      </c>
      <c r="I151" s="215">
        <v>1925000</v>
      </c>
      <c r="J151" s="237">
        <v>44683</v>
      </c>
      <c r="K151" s="237">
        <v>44725</v>
      </c>
      <c r="L151" s="237">
        <v>44707</v>
      </c>
      <c r="M151" s="237">
        <v>44722</v>
      </c>
      <c r="N151" s="235"/>
      <c r="O151" s="235" t="s">
        <v>1107</v>
      </c>
      <c r="P151" s="235"/>
      <c r="Q151" s="235"/>
      <c r="R151" s="235"/>
      <c r="S151" s="235"/>
      <c r="T151" s="235"/>
      <c r="U151" s="235"/>
      <c r="V151" s="235"/>
      <c r="W151" s="235"/>
      <c r="X151" s="234" t="s">
        <v>1500</v>
      </c>
      <c r="Y151" s="235"/>
    </row>
    <row r="152" spans="1:25" s="238" customFormat="1" ht="16.5" customHeight="1">
      <c r="A152" s="234">
        <v>149</v>
      </c>
      <c r="B152" s="235" t="s">
        <v>512</v>
      </c>
      <c r="C152" s="235" t="s">
        <v>408</v>
      </c>
      <c r="D152" s="235"/>
      <c r="E152" s="235" t="s">
        <v>1112</v>
      </c>
      <c r="F152" s="235" t="s">
        <v>502</v>
      </c>
      <c r="G152" s="235" t="s">
        <v>408</v>
      </c>
      <c r="H152" s="235" t="s">
        <v>405</v>
      </c>
      <c r="I152" s="215">
        <v>3740000</v>
      </c>
      <c r="J152" s="237">
        <v>44683</v>
      </c>
      <c r="K152" s="235" t="s">
        <v>713</v>
      </c>
      <c r="L152" s="237">
        <v>44684</v>
      </c>
      <c r="M152" s="237">
        <v>44690</v>
      </c>
      <c r="N152" s="235"/>
      <c r="O152" s="235" t="s">
        <v>590</v>
      </c>
      <c r="P152" s="235"/>
      <c r="Q152" s="235"/>
      <c r="R152" s="235"/>
      <c r="S152" s="235"/>
      <c r="T152" s="235"/>
      <c r="U152" s="235"/>
      <c r="V152" s="235"/>
      <c r="W152" s="235"/>
      <c r="X152" s="234" t="s">
        <v>864</v>
      </c>
      <c r="Y152" s="235"/>
    </row>
    <row r="153" spans="1:25" s="238" customFormat="1" ht="16.5" customHeight="1">
      <c r="A153" s="234">
        <v>150</v>
      </c>
      <c r="B153" s="235" t="s">
        <v>503</v>
      </c>
      <c r="C153" s="235" t="s">
        <v>408</v>
      </c>
      <c r="D153" s="235" t="s">
        <v>406</v>
      </c>
      <c r="E153" s="235" t="s">
        <v>1114</v>
      </c>
      <c r="F153" s="235" t="s">
        <v>591</v>
      </c>
      <c r="G153" s="235" t="s">
        <v>408</v>
      </c>
      <c r="H153" s="235" t="s">
        <v>405</v>
      </c>
      <c r="I153" s="215">
        <v>31680000</v>
      </c>
      <c r="J153" s="237">
        <v>44684</v>
      </c>
      <c r="K153" s="237">
        <v>44776</v>
      </c>
      <c r="L153" s="237">
        <v>44778</v>
      </c>
      <c r="M153" s="237">
        <v>44781</v>
      </c>
      <c r="N153" s="235"/>
      <c r="O153" s="235" t="s">
        <v>596</v>
      </c>
      <c r="P153" s="235"/>
      <c r="Q153" s="235"/>
      <c r="R153" s="235"/>
      <c r="S153" s="235"/>
      <c r="T153" s="235"/>
      <c r="U153" s="235"/>
      <c r="V153" s="235"/>
      <c r="W153" s="235"/>
      <c r="X153" s="234" t="s">
        <v>1693</v>
      </c>
      <c r="Y153" s="235"/>
    </row>
    <row r="154" spans="1:25" s="238" customFormat="1" ht="16.5" customHeight="1">
      <c r="A154" s="234">
        <v>151</v>
      </c>
      <c r="B154" s="235" t="s">
        <v>683</v>
      </c>
      <c r="C154" s="235" t="s">
        <v>1085</v>
      </c>
      <c r="D154" s="235" t="s">
        <v>404</v>
      </c>
      <c r="E154" s="235" t="s">
        <v>421</v>
      </c>
      <c r="F154" s="235" t="s">
        <v>591</v>
      </c>
      <c r="G154" s="235" t="s">
        <v>408</v>
      </c>
      <c r="H154" s="235" t="s">
        <v>405</v>
      </c>
      <c r="I154" s="215">
        <v>40480000</v>
      </c>
      <c r="J154" s="237">
        <v>44687</v>
      </c>
      <c r="K154" s="235"/>
      <c r="L154" s="237" t="s">
        <v>2188</v>
      </c>
      <c r="M154" s="235" t="s">
        <v>2192</v>
      </c>
      <c r="N154" s="235"/>
      <c r="O154" s="235" t="s">
        <v>915</v>
      </c>
      <c r="P154" s="235"/>
      <c r="Q154" s="235"/>
      <c r="R154" s="235"/>
      <c r="S154" s="235"/>
      <c r="T154" s="235"/>
      <c r="U154" s="235"/>
      <c r="V154" s="235"/>
      <c r="W154" s="235"/>
      <c r="X154" s="234"/>
      <c r="Y154" s="235" t="s">
        <v>1777</v>
      </c>
    </row>
    <row r="155" spans="1:25" s="238" customFormat="1" ht="16.5" customHeight="1">
      <c r="A155" s="234">
        <v>152</v>
      </c>
      <c r="B155" s="235" t="s">
        <v>503</v>
      </c>
      <c r="C155" s="235"/>
      <c r="D155" s="235" t="s">
        <v>406</v>
      </c>
      <c r="E155" s="235" t="s">
        <v>1119</v>
      </c>
      <c r="F155" s="235" t="s">
        <v>502</v>
      </c>
      <c r="G155" s="235" t="s">
        <v>408</v>
      </c>
      <c r="H155" s="235" t="s">
        <v>405</v>
      </c>
      <c r="I155" s="215">
        <v>4981000</v>
      </c>
      <c r="J155" s="237">
        <v>44690</v>
      </c>
      <c r="K155" s="237">
        <v>44690</v>
      </c>
      <c r="L155" s="237">
        <v>44699</v>
      </c>
      <c r="M155" s="237">
        <v>44699</v>
      </c>
      <c r="N155" s="235"/>
      <c r="O155" s="235" t="s">
        <v>1120</v>
      </c>
      <c r="P155" s="235"/>
      <c r="Q155" s="235"/>
      <c r="R155" s="235"/>
      <c r="S155" s="235"/>
      <c r="T155" s="235"/>
      <c r="U155" s="235"/>
      <c r="V155" s="235"/>
      <c r="W155" s="235"/>
      <c r="X155" s="234" t="s">
        <v>864</v>
      </c>
      <c r="Y155" s="235"/>
    </row>
    <row r="156" spans="1:25" s="247" customFormat="1" ht="16.5" customHeight="1">
      <c r="A156" s="244">
        <v>153</v>
      </c>
      <c r="B156" s="245" t="s">
        <v>696</v>
      </c>
      <c r="C156" s="245" t="s">
        <v>1123</v>
      </c>
      <c r="D156" s="245" t="s">
        <v>406</v>
      </c>
      <c r="E156" s="245" t="s">
        <v>1122</v>
      </c>
      <c r="F156" s="245" t="s">
        <v>591</v>
      </c>
      <c r="G156" s="245" t="s">
        <v>408</v>
      </c>
      <c r="H156" s="245" t="s">
        <v>405</v>
      </c>
      <c r="I156" s="219">
        <v>9900000</v>
      </c>
      <c r="J156" s="246">
        <v>44690</v>
      </c>
      <c r="K156" s="235" t="s">
        <v>713</v>
      </c>
      <c r="L156" s="245" t="s">
        <v>408</v>
      </c>
      <c r="M156" s="245" t="s">
        <v>408</v>
      </c>
      <c r="N156" s="245"/>
      <c r="O156" s="245" t="s">
        <v>590</v>
      </c>
      <c r="P156" s="235"/>
      <c r="Q156" s="235"/>
      <c r="R156" s="235"/>
      <c r="S156" s="235"/>
      <c r="T156" s="235"/>
      <c r="U156" s="235"/>
      <c r="V156" s="235"/>
      <c r="W156" s="235"/>
      <c r="X156" s="244" t="s">
        <v>864</v>
      </c>
      <c r="Y156" s="245"/>
    </row>
    <row r="157" spans="1:25" s="238" customFormat="1" ht="16.5" customHeight="1">
      <c r="A157" s="234">
        <v>154</v>
      </c>
      <c r="B157" s="235" t="s">
        <v>512</v>
      </c>
      <c r="C157" s="235" t="s">
        <v>964</v>
      </c>
      <c r="D157" s="235" t="s">
        <v>786</v>
      </c>
      <c r="E157" s="235" t="s">
        <v>1189</v>
      </c>
      <c r="F157" s="235" t="s">
        <v>591</v>
      </c>
      <c r="G157" s="235" t="s">
        <v>408</v>
      </c>
      <c r="H157" s="235" t="s">
        <v>405</v>
      </c>
      <c r="I157" s="215">
        <v>4642000</v>
      </c>
      <c r="J157" s="237">
        <v>44691</v>
      </c>
      <c r="K157" s="235" t="s">
        <v>713</v>
      </c>
      <c r="L157" s="237">
        <v>44699</v>
      </c>
      <c r="M157" s="237">
        <v>44700</v>
      </c>
      <c r="N157" s="235"/>
      <c r="O157" s="235" t="s">
        <v>1781</v>
      </c>
      <c r="P157" s="235"/>
      <c r="Q157" s="235"/>
      <c r="R157" s="235"/>
      <c r="S157" s="235"/>
      <c r="T157" s="235"/>
      <c r="U157" s="235"/>
      <c r="V157" s="235"/>
      <c r="W157" s="235"/>
      <c r="X157" s="234" t="s">
        <v>1124</v>
      </c>
      <c r="Y157" s="235"/>
    </row>
    <row r="158" spans="1:25" s="238" customFormat="1" ht="16.5" customHeight="1">
      <c r="A158" s="234">
        <v>155</v>
      </c>
      <c r="B158" s="235" t="s">
        <v>1126</v>
      </c>
      <c r="C158" s="235" t="s">
        <v>1131</v>
      </c>
      <c r="D158" s="235" t="s">
        <v>406</v>
      </c>
      <c r="E158" s="235" t="s">
        <v>1130</v>
      </c>
      <c r="F158" s="235" t="s">
        <v>502</v>
      </c>
      <c r="G158" s="235" t="s">
        <v>408</v>
      </c>
      <c r="H158" s="235" t="s">
        <v>405</v>
      </c>
      <c r="I158" s="215">
        <v>15180000</v>
      </c>
      <c r="J158" s="237">
        <v>44692</v>
      </c>
      <c r="K158" s="237">
        <v>44781</v>
      </c>
      <c r="L158" s="237">
        <v>44809</v>
      </c>
      <c r="M158" s="237">
        <v>44812</v>
      </c>
      <c r="N158" s="235"/>
      <c r="O158" s="235" t="s">
        <v>833</v>
      </c>
      <c r="P158" s="235"/>
      <c r="Q158" s="235"/>
      <c r="R158" s="235"/>
      <c r="S158" s="235"/>
      <c r="T158" s="235"/>
      <c r="U158" s="235"/>
      <c r="V158" s="235"/>
      <c r="W158" s="235"/>
      <c r="X158" s="234"/>
      <c r="Y158" s="235"/>
    </row>
    <row r="159" spans="1:25" s="238" customFormat="1" ht="16.5" customHeight="1">
      <c r="A159" s="234">
        <v>156</v>
      </c>
      <c r="B159" s="235" t="s">
        <v>1127</v>
      </c>
      <c r="C159" s="235" t="s">
        <v>1128</v>
      </c>
      <c r="D159" s="235" t="s">
        <v>406</v>
      </c>
      <c r="E159" s="235" t="s">
        <v>1236</v>
      </c>
      <c r="F159" s="235" t="s">
        <v>591</v>
      </c>
      <c r="G159" s="235" t="s">
        <v>408</v>
      </c>
      <c r="H159" s="235" t="s">
        <v>405</v>
      </c>
      <c r="I159" s="215">
        <v>2992000</v>
      </c>
      <c r="J159" s="237">
        <v>44678</v>
      </c>
      <c r="K159" s="235" t="s">
        <v>713</v>
      </c>
      <c r="L159" s="237">
        <v>44690</v>
      </c>
      <c r="M159" s="237">
        <v>44711</v>
      </c>
      <c r="N159" s="235"/>
      <c r="O159" s="235" t="s">
        <v>994</v>
      </c>
      <c r="P159" s="235"/>
      <c r="Q159" s="235"/>
      <c r="R159" s="235"/>
      <c r="S159" s="235"/>
      <c r="T159" s="235"/>
      <c r="U159" s="235"/>
      <c r="V159" s="235"/>
      <c r="W159" s="235"/>
      <c r="X159" s="234" t="s">
        <v>1129</v>
      </c>
      <c r="Y159" s="235"/>
    </row>
    <row r="160" spans="1:25" s="238" customFormat="1" ht="16.5" customHeight="1">
      <c r="A160" s="234">
        <v>157</v>
      </c>
      <c r="B160" s="235" t="s">
        <v>683</v>
      </c>
      <c r="C160" s="235"/>
      <c r="D160" s="235" t="s">
        <v>678</v>
      </c>
      <c r="E160" s="235" t="s">
        <v>1132</v>
      </c>
      <c r="F160" s="235" t="s">
        <v>591</v>
      </c>
      <c r="G160" s="235" t="s">
        <v>408</v>
      </c>
      <c r="H160" s="235" t="s">
        <v>405</v>
      </c>
      <c r="I160" s="215">
        <v>5720000</v>
      </c>
      <c r="J160" s="237">
        <v>44692</v>
      </c>
      <c r="K160" s="235" t="s">
        <v>713</v>
      </c>
      <c r="L160" s="237">
        <v>44734</v>
      </c>
      <c r="M160" s="235" t="s">
        <v>1603</v>
      </c>
      <c r="N160" s="235"/>
      <c r="O160" s="235" t="s">
        <v>590</v>
      </c>
      <c r="P160" s="235"/>
      <c r="Q160" s="235"/>
      <c r="R160" s="235"/>
      <c r="S160" s="235"/>
      <c r="T160" s="235"/>
      <c r="U160" s="235"/>
      <c r="V160" s="235"/>
      <c r="W160" s="235"/>
      <c r="X160" s="234" t="s">
        <v>1138</v>
      </c>
      <c r="Y160" s="235"/>
    </row>
    <row r="161" spans="1:25" s="238" customFormat="1" ht="16.5" customHeight="1">
      <c r="A161" s="234">
        <v>158</v>
      </c>
      <c r="B161" s="235" t="s">
        <v>503</v>
      </c>
      <c r="C161" s="235"/>
      <c r="D161" s="235" t="s">
        <v>406</v>
      </c>
      <c r="E161" s="235" t="s">
        <v>1133</v>
      </c>
      <c r="F161" s="235" t="s">
        <v>591</v>
      </c>
      <c r="G161" s="235" t="s">
        <v>408</v>
      </c>
      <c r="H161" s="235" t="s">
        <v>405</v>
      </c>
      <c r="I161" s="215">
        <v>77009812</v>
      </c>
      <c r="J161" s="237">
        <v>44692</v>
      </c>
      <c r="K161" s="235" t="s">
        <v>713</v>
      </c>
      <c r="L161" s="237">
        <v>44690</v>
      </c>
      <c r="M161" s="237">
        <v>44693</v>
      </c>
      <c r="N161" s="235"/>
      <c r="O161" s="235" t="s">
        <v>833</v>
      </c>
      <c r="P161" s="235"/>
      <c r="Q161" s="235"/>
      <c r="R161" s="235"/>
      <c r="S161" s="235"/>
      <c r="T161" s="235"/>
      <c r="U161" s="235"/>
      <c r="V161" s="235"/>
      <c r="W161" s="235"/>
      <c r="X161" s="234" t="s">
        <v>1731</v>
      </c>
      <c r="Y161" s="235"/>
    </row>
    <row r="162" spans="1:25" s="238" customFormat="1" ht="16.5" customHeight="1">
      <c r="A162" s="234">
        <v>159</v>
      </c>
      <c r="B162" s="235" t="s">
        <v>412</v>
      </c>
      <c r="C162" s="235" t="s">
        <v>1135</v>
      </c>
      <c r="D162" s="235" t="s">
        <v>678</v>
      </c>
      <c r="E162" s="235" t="s">
        <v>1186</v>
      </c>
      <c r="F162" s="235" t="s">
        <v>591</v>
      </c>
      <c r="G162" s="235" t="s">
        <v>408</v>
      </c>
      <c r="H162" s="235" t="s">
        <v>405</v>
      </c>
      <c r="I162" s="215">
        <v>1980000</v>
      </c>
      <c r="J162" s="237">
        <v>44645</v>
      </c>
      <c r="K162" s="235" t="s">
        <v>713</v>
      </c>
      <c r="L162" s="237">
        <v>44692</v>
      </c>
      <c r="M162" s="237">
        <v>44697</v>
      </c>
      <c r="N162" s="235"/>
      <c r="O162" s="235" t="s">
        <v>590</v>
      </c>
      <c r="P162" s="235"/>
      <c r="Q162" s="235"/>
      <c r="R162" s="235"/>
      <c r="S162" s="235"/>
      <c r="T162" s="235"/>
      <c r="U162" s="235"/>
      <c r="V162" s="235"/>
      <c r="W162" s="235"/>
      <c r="X162" s="234" t="s">
        <v>1776</v>
      </c>
      <c r="Y162" s="235"/>
    </row>
    <row r="163" spans="1:25" s="238" customFormat="1" ht="16.5" customHeight="1">
      <c r="A163" s="234">
        <v>160</v>
      </c>
      <c r="B163" s="235" t="s">
        <v>1134</v>
      </c>
      <c r="C163" s="235"/>
      <c r="D163" s="235" t="s">
        <v>1136</v>
      </c>
      <c r="E163" s="235" t="s">
        <v>1137</v>
      </c>
      <c r="F163" s="235" t="s">
        <v>591</v>
      </c>
      <c r="G163" s="235" t="s">
        <v>408</v>
      </c>
      <c r="H163" s="235" t="s">
        <v>405</v>
      </c>
      <c r="I163" s="215">
        <v>9570000</v>
      </c>
      <c r="J163" s="237">
        <v>44685</v>
      </c>
      <c r="K163" s="237">
        <v>44745</v>
      </c>
      <c r="L163" s="237">
        <v>44734</v>
      </c>
      <c r="M163" s="237">
        <v>44735</v>
      </c>
      <c r="N163" s="235"/>
      <c r="O163" s="235" t="s">
        <v>1784</v>
      </c>
      <c r="P163" s="235"/>
      <c r="Q163" s="235"/>
      <c r="R163" s="235"/>
      <c r="S163" s="235"/>
      <c r="T163" s="235"/>
      <c r="U163" s="235"/>
      <c r="V163" s="235"/>
      <c r="W163" s="235"/>
      <c r="X163" s="234" t="s">
        <v>1240</v>
      </c>
      <c r="Y163" s="235"/>
    </row>
    <row r="164" spans="1:25" s="238" customFormat="1" ht="16.5" customHeight="1">
      <c r="A164" s="234">
        <v>161</v>
      </c>
      <c r="B164" s="235" t="s">
        <v>409</v>
      </c>
      <c r="C164" s="235" t="s">
        <v>994</v>
      </c>
      <c r="D164" s="235" t="s">
        <v>406</v>
      </c>
      <c r="E164" s="235" t="s">
        <v>1150</v>
      </c>
      <c r="F164" s="235" t="s">
        <v>502</v>
      </c>
      <c r="G164" s="235" t="s">
        <v>408</v>
      </c>
      <c r="H164" s="235" t="s">
        <v>405</v>
      </c>
      <c r="I164" s="215">
        <v>38500000</v>
      </c>
      <c r="J164" s="237">
        <v>44691</v>
      </c>
      <c r="K164" s="235" t="s">
        <v>713</v>
      </c>
      <c r="L164" s="237">
        <v>44691</v>
      </c>
      <c r="M164" s="237">
        <v>44694</v>
      </c>
      <c r="N164" s="235"/>
      <c r="O164" s="235" t="s">
        <v>590</v>
      </c>
      <c r="P164" s="235"/>
      <c r="Q164" s="235"/>
      <c r="R164" s="235"/>
      <c r="S164" s="235"/>
      <c r="T164" s="235"/>
      <c r="U164" s="235"/>
      <c r="V164" s="235"/>
      <c r="W164" s="235"/>
      <c r="X164" s="234" t="s">
        <v>1567</v>
      </c>
      <c r="Y164" s="235"/>
    </row>
    <row r="165" spans="1:25" s="247" customFormat="1" ht="16.5" customHeight="1">
      <c r="A165" s="244">
        <v>162</v>
      </c>
      <c r="B165" s="245" t="s">
        <v>1127</v>
      </c>
      <c r="C165" s="245" t="s">
        <v>1140</v>
      </c>
      <c r="D165" s="245" t="s">
        <v>1141</v>
      </c>
      <c r="E165" s="245" t="s">
        <v>1142</v>
      </c>
      <c r="F165" s="245" t="s">
        <v>591</v>
      </c>
      <c r="G165" s="245" t="s">
        <v>408</v>
      </c>
      <c r="H165" s="245" t="s">
        <v>405</v>
      </c>
      <c r="I165" s="219">
        <v>3190000</v>
      </c>
      <c r="J165" s="246">
        <v>44694</v>
      </c>
      <c r="K165" s="245"/>
      <c r="L165" s="245" t="s">
        <v>408</v>
      </c>
      <c r="M165" s="245" t="s">
        <v>408</v>
      </c>
      <c r="N165" s="245"/>
      <c r="O165" s="245" t="s">
        <v>590</v>
      </c>
      <c r="P165" s="245"/>
      <c r="Q165" s="245"/>
      <c r="R165" s="245"/>
      <c r="S165" s="245"/>
      <c r="T165" s="245"/>
      <c r="U165" s="245"/>
      <c r="V165" s="245"/>
      <c r="W165" s="245"/>
      <c r="X165" s="244"/>
      <c r="Y165" s="245"/>
    </row>
    <row r="166" spans="1:25" s="238" customFormat="1" ht="16.5" customHeight="1">
      <c r="A166" s="234">
        <v>163</v>
      </c>
      <c r="B166" s="235" t="s">
        <v>1143</v>
      </c>
      <c r="C166" s="235" t="s">
        <v>1144</v>
      </c>
      <c r="D166" s="235" t="s">
        <v>835</v>
      </c>
      <c r="E166" s="235" t="s">
        <v>1145</v>
      </c>
      <c r="F166" s="235" t="s">
        <v>591</v>
      </c>
      <c r="G166" s="235" t="s">
        <v>408</v>
      </c>
      <c r="H166" s="235" t="s">
        <v>405</v>
      </c>
      <c r="I166" s="215">
        <v>3850000</v>
      </c>
      <c r="J166" s="237">
        <v>44692</v>
      </c>
      <c r="K166" s="235" t="s">
        <v>713</v>
      </c>
      <c r="L166" s="237">
        <v>44694</v>
      </c>
      <c r="M166" s="237">
        <v>44694</v>
      </c>
      <c r="N166" s="235"/>
      <c r="O166" s="235" t="s">
        <v>735</v>
      </c>
      <c r="P166" s="235"/>
      <c r="Q166" s="235"/>
      <c r="R166" s="235"/>
      <c r="S166" s="235"/>
      <c r="T166" s="235"/>
      <c r="U166" s="235"/>
      <c r="V166" s="235"/>
      <c r="W166" s="235"/>
      <c r="X166" s="234" t="s">
        <v>1146</v>
      </c>
      <c r="Y166" s="235"/>
    </row>
    <row r="167" spans="1:25" s="238" customFormat="1" ht="16.5" customHeight="1">
      <c r="A167" s="234">
        <v>164</v>
      </c>
      <c r="B167" s="235" t="s">
        <v>1149</v>
      </c>
      <c r="C167" s="235"/>
      <c r="D167" s="235" t="s">
        <v>406</v>
      </c>
      <c r="E167" s="235" t="s">
        <v>1340</v>
      </c>
      <c r="F167" s="235" t="s">
        <v>591</v>
      </c>
      <c r="G167" s="235" t="s">
        <v>408</v>
      </c>
      <c r="H167" s="235" t="s">
        <v>405</v>
      </c>
      <c r="I167" s="215">
        <v>3740000</v>
      </c>
      <c r="J167" s="237">
        <v>44694</v>
      </c>
      <c r="K167" s="235" t="s">
        <v>713</v>
      </c>
      <c r="L167" s="237">
        <v>44710</v>
      </c>
      <c r="M167" s="237">
        <v>44742</v>
      </c>
      <c r="N167" s="235"/>
      <c r="O167" s="235" t="s">
        <v>738</v>
      </c>
      <c r="P167" s="235"/>
      <c r="Q167" s="235"/>
      <c r="R167" s="235"/>
      <c r="S167" s="235"/>
      <c r="T167" s="235"/>
      <c r="U167" s="235"/>
      <c r="V167" s="235"/>
      <c r="W167" s="235"/>
      <c r="X167" s="234" t="s">
        <v>1177</v>
      </c>
      <c r="Y167" s="235"/>
    </row>
    <row r="168" spans="1:25" s="238" customFormat="1" ht="42.75" customHeight="1">
      <c r="A168" s="234">
        <v>165</v>
      </c>
      <c r="B168" s="235" t="s">
        <v>705</v>
      </c>
      <c r="C168" s="235" t="s">
        <v>877</v>
      </c>
      <c r="D168" s="235" t="s">
        <v>952</v>
      </c>
      <c r="E168" s="235" t="s">
        <v>1336</v>
      </c>
      <c r="F168" s="235" t="s">
        <v>591</v>
      </c>
      <c r="G168" s="235" t="s">
        <v>408</v>
      </c>
      <c r="H168" s="235" t="s">
        <v>405</v>
      </c>
      <c r="I168" s="215">
        <v>44000000</v>
      </c>
      <c r="J168" s="237">
        <v>44694</v>
      </c>
      <c r="K168" s="235" t="s">
        <v>713</v>
      </c>
      <c r="L168" s="256" t="s">
        <v>2178</v>
      </c>
      <c r="M168" s="256" t="s">
        <v>2179</v>
      </c>
      <c r="N168" s="235"/>
      <c r="O168" s="235" t="s">
        <v>590</v>
      </c>
      <c r="P168" s="235"/>
      <c r="Q168" s="235"/>
      <c r="R168" s="235"/>
      <c r="S168" s="235"/>
      <c r="T168" s="235"/>
      <c r="U168" s="235"/>
      <c r="V168" s="235"/>
      <c r="W168" s="235"/>
      <c r="X168" s="234" t="s">
        <v>2165</v>
      </c>
      <c r="Y168" s="235"/>
    </row>
    <row r="169" spans="1:25" s="238" customFormat="1" ht="16.5" customHeight="1">
      <c r="A169" s="234">
        <v>166</v>
      </c>
      <c r="B169" s="235" t="s">
        <v>995</v>
      </c>
      <c r="C169" s="235"/>
      <c r="D169" s="235"/>
      <c r="E169" s="235" t="s">
        <v>1154</v>
      </c>
      <c r="F169" s="235" t="s">
        <v>591</v>
      </c>
      <c r="G169" s="235" t="s">
        <v>408</v>
      </c>
      <c r="H169" s="235" t="s">
        <v>405</v>
      </c>
      <c r="I169" s="215">
        <v>187000000</v>
      </c>
      <c r="J169" s="237">
        <v>44652</v>
      </c>
      <c r="K169" s="235" t="s">
        <v>713</v>
      </c>
      <c r="L169" s="235" t="s">
        <v>408</v>
      </c>
      <c r="M169" s="235" t="s">
        <v>408</v>
      </c>
      <c r="N169" s="235"/>
      <c r="O169" s="235" t="s">
        <v>1153</v>
      </c>
      <c r="P169" s="235"/>
      <c r="Q169" s="235"/>
      <c r="R169" s="235"/>
      <c r="S169" s="235"/>
      <c r="T169" s="235"/>
      <c r="U169" s="235"/>
      <c r="V169" s="235"/>
      <c r="W169" s="235"/>
      <c r="X169" s="234"/>
      <c r="Y169" s="235"/>
    </row>
    <row r="170" spans="1:25" s="238" customFormat="1" ht="16.5" customHeight="1">
      <c r="A170" s="234">
        <v>167</v>
      </c>
      <c r="B170" s="235" t="s">
        <v>512</v>
      </c>
      <c r="C170" s="235" t="s">
        <v>1050</v>
      </c>
      <c r="D170" s="235" t="s">
        <v>1151</v>
      </c>
      <c r="E170" s="235" t="s">
        <v>1152</v>
      </c>
      <c r="F170" s="235" t="s">
        <v>591</v>
      </c>
      <c r="G170" s="235" t="s">
        <v>408</v>
      </c>
      <c r="H170" s="235" t="s">
        <v>405</v>
      </c>
      <c r="I170" s="215">
        <v>16720000</v>
      </c>
      <c r="J170" s="237">
        <v>44697</v>
      </c>
      <c r="K170" s="235" t="s">
        <v>713</v>
      </c>
      <c r="L170" s="237">
        <v>44729</v>
      </c>
      <c r="M170" s="237">
        <v>44732</v>
      </c>
      <c r="N170" s="235"/>
      <c r="O170" s="235" t="s">
        <v>596</v>
      </c>
      <c r="P170" s="235"/>
      <c r="Q170" s="235"/>
      <c r="R170" s="235"/>
      <c r="S170" s="235"/>
      <c r="T170" s="235"/>
      <c r="U170" s="235"/>
      <c r="V170" s="235"/>
      <c r="W170" s="235"/>
      <c r="X170" s="234" t="s">
        <v>1249</v>
      </c>
      <c r="Y170" s="235"/>
    </row>
    <row r="171" spans="1:25" s="238" customFormat="1" ht="16.5" customHeight="1">
      <c r="A171" s="234">
        <v>168</v>
      </c>
      <c r="B171" s="235" t="s">
        <v>512</v>
      </c>
      <c r="C171" s="235" t="s">
        <v>1165</v>
      </c>
      <c r="D171" s="235" t="s">
        <v>513</v>
      </c>
      <c r="E171" s="235" t="s">
        <v>1169</v>
      </c>
      <c r="F171" s="235" t="s">
        <v>591</v>
      </c>
      <c r="G171" s="235" t="s">
        <v>408</v>
      </c>
      <c r="H171" s="235" t="s">
        <v>405</v>
      </c>
      <c r="I171" s="215">
        <v>3080000</v>
      </c>
      <c r="J171" s="237">
        <v>44698</v>
      </c>
      <c r="K171" s="235" t="s">
        <v>713</v>
      </c>
      <c r="L171" s="237">
        <v>44728</v>
      </c>
      <c r="M171" s="237">
        <v>44729</v>
      </c>
      <c r="N171" s="235"/>
      <c r="O171" s="235" t="s">
        <v>738</v>
      </c>
      <c r="P171" s="235"/>
      <c r="Q171" s="235"/>
      <c r="R171" s="235"/>
      <c r="S171" s="235"/>
      <c r="T171" s="235"/>
      <c r="U171" s="235"/>
      <c r="V171" s="235"/>
      <c r="W171" s="235"/>
      <c r="X171" s="234" t="s">
        <v>1242</v>
      </c>
      <c r="Y171" s="235"/>
    </row>
    <row r="172" spans="1:25" s="238" customFormat="1" ht="16.5" customHeight="1">
      <c r="A172" s="234">
        <v>169</v>
      </c>
      <c r="B172" s="235" t="s">
        <v>512</v>
      </c>
      <c r="C172" s="235" t="s">
        <v>1166</v>
      </c>
      <c r="D172" s="235" t="s">
        <v>406</v>
      </c>
      <c r="E172" s="235" t="s">
        <v>1170</v>
      </c>
      <c r="F172" s="235" t="s">
        <v>502</v>
      </c>
      <c r="G172" s="235" t="s">
        <v>408</v>
      </c>
      <c r="H172" s="235" t="s">
        <v>405</v>
      </c>
      <c r="I172" s="215">
        <v>19000260</v>
      </c>
      <c r="J172" s="237">
        <v>44699</v>
      </c>
      <c r="K172" s="237">
        <v>44773</v>
      </c>
      <c r="L172" s="237">
        <v>44746</v>
      </c>
      <c r="M172" s="237">
        <v>44748</v>
      </c>
      <c r="N172" s="235"/>
      <c r="O172" s="235" t="s">
        <v>1380</v>
      </c>
      <c r="P172" s="235"/>
      <c r="Q172" s="235"/>
      <c r="R172" s="235"/>
      <c r="S172" s="235"/>
      <c r="T172" s="235"/>
      <c r="U172" s="235"/>
      <c r="V172" s="235"/>
      <c r="W172" s="235"/>
      <c r="X172" s="234" t="s">
        <v>1382</v>
      </c>
      <c r="Y172" s="235"/>
    </row>
    <row r="173" spans="1:25" s="238" customFormat="1" ht="16.5" customHeight="1">
      <c r="A173" s="234">
        <v>170</v>
      </c>
      <c r="B173" s="235" t="s">
        <v>412</v>
      </c>
      <c r="C173" s="235" t="s">
        <v>1167</v>
      </c>
      <c r="D173" s="235" t="s">
        <v>841</v>
      </c>
      <c r="E173" s="235" t="s">
        <v>1341</v>
      </c>
      <c r="F173" s="235" t="s">
        <v>591</v>
      </c>
      <c r="G173" s="235" t="s">
        <v>408</v>
      </c>
      <c r="H173" s="235" t="s">
        <v>733</v>
      </c>
      <c r="I173" s="215" t="s">
        <v>1174</v>
      </c>
      <c r="J173" s="237">
        <v>44699</v>
      </c>
      <c r="K173" s="237">
        <v>44824</v>
      </c>
      <c r="L173" s="235" t="s">
        <v>408</v>
      </c>
      <c r="M173" s="235" t="s">
        <v>408</v>
      </c>
      <c r="N173" s="235"/>
      <c r="O173" s="235" t="s">
        <v>596</v>
      </c>
      <c r="P173" s="235"/>
      <c r="Q173" s="235"/>
      <c r="R173" s="235"/>
      <c r="S173" s="235"/>
      <c r="T173" s="235"/>
      <c r="U173" s="235"/>
      <c r="V173" s="235"/>
      <c r="W173" s="235"/>
      <c r="X173" s="234" t="s">
        <v>1302</v>
      </c>
      <c r="Y173" s="235"/>
    </row>
    <row r="174" spans="1:25" s="238" customFormat="1" ht="16.5" customHeight="1">
      <c r="A174" s="234">
        <v>171</v>
      </c>
      <c r="B174" s="235" t="s">
        <v>683</v>
      </c>
      <c r="C174" s="235" t="s">
        <v>982</v>
      </c>
      <c r="D174" s="235" t="s">
        <v>665</v>
      </c>
      <c r="E174" s="235" t="s">
        <v>1171</v>
      </c>
      <c r="F174" s="235" t="s">
        <v>591</v>
      </c>
      <c r="G174" s="235" t="s">
        <v>408</v>
      </c>
      <c r="H174" s="235" t="s">
        <v>405</v>
      </c>
      <c r="I174" s="215">
        <v>1760000</v>
      </c>
      <c r="J174" s="237">
        <v>44700</v>
      </c>
      <c r="K174" s="237">
        <v>44742</v>
      </c>
      <c r="L174" s="237">
        <v>44701</v>
      </c>
      <c r="M174" s="237">
        <v>44701</v>
      </c>
      <c r="N174" s="235"/>
      <c r="O174" s="235" t="s">
        <v>738</v>
      </c>
      <c r="P174" s="235"/>
      <c r="Q174" s="235"/>
      <c r="R174" s="235"/>
      <c r="S174" s="235"/>
      <c r="T174" s="235"/>
      <c r="U174" s="235"/>
      <c r="V174" s="235"/>
      <c r="W174" s="235"/>
      <c r="X174" s="234" t="s">
        <v>1247</v>
      </c>
      <c r="Y174" s="235"/>
    </row>
    <row r="175" spans="1:25" s="238" customFormat="1" ht="16.5" customHeight="1">
      <c r="A175" s="234">
        <v>172</v>
      </c>
      <c r="B175" s="235" t="s">
        <v>512</v>
      </c>
      <c r="C175" s="235" t="s">
        <v>964</v>
      </c>
      <c r="D175" s="235" t="s">
        <v>1168</v>
      </c>
      <c r="E175" s="235" t="s">
        <v>1172</v>
      </c>
      <c r="F175" s="235" t="s">
        <v>591</v>
      </c>
      <c r="G175" s="235" t="s">
        <v>408</v>
      </c>
      <c r="H175" s="235" t="s">
        <v>733</v>
      </c>
      <c r="I175" s="215" t="s">
        <v>1175</v>
      </c>
      <c r="J175" s="237">
        <v>44700</v>
      </c>
      <c r="K175" s="237">
        <v>44910</v>
      </c>
      <c r="L175" s="235" t="s">
        <v>408</v>
      </c>
      <c r="M175" s="235" t="s">
        <v>408</v>
      </c>
      <c r="N175" s="235"/>
      <c r="O175" s="235" t="s">
        <v>1783</v>
      </c>
      <c r="P175" s="235"/>
      <c r="Q175" s="235"/>
      <c r="R175" s="235"/>
      <c r="S175" s="235"/>
      <c r="T175" s="235"/>
      <c r="U175" s="235"/>
      <c r="V175" s="235"/>
      <c r="W175" s="235"/>
      <c r="X175" s="234" t="s">
        <v>1115</v>
      </c>
      <c r="Y175" s="235"/>
    </row>
    <row r="176" spans="1:25" s="238" customFormat="1" ht="16.5" customHeight="1">
      <c r="A176" s="234">
        <v>173</v>
      </c>
      <c r="B176" s="235" t="s">
        <v>512</v>
      </c>
      <c r="C176" s="235" t="s">
        <v>964</v>
      </c>
      <c r="D176" s="235" t="s">
        <v>1168</v>
      </c>
      <c r="E176" s="235" t="s">
        <v>1173</v>
      </c>
      <c r="F176" s="235" t="s">
        <v>591</v>
      </c>
      <c r="G176" s="235" t="s">
        <v>408</v>
      </c>
      <c r="H176" s="235" t="s">
        <v>733</v>
      </c>
      <c r="I176" s="215" t="s">
        <v>1176</v>
      </c>
      <c r="J176" s="237">
        <v>44700</v>
      </c>
      <c r="K176" s="237">
        <v>44910</v>
      </c>
      <c r="L176" s="235" t="s">
        <v>408</v>
      </c>
      <c r="M176" s="235" t="s">
        <v>408</v>
      </c>
      <c r="N176" s="235"/>
      <c r="O176" s="235" t="s">
        <v>1783</v>
      </c>
      <c r="P176" s="235"/>
      <c r="Q176" s="235"/>
      <c r="R176" s="235"/>
      <c r="S176" s="235"/>
      <c r="T176" s="235"/>
      <c r="U176" s="235"/>
      <c r="V176" s="235"/>
      <c r="W176" s="235"/>
      <c r="X176" s="234" t="s">
        <v>1115</v>
      </c>
      <c r="Y176" s="235"/>
    </row>
    <row r="177" spans="1:25" s="238" customFormat="1" ht="16.5" customHeight="1">
      <c r="A177" s="234">
        <v>174</v>
      </c>
      <c r="B177" s="235" t="s">
        <v>683</v>
      </c>
      <c r="C177" s="235" t="s">
        <v>1085</v>
      </c>
      <c r="D177" s="235" t="s">
        <v>406</v>
      </c>
      <c r="E177" s="235" t="s">
        <v>1200</v>
      </c>
      <c r="F177" s="235" t="s">
        <v>591</v>
      </c>
      <c r="G177" s="235" t="s">
        <v>408</v>
      </c>
      <c r="H177" s="235" t="s">
        <v>405</v>
      </c>
      <c r="I177" s="215">
        <v>29700000</v>
      </c>
      <c r="J177" s="237">
        <v>44702</v>
      </c>
      <c r="K177" s="237">
        <v>44751</v>
      </c>
      <c r="L177" s="237">
        <v>44706</v>
      </c>
      <c r="M177" s="237">
        <v>44712</v>
      </c>
      <c r="N177" s="235"/>
      <c r="O177" s="235" t="s">
        <v>590</v>
      </c>
      <c r="P177" s="235"/>
      <c r="Q177" s="235"/>
      <c r="R177" s="235"/>
      <c r="S177" s="235"/>
      <c r="T177" s="235"/>
      <c r="U177" s="235"/>
      <c r="V177" s="235"/>
      <c r="W177" s="235"/>
      <c r="X177" s="234" t="s">
        <v>1217</v>
      </c>
      <c r="Y177" s="235"/>
    </row>
    <row r="178" spans="1:25" s="238" customFormat="1" ht="16.5" customHeight="1">
      <c r="A178" s="234">
        <v>175</v>
      </c>
      <c r="B178" s="235" t="s">
        <v>683</v>
      </c>
      <c r="C178" s="235" t="s">
        <v>1085</v>
      </c>
      <c r="D178" s="235" t="s">
        <v>404</v>
      </c>
      <c r="E178" s="235" t="s">
        <v>1201</v>
      </c>
      <c r="F178" s="235" t="s">
        <v>591</v>
      </c>
      <c r="G178" s="235" t="s">
        <v>408</v>
      </c>
      <c r="H178" s="235" t="s">
        <v>405</v>
      </c>
      <c r="I178" s="215">
        <v>29150000</v>
      </c>
      <c r="J178" s="237">
        <v>44702</v>
      </c>
      <c r="K178" s="235" t="s">
        <v>713</v>
      </c>
      <c r="L178" s="237" t="s">
        <v>1601</v>
      </c>
      <c r="M178" s="237" t="s">
        <v>1602</v>
      </c>
      <c r="N178" s="235"/>
      <c r="O178" s="235" t="s">
        <v>590</v>
      </c>
      <c r="P178" s="235"/>
      <c r="Q178" s="235"/>
      <c r="R178" s="235"/>
      <c r="S178" s="235"/>
      <c r="T178" s="235"/>
      <c r="U178" s="235"/>
      <c r="V178" s="235"/>
      <c r="W178" s="235"/>
      <c r="X178" s="234" t="s">
        <v>1769</v>
      </c>
      <c r="Y178" s="235" t="s">
        <v>1770</v>
      </c>
    </row>
    <row r="179" spans="1:25" s="238" customFormat="1" ht="16.5" customHeight="1">
      <c r="A179" s="234">
        <v>176</v>
      </c>
      <c r="B179" s="235" t="s">
        <v>581</v>
      </c>
      <c r="C179" s="235" t="s">
        <v>582</v>
      </c>
      <c r="D179" s="235" t="s">
        <v>406</v>
      </c>
      <c r="E179" s="235" t="s">
        <v>1192</v>
      </c>
      <c r="F179" s="235" t="s">
        <v>591</v>
      </c>
      <c r="G179" s="235" t="s">
        <v>408</v>
      </c>
      <c r="H179" s="235" t="s">
        <v>405</v>
      </c>
      <c r="I179" s="215">
        <v>13200000</v>
      </c>
      <c r="J179" s="237">
        <v>44704</v>
      </c>
      <c r="K179" s="237">
        <v>44732</v>
      </c>
      <c r="L179" s="237">
        <v>44705</v>
      </c>
      <c r="M179" s="237">
        <v>44733</v>
      </c>
      <c r="N179" s="235"/>
      <c r="O179" s="235" t="s">
        <v>590</v>
      </c>
      <c r="P179" s="235"/>
      <c r="Q179" s="235"/>
      <c r="R179" s="235"/>
      <c r="S179" s="235"/>
      <c r="T179" s="235"/>
      <c r="U179" s="235"/>
      <c r="V179" s="235"/>
      <c r="W179" s="235"/>
      <c r="X179" s="234" t="s">
        <v>1415</v>
      </c>
      <c r="Y179" s="235"/>
    </row>
    <row r="180" spans="1:25" s="238" customFormat="1" ht="16.5" customHeight="1">
      <c r="A180" s="234">
        <v>177</v>
      </c>
      <c r="B180" s="235" t="s">
        <v>512</v>
      </c>
      <c r="C180" s="235" t="s">
        <v>1196</v>
      </c>
      <c r="D180" s="235" t="s">
        <v>586</v>
      </c>
      <c r="E180" s="235" t="s">
        <v>1202</v>
      </c>
      <c r="F180" s="235" t="s">
        <v>591</v>
      </c>
      <c r="G180" s="235" t="s">
        <v>408</v>
      </c>
      <c r="H180" s="235" t="s">
        <v>405</v>
      </c>
      <c r="I180" s="215">
        <v>14960000</v>
      </c>
      <c r="J180" s="237">
        <v>44704</v>
      </c>
      <c r="K180" s="237">
        <v>44760</v>
      </c>
      <c r="L180" s="237">
        <v>44720</v>
      </c>
      <c r="M180" s="237">
        <v>44725</v>
      </c>
      <c r="N180" s="235"/>
      <c r="O180" s="235" t="s">
        <v>751</v>
      </c>
      <c r="P180" s="235"/>
      <c r="Q180" s="235"/>
      <c r="R180" s="235"/>
      <c r="S180" s="235"/>
      <c r="T180" s="235"/>
      <c r="U180" s="235"/>
      <c r="V180" s="235"/>
      <c r="W180" s="235"/>
      <c r="X180" s="234" t="s">
        <v>1218</v>
      </c>
      <c r="Y180" s="235"/>
    </row>
    <row r="181" spans="1:25" s="238" customFormat="1" ht="16.5" customHeight="1">
      <c r="A181" s="234">
        <v>178</v>
      </c>
      <c r="B181" s="235" t="s">
        <v>683</v>
      </c>
      <c r="C181" s="235" t="s">
        <v>1197</v>
      </c>
      <c r="D181" s="235" t="s">
        <v>406</v>
      </c>
      <c r="E181" s="235" t="s">
        <v>1203</v>
      </c>
      <c r="F181" s="235" t="s">
        <v>502</v>
      </c>
      <c r="G181" s="235" t="s">
        <v>408</v>
      </c>
      <c r="H181" s="235" t="s">
        <v>405</v>
      </c>
      <c r="I181" s="215">
        <v>2739000</v>
      </c>
      <c r="J181" s="237">
        <v>44704</v>
      </c>
      <c r="K181" s="235" t="s">
        <v>713</v>
      </c>
      <c r="L181" s="237">
        <v>44707</v>
      </c>
      <c r="M181" s="237">
        <v>44736</v>
      </c>
      <c r="N181" s="235"/>
      <c r="O181" s="235" t="s">
        <v>596</v>
      </c>
      <c r="P181" s="235"/>
      <c r="Q181" s="235"/>
      <c r="R181" s="235"/>
      <c r="S181" s="235"/>
      <c r="T181" s="235"/>
      <c r="U181" s="235"/>
      <c r="V181" s="235"/>
      <c r="W181" s="235"/>
      <c r="X181" s="234" t="s">
        <v>864</v>
      </c>
      <c r="Y181" s="235"/>
    </row>
    <row r="182" spans="1:25" s="238" customFormat="1" ht="16.5" customHeight="1">
      <c r="A182" s="234">
        <v>179</v>
      </c>
      <c r="B182" s="235" t="s">
        <v>1193</v>
      </c>
      <c r="C182" s="235"/>
      <c r="D182" s="235" t="s">
        <v>1204</v>
      </c>
      <c r="E182" s="235" t="s">
        <v>1205</v>
      </c>
      <c r="F182" s="235" t="s">
        <v>591</v>
      </c>
      <c r="G182" s="235" t="s">
        <v>408</v>
      </c>
      <c r="H182" s="235" t="s">
        <v>405</v>
      </c>
      <c r="I182" s="215">
        <v>4235000</v>
      </c>
      <c r="J182" s="237">
        <v>44706</v>
      </c>
      <c r="K182" s="237">
        <v>44818</v>
      </c>
      <c r="L182" s="237">
        <v>44705</v>
      </c>
      <c r="M182" s="237">
        <v>44707</v>
      </c>
      <c r="N182" s="235"/>
      <c r="O182" s="235" t="s">
        <v>590</v>
      </c>
      <c r="P182" s="235"/>
      <c r="Q182" s="235"/>
      <c r="R182" s="235"/>
      <c r="S182" s="235"/>
      <c r="T182" s="235"/>
      <c r="U182" s="235"/>
      <c r="V182" s="235"/>
      <c r="W182" s="235"/>
      <c r="X182" s="234" t="s">
        <v>1286</v>
      </c>
      <c r="Y182" s="235"/>
    </row>
    <row r="183" spans="1:25" s="238" customFormat="1" ht="16.5" customHeight="1">
      <c r="A183" s="234">
        <v>180</v>
      </c>
      <c r="B183" s="235" t="s">
        <v>811</v>
      </c>
      <c r="C183" s="235" t="s">
        <v>1198</v>
      </c>
      <c r="D183" s="235" t="s">
        <v>407</v>
      </c>
      <c r="E183" s="235" t="s">
        <v>1206</v>
      </c>
      <c r="F183" s="235" t="s">
        <v>591</v>
      </c>
      <c r="G183" s="235" t="s">
        <v>408</v>
      </c>
      <c r="H183" s="235" t="s">
        <v>733</v>
      </c>
      <c r="I183" s="215" t="s">
        <v>1207</v>
      </c>
      <c r="J183" s="237">
        <v>44706</v>
      </c>
      <c r="K183" s="235" t="s">
        <v>713</v>
      </c>
      <c r="L183" s="235" t="s">
        <v>408</v>
      </c>
      <c r="M183" s="235" t="s">
        <v>408</v>
      </c>
      <c r="N183" s="235"/>
      <c r="O183" s="235" t="s">
        <v>596</v>
      </c>
      <c r="P183" s="235"/>
      <c r="Q183" s="235"/>
      <c r="R183" s="235"/>
      <c r="S183" s="235"/>
      <c r="T183" s="235"/>
      <c r="U183" s="235"/>
      <c r="V183" s="235"/>
      <c r="W183" s="235"/>
      <c r="X183" s="234" t="s">
        <v>1115</v>
      </c>
      <c r="Y183" s="235"/>
    </row>
    <row r="184" spans="1:25" s="238" customFormat="1" ht="16.5" customHeight="1">
      <c r="A184" s="234">
        <v>181</v>
      </c>
      <c r="B184" s="235" t="s">
        <v>1194</v>
      </c>
      <c r="C184" s="235" t="s">
        <v>1199</v>
      </c>
      <c r="D184" s="235" t="s">
        <v>406</v>
      </c>
      <c r="E184" s="235" t="s">
        <v>1238</v>
      </c>
      <c r="F184" s="235" t="s">
        <v>591</v>
      </c>
      <c r="G184" s="235" t="s">
        <v>408</v>
      </c>
      <c r="H184" s="235" t="s">
        <v>405</v>
      </c>
      <c r="I184" s="215">
        <v>8704060</v>
      </c>
      <c r="J184" s="237">
        <v>44706</v>
      </c>
      <c r="K184" s="235" t="s">
        <v>713</v>
      </c>
      <c r="L184" s="237" t="s">
        <v>1390</v>
      </c>
      <c r="M184" s="237" t="s">
        <v>1391</v>
      </c>
      <c r="N184" s="235"/>
      <c r="O184" s="235" t="s">
        <v>1781</v>
      </c>
      <c r="P184" s="235"/>
      <c r="Q184" s="235"/>
      <c r="R184" s="235"/>
      <c r="S184" s="235"/>
      <c r="T184" s="235"/>
      <c r="U184" s="235"/>
      <c r="V184" s="235"/>
      <c r="W184" s="235"/>
      <c r="X184" s="234" t="s">
        <v>864</v>
      </c>
      <c r="Y184" s="235"/>
    </row>
    <row r="185" spans="1:25" s="238" customFormat="1" ht="16.5" customHeight="1">
      <c r="A185" s="234">
        <v>182</v>
      </c>
      <c r="B185" s="235" t="s">
        <v>1195</v>
      </c>
      <c r="C185" s="235" t="s">
        <v>408</v>
      </c>
      <c r="D185" s="235" t="s">
        <v>406</v>
      </c>
      <c r="E185" s="235" t="s">
        <v>1337</v>
      </c>
      <c r="F185" s="235" t="s">
        <v>591</v>
      </c>
      <c r="G185" s="235" t="s">
        <v>408</v>
      </c>
      <c r="H185" s="235" t="s">
        <v>405</v>
      </c>
      <c r="I185" s="215">
        <v>30000000</v>
      </c>
      <c r="J185" s="237">
        <v>44704</v>
      </c>
      <c r="K185" s="237">
        <v>44740</v>
      </c>
      <c r="L185" s="237">
        <v>44740</v>
      </c>
      <c r="M185" s="237">
        <v>44741</v>
      </c>
      <c r="N185" s="235"/>
      <c r="O185" s="235" t="s">
        <v>596</v>
      </c>
      <c r="P185" s="235"/>
      <c r="Q185" s="235"/>
      <c r="R185" s="235"/>
      <c r="S185" s="235"/>
      <c r="T185" s="235"/>
      <c r="U185" s="235"/>
      <c r="V185" s="235"/>
      <c r="W185" s="235"/>
      <c r="X185" s="257" t="s">
        <v>1359</v>
      </c>
      <c r="Y185" s="235"/>
    </row>
    <row r="186" spans="1:25" s="238" customFormat="1" ht="16.5" customHeight="1">
      <c r="A186" s="234">
        <v>183</v>
      </c>
      <c r="B186" s="235" t="s">
        <v>934</v>
      </c>
      <c r="C186" s="235"/>
      <c r="D186" s="235" t="s">
        <v>718</v>
      </c>
      <c r="E186" s="235" t="s">
        <v>1211</v>
      </c>
      <c r="F186" s="235" t="s">
        <v>591</v>
      </c>
      <c r="G186" s="235" t="s">
        <v>408</v>
      </c>
      <c r="H186" s="235" t="s">
        <v>405</v>
      </c>
      <c r="I186" s="215">
        <v>6270000</v>
      </c>
      <c r="J186" s="237">
        <v>44707</v>
      </c>
      <c r="K186" s="237">
        <v>44771</v>
      </c>
      <c r="L186" s="237">
        <v>44756</v>
      </c>
      <c r="M186" s="237">
        <v>44764</v>
      </c>
      <c r="N186" s="235"/>
      <c r="O186" s="235" t="s">
        <v>590</v>
      </c>
      <c r="P186" s="235"/>
      <c r="Q186" s="235"/>
      <c r="R186" s="235"/>
      <c r="S186" s="235"/>
      <c r="T186" s="235"/>
      <c r="U186" s="235"/>
      <c r="V186" s="235"/>
      <c r="W186" s="235"/>
      <c r="X186" s="234" t="s">
        <v>1417</v>
      </c>
      <c r="Y186" s="235"/>
    </row>
    <row r="187" spans="1:25" s="238" customFormat="1" ht="16.5" customHeight="1">
      <c r="A187" s="234">
        <v>184</v>
      </c>
      <c r="B187" s="235" t="s">
        <v>1208</v>
      </c>
      <c r="C187" s="235" t="s">
        <v>1209</v>
      </c>
      <c r="D187" s="235" t="s">
        <v>406</v>
      </c>
      <c r="E187" s="235" t="s">
        <v>1212</v>
      </c>
      <c r="F187" s="235" t="s">
        <v>591</v>
      </c>
      <c r="G187" s="235" t="s">
        <v>408</v>
      </c>
      <c r="H187" s="235" t="s">
        <v>405</v>
      </c>
      <c r="I187" s="215">
        <v>3520000</v>
      </c>
      <c r="J187" s="237">
        <v>44708</v>
      </c>
      <c r="K187" s="235" t="s">
        <v>713</v>
      </c>
      <c r="L187" s="237">
        <v>44711</v>
      </c>
      <c r="M187" s="237">
        <v>44727</v>
      </c>
      <c r="N187" s="235"/>
      <c r="O187" s="235" t="s">
        <v>590</v>
      </c>
      <c r="P187" s="235"/>
      <c r="Q187" s="235"/>
      <c r="R187" s="235"/>
      <c r="S187" s="235"/>
      <c r="T187" s="235"/>
      <c r="U187" s="235"/>
      <c r="V187" s="235"/>
      <c r="W187" s="235"/>
      <c r="X187" s="234" t="s">
        <v>1456</v>
      </c>
      <c r="Y187" s="235"/>
    </row>
    <row r="188" spans="1:25" s="238" customFormat="1" ht="16.5" customHeight="1">
      <c r="A188" s="234">
        <v>185</v>
      </c>
      <c r="B188" s="235" t="s">
        <v>412</v>
      </c>
      <c r="C188" s="235" t="s">
        <v>729</v>
      </c>
      <c r="D188" s="235" t="s">
        <v>404</v>
      </c>
      <c r="E188" s="235" t="s">
        <v>1213</v>
      </c>
      <c r="F188" s="235" t="s">
        <v>591</v>
      </c>
      <c r="G188" s="235" t="s">
        <v>408</v>
      </c>
      <c r="H188" s="235" t="s">
        <v>405</v>
      </c>
      <c r="I188" s="215">
        <v>1650000</v>
      </c>
      <c r="J188" s="237">
        <v>44708</v>
      </c>
      <c r="K188" s="235" t="s">
        <v>713</v>
      </c>
      <c r="L188" s="237">
        <v>44711</v>
      </c>
      <c r="M188" s="237">
        <v>44719</v>
      </c>
      <c r="N188" s="235"/>
      <c r="O188" s="235" t="s">
        <v>715</v>
      </c>
      <c r="P188" s="235"/>
      <c r="Q188" s="235"/>
      <c r="R188" s="235"/>
      <c r="S188" s="235"/>
      <c r="T188" s="235"/>
      <c r="U188" s="235"/>
      <c r="V188" s="235"/>
      <c r="W188" s="235"/>
      <c r="X188" s="234" t="s">
        <v>1216</v>
      </c>
      <c r="Y188" s="235"/>
    </row>
    <row r="189" spans="1:25" s="238" customFormat="1" ht="16.5" customHeight="1">
      <c r="A189" s="234">
        <v>186</v>
      </c>
      <c r="B189" s="235" t="s">
        <v>419</v>
      </c>
      <c r="C189" s="235" t="s">
        <v>1210</v>
      </c>
      <c r="D189" s="235" t="s">
        <v>1215</v>
      </c>
      <c r="E189" s="235" t="s">
        <v>1214</v>
      </c>
      <c r="F189" s="235" t="s">
        <v>591</v>
      </c>
      <c r="G189" s="235" t="s">
        <v>408</v>
      </c>
      <c r="H189" s="235" t="s">
        <v>405</v>
      </c>
      <c r="I189" s="215">
        <v>6135250</v>
      </c>
      <c r="J189" s="237">
        <v>44708</v>
      </c>
      <c r="K189" s="237">
        <v>44722</v>
      </c>
      <c r="L189" s="237">
        <v>44733</v>
      </c>
      <c r="M189" s="237">
        <v>44735</v>
      </c>
      <c r="N189" s="235"/>
      <c r="O189" s="235" t="s">
        <v>596</v>
      </c>
      <c r="P189" s="235"/>
      <c r="Q189" s="235"/>
      <c r="R189" s="235"/>
      <c r="S189" s="235"/>
      <c r="T189" s="235"/>
      <c r="U189" s="235"/>
      <c r="V189" s="235"/>
      <c r="W189" s="235"/>
      <c r="X189" s="234" t="s">
        <v>1307</v>
      </c>
      <c r="Y189" s="235"/>
    </row>
    <row r="190" spans="1:25" s="238" customFormat="1" ht="16.5" customHeight="1">
      <c r="A190" s="234">
        <v>187</v>
      </c>
      <c r="B190" s="235" t="s">
        <v>512</v>
      </c>
      <c r="C190" s="235"/>
      <c r="D190" s="235" t="s">
        <v>1224</v>
      </c>
      <c r="E190" s="235" t="s">
        <v>1223</v>
      </c>
      <c r="F190" s="235" t="s">
        <v>591</v>
      </c>
      <c r="G190" s="235" t="s">
        <v>408</v>
      </c>
      <c r="H190" s="235" t="s">
        <v>405</v>
      </c>
      <c r="I190" s="215">
        <v>66000000</v>
      </c>
      <c r="J190" s="237">
        <v>44711</v>
      </c>
      <c r="K190" s="237">
        <v>44896</v>
      </c>
      <c r="L190" s="237">
        <v>44823</v>
      </c>
      <c r="M190" s="237">
        <v>44830</v>
      </c>
      <c r="N190" s="235"/>
      <c r="O190" s="235" t="s">
        <v>590</v>
      </c>
      <c r="P190" s="235"/>
      <c r="Q190" s="235"/>
      <c r="R190" s="235"/>
      <c r="S190" s="235"/>
      <c r="T190" s="235"/>
      <c r="U190" s="235"/>
      <c r="V190" s="235"/>
      <c r="W190" s="235"/>
      <c r="X190" s="234" t="s">
        <v>2156</v>
      </c>
      <c r="Y190" s="235"/>
    </row>
    <row r="191" spans="1:25" s="238" customFormat="1" ht="16.5" customHeight="1">
      <c r="A191" s="234">
        <v>188</v>
      </c>
      <c r="B191" s="235" t="s">
        <v>683</v>
      </c>
      <c r="C191" s="235"/>
      <c r="D191" s="235" t="s">
        <v>1225</v>
      </c>
      <c r="E191" s="235" t="s">
        <v>1222</v>
      </c>
      <c r="F191" s="235" t="s">
        <v>591</v>
      </c>
      <c r="G191" s="235" t="s">
        <v>408</v>
      </c>
      <c r="H191" s="235" t="s">
        <v>405</v>
      </c>
      <c r="I191" s="215">
        <v>2970000</v>
      </c>
      <c r="J191" s="237">
        <v>44711</v>
      </c>
      <c r="K191" s="235" t="s">
        <v>713</v>
      </c>
      <c r="L191" s="237">
        <v>44757</v>
      </c>
      <c r="M191" s="237">
        <v>44812</v>
      </c>
      <c r="N191" s="235"/>
      <c r="O191" s="235" t="s">
        <v>915</v>
      </c>
      <c r="P191" s="235"/>
      <c r="Q191" s="235"/>
      <c r="R191" s="235"/>
      <c r="S191" s="235"/>
      <c r="T191" s="235"/>
      <c r="U191" s="235"/>
      <c r="V191" s="235"/>
      <c r="W191" s="235"/>
      <c r="X191" s="234" t="s">
        <v>1416</v>
      </c>
      <c r="Y191" s="235"/>
    </row>
    <row r="192" spans="1:25" s="238" customFormat="1" ht="16.5" customHeight="1">
      <c r="A192" s="234">
        <v>189</v>
      </c>
      <c r="B192" s="235" t="s">
        <v>512</v>
      </c>
      <c r="C192" s="235" t="s">
        <v>1221</v>
      </c>
      <c r="D192" s="235" t="s">
        <v>406</v>
      </c>
      <c r="E192" s="235" t="s">
        <v>1220</v>
      </c>
      <c r="F192" s="235" t="s">
        <v>502</v>
      </c>
      <c r="G192" s="235" t="s">
        <v>1226</v>
      </c>
      <c r="H192" s="235" t="s">
        <v>405</v>
      </c>
      <c r="I192" s="215">
        <v>49500000</v>
      </c>
      <c r="J192" s="237">
        <v>44714</v>
      </c>
      <c r="K192" s="237">
        <v>44926</v>
      </c>
      <c r="L192" s="235" t="s">
        <v>1729</v>
      </c>
      <c r="M192" s="235" t="s">
        <v>1813</v>
      </c>
      <c r="N192" s="235"/>
      <c r="O192" s="235" t="s">
        <v>752</v>
      </c>
      <c r="P192" s="235"/>
      <c r="Q192" s="235"/>
      <c r="R192" s="235"/>
      <c r="S192" s="235"/>
      <c r="T192" s="235"/>
      <c r="U192" s="235"/>
      <c r="V192" s="235"/>
      <c r="W192" s="235"/>
      <c r="X192" s="234" t="s">
        <v>864</v>
      </c>
      <c r="Y192" s="235"/>
    </row>
    <row r="193" spans="1:25" s="238" customFormat="1" ht="16.5" customHeight="1">
      <c r="A193" s="234">
        <v>190</v>
      </c>
      <c r="B193" s="235" t="s">
        <v>512</v>
      </c>
      <c r="C193" s="235" t="s">
        <v>1229</v>
      </c>
      <c r="D193" s="235" t="s">
        <v>1215</v>
      </c>
      <c r="E193" s="235" t="s">
        <v>1227</v>
      </c>
      <c r="F193" s="235" t="s">
        <v>591</v>
      </c>
      <c r="G193" s="235" t="s">
        <v>408</v>
      </c>
      <c r="H193" s="235" t="s">
        <v>405</v>
      </c>
      <c r="I193" s="215">
        <v>2310000</v>
      </c>
      <c r="J193" s="237">
        <v>44715</v>
      </c>
      <c r="K193" s="235" t="s">
        <v>713</v>
      </c>
      <c r="L193" s="237">
        <v>44722</v>
      </c>
      <c r="M193" s="237">
        <v>44726</v>
      </c>
      <c r="N193" s="235"/>
      <c r="O193" s="235" t="s">
        <v>735</v>
      </c>
      <c r="P193" s="235"/>
      <c r="Q193" s="235"/>
      <c r="R193" s="235"/>
      <c r="S193" s="235"/>
      <c r="T193" s="235"/>
      <c r="U193" s="235"/>
      <c r="V193" s="235"/>
      <c r="W193" s="235"/>
      <c r="X193" s="234" t="s">
        <v>1639</v>
      </c>
      <c r="Y193" s="235"/>
    </row>
    <row r="194" spans="1:25" s="238" customFormat="1" ht="16.5" customHeight="1">
      <c r="A194" s="234">
        <v>191</v>
      </c>
      <c r="B194" s="235" t="s">
        <v>512</v>
      </c>
      <c r="C194" s="235" t="s">
        <v>1230</v>
      </c>
      <c r="D194" s="235" t="s">
        <v>979</v>
      </c>
      <c r="E194" s="235" t="s">
        <v>1228</v>
      </c>
      <c r="F194" s="235" t="s">
        <v>591</v>
      </c>
      <c r="G194" s="235" t="s">
        <v>408</v>
      </c>
      <c r="H194" s="235" t="s">
        <v>405</v>
      </c>
      <c r="I194" s="215">
        <v>4598000</v>
      </c>
      <c r="J194" s="237">
        <v>44715</v>
      </c>
      <c r="K194" s="235" t="s">
        <v>713</v>
      </c>
      <c r="L194" s="237">
        <v>44719</v>
      </c>
      <c r="M194" s="237">
        <v>44725</v>
      </c>
      <c r="N194" s="235"/>
      <c r="O194" s="235" t="s">
        <v>735</v>
      </c>
      <c r="P194" s="235"/>
      <c r="Q194" s="235"/>
      <c r="R194" s="235"/>
      <c r="S194" s="235"/>
      <c r="T194" s="235"/>
      <c r="U194" s="235"/>
      <c r="V194" s="235"/>
      <c r="W194" s="235"/>
      <c r="X194" s="234" t="s">
        <v>1394</v>
      </c>
      <c r="Y194" s="235"/>
    </row>
    <row r="195" spans="1:25" s="238" customFormat="1" ht="16.5" customHeight="1">
      <c r="A195" s="234">
        <v>192</v>
      </c>
      <c r="B195" s="235" t="s">
        <v>934</v>
      </c>
      <c r="C195" s="235" t="s">
        <v>1248</v>
      </c>
      <c r="D195" s="235" t="s">
        <v>841</v>
      </c>
      <c r="E195" s="235" t="s">
        <v>1392</v>
      </c>
      <c r="F195" s="235" t="s">
        <v>591</v>
      </c>
      <c r="G195" s="235" t="s">
        <v>408</v>
      </c>
      <c r="H195" s="235" t="s">
        <v>405</v>
      </c>
      <c r="I195" s="215">
        <v>7895800</v>
      </c>
      <c r="J195" s="237">
        <v>44721</v>
      </c>
      <c r="K195" s="237">
        <v>44895</v>
      </c>
      <c r="L195" s="237">
        <v>44753</v>
      </c>
      <c r="M195" s="237">
        <v>44755</v>
      </c>
      <c r="N195" s="235"/>
      <c r="O195" s="235" t="s">
        <v>596</v>
      </c>
      <c r="P195" s="235"/>
      <c r="Q195" s="235"/>
      <c r="R195" s="235"/>
      <c r="S195" s="235"/>
      <c r="T195" s="235"/>
      <c r="U195" s="235"/>
      <c r="V195" s="235"/>
      <c r="W195" s="235"/>
      <c r="X195" s="234" t="s">
        <v>1381</v>
      </c>
      <c r="Y195" s="235"/>
    </row>
    <row r="196" spans="1:25" s="238" customFormat="1" ht="16.5" customHeight="1">
      <c r="A196" s="234">
        <v>193</v>
      </c>
      <c r="B196" s="235" t="s">
        <v>1266</v>
      </c>
      <c r="C196" s="235"/>
      <c r="D196" s="235" t="s">
        <v>406</v>
      </c>
      <c r="E196" s="235" t="s">
        <v>1268</v>
      </c>
      <c r="F196" s="235" t="s">
        <v>502</v>
      </c>
      <c r="G196" s="235" t="s">
        <v>1226</v>
      </c>
      <c r="H196" s="235" t="s">
        <v>405</v>
      </c>
      <c r="I196" s="215">
        <v>195998000</v>
      </c>
      <c r="J196" s="237">
        <v>44719</v>
      </c>
      <c r="K196" s="237">
        <v>44895</v>
      </c>
      <c r="L196" s="237">
        <v>44903</v>
      </c>
      <c r="M196" s="237">
        <v>44915</v>
      </c>
      <c r="N196" s="235"/>
      <c r="O196" s="235" t="s">
        <v>752</v>
      </c>
      <c r="P196" s="235"/>
      <c r="Q196" s="235"/>
      <c r="R196" s="235"/>
      <c r="S196" s="235"/>
      <c r="T196" s="235"/>
      <c r="U196" s="235"/>
      <c r="V196" s="235"/>
      <c r="W196" s="235"/>
      <c r="X196" s="234" t="s">
        <v>864</v>
      </c>
      <c r="Y196" s="235"/>
    </row>
    <row r="197" spans="1:25" s="238" customFormat="1" ht="16.5" customHeight="1">
      <c r="A197" s="234">
        <v>194</v>
      </c>
      <c r="B197" s="235" t="s">
        <v>512</v>
      </c>
      <c r="C197" s="235" t="s">
        <v>1270</v>
      </c>
      <c r="D197" s="235" t="s">
        <v>406</v>
      </c>
      <c r="E197" s="235" t="s">
        <v>1269</v>
      </c>
      <c r="F197" s="235" t="s">
        <v>591</v>
      </c>
      <c r="G197" s="235" t="s">
        <v>408</v>
      </c>
      <c r="H197" s="235" t="s">
        <v>405</v>
      </c>
      <c r="I197" s="215">
        <v>17380000</v>
      </c>
      <c r="J197" s="237">
        <v>44725</v>
      </c>
      <c r="K197" s="235" t="s">
        <v>713</v>
      </c>
      <c r="L197" s="237">
        <v>44727</v>
      </c>
      <c r="M197" s="237">
        <v>44732</v>
      </c>
      <c r="N197" s="235"/>
      <c r="O197" s="235" t="s">
        <v>1783</v>
      </c>
      <c r="P197" s="235"/>
      <c r="Q197" s="235"/>
      <c r="R197" s="235"/>
      <c r="S197" s="235"/>
      <c r="T197" s="235"/>
      <c r="U197" s="235"/>
      <c r="V197" s="235"/>
      <c r="W197" s="235"/>
      <c r="X197" s="234" t="s">
        <v>1343</v>
      </c>
      <c r="Y197" s="235"/>
    </row>
    <row r="198" spans="1:25" s="238" customFormat="1" ht="16.5" customHeight="1">
      <c r="A198" s="234">
        <v>195</v>
      </c>
      <c r="B198" s="235" t="s">
        <v>1267</v>
      </c>
      <c r="C198" s="235"/>
      <c r="D198" s="235" t="s">
        <v>1271</v>
      </c>
      <c r="E198" s="235" t="s">
        <v>1272</v>
      </c>
      <c r="F198" s="235" t="s">
        <v>591</v>
      </c>
      <c r="G198" s="235" t="s">
        <v>408</v>
      </c>
      <c r="H198" s="235" t="s">
        <v>405</v>
      </c>
      <c r="I198" s="215">
        <v>2420000</v>
      </c>
      <c r="J198" s="237">
        <v>44725</v>
      </c>
      <c r="K198" s="235" t="s">
        <v>713</v>
      </c>
      <c r="L198" s="237">
        <v>44725</v>
      </c>
      <c r="M198" s="237">
        <v>44726</v>
      </c>
      <c r="N198" s="235"/>
      <c r="O198" s="235" t="s">
        <v>590</v>
      </c>
      <c r="P198" s="235"/>
      <c r="Q198" s="235"/>
      <c r="R198" s="235"/>
      <c r="S198" s="235"/>
      <c r="T198" s="235"/>
      <c r="U198" s="235"/>
      <c r="V198" s="235"/>
      <c r="W198" s="235"/>
      <c r="X198" s="234" t="s">
        <v>1283</v>
      </c>
      <c r="Y198" s="235"/>
    </row>
    <row r="199" spans="1:25" s="238" customFormat="1" ht="16.5" customHeight="1">
      <c r="A199" s="234">
        <v>196</v>
      </c>
      <c r="B199" s="235" t="s">
        <v>512</v>
      </c>
      <c r="C199" s="235" t="s">
        <v>964</v>
      </c>
      <c r="D199" s="235" t="s">
        <v>1168</v>
      </c>
      <c r="E199" s="235" t="s">
        <v>1273</v>
      </c>
      <c r="F199" s="235" t="s">
        <v>591</v>
      </c>
      <c r="G199" s="235" t="s">
        <v>408</v>
      </c>
      <c r="H199" s="235" t="s">
        <v>733</v>
      </c>
      <c r="I199" s="215" t="s">
        <v>1274</v>
      </c>
      <c r="J199" s="237">
        <v>44722</v>
      </c>
      <c r="K199" s="237">
        <v>44895</v>
      </c>
      <c r="L199" s="235" t="s">
        <v>408</v>
      </c>
      <c r="M199" s="235" t="s">
        <v>408</v>
      </c>
      <c r="N199" s="235"/>
      <c r="O199" s="235" t="s">
        <v>1783</v>
      </c>
      <c r="P199" s="235"/>
      <c r="Q199" s="235"/>
      <c r="R199" s="235"/>
      <c r="S199" s="235"/>
      <c r="T199" s="235"/>
      <c r="U199" s="235"/>
      <c r="V199" s="235"/>
      <c r="W199" s="235"/>
      <c r="X199" s="234" t="s">
        <v>1115</v>
      </c>
      <c r="Y199" s="235"/>
    </row>
    <row r="200" spans="1:25" s="238" customFormat="1" ht="16.5" customHeight="1">
      <c r="A200" s="234">
        <v>197</v>
      </c>
      <c r="B200" s="235" t="s">
        <v>1310</v>
      </c>
      <c r="C200" s="235"/>
      <c r="D200" s="235" t="s">
        <v>1333</v>
      </c>
      <c r="E200" s="235" t="s">
        <v>1332</v>
      </c>
      <c r="F200" s="235" t="s">
        <v>591</v>
      </c>
      <c r="G200" s="235" t="s">
        <v>809</v>
      </c>
      <c r="H200" s="235" t="s">
        <v>405</v>
      </c>
      <c r="I200" s="215">
        <v>16500000</v>
      </c>
      <c r="J200" s="237">
        <v>44725</v>
      </c>
      <c r="K200" s="237">
        <v>44817</v>
      </c>
      <c r="L200" s="237">
        <v>44805</v>
      </c>
      <c r="M200" s="237">
        <v>44805</v>
      </c>
      <c r="N200" s="235"/>
      <c r="O200" s="235" t="s">
        <v>596</v>
      </c>
      <c r="P200" s="235"/>
      <c r="Q200" s="235"/>
      <c r="R200" s="235"/>
      <c r="S200" s="235"/>
      <c r="T200" s="235"/>
      <c r="U200" s="235"/>
      <c r="V200" s="235"/>
      <c r="W200" s="235"/>
      <c r="X200" s="234" t="s">
        <v>1568</v>
      </c>
      <c r="Y200" s="235"/>
    </row>
    <row r="201" spans="1:25" s="238" customFormat="1" ht="16.5" customHeight="1">
      <c r="A201" s="234">
        <v>198</v>
      </c>
      <c r="B201" s="235" t="s">
        <v>879</v>
      </c>
      <c r="C201" s="235" t="s">
        <v>1281</v>
      </c>
      <c r="D201" s="235" t="s">
        <v>952</v>
      </c>
      <c r="E201" s="235" t="s">
        <v>1278</v>
      </c>
      <c r="G201" s="235" t="s">
        <v>809</v>
      </c>
      <c r="H201" s="235" t="s">
        <v>405</v>
      </c>
      <c r="I201" s="215">
        <v>561880000</v>
      </c>
      <c r="J201" s="237">
        <v>44726</v>
      </c>
      <c r="K201" s="252">
        <v>45006</v>
      </c>
      <c r="L201" s="235" t="s">
        <v>1573</v>
      </c>
      <c r="M201" s="235" t="s">
        <v>1604</v>
      </c>
      <c r="N201" s="235"/>
      <c r="O201" s="235" t="s">
        <v>590</v>
      </c>
      <c r="P201" s="235"/>
      <c r="Q201" s="235"/>
      <c r="R201" s="235"/>
      <c r="S201" s="235"/>
      <c r="T201" s="235"/>
      <c r="U201" s="235"/>
      <c r="V201" s="235"/>
      <c r="W201" s="235"/>
      <c r="X201" s="241" t="s">
        <v>2125</v>
      </c>
      <c r="Y201" s="235"/>
    </row>
    <row r="202" spans="1:25" s="238" customFormat="1" ht="16.5" customHeight="1">
      <c r="A202" s="234">
        <v>199</v>
      </c>
      <c r="B202" s="235" t="s">
        <v>512</v>
      </c>
      <c r="C202" s="235" t="s">
        <v>1276</v>
      </c>
      <c r="D202" s="235" t="s">
        <v>952</v>
      </c>
      <c r="E202" s="235" t="s">
        <v>1948</v>
      </c>
      <c r="F202" s="235" t="s">
        <v>591</v>
      </c>
      <c r="G202" s="235" t="s">
        <v>809</v>
      </c>
      <c r="H202" s="235" t="s">
        <v>733</v>
      </c>
      <c r="I202" s="215" t="s">
        <v>1279</v>
      </c>
      <c r="J202" s="237">
        <v>44727</v>
      </c>
      <c r="K202" s="237">
        <v>44910</v>
      </c>
      <c r="L202" s="235" t="s">
        <v>408</v>
      </c>
      <c r="M202" s="235" t="s">
        <v>408</v>
      </c>
      <c r="N202" s="235"/>
      <c r="O202" s="235" t="s">
        <v>596</v>
      </c>
      <c r="P202" s="235"/>
      <c r="Q202" s="235"/>
      <c r="R202" s="235"/>
      <c r="S202" s="235"/>
      <c r="T202" s="235"/>
      <c r="U202" s="235"/>
      <c r="V202" s="235"/>
      <c r="W202" s="235"/>
      <c r="X202" s="234" t="s">
        <v>1115</v>
      </c>
      <c r="Y202" s="235"/>
    </row>
    <row r="203" spans="1:25" s="238" customFormat="1" ht="16.5" customHeight="1">
      <c r="A203" s="234">
        <v>200</v>
      </c>
      <c r="B203" s="235" t="s">
        <v>683</v>
      </c>
      <c r="C203" s="235" t="s">
        <v>1277</v>
      </c>
      <c r="D203" s="235" t="s">
        <v>406</v>
      </c>
      <c r="E203" s="235" t="s">
        <v>1280</v>
      </c>
      <c r="F203" s="235" t="s">
        <v>591</v>
      </c>
      <c r="G203" s="235" t="s">
        <v>809</v>
      </c>
      <c r="H203" s="235" t="s">
        <v>405</v>
      </c>
      <c r="I203" s="215">
        <v>18480000</v>
      </c>
      <c r="J203" s="237">
        <v>44727</v>
      </c>
      <c r="K203" s="237">
        <v>44756</v>
      </c>
      <c r="L203" s="237">
        <v>44757</v>
      </c>
      <c r="M203" s="237">
        <v>44806</v>
      </c>
      <c r="N203" s="235"/>
      <c r="O203" s="235" t="s">
        <v>590</v>
      </c>
      <c r="P203" s="235"/>
      <c r="Q203" s="235"/>
      <c r="R203" s="235"/>
      <c r="S203" s="235"/>
      <c r="T203" s="235"/>
      <c r="U203" s="235"/>
      <c r="V203" s="235"/>
      <c r="W203" s="235"/>
      <c r="X203" s="234" t="s">
        <v>1746</v>
      </c>
      <c r="Y203" s="235"/>
    </row>
    <row r="204" spans="1:25" s="238" customFormat="1" ht="16.5" customHeight="1">
      <c r="A204" s="234">
        <v>201</v>
      </c>
      <c r="B204" s="235" t="s">
        <v>722</v>
      </c>
      <c r="C204" s="235"/>
      <c r="D204" s="235" t="s">
        <v>406</v>
      </c>
      <c r="E204" s="235" t="s">
        <v>1496</v>
      </c>
      <c r="F204" s="258" t="s">
        <v>502</v>
      </c>
      <c r="G204" s="235" t="s">
        <v>1226</v>
      </c>
      <c r="H204" s="235" t="s">
        <v>405</v>
      </c>
      <c r="I204" s="215">
        <v>87560290</v>
      </c>
      <c r="J204" s="237">
        <v>44729</v>
      </c>
      <c r="K204" s="237">
        <v>44895</v>
      </c>
      <c r="L204" s="237" t="s">
        <v>2096</v>
      </c>
      <c r="M204" s="237" t="s">
        <v>2097</v>
      </c>
      <c r="N204" s="235"/>
      <c r="O204" s="235" t="s">
        <v>752</v>
      </c>
      <c r="P204" s="235"/>
      <c r="Q204" s="235"/>
      <c r="R204" s="235"/>
      <c r="S204" s="235"/>
      <c r="T204" s="235"/>
      <c r="U204" s="235"/>
      <c r="V204" s="235"/>
      <c r="W204" s="235"/>
      <c r="X204" s="234" t="s">
        <v>864</v>
      </c>
      <c r="Y204" s="235"/>
    </row>
    <row r="205" spans="1:25" s="238" customFormat="1" ht="16.5" customHeight="1">
      <c r="A205" s="234">
        <v>202</v>
      </c>
      <c r="B205" s="235" t="s">
        <v>512</v>
      </c>
      <c r="C205" s="235"/>
      <c r="D205" s="235" t="s">
        <v>406</v>
      </c>
      <c r="E205" s="235" t="s">
        <v>1578</v>
      </c>
      <c r="F205" s="258" t="s">
        <v>502</v>
      </c>
      <c r="G205" s="235" t="s">
        <v>408</v>
      </c>
      <c r="H205" s="235" t="s">
        <v>405</v>
      </c>
      <c r="I205" s="215">
        <v>82500000</v>
      </c>
      <c r="J205" s="237">
        <v>44729</v>
      </c>
      <c r="K205" s="237">
        <v>44803</v>
      </c>
      <c r="L205" s="237">
        <v>44803</v>
      </c>
      <c r="M205" s="237">
        <v>44805</v>
      </c>
      <c r="N205" s="235"/>
      <c r="O205" s="235" t="s">
        <v>941</v>
      </c>
      <c r="P205" s="235"/>
      <c r="Q205" s="235"/>
      <c r="R205" s="235"/>
      <c r="S205" s="235"/>
      <c r="T205" s="235"/>
      <c r="U205" s="235"/>
      <c r="V205" s="235"/>
      <c r="W205" s="235"/>
      <c r="X205" s="234"/>
      <c r="Y205" s="235"/>
    </row>
    <row r="206" spans="1:25" s="238" customFormat="1" ht="16.5" customHeight="1">
      <c r="A206" s="234">
        <v>203</v>
      </c>
      <c r="B206" s="235" t="s">
        <v>1393</v>
      </c>
      <c r="C206" s="235"/>
      <c r="D206" s="235" t="s">
        <v>1141</v>
      </c>
      <c r="E206" s="235" t="s">
        <v>1288</v>
      </c>
      <c r="F206" s="235" t="s">
        <v>591</v>
      </c>
      <c r="G206" s="235" t="s">
        <v>809</v>
      </c>
      <c r="H206" s="235" t="s">
        <v>405</v>
      </c>
      <c r="I206" s="215">
        <v>2420000</v>
      </c>
      <c r="J206" s="237">
        <v>44733</v>
      </c>
      <c r="K206" s="237">
        <v>44733</v>
      </c>
      <c r="L206" s="237">
        <v>44754</v>
      </c>
      <c r="M206" s="237">
        <v>44763</v>
      </c>
      <c r="N206" s="235"/>
      <c r="O206" s="235" t="s">
        <v>590</v>
      </c>
      <c r="P206" s="235"/>
      <c r="Q206" s="235"/>
      <c r="R206" s="235"/>
      <c r="S206" s="235"/>
      <c r="T206" s="235"/>
      <c r="U206" s="235"/>
      <c r="V206" s="235"/>
      <c r="W206" s="235"/>
      <c r="X206" s="234" t="s">
        <v>1295</v>
      </c>
      <c r="Y206" s="235"/>
    </row>
    <row r="207" spans="1:25" s="238" customFormat="1" ht="16.5" customHeight="1">
      <c r="A207" s="234">
        <v>204</v>
      </c>
      <c r="B207" s="235" t="s">
        <v>512</v>
      </c>
      <c r="C207" s="235" t="s">
        <v>680</v>
      </c>
      <c r="D207" s="235" t="s">
        <v>678</v>
      </c>
      <c r="E207" s="235" t="s">
        <v>1674</v>
      </c>
      <c r="F207" s="235" t="s">
        <v>591</v>
      </c>
      <c r="G207" s="235" t="s">
        <v>809</v>
      </c>
      <c r="H207" s="235" t="s">
        <v>405</v>
      </c>
      <c r="I207" s="215">
        <v>3960000</v>
      </c>
      <c r="J207" s="237">
        <v>44734</v>
      </c>
      <c r="K207" s="235" t="s">
        <v>713</v>
      </c>
      <c r="L207" s="237">
        <v>44756</v>
      </c>
      <c r="M207" s="237">
        <v>44761</v>
      </c>
      <c r="N207" s="235"/>
      <c r="O207" s="235" t="s">
        <v>590</v>
      </c>
      <c r="P207" s="235"/>
      <c r="Q207" s="235"/>
      <c r="R207" s="235"/>
      <c r="S207" s="235"/>
      <c r="T207" s="235"/>
      <c r="U207" s="235"/>
      <c r="V207" s="235"/>
      <c r="W207" s="235"/>
      <c r="X207" s="234" t="s">
        <v>1385</v>
      </c>
      <c r="Y207" s="235"/>
    </row>
    <row r="208" spans="1:25" s="238" customFormat="1" ht="16.5" customHeight="1">
      <c r="A208" s="234">
        <v>205</v>
      </c>
      <c r="B208" s="235" t="s">
        <v>722</v>
      </c>
      <c r="C208" s="235" t="s">
        <v>1293</v>
      </c>
      <c r="D208" s="235" t="s">
        <v>1141</v>
      </c>
      <c r="E208" s="235" t="s">
        <v>1289</v>
      </c>
      <c r="F208" s="235" t="s">
        <v>591</v>
      </c>
      <c r="G208" s="235" t="s">
        <v>809</v>
      </c>
      <c r="H208" s="235" t="s">
        <v>405</v>
      </c>
      <c r="I208" s="215">
        <v>19250000</v>
      </c>
      <c r="J208" s="237">
        <v>44735</v>
      </c>
      <c r="K208" s="237">
        <v>44841</v>
      </c>
      <c r="L208" s="237">
        <v>44809</v>
      </c>
      <c r="M208" s="237">
        <v>44811</v>
      </c>
      <c r="N208" s="235"/>
      <c r="O208" s="235" t="s">
        <v>738</v>
      </c>
      <c r="P208" s="235"/>
      <c r="Q208" s="235"/>
      <c r="R208" s="235"/>
      <c r="S208" s="235"/>
      <c r="T208" s="235"/>
      <c r="U208" s="235"/>
      <c r="V208" s="235"/>
      <c r="W208" s="235"/>
      <c r="X208" s="234" t="s">
        <v>1560</v>
      </c>
      <c r="Y208" s="235"/>
    </row>
    <row r="209" spans="1:25" s="238" customFormat="1" ht="16.5" customHeight="1">
      <c r="A209" s="234">
        <v>206</v>
      </c>
      <c r="B209" s="235" t="s">
        <v>696</v>
      </c>
      <c r="C209" s="235" t="s">
        <v>1294</v>
      </c>
      <c r="D209" s="235" t="s">
        <v>1271</v>
      </c>
      <c r="E209" s="235" t="s">
        <v>1290</v>
      </c>
      <c r="F209" s="235" t="s">
        <v>591</v>
      </c>
      <c r="G209" s="235" t="s">
        <v>809</v>
      </c>
      <c r="H209" s="235" t="s">
        <v>405</v>
      </c>
      <c r="I209" s="215">
        <v>132000000</v>
      </c>
      <c r="J209" s="237">
        <v>44735</v>
      </c>
      <c r="K209" s="235" t="s">
        <v>713</v>
      </c>
      <c r="L209" s="237">
        <v>44824</v>
      </c>
      <c r="M209" s="237">
        <v>44831</v>
      </c>
      <c r="N209" s="235"/>
      <c r="O209" s="235" t="s">
        <v>596</v>
      </c>
      <c r="P209" s="235"/>
      <c r="Q209" s="235"/>
      <c r="R209" s="235"/>
      <c r="S209" s="235"/>
      <c r="T209" s="235"/>
      <c r="U209" s="235"/>
      <c r="V209" s="235"/>
      <c r="W209" s="235"/>
      <c r="X209" s="234" t="s">
        <v>1730</v>
      </c>
      <c r="Y209" s="235"/>
    </row>
    <row r="210" spans="1:25" s="247" customFormat="1" ht="16.5" customHeight="1">
      <c r="A210" s="244">
        <v>207</v>
      </c>
      <c r="B210" s="245" t="s">
        <v>696</v>
      </c>
      <c r="C210" s="245" t="s">
        <v>1294</v>
      </c>
      <c r="D210" s="245" t="s">
        <v>841</v>
      </c>
      <c r="E210" s="245" t="s">
        <v>1291</v>
      </c>
      <c r="F210" s="245" t="s">
        <v>591</v>
      </c>
      <c r="G210" s="245" t="s">
        <v>809</v>
      </c>
      <c r="H210" s="245" t="s">
        <v>405</v>
      </c>
      <c r="I210" s="219">
        <v>57200000</v>
      </c>
      <c r="J210" s="246">
        <v>44735</v>
      </c>
      <c r="K210" s="245"/>
      <c r="L210" s="245" t="s">
        <v>408</v>
      </c>
      <c r="M210" s="245" t="s">
        <v>408</v>
      </c>
      <c r="N210" s="245"/>
      <c r="O210" s="245" t="s">
        <v>596</v>
      </c>
      <c r="P210" s="235"/>
      <c r="Q210" s="235"/>
      <c r="R210" s="235"/>
      <c r="S210" s="235"/>
      <c r="T210" s="235"/>
      <c r="U210" s="235"/>
      <c r="V210" s="235"/>
      <c r="W210" s="235"/>
      <c r="X210" s="244" t="s">
        <v>1419</v>
      </c>
      <c r="Y210" s="245"/>
    </row>
    <row r="211" spans="1:25" s="238" customFormat="1" ht="16.5" customHeight="1">
      <c r="A211" s="234">
        <v>208</v>
      </c>
      <c r="B211" s="235" t="s">
        <v>412</v>
      </c>
      <c r="C211" s="235" t="s">
        <v>1019</v>
      </c>
      <c r="D211" s="235" t="s">
        <v>1292</v>
      </c>
      <c r="E211" s="235" t="s">
        <v>1585</v>
      </c>
      <c r="F211" s="235" t="s">
        <v>591</v>
      </c>
      <c r="G211" s="235" t="s">
        <v>809</v>
      </c>
      <c r="H211" s="235" t="s">
        <v>405</v>
      </c>
      <c r="I211" s="215">
        <v>8800000</v>
      </c>
      <c r="J211" s="237">
        <v>44736</v>
      </c>
      <c r="K211" s="237">
        <v>44895</v>
      </c>
      <c r="L211" s="237">
        <v>44810</v>
      </c>
      <c r="M211" s="237">
        <v>44812</v>
      </c>
      <c r="N211" s="235"/>
      <c r="O211" s="235" t="s">
        <v>590</v>
      </c>
      <c r="P211" s="235"/>
      <c r="Q211" s="235"/>
      <c r="R211" s="235"/>
      <c r="S211" s="235"/>
      <c r="T211" s="235"/>
      <c r="U211" s="235"/>
      <c r="V211" s="235"/>
      <c r="W211" s="235"/>
      <c r="X211" s="234" t="s">
        <v>1586</v>
      </c>
      <c r="Y211" s="235"/>
    </row>
    <row r="212" spans="1:25" s="238" customFormat="1" ht="16.5" customHeight="1">
      <c r="A212" s="234">
        <v>209</v>
      </c>
      <c r="B212" s="235" t="s">
        <v>1311</v>
      </c>
      <c r="C212" s="235" t="s">
        <v>1314</v>
      </c>
      <c r="D212" s="235" t="s">
        <v>406</v>
      </c>
      <c r="E212" s="235" t="s">
        <v>912</v>
      </c>
      <c r="F212" s="235" t="s">
        <v>591</v>
      </c>
      <c r="G212" s="235" t="s">
        <v>809</v>
      </c>
      <c r="H212" s="235" t="s">
        <v>405</v>
      </c>
      <c r="I212" s="215">
        <v>10560000</v>
      </c>
      <c r="J212" s="237">
        <v>44740</v>
      </c>
      <c r="K212" s="235" t="s">
        <v>713</v>
      </c>
      <c r="L212" s="237">
        <v>44741</v>
      </c>
      <c r="M212" s="237">
        <v>44754</v>
      </c>
      <c r="N212" s="235"/>
      <c r="O212" s="235" t="s">
        <v>596</v>
      </c>
      <c r="P212" s="235"/>
      <c r="Q212" s="235"/>
      <c r="R212" s="235"/>
      <c r="S212" s="235"/>
      <c r="T212" s="235"/>
      <c r="U212" s="235"/>
      <c r="V212" s="235"/>
      <c r="W212" s="235"/>
      <c r="X212" s="234" t="s">
        <v>1331</v>
      </c>
      <c r="Y212" s="235"/>
    </row>
    <row r="213" spans="1:25" s="238" customFormat="1" ht="16.5" customHeight="1">
      <c r="A213" s="234">
        <v>210</v>
      </c>
      <c r="B213" s="235" t="s">
        <v>1312</v>
      </c>
      <c r="C213" s="235" t="s">
        <v>1315</v>
      </c>
      <c r="D213" s="235" t="s">
        <v>987</v>
      </c>
      <c r="E213" s="235" t="s">
        <v>1316</v>
      </c>
      <c r="F213" s="235" t="s">
        <v>591</v>
      </c>
      <c r="G213" s="235" t="s">
        <v>809</v>
      </c>
      <c r="H213" s="235" t="s">
        <v>405</v>
      </c>
      <c r="I213" s="215">
        <v>8855000</v>
      </c>
      <c r="J213" s="237">
        <v>44741</v>
      </c>
      <c r="K213" s="235" t="s">
        <v>713</v>
      </c>
      <c r="L213" s="237">
        <v>44862</v>
      </c>
      <c r="M213" s="237">
        <v>44895</v>
      </c>
      <c r="N213" s="235"/>
      <c r="O213" s="235" t="s">
        <v>590</v>
      </c>
      <c r="P213" s="235"/>
      <c r="Q213" s="235"/>
      <c r="R213" s="235"/>
      <c r="S213" s="235"/>
      <c r="T213" s="235"/>
      <c r="U213" s="235"/>
      <c r="V213" s="235"/>
      <c r="W213" s="235"/>
      <c r="X213" s="259" t="s">
        <v>1621</v>
      </c>
      <c r="Y213" s="235"/>
    </row>
    <row r="214" spans="1:25" s="238" customFormat="1" ht="16.5" customHeight="1">
      <c r="A214" s="234">
        <v>211</v>
      </c>
      <c r="B214" s="235" t="s">
        <v>512</v>
      </c>
      <c r="C214" s="235" t="s">
        <v>1320</v>
      </c>
      <c r="D214" s="235" t="s">
        <v>1319</v>
      </c>
      <c r="E214" s="235" t="s">
        <v>1317</v>
      </c>
      <c r="F214" s="235" t="s">
        <v>591</v>
      </c>
      <c r="G214" s="235" t="s">
        <v>809</v>
      </c>
      <c r="H214" s="235" t="s">
        <v>405</v>
      </c>
      <c r="I214" s="215">
        <v>145750000</v>
      </c>
      <c r="J214" s="237">
        <v>44741</v>
      </c>
      <c r="K214" s="237">
        <v>44918</v>
      </c>
      <c r="L214" s="237">
        <v>44917</v>
      </c>
      <c r="M214" s="237">
        <v>44921</v>
      </c>
      <c r="N214" s="235"/>
      <c r="O214" s="235" t="s">
        <v>584</v>
      </c>
      <c r="P214" s="235"/>
      <c r="Q214" s="235"/>
      <c r="R214" s="235"/>
      <c r="S214" s="235"/>
      <c r="T214" s="235"/>
      <c r="U214" s="235"/>
      <c r="V214" s="235"/>
      <c r="W214" s="235"/>
      <c r="X214" s="234" t="s">
        <v>2102</v>
      </c>
      <c r="Y214" s="235"/>
    </row>
    <row r="215" spans="1:25" s="238" customFormat="1" ht="16.5" customHeight="1">
      <c r="A215" s="234">
        <v>212</v>
      </c>
      <c r="B215" s="235" t="s">
        <v>512</v>
      </c>
      <c r="C215" s="235" t="s">
        <v>1320</v>
      </c>
      <c r="D215" s="235" t="s">
        <v>1319</v>
      </c>
      <c r="E215" s="235" t="s">
        <v>1318</v>
      </c>
      <c r="F215" s="235" t="s">
        <v>591</v>
      </c>
      <c r="G215" s="235" t="s">
        <v>809</v>
      </c>
      <c r="H215" s="235" t="s">
        <v>405</v>
      </c>
      <c r="I215" s="215">
        <v>88770000</v>
      </c>
      <c r="J215" s="237">
        <v>44741</v>
      </c>
      <c r="K215" s="237">
        <v>44918</v>
      </c>
      <c r="L215" s="237">
        <v>44917</v>
      </c>
      <c r="M215" s="237">
        <v>44921</v>
      </c>
      <c r="N215" s="235"/>
      <c r="O215" s="235" t="s">
        <v>584</v>
      </c>
      <c r="P215" s="235"/>
      <c r="Q215" s="235"/>
      <c r="R215" s="235"/>
      <c r="S215" s="235"/>
      <c r="T215" s="235"/>
      <c r="U215" s="235"/>
      <c r="V215" s="235"/>
      <c r="W215" s="235"/>
      <c r="X215" s="234" t="s">
        <v>2101</v>
      </c>
      <c r="Y215" s="235"/>
    </row>
    <row r="216" spans="1:25" s="238" customFormat="1" ht="16.5" customHeight="1">
      <c r="A216" s="234">
        <v>213</v>
      </c>
      <c r="B216" s="235" t="s">
        <v>419</v>
      </c>
      <c r="C216" s="235"/>
      <c r="D216" s="235" t="s">
        <v>406</v>
      </c>
      <c r="E216" s="235" t="s">
        <v>1313</v>
      </c>
      <c r="F216" s="235" t="s">
        <v>1000</v>
      </c>
      <c r="G216" s="235" t="s">
        <v>809</v>
      </c>
      <c r="H216" s="235" t="s">
        <v>405</v>
      </c>
      <c r="I216" s="215">
        <v>80000000</v>
      </c>
      <c r="J216" s="237">
        <v>44652</v>
      </c>
      <c r="K216" s="237">
        <v>44926</v>
      </c>
      <c r="L216" s="235" t="s">
        <v>408</v>
      </c>
      <c r="M216" s="235" t="s">
        <v>408</v>
      </c>
      <c r="N216" s="235"/>
      <c r="O216" s="235" t="s">
        <v>1330</v>
      </c>
      <c r="P216" s="235"/>
      <c r="Q216" s="235"/>
      <c r="R216" s="235"/>
      <c r="S216" s="235"/>
      <c r="T216" s="235"/>
      <c r="U216" s="235"/>
      <c r="V216" s="235"/>
      <c r="W216" s="235"/>
      <c r="X216" s="234" t="s">
        <v>943</v>
      </c>
      <c r="Y216" s="235"/>
    </row>
    <row r="217" spans="1:25" s="238" customFormat="1" ht="16.5" customHeight="1">
      <c r="A217" s="234">
        <v>214</v>
      </c>
      <c r="B217" s="235" t="s">
        <v>1321</v>
      </c>
      <c r="C217" s="235"/>
      <c r="D217" s="235"/>
      <c r="E217" s="235" t="s">
        <v>1329</v>
      </c>
      <c r="F217" s="235" t="s">
        <v>591</v>
      </c>
      <c r="G217" s="235" t="s">
        <v>809</v>
      </c>
      <c r="H217" s="235" t="s">
        <v>405</v>
      </c>
      <c r="I217" s="215">
        <v>7480000</v>
      </c>
      <c r="J217" s="237">
        <v>44733</v>
      </c>
      <c r="K217" s="235" t="s">
        <v>713</v>
      </c>
      <c r="L217" s="237">
        <v>44756</v>
      </c>
      <c r="M217" s="237">
        <v>44761</v>
      </c>
      <c r="N217" s="235"/>
      <c r="O217" s="235" t="s">
        <v>590</v>
      </c>
      <c r="P217" s="235"/>
      <c r="Q217" s="235"/>
      <c r="R217" s="235"/>
      <c r="S217" s="235"/>
      <c r="T217" s="235"/>
      <c r="U217" s="235"/>
      <c r="V217" s="235"/>
      <c r="W217" s="235"/>
      <c r="X217" s="234" t="s">
        <v>1479</v>
      </c>
      <c r="Y217" s="235"/>
    </row>
    <row r="218" spans="1:25" s="238" customFormat="1" ht="16.5" customHeight="1">
      <c r="A218" s="234">
        <v>215</v>
      </c>
      <c r="B218" s="235" t="s">
        <v>705</v>
      </c>
      <c r="C218" s="235" t="s">
        <v>1322</v>
      </c>
      <c r="D218" s="235" t="s">
        <v>406</v>
      </c>
      <c r="E218" s="235" t="s">
        <v>1335</v>
      </c>
      <c r="F218" s="235" t="s">
        <v>591</v>
      </c>
      <c r="G218" s="235" t="s">
        <v>809</v>
      </c>
      <c r="H218" s="235" t="s">
        <v>405</v>
      </c>
      <c r="I218" s="215">
        <v>1400000</v>
      </c>
      <c r="J218" s="237">
        <v>44742</v>
      </c>
      <c r="K218" s="235" t="s">
        <v>713</v>
      </c>
      <c r="L218" s="237">
        <v>44742</v>
      </c>
      <c r="M218" s="237">
        <v>44743</v>
      </c>
      <c r="N218" s="235"/>
      <c r="O218" s="235" t="s">
        <v>590</v>
      </c>
      <c r="P218" s="235"/>
      <c r="Q218" s="235"/>
      <c r="R218" s="235"/>
      <c r="S218" s="235"/>
      <c r="T218" s="235"/>
      <c r="U218" s="235"/>
      <c r="V218" s="235"/>
      <c r="W218" s="235"/>
      <c r="X218" s="234" t="s">
        <v>1787</v>
      </c>
      <c r="Y218" s="235"/>
    </row>
    <row r="219" spans="1:25" s="238" customFormat="1" ht="16.5" customHeight="1">
      <c r="A219" s="234">
        <v>216</v>
      </c>
      <c r="B219" s="235" t="s">
        <v>874</v>
      </c>
      <c r="C219" s="235" t="s">
        <v>875</v>
      </c>
      <c r="D219" s="235"/>
      <c r="E219" s="235" t="s">
        <v>945</v>
      </c>
      <c r="F219" s="235" t="s">
        <v>591</v>
      </c>
      <c r="G219" s="235" t="s">
        <v>809</v>
      </c>
      <c r="H219" s="235" t="s">
        <v>405</v>
      </c>
      <c r="I219" s="215">
        <v>17600000</v>
      </c>
      <c r="J219" s="237">
        <v>44743</v>
      </c>
      <c r="K219" s="235" t="s">
        <v>713</v>
      </c>
      <c r="L219" s="237">
        <v>44769</v>
      </c>
      <c r="M219" s="237">
        <v>44770</v>
      </c>
      <c r="N219" s="235"/>
      <c r="O219" s="235" t="s">
        <v>590</v>
      </c>
      <c r="P219" s="235"/>
      <c r="Q219" s="235"/>
      <c r="R219" s="235"/>
      <c r="S219" s="235"/>
      <c r="T219" s="235"/>
      <c r="U219" s="235"/>
      <c r="V219" s="235"/>
      <c r="W219" s="235"/>
      <c r="X219" s="234" t="s">
        <v>1426</v>
      </c>
      <c r="Y219" s="235"/>
    </row>
    <row r="220" spans="1:25" s="238" customFormat="1" ht="16.5" customHeight="1">
      <c r="A220" s="234">
        <v>217</v>
      </c>
      <c r="B220" s="235" t="s">
        <v>412</v>
      </c>
      <c r="C220" s="235" t="s">
        <v>1324</v>
      </c>
      <c r="D220" s="235" t="s">
        <v>1325</v>
      </c>
      <c r="E220" s="235" t="s">
        <v>1605</v>
      </c>
      <c r="F220" s="235" t="s">
        <v>591</v>
      </c>
      <c r="G220" s="235" t="s">
        <v>809</v>
      </c>
      <c r="H220" s="235" t="s">
        <v>733</v>
      </c>
      <c r="I220" s="215" t="s">
        <v>1323</v>
      </c>
      <c r="J220" s="237">
        <v>44743</v>
      </c>
      <c r="K220" s="237">
        <v>44816</v>
      </c>
      <c r="L220" s="235" t="s">
        <v>408</v>
      </c>
      <c r="M220" s="235" t="s">
        <v>408</v>
      </c>
      <c r="N220" s="235"/>
      <c r="O220" s="235" t="s">
        <v>590</v>
      </c>
      <c r="P220" s="235"/>
      <c r="Q220" s="235"/>
      <c r="R220" s="235"/>
      <c r="S220" s="235"/>
      <c r="T220" s="235"/>
      <c r="U220" s="235"/>
      <c r="V220" s="235"/>
      <c r="W220" s="235"/>
      <c r="X220" s="234" t="s">
        <v>1115</v>
      </c>
      <c r="Y220" s="235"/>
    </row>
    <row r="221" spans="1:25" s="238" customFormat="1" ht="16.5" customHeight="1">
      <c r="A221" s="234">
        <v>218</v>
      </c>
      <c r="B221" s="235" t="s">
        <v>874</v>
      </c>
      <c r="C221" s="235" t="s">
        <v>875</v>
      </c>
      <c r="D221" s="235" t="s">
        <v>1326</v>
      </c>
      <c r="E221" s="235" t="s">
        <v>1636</v>
      </c>
      <c r="F221" s="235" t="s">
        <v>591</v>
      </c>
      <c r="G221" s="235" t="s">
        <v>809</v>
      </c>
      <c r="H221" s="235" t="s">
        <v>405</v>
      </c>
      <c r="I221" s="215">
        <v>14300000</v>
      </c>
      <c r="J221" s="237">
        <v>44743</v>
      </c>
      <c r="K221" s="235" t="s">
        <v>713</v>
      </c>
      <c r="L221" s="237">
        <v>44825</v>
      </c>
      <c r="M221" s="237">
        <v>44832</v>
      </c>
      <c r="N221" s="235"/>
      <c r="O221" s="235" t="s">
        <v>590</v>
      </c>
      <c r="P221" s="235"/>
      <c r="Q221" s="235"/>
      <c r="R221" s="235"/>
      <c r="S221" s="235"/>
      <c r="T221" s="235"/>
      <c r="U221" s="235"/>
      <c r="V221" s="235"/>
      <c r="W221" s="235"/>
      <c r="X221" s="234" t="s">
        <v>1360</v>
      </c>
      <c r="Y221" s="235"/>
    </row>
    <row r="222" spans="1:25" s="238" customFormat="1" ht="16.5" customHeight="1">
      <c r="A222" s="234">
        <v>219</v>
      </c>
      <c r="B222" s="235" t="s">
        <v>1637</v>
      </c>
      <c r="C222" s="235" t="s">
        <v>875</v>
      </c>
      <c r="D222" s="235" t="s">
        <v>718</v>
      </c>
      <c r="E222" s="235" t="s">
        <v>1327</v>
      </c>
      <c r="F222" s="235" t="s">
        <v>591</v>
      </c>
      <c r="G222" s="235" t="s">
        <v>809</v>
      </c>
      <c r="H222" s="235" t="s">
        <v>405</v>
      </c>
      <c r="I222" s="215">
        <v>13200000</v>
      </c>
      <c r="J222" s="237">
        <v>44743</v>
      </c>
      <c r="K222" s="235" t="s">
        <v>713</v>
      </c>
      <c r="L222" s="235" t="s">
        <v>1666</v>
      </c>
      <c r="M222" s="235" t="s">
        <v>1700</v>
      </c>
      <c r="N222" s="235"/>
      <c r="O222" s="235" t="s">
        <v>590</v>
      </c>
      <c r="P222" s="235"/>
      <c r="Q222" s="235"/>
      <c r="R222" s="235"/>
      <c r="S222" s="235"/>
      <c r="T222" s="235"/>
      <c r="U222" s="235"/>
      <c r="V222" s="235"/>
      <c r="W222" s="235"/>
      <c r="X222" s="234" t="s">
        <v>1664</v>
      </c>
      <c r="Y222" s="235"/>
    </row>
    <row r="223" spans="1:25" s="238" customFormat="1" ht="16.5" customHeight="1">
      <c r="A223" s="234">
        <v>220</v>
      </c>
      <c r="B223" s="235" t="s">
        <v>859</v>
      </c>
      <c r="C223" s="235"/>
      <c r="D223" s="235" t="s">
        <v>1334</v>
      </c>
      <c r="E223" s="235" t="s">
        <v>1328</v>
      </c>
      <c r="F223" s="235" t="s">
        <v>591</v>
      </c>
      <c r="G223" s="235" t="s">
        <v>809</v>
      </c>
      <c r="H223" s="235" t="s">
        <v>405</v>
      </c>
      <c r="I223" s="215">
        <v>21670000</v>
      </c>
      <c r="J223" s="237">
        <v>44743</v>
      </c>
      <c r="K223" s="237">
        <v>44762</v>
      </c>
      <c r="L223" s="237">
        <v>44750</v>
      </c>
      <c r="M223" s="237">
        <v>44790</v>
      </c>
      <c r="N223" s="235"/>
      <c r="O223" s="235" t="s">
        <v>596</v>
      </c>
      <c r="P223" s="235"/>
      <c r="Q223" s="235"/>
      <c r="R223" s="235"/>
      <c r="S223" s="235"/>
      <c r="T223" s="235"/>
      <c r="U223" s="235"/>
      <c r="V223" s="235"/>
      <c r="W223" s="235"/>
      <c r="X223" s="234" t="s">
        <v>1907</v>
      </c>
      <c r="Y223" s="235"/>
    </row>
    <row r="224" spans="1:25" s="238" customFormat="1" ht="16.5" customHeight="1">
      <c r="A224" s="234">
        <v>221</v>
      </c>
      <c r="B224" s="235" t="s">
        <v>1344</v>
      </c>
      <c r="C224" s="235" t="s">
        <v>1345</v>
      </c>
      <c r="D224" s="235" t="s">
        <v>406</v>
      </c>
      <c r="E224" s="235" t="s">
        <v>1346</v>
      </c>
      <c r="F224" s="235" t="s">
        <v>502</v>
      </c>
      <c r="G224" s="235" t="s">
        <v>408</v>
      </c>
      <c r="H224" s="235" t="s">
        <v>405</v>
      </c>
      <c r="I224" s="215">
        <v>11770000</v>
      </c>
      <c r="J224" s="237">
        <v>44726</v>
      </c>
      <c r="K224" s="237">
        <v>44834</v>
      </c>
      <c r="L224" s="237">
        <v>44851</v>
      </c>
      <c r="M224" s="237">
        <v>44895</v>
      </c>
      <c r="N224" s="235"/>
      <c r="O224" s="235" t="s">
        <v>584</v>
      </c>
      <c r="P224" s="235"/>
      <c r="Q224" s="235"/>
      <c r="R224" s="235"/>
      <c r="S224" s="235"/>
      <c r="T224" s="235"/>
      <c r="U224" s="235"/>
      <c r="V224" s="235"/>
      <c r="W224" s="235"/>
      <c r="X224" s="234" t="s">
        <v>1420</v>
      </c>
      <c r="Y224" s="235"/>
    </row>
    <row r="225" spans="1:25" s="238" customFormat="1" ht="16.5" customHeight="1">
      <c r="A225" s="234">
        <v>222</v>
      </c>
      <c r="B225" s="235" t="s">
        <v>696</v>
      </c>
      <c r="C225" s="235" t="s">
        <v>697</v>
      </c>
      <c r="D225" s="235" t="s">
        <v>406</v>
      </c>
      <c r="E225" s="235" t="s">
        <v>1347</v>
      </c>
      <c r="F225" s="235" t="s">
        <v>1348</v>
      </c>
      <c r="G225" s="235" t="s">
        <v>408</v>
      </c>
      <c r="H225" s="235" t="s">
        <v>405</v>
      </c>
      <c r="I225" s="215">
        <v>990000</v>
      </c>
      <c r="J225" s="237">
        <v>44743</v>
      </c>
      <c r="K225" s="235" t="s">
        <v>713</v>
      </c>
      <c r="L225" s="237">
        <v>44747</v>
      </c>
      <c r="M225" s="237">
        <v>44761</v>
      </c>
      <c r="N225" s="235"/>
      <c r="O225" s="235" t="s">
        <v>596</v>
      </c>
      <c r="P225" s="235"/>
      <c r="Q225" s="235"/>
      <c r="R225" s="235"/>
      <c r="S225" s="235"/>
      <c r="T225" s="235"/>
      <c r="U225" s="235"/>
      <c r="V225" s="235"/>
      <c r="W225" s="235"/>
      <c r="X225" s="234" t="s">
        <v>1505</v>
      </c>
      <c r="Y225" s="235"/>
    </row>
    <row r="226" spans="1:25" s="238" customFormat="1" ht="16.5" customHeight="1">
      <c r="A226" s="234">
        <v>223</v>
      </c>
      <c r="B226" s="235" t="s">
        <v>512</v>
      </c>
      <c r="C226" s="235" t="s">
        <v>1229</v>
      </c>
      <c r="D226" s="235" t="s">
        <v>1356</v>
      </c>
      <c r="E226" s="235" t="s">
        <v>1430</v>
      </c>
      <c r="F226" s="235" t="s">
        <v>591</v>
      </c>
      <c r="G226" s="235" t="s">
        <v>408</v>
      </c>
      <c r="H226" s="235" t="s">
        <v>405</v>
      </c>
      <c r="I226" s="215">
        <v>6710000</v>
      </c>
      <c r="J226" s="237">
        <v>44746</v>
      </c>
      <c r="K226" s="235" t="s">
        <v>713</v>
      </c>
      <c r="L226" s="237">
        <v>44763</v>
      </c>
      <c r="M226" s="237">
        <v>44768</v>
      </c>
      <c r="N226" s="235"/>
      <c r="O226" s="235" t="s">
        <v>596</v>
      </c>
      <c r="P226" s="235"/>
      <c r="Q226" s="235"/>
      <c r="R226" s="235"/>
      <c r="S226" s="235"/>
      <c r="T226" s="235"/>
      <c r="U226" s="235"/>
      <c r="V226" s="235"/>
      <c r="W226" s="235"/>
      <c r="X226" s="234" t="s">
        <v>1504</v>
      </c>
      <c r="Y226" s="235"/>
    </row>
    <row r="227" spans="1:25" s="238" customFormat="1" ht="16.5" customHeight="1">
      <c r="A227" s="234">
        <v>224</v>
      </c>
      <c r="B227" s="235" t="s">
        <v>1350</v>
      </c>
      <c r="C227" s="235" t="s">
        <v>1355</v>
      </c>
      <c r="D227" s="235" t="s">
        <v>1271</v>
      </c>
      <c r="E227" s="235" t="s">
        <v>1629</v>
      </c>
      <c r="F227" s="235" t="s">
        <v>591</v>
      </c>
      <c r="G227" s="235" t="s">
        <v>408</v>
      </c>
      <c r="H227" s="235" t="s">
        <v>405</v>
      </c>
      <c r="I227" s="215">
        <v>16830000</v>
      </c>
      <c r="J227" s="237">
        <v>44746</v>
      </c>
      <c r="K227" s="235" t="s">
        <v>713</v>
      </c>
      <c r="L227" s="237">
        <v>44819</v>
      </c>
      <c r="M227" s="237">
        <v>44819</v>
      </c>
      <c r="N227" s="235"/>
      <c r="O227" s="235" t="s">
        <v>715</v>
      </c>
      <c r="P227" s="235"/>
      <c r="Q227" s="235"/>
      <c r="R227" s="235"/>
      <c r="S227" s="235"/>
      <c r="T227" s="235"/>
      <c r="U227" s="235"/>
      <c r="V227" s="235"/>
      <c r="W227" s="235"/>
      <c r="X227" s="234" t="s">
        <v>1554</v>
      </c>
      <c r="Y227" s="235"/>
    </row>
    <row r="228" spans="1:25" s="238" customFormat="1" ht="16.5" customHeight="1">
      <c r="A228" s="234">
        <v>225</v>
      </c>
      <c r="B228" s="235" t="s">
        <v>1351</v>
      </c>
      <c r="C228" s="235" t="s">
        <v>787</v>
      </c>
      <c r="D228" s="235" t="s">
        <v>1168</v>
      </c>
      <c r="E228" s="235" t="s">
        <v>1352</v>
      </c>
      <c r="F228" s="235" t="s">
        <v>591</v>
      </c>
      <c r="G228" s="235" t="s">
        <v>408</v>
      </c>
      <c r="H228" s="235" t="s">
        <v>405</v>
      </c>
      <c r="I228" s="215">
        <v>29700000</v>
      </c>
      <c r="J228" s="237">
        <v>44747</v>
      </c>
      <c r="K228" s="235" t="s">
        <v>713</v>
      </c>
      <c r="L228" s="237">
        <v>44747</v>
      </c>
      <c r="M228" s="237">
        <v>44757</v>
      </c>
      <c r="N228" s="235"/>
      <c r="O228" s="235" t="s">
        <v>1678</v>
      </c>
      <c r="P228" s="235"/>
      <c r="Q228" s="235"/>
      <c r="R228" s="235"/>
      <c r="S228" s="235"/>
      <c r="T228" s="235"/>
      <c r="U228" s="235"/>
      <c r="V228" s="235"/>
      <c r="W228" s="235"/>
      <c r="X228" s="234"/>
      <c r="Y228" s="235"/>
    </row>
    <row r="229" spans="1:25" s="238" customFormat="1" ht="16.5" customHeight="1">
      <c r="A229" s="234">
        <v>226</v>
      </c>
      <c r="B229" s="235" t="s">
        <v>1351</v>
      </c>
      <c r="C229" s="235" t="s">
        <v>787</v>
      </c>
      <c r="D229" s="235" t="s">
        <v>1168</v>
      </c>
      <c r="E229" s="235" t="s">
        <v>1353</v>
      </c>
      <c r="F229" s="235" t="s">
        <v>591</v>
      </c>
      <c r="G229" s="235" t="s">
        <v>408</v>
      </c>
      <c r="H229" s="235" t="s">
        <v>405</v>
      </c>
      <c r="I229" s="215">
        <v>49500000</v>
      </c>
      <c r="J229" s="237">
        <v>44747</v>
      </c>
      <c r="K229" s="235" t="s">
        <v>713</v>
      </c>
      <c r="L229" s="235" t="s">
        <v>1917</v>
      </c>
      <c r="M229" s="235" t="s">
        <v>1997</v>
      </c>
      <c r="N229" s="235"/>
      <c r="O229" s="235" t="s">
        <v>715</v>
      </c>
      <c r="P229" s="235"/>
      <c r="Q229" s="235"/>
      <c r="R229" s="235"/>
      <c r="S229" s="235"/>
      <c r="T229" s="235"/>
      <c r="U229" s="235"/>
      <c r="V229" s="235"/>
      <c r="W229" s="235"/>
      <c r="X229" s="234" t="s">
        <v>1908</v>
      </c>
      <c r="Y229" s="235"/>
    </row>
    <row r="230" spans="1:25" s="238" customFormat="1" ht="16.5" customHeight="1">
      <c r="A230" s="234">
        <v>227</v>
      </c>
      <c r="B230" s="235" t="s">
        <v>512</v>
      </c>
      <c r="C230" s="235" t="s">
        <v>964</v>
      </c>
      <c r="D230" s="235" t="s">
        <v>1168</v>
      </c>
      <c r="E230" s="235" t="s">
        <v>1354</v>
      </c>
      <c r="F230" s="235" t="s">
        <v>591</v>
      </c>
      <c r="G230" s="235" t="s">
        <v>408</v>
      </c>
      <c r="H230" s="235" t="s">
        <v>733</v>
      </c>
      <c r="I230" s="215" t="s">
        <v>1357</v>
      </c>
      <c r="J230" s="237">
        <v>44747</v>
      </c>
      <c r="K230" s="237">
        <v>44895</v>
      </c>
      <c r="L230" s="235" t="s">
        <v>408</v>
      </c>
      <c r="M230" s="235" t="s">
        <v>408</v>
      </c>
      <c r="N230" s="235"/>
      <c r="O230" s="235" t="s">
        <v>1783</v>
      </c>
      <c r="P230" s="235"/>
      <c r="Q230" s="235"/>
      <c r="R230" s="235"/>
      <c r="S230" s="235"/>
      <c r="T230" s="235"/>
      <c r="U230" s="235"/>
      <c r="V230" s="235"/>
      <c r="W230" s="235"/>
      <c r="X230" s="234" t="s">
        <v>1115</v>
      </c>
      <c r="Y230" s="235"/>
    </row>
    <row r="231" spans="1:25" s="238" customFormat="1" ht="16.5" customHeight="1">
      <c r="A231" s="234">
        <v>228</v>
      </c>
      <c r="B231" s="235" t="s">
        <v>512</v>
      </c>
      <c r="C231" s="235" t="s">
        <v>1367</v>
      </c>
      <c r="D231" s="235" t="s">
        <v>665</v>
      </c>
      <c r="E231" s="235" t="s">
        <v>1368</v>
      </c>
      <c r="F231" s="235" t="s">
        <v>591</v>
      </c>
      <c r="G231" s="235" t="s">
        <v>408</v>
      </c>
      <c r="H231" s="235" t="s">
        <v>733</v>
      </c>
      <c r="I231" s="215" t="s">
        <v>1374</v>
      </c>
      <c r="J231" s="237">
        <v>44747</v>
      </c>
      <c r="K231" s="237">
        <v>44895</v>
      </c>
      <c r="L231" s="235" t="s">
        <v>408</v>
      </c>
      <c r="M231" s="235" t="s">
        <v>408</v>
      </c>
      <c r="N231" s="235"/>
      <c r="O231" s="235" t="s">
        <v>715</v>
      </c>
      <c r="P231" s="235"/>
      <c r="Q231" s="235"/>
      <c r="R231" s="235"/>
      <c r="S231" s="235"/>
      <c r="T231" s="235"/>
      <c r="U231" s="235"/>
      <c r="V231" s="235"/>
      <c r="W231" s="235"/>
      <c r="X231" s="234" t="s">
        <v>1115</v>
      </c>
      <c r="Y231" s="235"/>
    </row>
    <row r="232" spans="1:25" s="238" customFormat="1" ht="16.5" customHeight="1">
      <c r="A232" s="234">
        <v>229</v>
      </c>
      <c r="B232" s="235" t="s">
        <v>1369</v>
      </c>
      <c r="C232" s="235" t="s">
        <v>1370</v>
      </c>
      <c r="D232" s="235" t="s">
        <v>513</v>
      </c>
      <c r="E232" s="235" t="s">
        <v>1064</v>
      </c>
      <c r="F232" s="235" t="s">
        <v>591</v>
      </c>
      <c r="G232" s="235" t="s">
        <v>408</v>
      </c>
      <c r="H232" s="235" t="s">
        <v>405</v>
      </c>
      <c r="I232" s="215">
        <v>15840000</v>
      </c>
      <c r="J232" s="237">
        <v>44746</v>
      </c>
      <c r="K232" s="237">
        <v>44802</v>
      </c>
      <c r="L232" s="237">
        <v>44811</v>
      </c>
      <c r="M232" s="237">
        <v>44827</v>
      </c>
      <c r="N232" s="235"/>
      <c r="O232" s="235" t="s">
        <v>590</v>
      </c>
      <c r="P232" s="235"/>
      <c r="Q232" s="235"/>
      <c r="R232" s="235"/>
      <c r="S232" s="235"/>
      <c r="T232" s="235"/>
      <c r="U232" s="235"/>
      <c r="V232" s="235"/>
      <c r="W232" s="235"/>
      <c r="X232" s="234" t="s">
        <v>1541</v>
      </c>
      <c r="Y232" s="235"/>
    </row>
    <row r="233" spans="1:25" s="238" customFormat="1" ht="16.5" customHeight="1">
      <c r="A233" s="234">
        <v>230</v>
      </c>
      <c r="B233" s="235" t="s">
        <v>1371</v>
      </c>
      <c r="C233" s="235"/>
      <c r="D233" s="235" t="s">
        <v>407</v>
      </c>
      <c r="E233" s="235" t="s">
        <v>1373</v>
      </c>
      <c r="F233" s="235" t="s">
        <v>591</v>
      </c>
      <c r="G233" s="235" t="s">
        <v>408</v>
      </c>
      <c r="H233" s="235" t="s">
        <v>405</v>
      </c>
      <c r="I233" s="215">
        <v>15400000</v>
      </c>
      <c r="J233" s="237">
        <v>44749</v>
      </c>
      <c r="K233" s="235"/>
      <c r="L233" s="237">
        <v>44862</v>
      </c>
      <c r="M233" s="237">
        <v>44869</v>
      </c>
      <c r="N233" s="235"/>
      <c r="O233" s="235" t="s">
        <v>1784</v>
      </c>
      <c r="P233" s="235"/>
      <c r="Q233" s="235"/>
      <c r="R233" s="235"/>
      <c r="S233" s="235"/>
      <c r="T233" s="235"/>
      <c r="U233" s="235"/>
      <c r="V233" s="235"/>
      <c r="W233" s="235"/>
      <c r="X233" s="234" t="s">
        <v>1825</v>
      </c>
      <c r="Y233" s="235"/>
    </row>
    <row r="234" spans="1:25" s="238" customFormat="1" ht="16.5" customHeight="1">
      <c r="A234" s="234">
        <v>231</v>
      </c>
      <c r="B234" s="235" t="s">
        <v>503</v>
      </c>
      <c r="C234" s="235" t="s">
        <v>1372</v>
      </c>
      <c r="D234" s="235"/>
      <c r="E234" s="235" t="s">
        <v>1625</v>
      </c>
      <c r="F234" s="235" t="s">
        <v>591</v>
      </c>
      <c r="G234" s="235"/>
      <c r="H234" s="235" t="s">
        <v>405</v>
      </c>
      <c r="I234" s="215">
        <v>12280000</v>
      </c>
      <c r="J234" s="237">
        <v>44748</v>
      </c>
      <c r="K234" s="237">
        <v>44819</v>
      </c>
      <c r="L234" s="237">
        <v>44817</v>
      </c>
      <c r="M234" s="237">
        <v>44818</v>
      </c>
      <c r="N234" s="235"/>
      <c r="O234" s="235" t="s">
        <v>590</v>
      </c>
      <c r="P234" s="235"/>
      <c r="Q234" s="235"/>
      <c r="R234" s="235"/>
      <c r="S234" s="235"/>
      <c r="T234" s="235"/>
      <c r="U234" s="235"/>
      <c r="V234" s="235"/>
      <c r="W234" s="235"/>
      <c r="X234" s="234" t="s">
        <v>1539</v>
      </c>
      <c r="Y234" s="235"/>
    </row>
    <row r="235" spans="1:25" s="238" customFormat="1" ht="16.5" customHeight="1">
      <c r="A235" s="234">
        <v>232</v>
      </c>
      <c r="B235" s="235" t="s">
        <v>1375</v>
      </c>
      <c r="C235" s="235"/>
      <c r="D235" s="235" t="s">
        <v>407</v>
      </c>
      <c r="E235" s="235" t="s">
        <v>1379</v>
      </c>
      <c r="F235" s="235" t="s">
        <v>591</v>
      </c>
      <c r="G235" s="235" t="s">
        <v>408</v>
      </c>
      <c r="H235" s="235" t="s">
        <v>405</v>
      </c>
      <c r="I235" s="215">
        <v>9900000</v>
      </c>
      <c r="J235" s="237">
        <v>44750</v>
      </c>
      <c r="K235" s="235" t="s">
        <v>713</v>
      </c>
      <c r="L235" s="237">
        <v>44749</v>
      </c>
      <c r="M235" s="237">
        <v>44756</v>
      </c>
      <c r="N235" s="235"/>
      <c r="O235" s="235" t="s">
        <v>590</v>
      </c>
      <c r="P235" s="235"/>
      <c r="Q235" s="235"/>
      <c r="R235" s="235"/>
      <c r="S235" s="235"/>
      <c r="T235" s="235"/>
      <c r="U235" s="235"/>
      <c r="V235" s="235"/>
      <c r="W235" s="235"/>
      <c r="X235" s="234" t="s">
        <v>1747</v>
      </c>
      <c r="Y235" s="235"/>
    </row>
    <row r="236" spans="1:25" s="238" customFormat="1" ht="16.5" customHeight="1">
      <c r="A236" s="234">
        <v>233</v>
      </c>
      <c r="B236" s="235" t="s">
        <v>1016</v>
      </c>
      <c r="C236" s="235" t="s">
        <v>1376</v>
      </c>
      <c r="D236" s="235" t="s">
        <v>1378</v>
      </c>
      <c r="E236" s="235" t="s">
        <v>1377</v>
      </c>
      <c r="F236" s="235" t="s">
        <v>591</v>
      </c>
      <c r="G236" s="235" t="s">
        <v>408</v>
      </c>
      <c r="H236" s="235" t="s">
        <v>405</v>
      </c>
      <c r="I236" s="215">
        <v>1100000</v>
      </c>
      <c r="J236" s="237">
        <v>44750</v>
      </c>
      <c r="K236" s="237">
        <v>44773</v>
      </c>
      <c r="L236" s="237">
        <v>44756</v>
      </c>
      <c r="M236" s="237">
        <v>44761</v>
      </c>
      <c r="N236" s="235"/>
      <c r="O236" s="235" t="s">
        <v>1783</v>
      </c>
      <c r="P236" s="235"/>
      <c r="Q236" s="235"/>
      <c r="R236" s="235"/>
      <c r="S236" s="235"/>
      <c r="T236" s="235"/>
      <c r="U236" s="235"/>
      <c r="V236" s="235"/>
      <c r="W236" s="235"/>
      <c r="X236" s="234" t="s">
        <v>1389</v>
      </c>
      <c r="Y236" s="235"/>
    </row>
    <row r="237" spans="1:25" s="238" customFormat="1" ht="16.5" customHeight="1">
      <c r="A237" s="234">
        <v>234</v>
      </c>
      <c r="B237" s="235" t="s">
        <v>1383</v>
      </c>
      <c r="C237" s="235"/>
      <c r="D237" s="235" t="s">
        <v>807</v>
      </c>
      <c r="E237" s="235" t="s">
        <v>1384</v>
      </c>
      <c r="F237" s="235" t="s">
        <v>591</v>
      </c>
      <c r="G237" s="235" t="s">
        <v>408</v>
      </c>
      <c r="H237" s="235" t="s">
        <v>405</v>
      </c>
      <c r="I237" s="215">
        <v>6380000</v>
      </c>
      <c r="J237" s="237">
        <v>44749</v>
      </c>
      <c r="K237" s="235" t="s">
        <v>713</v>
      </c>
      <c r="L237" s="237">
        <v>44753</v>
      </c>
      <c r="M237" s="237">
        <v>44753</v>
      </c>
      <c r="N237" s="235"/>
      <c r="O237" s="235" t="s">
        <v>590</v>
      </c>
      <c r="P237" s="235"/>
      <c r="Q237" s="235"/>
      <c r="R237" s="235"/>
      <c r="S237" s="235"/>
      <c r="T237" s="235"/>
      <c r="U237" s="235"/>
      <c r="V237" s="235"/>
      <c r="W237" s="235"/>
      <c r="X237" s="234" t="s">
        <v>1388</v>
      </c>
      <c r="Y237" s="235"/>
    </row>
    <row r="238" spans="1:25" s="238" customFormat="1" ht="16.5" customHeight="1">
      <c r="A238" s="234">
        <v>235</v>
      </c>
      <c r="B238" s="235" t="s">
        <v>512</v>
      </c>
      <c r="C238" s="235" t="s">
        <v>699</v>
      </c>
      <c r="D238" s="235" t="s">
        <v>513</v>
      </c>
      <c r="E238" s="235" t="s">
        <v>1387</v>
      </c>
      <c r="F238" s="235" t="s">
        <v>591</v>
      </c>
      <c r="G238" s="235" t="s">
        <v>408</v>
      </c>
      <c r="H238" s="235" t="s">
        <v>405</v>
      </c>
      <c r="I238" s="215">
        <v>31680000</v>
      </c>
      <c r="J238" s="237">
        <v>44755</v>
      </c>
      <c r="K238" s="237">
        <v>44809</v>
      </c>
      <c r="L238" s="237">
        <v>44805</v>
      </c>
      <c r="M238" s="237">
        <v>44818</v>
      </c>
      <c r="N238" s="235"/>
      <c r="O238" s="235" t="s">
        <v>738</v>
      </c>
      <c r="P238" s="235"/>
      <c r="Q238" s="235"/>
      <c r="R238" s="235"/>
      <c r="S238" s="235"/>
      <c r="T238" s="235"/>
      <c r="U238" s="235"/>
      <c r="V238" s="235"/>
      <c r="W238" s="235"/>
      <c r="X238" s="234" t="s">
        <v>1542</v>
      </c>
      <c r="Y238" s="235"/>
    </row>
    <row r="239" spans="1:25" s="238" customFormat="1" ht="16.5" customHeight="1">
      <c r="A239" s="234">
        <v>236</v>
      </c>
      <c r="B239" s="235" t="s">
        <v>1395</v>
      </c>
      <c r="C239" s="235" t="s">
        <v>1399</v>
      </c>
      <c r="D239" s="235" t="s">
        <v>1292</v>
      </c>
      <c r="E239" s="235" t="s">
        <v>1404</v>
      </c>
      <c r="F239" s="235" t="s">
        <v>591</v>
      </c>
      <c r="G239" s="235" t="s">
        <v>408</v>
      </c>
      <c r="H239" s="235" t="s">
        <v>405</v>
      </c>
      <c r="I239" s="215">
        <v>4400000</v>
      </c>
      <c r="J239" s="237">
        <v>44757</v>
      </c>
      <c r="K239" s="235" t="s">
        <v>713</v>
      </c>
      <c r="L239" s="237">
        <v>44755</v>
      </c>
      <c r="M239" s="237">
        <v>44764</v>
      </c>
      <c r="N239" s="235"/>
      <c r="O239" s="235" t="s">
        <v>596</v>
      </c>
      <c r="P239" s="235"/>
      <c r="Q239" s="235"/>
      <c r="R239" s="235"/>
      <c r="S239" s="235"/>
      <c r="T239" s="235"/>
      <c r="U239" s="235"/>
      <c r="V239" s="235"/>
      <c r="W239" s="235"/>
      <c r="X239" s="234" t="s">
        <v>1418</v>
      </c>
      <c r="Y239" s="235"/>
    </row>
    <row r="240" spans="1:25" s="238" customFormat="1" ht="15.95" customHeight="1">
      <c r="A240" s="234">
        <v>237</v>
      </c>
      <c r="B240" s="235" t="s">
        <v>512</v>
      </c>
      <c r="C240" s="235" t="s">
        <v>1400</v>
      </c>
      <c r="D240" s="235" t="s">
        <v>1319</v>
      </c>
      <c r="E240" s="235" t="s">
        <v>1405</v>
      </c>
      <c r="F240" s="235" t="s">
        <v>591</v>
      </c>
      <c r="G240" s="235" t="s">
        <v>408</v>
      </c>
      <c r="H240" s="235" t="s">
        <v>405</v>
      </c>
      <c r="I240" s="215">
        <v>8250000</v>
      </c>
      <c r="J240" s="237">
        <v>44757</v>
      </c>
      <c r="K240" s="235" t="s">
        <v>713</v>
      </c>
      <c r="L240" s="237">
        <v>44797</v>
      </c>
      <c r="M240" s="237">
        <v>44799</v>
      </c>
      <c r="N240" s="235"/>
      <c r="O240" s="235" t="s">
        <v>735</v>
      </c>
      <c r="P240" s="235"/>
      <c r="Q240" s="235"/>
      <c r="R240" s="235"/>
      <c r="S240" s="235"/>
      <c r="T240" s="235"/>
      <c r="U240" s="235"/>
      <c r="V240" s="235"/>
      <c r="W240" s="235"/>
      <c r="X240" s="234" t="s">
        <v>1555</v>
      </c>
      <c r="Y240" s="235"/>
    </row>
    <row r="241" spans="1:25" s="238" customFormat="1" ht="16.5" customHeight="1">
      <c r="A241" s="234">
        <v>238</v>
      </c>
      <c r="B241" s="235" t="s">
        <v>512</v>
      </c>
      <c r="C241" s="235" t="s">
        <v>664</v>
      </c>
      <c r="D241" s="235"/>
      <c r="E241" s="235" t="s">
        <v>1785</v>
      </c>
      <c r="F241" s="235" t="s">
        <v>591</v>
      </c>
      <c r="G241" s="235" t="s">
        <v>408</v>
      </c>
      <c r="H241" s="235" t="s">
        <v>405</v>
      </c>
      <c r="I241" s="215">
        <v>3289000</v>
      </c>
      <c r="J241" s="237">
        <v>44757</v>
      </c>
      <c r="K241" s="235" t="s">
        <v>713</v>
      </c>
      <c r="L241" s="237">
        <v>44781</v>
      </c>
      <c r="M241" s="237">
        <v>44783</v>
      </c>
      <c r="N241" s="235"/>
      <c r="O241" s="235" t="s">
        <v>941</v>
      </c>
      <c r="P241" s="235"/>
      <c r="Q241" s="235"/>
      <c r="R241" s="235"/>
      <c r="S241" s="235"/>
      <c r="T241" s="235"/>
      <c r="U241" s="235"/>
      <c r="V241" s="235"/>
      <c r="W241" s="235"/>
      <c r="X241" s="234" t="s">
        <v>1786</v>
      </c>
      <c r="Y241" s="235"/>
    </row>
    <row r="242" spans="1:25" s="238" customFormat="1" ht="16.5" customHeight="1">
      <c r="A242" s="234">
        <v>239</v>
      </c>
      <c r="B242" s="235" t="s">
        <v>1396</v>
      </c>
      <c r="C242" s="235"/>
      <c r="D242" s="235" t="s">
        <v>407</v>
      </c>
      <c r="E242" s="235" t="s">
        <v>1406</v>
      </c>
      <c r="F242" s="235" t="s">
        <v>591</v>
      </c>
      <c r="G242" s="235" t="s">
        <v>408</v>
      </c>
      <c r="H242" s="235" t="s">
        <v>405</v>
      </c>
      <c r="I242" s="215">
        <v>12650000</v>
      </c>
      <c r="J242" s="237">
        <v>44757</v>
      </c>
      <c r="K242" s="235"/>
      <c r="L242" s="237">
        <v>44873</v>
      </c>
      <c r="M242" s="237">
        <v>44890</v>
      </c>
      <c r="N242" s="235"/>
      <c r="O242" s="235" t="s">
        <v>590</v>
      </c>
      <c r="P242" s="235"/>
      <c r="Q242" s="235"/>
      <c r="R242" s="235"/>
      <c r="S242" s="235"/>
      <c r="T242" s="235"/>
      <c r="U242" s="235"/>
      <c r="V242" s="235"/>
      <c r="W242" s="235"/>
      <c r="X242" s="234" t="s">
        <v>1920</v>
      </c>
      <c r="Y242" s="235"/>
    </row>
    <row r="243" spans="1:25" s="238" customFormat="1" ht="16.5" customHeight="1">
      <c r="A243" s="234">
        <v>240</v>
      </c>
      <c r="B243" s="235" t="s">
        <v>1397</v>
      </c>
      <c r="C243" s="235" t="s">
        <v>1401</v>
      </c>
      <c r="D243" s="235" t="s">
        <v>678</v>
      </c>
      <c r="E243" s="235" t="s">
        <v>1407</v>
      </c>
      <c r="F243" s="235" t="s">
        <v>591</v>
      </c>
      <c r="G243" s="235" t="s">
        <v>408</v>
      </c>
      <c r="H243" s="235" t="s">
        <v>405</v>
      </c>
      <c r="I243" s="215">
        <v>1760000</v>
      </c>
      <c r="J243" s="237">
        <v>44760</v>
      </c>
      <c r="K243" s="235" t="s">
        <v>713</v>
      </c>
      <c r="L243" s="237">
        <v>44774</v>
      </c>
      <c r="M243" s="237">
        <v>44777</v>
      </c>
      <c r="N243" s="235"/>
      <c r="O243" s="235" t="s">
        <v>590</v>
      </c>
      <c r="P243" s="235"/>
      <c r="Q243" s="235"/>
      <c r="R243" s="235"/>
      <c r="S243" s="235"/>
      <c r="T243" s="235"/>
      <c r="U243" s="235"/>
      <c r="V243" s="235"/>
      <c r="W243" s="235"/>
      <c r="X243" s="234" t="s">
        <v>1478</v>
      </c>
      <c r="Y243" s="235"/>
    </row>
    <row r="244" spans="1:25" s="238" customFormat="1" ht="16.5" customHeight="1">
      <c r="A244" s="234">
        <v>241</v>
      </c>
      <c r="B244" s="235" t="s">
        <v>512</v>
      </c>
      <c r="C244" s="235" t="s">
        <v>925</v>
      </c>
      <c r="D244" s="235" t="s">
        <v>1412</v>
      </c>
      <c r="E244" s="235" t="s">
        <v>1408</v>
      </c>
      <c r="F244" s="235" t="s">
        <v>591</v>
      </c>
      <c r="G244" s="235" t="s">
        <v>408</v>
      </c>
      <c r="H244" s="235" t="s">
        <v>405</v>
      </c>
      <c r="I244" s="215">
        <v>29480000</v>
      </c>
      <c r="J244" s="237">
        <v>44760</v>
      </c>
      <c r="K244" s="237">
        <v>44896</v>
      </c>
      <c r="L244" s="237">
        <v>44867</v>
      </c>
      <c r="M244" s="237">
        <v>44874</v>
      </c>
      <c r="N244" s="235"/>
      <c r="O244" s="235" t="s">
        <v>590</v>
      </c>
      <c r="P244" s="235"/>
      <c r="Q244" s="235"/>
      <c r="R244" s="235"/>
      <c r="S244" s="235"/>
      <c r="T244" s="235"/>
      <c r="U244" s="235"/>
      <c r="V244" s="235"/>
      <c r="W244" s="235"/>
      <c r="X244" s="234" t="s">
        <v>2063</v>
      </c>
      <c r="Y244" s="235"/>
    </row>
    <row r="245" spans="1:25" s="238" customFormat="1" ht="16.5" customHeight="1">
      <c r="A245" s="234">
        <v>242</v>
      </c>
      <c r="B245" s="235" t="s">
        <v>512</v>
      </c>
      <c r="C245" s="235"/>
      <c r="D245" s="235" t="s">
        <v>406</v>
      </c>
      <c r="E245" s="235" t="s">
        <v>1409</v>
      </c>
      <c r="F245" s="235" t="s">
        <v>502</v>
      </c>
      <c r="G245" s="235" t="s">
        <v>408</v>
      </c>
      <c r="H245" s="235" t="s">
        <v>405</v>
      </c>
      <c r="I245" s="215">
        <v>55660000</v>
      </c>
      <c r="J245" s="237">
        <v>44760</v>
      </c>
      <c r="K245" s="235" t="s">
        <v>713</v>
      </c>
      <c r="L245" s="237">
        <v>44832</v>
      </c>
      <c r="M245" s="237">
        <v>44845</v>
      </c>
      <c r="N245" s="235"/>
      <c r="O245" s="235" t="s">
        <v>981</v>
      </c>
      <c r="P245" s="235"/>
      <c r="Q245" s="235"/>
      <c r="R245" s="235"/>
      <c r="S245" s="235"/>
      <c r="T245" s="235"/>
      <c r="U245" s="235"/>
      <c r="V245" s="235"/>
      <c r="W245" s="235"/>
      <c r="X245" s="234" t="s">
        <v>1732</v>
      </c>
      <c r="Y245" s="235"/>
    </row>
    <row r="246" spans="1:25" s="238" customFormat="1" ht="16.5" customHeight="1">
      <c r="A246" s="234">
        <v>243</v>
      </c>
      <c r="B246" s="235" t="s">
        <v>683</v>
      </c>
      <c r="C246" s="235" t="s">
        <v>1277</v>
      </c>
      <c r="D246" s="235" t="s">
        <v>407</v>
      </c>
      <c r="E246" s="235" t="s">
        <v>1410</v>
      </c>
      <c r="F246" s="235" t="s">
        <v>591</v>
      </c>
      <c r="G246" s="235" t="s">
        <v>408</v>
      </c>
      <c r="H246" s="235" t="s">
        <v>405</v>
      </c>
      <c r="I246" s="215">
        <v>30800000</v>
      </c>
      <c r="J246" s="237">
        <v>44760</v>
      </c>
      <c r="K246" s="235"/>
      <c r="L246" s="237">
        <v>44865</v>
      </c>
      <c r="M246" s="237">
        <v>44869</v>
      </c>
      <c r="N246" s="235"/>
      <c r="O246" s="235" t="s">
        <v>590</v>
      </c>
      <c r="P246" s="235"/>
      <c r="Q246" s="235"/>
      <c r="R246" s="235"/>
      <c r="S246" s="235"/>
      <c r="T246" s="235"/>
      <c r="U246" s="235"/>
      <c r="V246" s="235"/>
      <c r="W246" s="235"/>
      <c r="X246" s="234" t="s">
        <v>1921</v>
      </c>
      <c r="Y246" s="235"/>
    </row>
    <row r="247" spans="1:25" s="238" customFormat="1" ht="17.25" customHeight="1">
      <c r="A247" s="234">
        <v>244</v>
      </c>
      <c r="B247" s="235" t="s">
        <v>1398</v>
      </c>
      <c r="C247" s="235" t="s">
        <v>1402</v>
      </c>
      <c r="D247" s="235" t="s">
        <v>1325</v>
      </c>
      <c r="E247" s="235" t="s">
        <v>1429</v>
      </c>
      <c r="F247" s="235" t="s">
        <v>591</v>
      </c>
      <c r="G247" s="235" t="s">
        <v>408</v>
      </c>
      <c r="H247" s="235" t="s">
        <v>405</v>
      </c>
      <c r="I247" s="215">
        <v>2750000</v>
      </c>
      <c r="J247" s="237">
        <v>44760</v>
      </c>
      <c r="K247" s="235" t="s">
        <v>713</v>
      </c>
      <c r="L247" s="237">
        <v>44760</v>
      </c>
      <c r="M247" s="237">
        <v>44767</v>
      </c>
      <c r="N247" s="235"/>
      <c r="O247" s="235" t="s">
        <v>590</v>
      </c>
      <c r="P247" s="235"/>
      <c r="Q247" s="235"/>
      <c r="R247" s="235"/>
      <c r="S247" s="235"/>
      <c r="T247" s="235"/>
      <c r="U247" s="235"/>
      <c r="V247" s="235"/>
      <c r="W247" s="235"/>
      <c r="X247" s="234" t="s">
        <v>1779</v>
      </c>
      <c r="Y247" s="235"/>
    </row>
    <row r="248" spans="1:25" s="238" customFormat="1" ht="16.5" customHeight="1">
      <c r="A248" s="234">
        <v>245</v>
      </c>
      <c r="B248" s="235" t="s">
        <v>892</v>
      </c>
      <c r="C248" s="235" t="s">
        <v>1403</v>
      </c>
      <c r="D248" s="235" t="s">
        <v>594</v>
      </c>
      <c r="E248" s="235" t="s">
        <v>1411</v>
      </c>
      <c r="F248" s="235" t="s">
        <v>591</v>
      </c>
      <c r="G248" s="235" t="s">
        <v>408</v>
      </c>
      <c r="H248" s="235" t="s">
        <v>405</v>
      </c>
      <c r="I248" s="215">
        <v>16500000</v>
      </c>
      <c r="J248" s="237">
        <v>44760</v>
      </c>
      <c r="K248" s="235" t="s">
        <v>713</v>
      </c>
      <c r="L248" s="237">
        <v>44769</v>
      </c>
      <c r="M248" s="237">
        <v>44782</v>
      </c>
      <c r="N248" s="235"/>
      <c r="O248" s="235" t="s">
        <v>590</v>
      </c>
      <c r="P248" s="235"/>
      <c r="Q248" s="235"/>
      <c r="R248" s="235"/>
      <c r="S248" s="235"/>
      <c r="T248" s="235"/>
      <c r="U248" s="235"/>
      <c r="V248" s="235"/>
      <c r="W248" s="235"/>
      <c r="X248" s="234" t="s">
        <v>1425</v>
      </c>
      <c r="Y248" s="235"/>
    </row>
    <row r="249" spans="1:25" s="238" customFormat="1" ht="16.5" customHeight="1">
      <c r="A249" s="234">
        <v>246</v>
      </c>
      <c r="B249" s="235" t="s">
        <v>696</v>
      </c>
      <c r="C249" s="235" t="s">
        <v>697</v>
      </c>
      <c r="D249" s="235" t="s">
        <v>807</v>
      </c>
      <c r="E249" s="235" t="s">
        <v>808</v>
      </c>
      <c r="F249" s="235" t="s">
        <v>591</v>
      </c>
      <c r="G249" s="235" t="s">
        <v>408</v>
      </c>
      <c r="H249" s="235" t="s">
        <v>405</v>
      </c>
      <c r="I249" s="215">
        <v>6600000</v>
      </c>
      <c r="J249" s="237">
        <v>44761</v>
      </c>
      <c r="K249" s="235"/>
      <c r="L249" s="237">
        <v>44853</v>
      </c>
      <c r="M249" s="237">
        <v>44873</v>
      </c>
      <c r="N249" s="235"/>
      <c r="O249" s="235" t="s">
        <v>596</v>
      </c>
      <c r="P249" s="235"/>
      <c r="Q249" s="235"/>
      <c r="R249" s="235"/>
      <c r="S249" s="235"/>
      <c r="T249" s="235"/>
      <c r="U249" s="235"/>
      <c r="V249" s="235"/>
      <c r="W249" s="235"/>
      <c r="X249" s="234" t="s">
        <v>1720</v>
      </c>
      <c r="Y249" s="235"/>
    </row>
    <row r="250" spans="1:25" s="238" customFormat="1" ht="16.5" customHeight="1">
      <c r="A250" s="234">
        <v>247</v>
      </c>
      <c r="B250" s="235" t="s">
        <v>512</v>
      </c>
      <c r="C250" s="235" t="s">
        <v>1421</v>
      </c>
      <c r="D250" s="235"/>
      <c r="E250" s="235" t="s">
        <v>1431</v>
      </c>
      <c r="F250" s="235" t="s">
        <v>591</v>
      </c>
      <c r="G250" s="235" t="s">
        <v>408</v>
      </c>
      <c r="H250" s="235" t="s">
        <v>405</v>
      </c>
      <c r="I250" s="215">
        <v>1430000</v>
      </c>
      <c r="J250" s="237">
        <v>44736</v>
      </c>
      <c r="K250" s="235" t="s">
        <v>713</v>
      </c>
      <c r="L250" s="237">
        <v>44768</v>
      </c>
      <c r="M250" s="237">
        <v>44771</v>
      </c>
      <c r="N250" s="235"/>
      <c r="O250" s="235" t="s">
        <v>715</v>
      </c>
      <c r="P250" s="235"/>
      <c r="Q250" s="235"/>
      <c r="R250" s="235"/>
      <c r="S250" s="235"/>
      <c r="T250" s="235"/>
      <c r="U250" s="235"/>
      <c r="V250" s="235"/>
      <c r="W250" s="235"/>
      <c r="X250" s="234" t="s">
        <v>1422</v>
      </c>
      <c r="Y250" s="235"/>
    </row>
    <row r="251" spans="1:25" s="238" customFormat="1" ht="16.5" customHeight="1">
      <c r="A251" s="234">
        <v>248</v>
      </c>
      <c r="B251" s="235" t="s">
        <v>1311</v>
      </c>
      <c r="C251" s="235" t="s">
        <v>1423</v>
      </c>
      <c r="D251" s="235" t="s">
        <v>835</v>
      </c>
      <c r="E251" s="235" t="s">
        <v>1460</v>
      </c>
      <c r="F251" s="235" t="s">
        <v>2152</v>
      </c>
      <c r="G251" s="235"/>
      <c r="H251" s="235" t="s">
        <v>405</v>
      </c>
      <c r="I251" s="215">
        <v>3740000</v>
      </c>
      <c r="J251" s="237">
        <v>44760</v>
      </c>
      <c r="K251" s="235" t="s">
        <v>713</v>
      </c>
      <c r="L251" s="237">
        <v>44764</v>
      </c>
      <c r="M251" s="237">
        <v>44775</v>
      </c>
      <c r="N251" s="235"/>
      <c r="O251" s="235" t="s">
        <v>590</v>
      </c>
      <c r="P251" s="235"/>
      <c r="Q251" s="235"/>
      <c r="R251" s="235"/>
      <c r="S251" s="235"/>
      <c r="T251" s="235"/>
      <c r="U251" s="235"/>
      <c r="V251" s="235"/>
      <c r="W251" s="235"/>
      <c r="X251" s="234" t="s">
        <v>1424</v>
      </c>
      <c r="Y251" s="235"/>
    </row>
    <row r="252" spans="1:25" s="238" customFormat="1" ht="16.5" customHeight="1">
      <c r="A252" s="234">
        <v>249</v>
      </c>
      <c r="B252" s="235" t="s">
        <v>512</v>
      </c>
      <c r="C252" s="235" t="s">
        <v>699</v>
      </c>
      <c r="D252" s="235" t="s">
        <v>404</v>
      </c>
      <c r="E252" s="235" t="s">
        <v>1427</v>
      </c>
      <c r="F252" s="235" t="s">
        <v>591</v>
      </c>
      <c r="G252" s="235" t="s">
        <v>408</v>
      </c>
      <c r="H252" s="235" t="s">
        <v>405</v>
      </c>
      <c r="I252" s="215">
        <v>1650000</v>
      </c>
      <c r="J252" s="237">
        <v>44761</v>
      </c>
      <c r="K252" s="235" t="s">
        <v>713</v>
      </c>
      <c r="L252" s="237">
        <v>44762</v>
      </c>
      <c r="M252" s="237">
        <v>44769</v>
      </c>
      <c r="N252" s="235"/>
      <c r="O252" s="235" t="s">
        <v>590</v>
      </c>
      <c r="P252" s="235"/>
      <c r="Q252" s="235"/>
      <c r="R252" s="235"/>
      <c r="S252" s="235"/>
      <c r="T252" s="235"/>
      <c r="U252" s="235"/>
      <c r="V252" s="235"/>
      <c r="W252" s="235"/>
      <c r="X252" s="234" t="s">
        <v>1873</v>
      </c>
      <c r="Y252" s="235"/>
    </row>
    <row r="253" spans="1:25" s="238" customFormat="1" ht="16.5" customHeight="1">
      <c r="A253" s="234">
        <v>250</v>
      </c>
      <c r="B253" s="235" t="s">
        <v>1398</v>
      </c>
      <c r="C253" s="235" t="s">
        <v>1402</v>
      </c>
      <c r="D253" s="235" t="s">
        <v>1325</v>
      </c>
      <c r="E253" s="235" t="s">
        <v>1459</v>
      </c>
      <c r="F253" s="235" t="s">
        <v>591</v>
      </c>
      <c r="G253" s="235" t="s">
        <v>408</v>
      </c>
      <c r="H253" s="235" t="s">
        <v>405</v>
      </c>
      <c r="I253" s="215">
        <v>1518000</v>
      </c>
      <c r="J253" s="237">
        <v>44762</v>
      </c>
      <c r="K253" s="235" t="s">
        <v>713</v>
      </c>
      <c r="L253" s="237">
        <v>44768</v>
      </c>
      <c r="M253" s="237">
        <v>44775</v>
      </c>
      <c r="N253" s="235"/>
      <c r="O253" s="235" t="s">
        <v>590</v>
      </c>
      <c r="P253" s="235"/>
      <c r="Q253" s="235"/>
      <c r="R253" s="235"/>
      <c r="S253" s="235"/>
      <c r="T253" s="235"/>
      <c r="U253" s="235"/>
      <c r="V253" s="235"/>
      <c r="W253" s="235"/>
      <c r="X253" s="234" t="s">
        <v>1428</v>
      </c>
      <c r="Y253" s="235"/>
    </row>
    <row r="254" spans="1:25" s="238" customFormat="1" ht="16.5" customHeight="1">
      <c r="A254" s="234">
        <v>251</v>
      </c>
      <c r="B254" s="235" t="s">
        <v>934</v>
      </c>
      <c r="C254" s="235" t="s">
        <v>1434</v>
      </c>
      <c r="D254" s="235" t="s">
        <v>1271</v>
      </c>
      <c r="E254" s="235" t="s">
        <v>1435</v>
      </c>
      <c r="F254" s="235" t="s">
        <v>591</v>
      </c>
      <c r="G254" s="235" t="s">
        <v>408</v>
      </c>
      <c r="H254" s="235" t="s">
        <v>405</v>
      </c>
      <c r="I254" s="215">
        <v>20482000</v>
      </c>
      <c r="J254" s="237">
        <v>44769</v>
      </c>
      <c r="K254" s="237">
        <v>44851</v>
      </c>
      <c r="L254" s="237">
        <v>44838</v>
      </c>
      <c r="M254" s="237">
        <v>44839</v>
      </c>
      <c r="N254" s="235"/>
      <c r="O254" s="235" t="s">
        <v>715</v>
      </c>
      <c r="P254" s="235"/>
      <c r="Q254" s="235"/>
      <c r="R254" s="235"/>
      <c r="S254" s="235"/>
      <c r="T254" s="235"/>
      <c r="U254" s="235"/>
      <c r="V254" s="235"/>
      <c r="W254" s="235"/>
      <c r="X254" s="234" t="s">
        <v>1661</v>
      </c>
      <c r="Y254" s="235"/>
    </row>
    <row r="255" spans="1:25" s="238" customFormat="1" ht="16.5" customHeight="1">
      <c r="A255" s="234">
        <v>252</v>
      </c>
      <c r="B255" s="235" t="s">
        <v>1126</v>
      </c>
      <c r="C255" s="235"/>
      <c r="D255" s="235" t="s">
        <v>1439</v>
      </c>
      <c r="E255" s="235" t="s">
        <v>1436</v>
      </c>
      <c r="F255" s="235" t="s">
        <v>591</v>
      </c>
      <c r="G255" s="235" t="s">
        <v>408</v>
      </c>
      <c r="H255" s="235" t="s">
        <v>405</v>
      </c>
      <c r="I255" s="215">
        <v>2920000</v>
      </c>
      <c r="J255" s="237">
        <v>44770</v>
      </c>
      <c r="K255" s="237">
        <v>44802</v>
      </c>
      <c r="L255" s="237">
        <v>44797</v>
      </c>
      <c r="M255" s="237">
        <v>44799</v>
      </c>
      <c r="N255" s="235"/>
      <c r="O255" s="235" t="s">
        <v>981</v>
      </c>
      <c r="P255" s="235"/>
      <c r="Q255" s="235"/>
      <c r="R255" s="235"/>
      <c r="S255" s="235"/>
      <c r="T255" s="235"/>
      <c r="U255" s="235"/>
      <c r="V255" s="235"/>
      <c r="W255" s="235"/>
      <c r="X255" s="234" t="s">
        <v>2148</v>
      </c>
      <c r="Y255" s="235"/>
    </row>
    <row r="256" spans="1:25" s="238" customFormat="1">
      <c r="A256" s="244">
        <v>253</v>
      </c>
      <c r="B256" s="245" t="s">
        <v>1432</v>
      </c>
      <c r="C256" s="245" t="s">
        <v>1433</v>
      </c>
      <c r="D256" s="245" t="s">
        <v>665</v>
      </c>
      <c r="E256" s="245" t="s">
        <v>1437</v>
      </c>
      <c r="F256" s="245" t="s">
        <v>591</v>
      </c>
      <c r="G256" s="245" t="s">
        <v>408</v>
      </c>
      <c r="H256" s="245" t="s">
        <v>405</v>
      </c>
      <c r="I256" s="219">
        <v>8195000</v>
      </c>
      <c r="J256" s="246">
        <v>44771</v>
      </c>
      <c r="K256" s="246">
        <v>44790</v>
      </c>
      <c r="L256" s="246" t="s">
        <v>1531</v>
      </c>
      <c r="M256" s="246" t="s">
        <v>1531</v>
      </c>
      <c r="N256" s="245"/>
      <c r="O256" s="245" t="s">
        <v>715</v>
      </c>
      <c r="P256" s="245"/>
      <c r="Q256" s="245"/>
      <c r="R256" s="245"/>
      <c r="S256" s="245"/>
      <c r="T256" s="245"/>
      <c r="U256" s="245"/>
      <c r="V256" s="245"/>
      <c r="W256" s="245"/>
      <c r="X256" s="244" t="s">
        <v>1501</v>
      </c>
      <c r="Y256" s="235"/>
    </row>
    <row r="257" spans="1:25" s="238" customFormat="1" ht="16.5" customHeight="1">
      <c r="A257" s="234">
        <v>254</v>
      </c>
      <c r="B257" s="235" t="s">
        <v>512</v>
      </c>
      <c r="C257" s="235" t="s">
        <v>763</v>
      </c>
      <c r="D257" s="235" t="s">
        <v>1440</v>
      </c>
      <c r="E257" s="235" t="s">
        <v>1438</v>
      </c>
      <c r="F257" s="235" t="s">
        <v>591</v>
      </c>
      <c r="G257" s="235" t="s">
        <v>408</v>
      </c>
      <c r="H257" s="235" t="s">
        <v>405</v>
      </c>
      <c r="I257" s="215">
        <v>9900000</v>
      </c>
      <c r="J257" s="237">
        <v>44775</v>
      </c>
      <c r="K257" s="235"/>
      <c r="L257" s="237">
        <v>44914</v>
      </c>
      <c r="M257" s="237">
        <v>44917</v>
      </c>
      <c r="N257" s="235"/>
      <c r="O257" s="235" t="s">
        <v>590</v>
      </c>
      <c r="P257" s="235"/>
      <c r="Q257" s="235"/>
      <c r="R257" s="235"/>
      <c r="S257" s="235"/>
      <c r="T257" s="235"/>
      <c r="U257" s="235"/>
      <c r="V257" s="235"/>
      <c r="W257" s="235"/>
      <c r="X257" s="234" t="s">
        <v>2062</v>
      </c>
      <c r="Y257" s="235"/>
    </row>
    <row r="258" spans="1:25" s="238" customFormat="1" ht="16.5" customHeight="1">
      <c r="A258" s="234">
        <v>255</v>
      </c>
      <c r="B258" s="235" t="s">
        <v>1441</v>
      </c>
      <c r="C258" s="235" t="s">
        <v>780</v>
      </c>
      <c r="D258" s="235" t="s">
        <v>406</v>
      </c>
      <c r="E258" s="235" t="s">
        <v>1458</v>
      </c>
      <c r="F258" s="235" t="s">
        <v>502</v>
      </c>
      <c r="G258" s="235" t="s">
        <v>408</v>
      </c>
      <c r="H258" s="235" t="s">
        <v>405</v>
      </c>
      <c r="I258" s="215">
        <v>5472355</v>
      </c>
      <c r="J258" s="237">
        <v>44775</v>
      </c>
      <c r="K258" s="235" t="s">
        <v>713</v>
      </c>
      <c r="L258" s="237">
        <v>44775</v>
      </c>
      <c r="M258" s="237">
        <v>44777</v>
      </c>
      <c r="N258" s="235"/>
      <c r="O258" s="235" t="s">
        <v>590</v>
      </c>
      <c r="P258" s="235"/>
      <c r="Q258" s="235"/>
      <c r="R258" s="235"/>
      <c r="S258" s="235"/>
      <c r="T258" s="235"/>
      <c r="U258" s="235"/>
      <c r="V258" s="235"/>
      <c r="W258" s="235"/>
      <c r="X258" s="234" t="s">
        <v>864</v>
      </c>
      <c r="Y258" s="235"/>
    </row>
    <row r="259" spans="1:25" s="238" customFormat="1" ht="16.5" customHeight="1">
      <c r="A259" s="234">
        <v>256</v>
      </c>
      <c r="B259" s="235" t="s">
        <v>874</v>
      </c>
      <c r="C259" s="235" t="s">
        <v>875</v>
      </c>
      <c r="D259" s="235" t="s">
        <v>406</v>
      </c>
      <c r="E259" s="235" t="s">
        <v>1442</v>
      </c>
      <c r="F259" s="235" t="s">
        <v>591</v>
      </c>
      <c r="G259" s="235" t="s">
        <v>408</v>
      </c>
      <c r="H259" s="235" t="s">
        <v>405</v>
      </c>
      <c r="I259" s="215">
        <v>13200000</v>
      </c>
      <c r="J259" s="237">
        <v>44775</v>
      </c>
      <c r="K259" s="235" t="s">
        <v>713</v>
      </c>
      <c r="L259" s="237">
        <v>44799</v>
      </c>
      <c r="M259" s="237">
        <v>44809</v>
      </c>
      <c r="N259" s="235"/>
      <c r="O259" s="235" t="s">
        <v>590</v>
      </c>
      <c r="P259" s="235"/>
      <c r="Q259" s="235"/>
      <c r="R259" s="235"/>
      <c r="S259" s="235"/>
      <c r="T259" s="235"/>
      <c r="U259" s="235"/>
      <c r="V259" s="235"/>
      <c r="W259" s="235"/>
      <c r="X259" s="234" t="s">
        <v>1543</v>
      </c>
      <c r="Y259" s="235"/>
    </row>
    <row r="260" spans="1:25" s="238" customFormat="1" ht="16.5" customHeight="1">
      <c r="A260" s="234">
        <v>257</v>
      </c>
      <c r="B260" s="235" t="s">
        <v>412</v>
      </c>
      <c r="C260" s="235" t="s">
        <v>1444</v>
      </c>
      <c r="D260" s="235"/>
      <c r="E260" s="235" t="s">
        <v>1443</v>
      </c>
      <c r="F260" s="235" t="s">
        <v>591</v>
      </c>
      <c r="G260" s="235" t="s">
        <v>408</v>
      </c>
      <c r="H260" s="235" t="s">
        <v>405</v>
      </c>
      <c r="I260" s="215">
        <v>11000000</v>
      </c>
      <c r="J260" s="237">
        <v>44775</v>
      </c>
      <c r="K260" s="237">
        <v>44799</v>
      </c>
      <c r="L260" s="237">
        <v>44805</v>
      </c>
      <c r="M260" s="237">
        <v>44809</v>
      </c>
      <c r="N260" s="235"/>
      <c r="O260" s="235" t="s">
        <v>590</v>
      </c>
      <c r="P260" s="235"/>
      <c r="Q260" s="235"/>
      <c r="R260" s="235"/>
      <c r="S260" s="235"/>
      <c r="T260" s="235"/>
      <c r="U260" s="235"/>
      <c r="V260" s="235"/>
      <c r="W260" s="235"/>
      <c r="X260" s="234" t="s">
        <v>1748</v>
      </c>
      <c r="Y260" s="235"/>
    </row>
    <row r="261" spans="1:25" s="238" customFormat="1" ht="16.5" customHeight="1">
      <c r="A261" s="234">
        <v>258</v>
      </c>
      <c r="B261" s="235" t="s">
        <v>722</v>
      </c>
      <c r="C261" s="235" t="s">
        <v>1293</v>
      </c>
      <c r="D261" s="235"/>
      <c r="E261" s="235" t="s">
        <v>1584</v>
      </c>
      <c r="F261" s="235" t="s">
        <v>591</v>
      </c>
      <c r="G261" s="235" t="s">
        <v>408</v>
      </c>
      <c r="H261" s="235" t="s">
        <v>405</v>
      </c>
      <c r="I261" s="215">
        <v>19580000</v>
      </c>
      <c r="J261" s="237">
        <v>44775</v>
      </c>
      <c r="K261" s="237">
        <v>44804</v>
      </c>
      <c r="L261" s="237">
        <v>44806</v>
      </c>
      <c r="M261" s="237">
        <v>44806</v>
      </c>
      <c r="N261" s="235"/>
      <c r="O261" s="235" t="s">
        <v>915</v>
      </c>
      <c r="P261" s="235"/>
      <c r="Q261" s="235"/>
      <c r="R261" s="235"/>
      <c r="S261" s="235"/>
      <c r="T261" s="235"/>
      <c r="U261" s="235"/>
      <c r="V261" s="235"/>
      <c r="W261" s="235"/>
      <c r="X261" s="234" t="s">
        <v>2147</v>
      </c>
      <c r="Y261" s="235"/>
    </row>
    <row r="262" spans="1:25" s="238" customFormat="1" ht="16.5" customHeight="1">
      <c r="A262" s="234">
        <v>259</v>
      </c>
      <c r="B262" s="235" t="s">
        <v>892</v>
      </c>
      <c r="C262" s="235" t="s">
        <v>1403</v>
      </c>
      <c r="D262" s="235" t="s">
        <v>594</v>
      </c>
      <c r="E262" s="235" t="s">
        <v>1581</v>
      </c>
      <c r="F262" s="235" t="s">
        <v>591</v>
      </c>
      <c r="G262" s="235" t="s">
        <v>408</v>
      </c>
      <c r="H262" s="235" t="s">
        <v>405</v>
      </c>
      <c r="I262" s="215">
        <v>13200000</v>
      </c>
      <c r="J262" s="237">
        <v>44776</v>
      </c>
      <c r="K262" s="235" t="s">
        <v>713</v>
      </c>
      <c r="L262" s="237">
        <v>44781</v>
      </c>
      <c r="M262" s="237">
        <v>44804</v>
      </c>
      <c r="N262" s="235"/>
      <c r="O262" s="235" t="s">
        <v>590</v>
      </c>
      <c r="P262" s="235"/>
      <c r="Q262" s="235"/>
      <c r="R262" s="235"/>
      <c r="S262" s="235"/>
      <c r="T262" s="235"/>
      <c r="U262" s="235"/>
      <c r="V262" s="235"/>
      <c r="W262" s="235"/>
      <c r="X262" s="234" t="s">
        <v>1477</v>
      </c>
      <c r="Y262" s="235"/>
    </row>
    <row r="263" spans="1:25" s="238" customFormat="1" ht="16.5" customHeight="1">
      <c r="A263" s="234">
        <v>260</v>
      </c>
      <c r="B263" s="235" t="s">
        <v>892</v>
      </c>
      <c r="C263" s="235" t="s">
        <v>1403</v>
      </c>
      <c r="D263" s="235" t="s">
        <v>718</v>
      </c>
      <c r="E263" s="235" t="s">
        <v>1446</v>
      </c>
      <c r="F263" s="235" t="s">
        <v>591</v>
      </c>
      <c r="G263" s="235" t="s">
        <v>408</v>
      </c>
      <c r="H263" s="235" t="s">
        <v>405</v>
      </c>
      <c r="I263" s="215">
        <v>13200000</v>
      </c>
      <c r="J263" s="237">
        <v>44776</v>
      </c>
      <c r="K263" s="235" t="s">
        <v>713</v>
      </c>
      <c r="L263" s="237">
        <v>44848</v>
      </c>
      <c r="M263" s="237">
        <v>44854</v>
      </c>
      <c r="N263" s="235"/>
      <c r="O263" s="235" t="s">
        <v>590</v>
      </c>
      <c r="P263" s="235"/>
      <c r="Q263" s="235"/>
      <c r="R263" s="235"/>
      <c r="S263" s="235"/>
      <c r="T263" s="235"/>
      <c r="U263" s="235"/>
      <c r="V263" s="235"/>
      <c r="W263" s="235"/>
      <c r="X263" s="234" t="s">
        <v>1719</v>
      </c>
      <c r="Y263" s="235"/>
    </row>
    <row r="264" spans="1:25" s="238" customFormat="1" ht="16.5" customHeight="1">
      <c r="A264" s="234">
        <v>261</v>
      </c>
      <c r="B264" s="235" t="s">
        <v>585</v>
      </c>
      <c r="C264" s="235" t="s">
        <v>587</v>
      </c>
      <c r="D264" s="235" t="s">
        <v>703</v>
      </c>
      <c r="E264" s="235" t="s">
        <v>1447</v>
      </c>
      <c r="F264" s="235" t="s">
        <v>591</v>
      </c>
      <c r="G264" s="235" t="s">
        <v>408</v>
      </c>
      <c r="H264" s="235" t="s">
        <v>405</v>
      </c>
      <c r="I264" s="215">
        <v>23100000</v>
      </c>
      <c r="J264" s="237">
        <v>44763</v>
      </c>
      <c r="K264" s="235" t="s">
        <v>713</v>
      </c>
      <c r="L264" s="237">
        <v>44778</v>
      </c>
      <c r="M264" s="237">
        <v>44785</v>
      </c>
      <c r="N264" s="235"/>
      <c r="O264" s="235" t="s">
        <v>596</v>
      </c>
      <c r="P264" s="235"/>
      <c r="Q264" s="235"/>
      <c r="R264" s="235"/>
      <c r="S264" s="235"/>
      <c r="T264" s="235"/>
      <c r="U264" s="235"/>
      <c r="V264" s="235"/>
      <c r="W264" s="235"/>
      <c r="X264" s="234" t="s">
        <v>1455</v>
      </c>
      <c r="Y264" s="235"/>
    </row>
    <row r="265" spans="1:25" s="238" customFormat="1" ht="16.5" customHeight="1">
      <c r="A265" s="234">
        <v>262</v>
      </c>
      <c r="B265" s="235" t="s">
        <v>1448</v>
      </c>
      <c r="C265" s="235"/>
      <c r="D265" s="235" t="s">
        <v>407</v>
      </c>
      <c r="E265" s="235" t="s">
        <v>1452</v>
      </c>
      <c r="F265" s="235" t="s">
        <v>591</v>
      </c>
      <c r="G265" s="235" t="s">
        <v>408</v>
      </c>
      <c r="H265" s="235" t="s">
        <v>405</v>
      </c>
      <c r="I265" s="215">
        <v>29150000</v>
      </c>
      <c r="J265" s="237">
        <v>44782</v>
      </c>
      <c r="K265" s="237">
        <v>44851</v>
      </c>
      <c r="L265" s="237">
        <v>44852</v>
      </c>
      <c r="M265" s="237">
        <v>44865</v>
      </c>
      <c r="N265" s="235"/>
      <c r="O265" s="235" t="s">
        <v>596</v>
      </c>
      <c r="P265" s="235"/>
      <c r="Q265" s="235"/>
      <c r="R265" s="235"/>
      <c r="S265" s="235"/>
      <c r="T265" s="235"/>
      <c r="U265" s="235"/>
      <c r="V265" s="235"/>
      <c r="W265" s="235"/>
      <c r="X265" s="234" t="s">
        <v>1763</v>
      </c>
      <c r="Y265" s="235"/>
    </row>
    <row r="266" spans="1:25" s="238" customFormat="1" ht="16.5" customHeight="1">
      <c r="A266" s="234">
        <v>263</v>
      </c>
      <c r="B266" s="235" t="s">
        <v>1448</v>
      </c>
      <c r="C266" s="235"/>
      <c r="D266" s="235" t="s">
        <v>407</v>
      </c>
      <c r="E266" s="235" t="s">
        <v>1853</v>
      </c>
      <c r="F266" s="235" t="s">
        <v>591</v>
      </c>
      <c r="G266" s="235" t="s">
        <v>408</v>
      </c>
      <c r="H266" s="235" t="s">
        <v>405</v>
      </c>
      <c r="I266" s="215">
        <v>20240000</v>
      </c>
      <c r="J266" s="237">
        <v>44782</v>
      </c>
      <c r="K266" s="237">
        <v>44851</v>
      </c>
      <c r="L266" s="237">
        <v>44852</v>
      </c>
      <c r="M266" s="237">
        <v>44865</v>
      </c>
      <c r="N266" s="235"/>
      <c r="O266" s="235" t="s">
        <v>596</v>
      </c>
      <c r="P266" s="235"/>
      <c r="Q266" s="235"/>
      <c r="R266" s="235"/>
      <c r="S266" s="235"/>
      <c r="T266" s="235"/>
      <c r="U266" s="235"/>
      <c r="V266" s="235"/>
      <c r="W266" s="235"/>
      <c r="X266" s="234" t="s">
        <v>1764</v>
      </c>
      <c r="Y266" s="235"/>
    </row>
    <row r="267" spans="1:25" s="238" customFormat="1" ht="16.5" customHeight="1">
      <c r="A267" s="234">
        <v>264</v>
      </c>
      <c r="B267" s="235" t="s">
        <v>581</v>
      </c>
      <c r="C267" s="235"/>
      <c r="D267" s="235" t="s">
        <v>1451</v>
      </c>
      <c r="E267" s="235" t="s">
        <v>1932</v>
      </c>
      <c r="F267" s="235" t="s">
        <v>591</v>
      </c>
      <c r="G267" s="235" t="s">
        <v>408</v>
      </c>
      <c r="H267" s="235" t="s">
        <v>405</v>
      </c>
      <c r="I267" s="215">
        <v>182600000</v>
      </c>
      <c r="J267" s="237">
        <v>44776</v>
      </c>
      <c r="K267" s="235"/>
      <c r="L267" s="235" t="s">
        <v>2180</v>
      </c>
      <c r="M267" s="235" t="s">
        <v>2193</v>
      </c>
      <c r="N267" s="235"/>
      <c r="O267" s="235" t="s">
        <v>590</v>
      </c>
      <c r="P267" s="235"/>
      <c r="Q267" s="235"/>
      <c r="R267" s="235"/>
      <c r="S267" s="235"/>
      <c r="T267" s="235"/>
      <c r="U267" s="235"/>
      <c r="V267" s="235"/>
      <c r="W267" s="235"/>
      <c r="X267" s="234" t="s">
        <v>2166</v>
      </c>
      <c r="Y267" s="235"/>
    </row>
    <row r="268" spans="1:25" s="247" customFormat="1" ht="16.5" customHeight="1">
      <c r="A268" s="244">
        <v>265</v>
      </c>
      <c r="B268" s="245" t="s">
        <v>512</v>
      </c>
      <c r="C268" s="245" t="s">
        <v>699</v>
      </c>
      <c r="D268" s="245" t="s">
        <v>1450</v>
      </c>
      <c r="E268" s="245" t="s">
        <v>1453</v>
      </c>
      <c r="F268" s="245" t="s">
        <v>591</v>
      </c>
      <c r="G268" s="245" t="s">
        <v>408</v>
      </c>
      <c r="H268" s="245" t="s">
        <v>405</v>
      </c>
      <c r="I268" s="219">
        <v>22000000</v>
      </c>
      <c r="J268" s="246">
        <v>44777</v>
      </c>
      <c r="K268" s="246"/>
      <c r="L268" s="245"/>
      <c r="M268" s="245"/>
      <c r="N268" s="245"/>
      <c r="O268" s="245" t="s">
        <v>590</v>
      </c>
      <c r="P268" s="245"/>
      <c r="Q268" s="245"/>
      <c r="R268" s="245"/>
      <c r="S268" s="245"/>
      <c r="T268" s="245"/>
      <c r="U268" s="245"/>
      <c r="V268" s="245"/>
      <c r="W268" s="245"/>
      <c r="X268" s="243" t="s">
        <v>1945</v>
      </c>
      <c r="Y268" s="245"/>
    </row>
    <row r="269" spans="1:25" s="238" customFormat="1" ht="16.5" customHeight="1">
      <c r="A269" s="234">
        <v>266</v>
      </c>
      <c r="B269" s="235" t="s">
        <v>512</v>
      </c>
      <c r="C269" s="235" t="s">
        <v>964</v>
      </c>
      <c r="D269" s="235" t="s">
        <v>1168</v>
      </c>
      <c r="E269" s="235" t="s">
        <v>1449</v>
      </c>
      <c r="F269" s="235" t="s">
        <v>591</v>
      </c>
      <c r="G269" s="235" t="s">
        <v>408</v>
      </c>
      <c r="H269" s="235" t="s">
        <v>733</v>
      </c>
      <c r="I269" s="215" t="s">
        <v>1454</v>
      </c>
      <c r="J269" s="237">
        <v>44777</v>
      </c>
      <c r="K269" s="237">
        <v>44895</v>
      </c>
      <c r="L269" s="235" t="s">
        <v>408</v>
      </c>
      <c r="M269" s="235" t="s">
        <v>408</v>
      </c>
      <c r="N269" s="235"/>
      <c r="O269" s="235" t="s">
        <v>1783</v>
      </c>
      <c r="P269" s="235"/>
      <c r="Q269" s="235"/>
      <c r="R269" s="235"/>
      <c r="S269" s="235"/>
      <c r="T269" s="235"/>
      <c r="U269" s="235"/>
      <c r="V269" s="235"/>
      <c r="W269" s="235"/>
      <c r="X269" s="234" t="s">
        <v>1115</v>
      </c>
      <c r="Y269" s="235"/>
    </row>
    <row r="270" spans="1:25" s="238" customFormat="1" ht="16.5" customHeight="1">
      <c r="A270" s="234">
        <v>267</v>
      </c>
      <c r="B270" s="235" t="s">
        <v>512</v>
      </c>
      <c r="C270" s="235" t="s">
        <v>964</v>
      </c>
      <c r="D270" s="235" t="s">
        <v>1168</v>
      </c>
      <c r="E270" s="235" t="s">
        <v>2194</v>
      </c>
      <c r="F270" s="235" t="s">
        <v>591</v>
      </c>
      <c r="G270" s="235" t="s">
        <v>408</v>
      </c>
      <c r="H270" s="235" t="s">
        <v>405</v>
      </c>
      <c r="I270" s="215">
        <v>23596100</v>
      </c>
      <c r="J270" s="237">
        <v>44778</v>
      </c>
      <c r="K270" s="237">
        <v>44925</v>
      </c>
      <c r="L270" s="237">
        <v>44861</v>
      </c>
      <c r="M270" s="237">
        <v>44865</v>
      </c>
      <c r="N270" s="235"/>
      <c r="O270" s="235" t="s">
        <v>1783</v>
      </c>
      <c r="P270" s="235"/>
      <c r="Q270" s="235"/>
      <c r="R270" s="235"/>
      <c r="S270" s="235"/>
      <c r="T270" s="235"/>
      <c r="U270" s="235"/>
      <c r="V270" s="235"/>
      <c r="W270" s="235"/>
      <c r="X270" s="234" t="s">
        <v>1772</v>
      </c>
      <c r="Y270" s="235"/>
    </row>
    <row r="271" spans="1:25" s="238" customFormat="1" ht="16.5" customHeight="1">
      <c r="A271" s="234">
        <v>268</v>
      </c>
      <c r="B271" s="235" t="s">
        <v>1448</v>
      </c>
      <c r="C271" s="235"/>
      <c r="D271" s="235" t="s">
        <v>1463</v>
      </c>
      <c r="E271" s="235" t="s">
        <v>1976</v>
      </c>
      <c r="F271" s="235" t="s">
        <v>591</v>
      </c>
      <c r="G271" s="235" t="s">
        <v>408</v>
      </c>
      <c r="H271" s="235" t="s">
        <v>405</v>
      </c>
      <c r="I271" s="215">
        <v>45540000</v>
      </c>
      <c r="J271" s="237">
        <v>44784</v>
      </c>
      <c r="K271" s="237">
        <v>44873</v>
      </c>
      <c r="L271" s="237">
        <v>44811</v>
      </c>
      <c r="M271" s="237">
        <v>44841</v>
      </c>
      <c r="N271" s="235"/>
      <c r="O271" s="235" t="s">
        <v>596</v>
      </c>
      <c r="P271" s="235"/>
      <c r="Q271" s="235"/>
      <c r="R271" s="235"/>
      <c r="S271" s="235"/>
      <c r="T271" s="235"/>
      <c r="U271" s="235"/>
      <c r="V271" s="235"/>
      <c r="W271" s="235"/>
      <c r="X271" s="234" t="s">
        <v>1620</v>
      </c>
      <c r="Y271" s="235"/>
    </row>
    <row r="272" spans="1:25" s="238" customFormat="1" ht="16.5" customHeight="1">
      <c r="A272" s="234">
        <v>269</v>
      </c>
      <c r="B272" s="235" t="s">
        <v>1464</v>
      </c>
      <c r="C272" s="235" t="s">
        <v>1466</v>
      </c>
      <c r="D272" s="235" t="s">
        <v>407</v>
      </c>
      <c r="E272" s="235" t="s">
        <v>1465</v>
      </c>
      <c r="F272" s="235" t="s">
        <v>591</v>
      </c>
      <c r="G272" s="235" t="s">
        <v>408</v>
      </c>
      <c r="H272" s="235" t="s">
        <v>405</v>
      </c>
      <c r="I272" s="215">
        <v>1650000</v>
      </c>
      <c r="J272" s="237">
        <v>44743</v>
      </c>
      <c r="K272" s="235" t="s">
        <v>713</v>
      </c>
      <c r="L272" s="237">
        <v>44778</v>
      </c>
      <c r="M272" s="237">
        <v>44781</v>
      </c>
      <c r="N272" s="235"/>
      <c r="O272" s="235" t="s">
        <v>590</v>
      </c>
      <c r="P272" s="235"/>
      <c r="Q272" s="235"/>
      <c r="R272" s="235"/>
      <c r="S272" s="235"/>
      <c r="T272" s="235"/>
      <c r="U272" s="235"/>
      <c r="V272" s="235"/>
      <c r="W272" s="235"/>
      <c r="X272" s="234" t="s">
        <v>1749</v>
      </c>
      <c r="Y272" s="235"/>
    </row>
    <row r="273" spans="1:25" s="238" customFormat="1" ht="16.5" customHeight="1">
      <c r="A273" s="234">
        <v>270</v>
      </c>
      <c r="B273" s="235" t="s">
        <v>512</v>
      </c>
      <c r="C273" s="235" t="s">
        <v>1468</v>
      </c>
      <c r="D273" s="235" t="s">
        <v>678</v>
      </c>
      <c r="E273" s="235" t="s">
        <v>1472</v>
      </c>
      <c r="F273" s="235" t="s">
        <v>591</v>
      </c>
      <c r="G273" s="235" t="s">
        <v>408</v>
      </c>
      <c r="H273" s="235" t="s">
        <v>405</v>
      </c>
      <c r="I273" s="215">
        <v>1991000</v>
      </c>
      <c r="J273" s="237">
        <v>44768</v>
      </c>
      <c r="K273" s="235" t="s">
        <v>713</v>
      </c>
      <c r="L273" s="237">
        <v>44790</v>
      </c>
      <c r="M273" s="237">
        <v>44796</v>
      </c>
      <c r="N273" s="235"/>
      <c r="O273" s="235" t="s">
        <v>590</v>
      </c>
      <c r="P273" s="235"/>
      <c r="Q273" s="235"/>
      <c r="R273" s="235"/>
      <c r="S273" s="235"/>
      <c r="T273" s="235"/>
      <c r="U273" s="235"/>
      <c r="V273" s="235"/>
      <c r="W273" s="235"/>
      <c r="X273" s="234" t="s">
        <v>1499</v>
      </c>
      <c r="Y273" s="235"/>
    </row>
    <row r="274" spans="1:25" s="238" customFormat="1" ht="16.5" customHeight="1">
      <c r="A274" s="234">
        <v>271</v>
      </c>
      <c r="B274" s="235" t="s">
        <v>512</v>
      </c>
      <c r="C274" s="235" t="s">
        <v>1469</v>
      </c>
      <c r="D274" s="235" t="s">
        <v>406</v>
      </c>
      <c r="E274" s="235" t="s">
        <v>1473</v>
      </c>
      <c r="F274" s="235" t="s">
        <v>591</v>
      </c>
      <c r="G274" s="235" t="s">
        <v>408</v>
      </c>
      <c r="H274" s="235" t="s">
        <v>405</v>
      </c>
      <c r="I274" s="215">
        <v>3982000</v>
      </c>
      <c r="J274" s="237">
        <v>44776</v>
      </c>
      <c r="K274" s="235" t="s">
        <v>713</v>
      </c>
      <c r="L274" s="237">
        <v>44796</v>
      </c>
      <c r="M274" s="237">
        <v>44798</v>
      </c>
      <c r="N274" s="235"/>
      <c r="O274" s="235" t="s">
        <v>590</v>
      </c>
      <c r="P274" s="235"/>
      <c r="Q274" s="235"/>
      <c r="R274" s="235"/>
      <c r="S274" s="235"/>
      <c r="T274" s="235"/>
      <c r="U274" s="235"/>
      <c r="V274" s="235"/>
      <c r="W274" s="235"/>
      <c r="X274" s="234"/>
      <c r="Y274" s="235"/>
    </row>
    <row r="275" spans="1:25" s="238" customFormat="1" ht="16.5" customHeight="1">
      <c r="A275" s="234">
        <v>272</v>
      </c>
      <c r="B275" s="235" t="s">
        <v>1467</v>
      </c>
      <c r="C275" s="235" t="s">
        <v>1470</v>
      </c>
      <c r="D275" s="235" t="s">
        <v>407</v>
      </c>
      <c r="E275" s="235" t="s">
        <v>1474</v>
      </c>
      <c r="F275" s="235" t="s">
        <v>591</v>
      </c>
      <c r="G275" s="235" t="s">
        <v>408</v>
      </c>
      <c r="H275" s="235" t="s">
        <v>405</v>
      </c>
      <c r="I275" s="215">
        <v>33000000</v>
      </c>
      <c r="J275" s="237">
        <v>44776</v>
      </c>
      <c r="K275" s="235" t="s">
        <v>713</v>
      </c>
      <c r="L275" s="235" t="s">
        <v>1814</v>
      </c>
      <c r="M275" s="235" t="s">
        <v>1815</v>
      </c>
      <c r="N275" s="235"/>
      <c r="O275" s="235" t="s">
        <v>590</v>
      </c>
      <c r="P275" s="235"/>
      <c r="Q275" s="235"/>
      <c r="R275" s="235"/>
      <c r="S275" s="235"/>
      <c r="T275" s="235"/>
      <c r="U275" s="235"/>
      <c r="V275" s="235"/>
      <c r="W275" s="235"/>
      <c r="X275" s="234" t="s">
        <v>1824</v>
      </c>
      <c r="Y275" s="235"/>
    </row>
    <row r="276" spans="1:25" s="238" customFormat="1" ht="16.5" customHeight="1">
      <c r="A276" s="234">
        <v>273</v>
      </c>
      <c r="B276" s="235" t="s">
        <v>585</v>
      </c>
      <c r="C276" s="235" t="s">
        <v>587</v>
      </c>
      <c r="D276" s="235" t="s">
        <v>594</v>
      </c>
      <c r="E276" s="235" t="s">
        <v>912</v>
      </c>
      <c r="F276" s="235" t="s">
        <v>591</v>
      </c>
      <c r="G276" s="235" t="s">
        <v>408</v>
      </c>
      <c r="H276" s="235" t="s">
        <v>405</v>
      </c>
      <c r="I276" s="215">
        <v>10560000</v>
      </c>
      <c r="J276" s="237">
        <v>44775</v>
      </c>
      <c r="K276" s="235" t="s">
        <v>713</v>
      </c>
      <c r="L276" s="237">
        <v>44783</v>
      </c>
      <c r="M276" s="237">
        <v>44798</v>
      </c>
      <c r="N276" s="235"/>
      <c r="O276" s="235" t="s">
        <v>596</v>
      </c>
      <c r="P276" s="235"/>
      <c r="Q276" s="235"/>
      <c r="R276" s="235"/>
      <c r="S276" s="235"/>
      <c r="T276" s="235"/>
      <c r="U276" s="235"/>
      <c r="V276" s="235"/>
      <c r="W276" s="235"/>
      <c r="X276" s="234" t="s">
        <v>1480</v>
      </c>
      <c r="Y276" s="235"/>
    </row>
    <row r="277" spans="1:25" s="238" customFormat="1" ht="16.5" customHeight="1">
      <c r="A277" s="234">
        <v>274</v>
      </c>
      <c r="B277" s="235" t="s">
        <v>1208</v>
      </c>
      <c r="C277" s="235" t="s">
        <v>1209</v>
      </c>
      <c r="D277" s="235" t="s">
        <v>594</v>
      </c>
      <c r="E277" s="235" t="s">
        <v>912</v>
      </c>
      <c r="F277" s="235" t="s">
        <v>591</v>
      </c>
      <c r="G277" s="235" t="s">
        <v>408</v>
      </c>
      <c r="H277" s="235" t="s">
        <v>405</v>
      </c>
      <c r="I277" s="215">
        <v>9900000</v>
      </c>
      <c r="J277" s="237">
        <v>44781</v>
      </c>
      <c r="K277" s="235" t="s">
        <v>713</v>
      </c>
      <c r="L277" s="237">
        <v>44803</v>
      </c>
      <c r="M277" s="237">
        <v>44824</v>
      </c>
      <c r="N277" s="235"/>
      <c r="O277" s="235" t="s">
        <v>590</v>
      </c>
      <c r="P277" s="235"/>
      <c r="Q277" s="235"/>
      <c r="R277" s="235"/>
      <c r="S277" s="235"/>
      <c r="T277" s="235"/>
      <c r="U277" s="235"/>
      <c r="V277" s="235"/>
      <c r="W277" s="235"/>
      <c r="X277" s="234" t="s">
        <v>1552</v>
      </c>
      <c r="Y277" s="235"/>
    </row>
    <row r="278" spans="1:25" s="238" customFormat="1" ht="16.5" customHeight="1">
      <c r="A278" s="234">
        <v>275</v>
      </c>
      <c r="B278" s="235" t="s">
        <v>705</v>
      </c>
      <c r="C278" s="235" t="s">
        <v>1471</v>
      </c>
      <c r="D278" s="235" t="s">
        <v>1450</v>
      </c>
      <c r="E278" s="235" t="s">
        <v>1475</v>
      </c>
      <c r="F278" s="235" t="s">
        <v>591</v>
      </c>
      <c r="G278" s="235" t="s">
        <v>408</v>
      </c>
      <c r="H278" s="235" t="s">
        <v>405</v>
      </c>
      <c r="I278" s="215">
        <v>18150000</v>
      </c>
      <c r="J278" s="237">
        <v>44781</v>
      </c>
      <c r="K278" s="235" t="s">
        <v>713</v>
      </c>
      <c r="L278" s="237">
        <v>44838</v>
      </c>
      <c r="M278" s="237">
        <v>44841</v>
      </c>
      <c r="N278" s="235"/>
      <c r="O278" s="235" t="s">
        <v>590</v>
      </c>
      <c r="P278" s="235"/>
      <c r="Q278" s="235"/>
      <c r="R278" s="235"/>
      <c r="S278" s="235"/>
      <c r="T278" s="235"/>
      <c r="U278" s="235"/>
      <c r="V278" s="235"/>
      <c r="W278" s="235"/>
      <c r="X278" s="234" t="s">
        <v>1750</v>
      </c>
      <c r="Y278" s="235"/>
    </row>
    <row r="279" spans="1:25" s="238" customFormat="1" ht="16.5" customHeight="1">
      <c r="A279" s="234">
        <v>276</v>
      </c>
      <c r="B279" s="235" t="s">
        <v>722</v>
      </c>
      <c r="C279" s="235"/>
      <c r="D279" s="235" t="s">
        <v>406</v>
      </c>
      <c r="E279" s="235" t="s">
        <v>1925</v>
      </c>
      <c r="F279" s="235" t="s">
        <v>502</v>
      </c>
      <c r="G279" s="235" t="s">
        <v>408</v>
      </c>
      <c r="H279" s="235" t="s">
        <v>405</v>
      </c>
      <c r="I279" s="215">
        <v>71995000</v>
      </c>
      <c r="J279" s="237">
        <v>44781</v>
      </c>
      <c r="K279" s="237">
        <v>44865</v>
      </c>
      <c r="L279" s="237">
        <v>44872</v>
      </c>
      <c r="M279" s="237">
        <v>44875</v>
      </c>
      <c r="N279" s="235"/>
      <c r="O279" s="235" t="s">
        <v>981</v>
      </c>
      <c r="P279" s="235"/>
      <c r="Q279" s="235"/>
      <c r="R279" s="235"/>
      <c r="S279" s="235"/>
      <c r="T279" s="235"/>
      <c r="U279" s="235"/>
      <c r="V279" s="235"/>
      <c r="W279" s="235"/>
      <c r="X279" s="234" t="s">
        <v>864</v>
      </c>
      <c r="Y279" s="235"/>
    </row>
    <row r="280" spans="1:25" s="238" customFormat="1" ht="16.5" customHeight="1">
      <c r="A280" s="234">
        <v>277</v>
      </c>
      <c r="B280" s="235" t="s">
        <v>581</v>
      </c>
      <c r="C280" s="235"/>
      <c r="D280" s="235" t="s">
        <v>406</v>
      </c>
      <c r="E280" s="235" t="s">
        <v>1476</v>
      </c>
      <c r="F280" s="235" t="s">
        <v>502</v>
      </c>
      <c r="G280" s="235" t="s">
        <v>408</v>
      </c>
      <c r="H280" s="235" t="s">
        <v>405</v>
      </c>
      <c r="I280" s="215">
        <v>66000000</v>
      </c>
      <c r="J280" s="237">
        <v>44781</v>
      </c>
      <c r="K280" s="237">
        <v>44865</v>
      </c>
      <c r="L280" s="237">
        <v>45280</v>
      </c>
      <c r="M280" s="235"/>
      <c r="N280" s="235"/>
      <c r="O280" s="235" t="s">
        <v>941</v>
      </c>
      <c r="P280" s="235"/>
      <c r="Q280" s="235"/>
      <c r="R280" s="235"/>
      <c r="S280" s="235"/>
      <c r="T280" s="235"/>
      <c r="U280" s="235"/>
      <c r="V280" s="235"/>
      <c r="W280" s="235"/>
      <c r="X280" s="234"/>
      <c r="Y280" s="235"/>
    </row>
    <row r="281" spans="1:25" s="247" customFormat="1" ht="16.5" customHeight="1">
      <c r="A281" s="244">
        <v>278</v>
      </c>
      <c r="B281" s="245" t="s">
        <v>874</v>
      </c>
      <c r="C281" s="245" t="s">
        <v>1481</v>
      </c>
      <c r="D281" s="245" t="s">
        <v>807</v>
      </c>
      <c r="E281" s="245" t="s">
        <v>1482</v>
      </c>
      <c r="F281" s="245" t="s">
        <v>591</v>
      </c>
      <c r="G281" s="245" t="s">
        <v>408</v>
      </c>
      <c r="H281" s="245" t="s">
        <v>405</v>
      </c>
      <c r="I281" s="219">
        <v>27500000</v>
      </c>
      <c r="J281" s="246">
        <v>44782</v>
      </c>
      <c r="K281" s="245"/>
      <c r="L281" s="245" t="s">
        <v>408</v>
      </c>
      <c r="M281" s="245" t="s">
        <v>408</v>
      </c>
      <c r="N281" s="245"/>
      <c r="O281" s="245" t="s">
        <v>590</v>
      </c>
      <c r="P281" s="245"/>
      <c r="Q281" s="245"/>
      <c r="R281" s="245"/>
      <c r="S281" s="245"/>
      <c r="T281" s="245"/>
      <c r="U281" s="245"/>
      <c r="V281" s="245"/>
      <c r="W281" s="245"/>
      <c r="X281" s="244" t="s">
        <v>1765</v>
      </c>
      <c r="Y281" s="245"/>
    </row>
    <row r="282" spans="1:25" s="238" customFormat="1" ht="16.5" customHeight="1">
      <c r="A282" s="234">
        <v>279</v>
      </c>
      <c r="B282" s="235" t="s">
        <v>503</v>
      </c>
      <c r="C282" s="235" t="s">
        <v>1483</v>
      </c>
      <c r="D282" s="235" t="s">
        <v>406</v>
      </c>
      <c r="E282" s="235" t="s">
        <v>1484</v>
      </c>
      <c r="F282" s="235" t="s">
        <v>591</v>
      </c>
      <c r="G282" s="235" t="s">
        <v>408</v>
      </c>
      <c r="H282" s="235" t="s">
        <v>405</v>
      </c>
      <c r="I282" s="215">
        <v>2750000</v>
      </c>
      <c r="J282" s="237">
        <v>44755</v>
      </c>
      <c r="K282" s="237">
        <v>44785</v>
      </c>
      <c r="L282" s="237">
        <v>44795</v>
      </c>
      <c r="M282" s="237">
        <v>44798</v>
      </c>
      <c r="N282" s="235"/>
      <c r="O282" s="235" t="s">
        <v>590</v>
      </c>
      <c r="P282" s="235"/>
      <c r="Q282" s="235"/>
      <c r="R282" s="235"/>
      <c r="S282" s="235"/>
      <c r="T282" s="235"/>
      <c r="U282" s="235"/>
      <c r="V282" s="235"/>
      <c r="W282" s="235"/>
      <c r="X282" s="234"/>
      <c r="Y282" s="235"/>
    </row>
    <row r="283" spans="1:25" s="238" customFormat="1" ht="16.5" customHeight="1">
      <c r="A283" s="234">
        <v>280</v>
      </c>
      <c r="B283" s="235" t="s">
        <v>1485</v>
      </c>
      <c r="C283" s="235" t="s">
        <v>1486</v>
      </c>
      <c r="D283" s="235" t="s">
        <v>406</v>
      </c>
      <c r="E283" s="235" t="s">
        <v>1487</v>
      </c>
      <c r="F283" s="235" t="s">
        <v>591</v>
      </c>
      <c r="G283" s="235" t="s">
        <v>408</v>
      </c>
      <c r="H283" s="235" t="s">
        <v>405</v>
      </c>
      <c r="I283" s="215">
        <v>1540000</v>
      </c>
      <c r="J283" s="237">
        <v>44782</v>
      </c>
      <c r="K283" s="235" t="s">
        <v>713</v>
      </c>
      <c r="L283" s="237">
        <v>44782</v>
      </c>
      <c r="M283" s="237">
        <v>44783</v>
      </c>
      <c r="N283" s="235"/>
      <c r="O283" s="235" t="s">
        <v>590</v>
      </c>
      <c r="P283" s="235"/>
      <c r="Q283" s="235"/>
      <c r="R283" s="235"/>
      <c r="S283" s="235"/>
      <c r="T283" s="235"/>
      <c r="U283" s="235"/>
      <c r="V283" s="235"/>
      <c r="W283" s="235"/>
      <c r="X283" s="234" t="s">
        <v>1751</v>
      </c>
      <c r="Y283" s="235"/>
    </row>
    <row r="284" spans="1:25" s="238" customFormat="1" ht="16.5" customHeight="1">
      <c r="A284" s="234">
        <v>281</v>
      </c>
      <c r="B284" s="235" t="s">
        <v>1195</v>
      </c>
      <c r="C284" s="235" t="s">
        <v>1488</v>
      </c>
      <c r="D284" s="235" t="s">
        <v>406</v>
      </c>
      <c r="E284" s="235" t="s">
        <v>1489</v>
      </c>
      <c r="F284" s="235" t="s">
        <v>591</v>
      </c>
      <c r="G284" s="235" t="s">
        <v>408</v>
      </c>
      <c r="H284" s="235" t="s">
        <v>405</v>
      </c>
      <c r="I284" s="215">
        <v>8190000</v>
      </c>
      <c r="J284" s="237">
        <v>44781</v>
      </c>
      <c r="K284" s="235" t="s">
        <v>713</v>
      </c>
      <c r="L284" s="237">
        <v>44783</v>
      </c>
      <c r="M284" s="237">
        <v>44812</v>
      </c>
      <c r="N284" s="235"/>
      <c r="O284" s="235" t="s">
        <v>596</v>
      </c>
      <c r="P284" s="235"/>
      <c r="Q284" s="235"/>
      <c r="R284" s="235"/>
      <c r="S284" s="235"/>
      <c r="T284" s="235"/>
      <c r="U284" s="235"/>
      <c r="V284" s="235"/>
      <c r="W284" s="235"/>
      <c r="X284" s="234" t="s">
        <v>1507</v>
      </c>
      <c r="Y284" s="235"/>
    </row>
    <row r="285" spans="1:25" s="238" customFormat="1" ht="16.5" customHeight="1">
      <c r="A285" s="234">
        <v>282</v>
      </c>
      <c r="B285" s="235" t="s">
        <v>696</v>
      </c>
      <c r="C285" s="235" t="s">
        <v>1123</v>
      </c>
      <c r="D285" s="235" t="s">
        <v>406</v>
      </c>
      <c r="E285" s="235" t="s">
        <v>1490</v>
      </c>
      <c r="F285" s="235" t="s">
        <v>591</v>
      </c>
      <c r="G285" s="235" t="s">
        <v>408</v>
      </c>
      <c r="H285" s="235" t="s">
        <v>405</v>
      </c>
      <c r="I285" s="215">
        <v>67100000</v>
      </c>
      <c r="J285" s="237">
        <v>44708</v>
      </c>
      <c r="K285" s="235" t="s">
        <v>713</v>
      </c>
      <c r="L285" s="237">
        <v>44771</v>
      </c>
      <c r="M285" s="237">
        <v>44784</v>
      </c>
      <c r="N285" s="235"/>
      <c r="O285" s="235" t="s">
        <v>596</v>
      </c>
      <c r="P285" s="235"/>
      <c r="Q285" s="235"/>
      <c r="R285" s="235"/>
      <c r="S285" s="235"/>
      <c r="T285" s="235"/>
      <c r="U285" s="235"/>
      <c r="V285" s="235"/>
      <c r="W285" s="235"/>
      <c r="X285" s="241" t="s">
        <v>1506</v>
      </c>
      <c r="Y285" s="235"/>
    </row>
    <row r="286" spans="1:25" s="238" customFormat="1" ht="16.5" customHeight="1">
      <c r="A286" s="234">
        <v>283</v>
      </c>
      <c r="B286" s="235" t="s">
        <v>592</v>
      </c>
      <c r="C286" s="235" t="s">
        <v>1493</v>
      </c>
      <c r="D286" s="235" t="s">
        <v>594</v>
      </c>
      <c r="E286" s="235" t="s">
        <v>912</v>
      </c>
      <c r="F286" s="235" t="s">
        <v>591</v>
      </c>
      <c r="G286" s="235" t="s">
        <v>408</v>
      </c>
      <c r="H286" s="235" t="s">
        <v>405</v>
      </c>
      <c r="I286" s="215">
        <v>10560000</v>
      </c>
      <c r="J286" s="237">
        <v>44783</v>
      </c>
      <c r="K286" s="235" t="s">
        <v>713</v>
      </c>
      <c r="L286" s="237">
        <v>44802</v>
      </c>
      <c r="M286" s="237">
        <v>44825</v>
      </c>
      <c r="N286" s="235"/>
      <c r="O286" s="235" t="s">
        <v>590</v>
      </c>
      <c r="P286" s="235"/>
      <c r="Q286" s="235"/>
      <c r="R286" s="235"/>
      <c r="S286" s="235"/>
      <c r="T286" s="235"/>
      <c r="U286" s="235"/>
      <c r="V286" s="235"/>
      <c r="W286" s="235"/>
      <c r="X286" s="234" t="s">
        <v>1553</v>
      </c>
      <c r="Y286" s="235"/>
    </row>
    <row r="287" spans="1:25" s="238" customFormat="1" ht="16.5" customHeight="1">
      <c r="A287" s="234">
        <v>284</v>
      </c>
      <c r="B287" s="235" t="s">
        <v>816</v>
      </c>
      <c r="C287" s="235" t="s">
        <v>1491</v>
      </c>
      <c r="D287" s="235" t="s">
        <v>987</v>
      </c>
      <c r="E287" s="235" t="s">
        <v>1492</v>
      </c>
      <c r="F287" s="235" t="s">
        <v>591</v>
      </c>
      <c r="G287" s="235" t="s">
        <v>408</v>
      </c>
      <c r="H287" s="235" t="s">
        <v>405</v>
      </c>
      <c r="I287" s="215">
        <v>17600000</v>
      </c>
      <c r="J287" s="237">
        <v>44783</v>
      </c>
      <c r="K287" s="235" t="s">
        <v>713</v>
      </c>
      <c r="L287" s="235" t="s">
        <v>1916</v>
      </c>
      <c r="M287" s="235" t="s">
        <v>2065</v>
      </c>
      <c r="N287" s="235"/>
      <c r="O287" s="235" t="s">
        <v>738</v>
      </c>
      <c r="P287" s="235"/>
      <c r="Q287" s="235"/>
      <c r="R287" s="235"/>
      <c r="S287" s="235"/>
      <c r="T287" s="235"/>
      <c r="U287" s="235"/>
      <c r="V287" s="235"/>
      <c r="W287" s="235"/>
      <c r="X287" s="234" t="s">
        <v>1939</v>
      </c>
      <c r="Y287" s="235"/>
    </row>
    <row r="288" spans="1:25" s="238" customFormat="1" ht="16.5" customHeight="1">
      <c r="A288" s="234">
        <v>285</v>
      </c>
      <c r="B288" s="235" t="s">
        <v>512</v>
      </c>
      <c r="C288" s="235"/>
      <c r="D288" s="235" t="s">
        <v>1325</v>
      </c>
      <c r="E288" s="235" t="s">
        <v>1831</v>
      </c>
      <c r="F288" s="235" t="s">
        <v>591</v>
      </c>
      <c r="G288" s="235" t="s">
        <v>408</v>
      </c>
      <c r="H288" s="235" t="s">
        <v>405</v>
      </c>
      <c r="I288" s="215">
        <v>4180000</v>
      </c>
      <c r="J288" s="237">
        <v>44783</v>
      </c>
      <c r="K288" s="237">
        <v>44895</v>
      </c>
      <c r="L288" s="237">
        <v>44855</v>
      </c>
      <c r="M288" s="237">
        <v>44859</v>
      </c>
      <c r="N288" s="235"/>
      <c r="O288" s="235" t="s">
        <v>590</v>
      </c>
      <c r="P288" s="235"/>
      <c r="Q288" s="235"/>
      <c r="R288" s="235"/>
      <c r="S288" s="235"/>
      <c r="T288" s="235"/>
      <c r="U288" s="235"/>
      <c r="V288" s="235"/>
      <c r="W288" s="235"/>
      <c r="X288" s="234" t="s">
        <v>1752</v>
      </c>
      <c r="Y288" s="235"/>
    </row>
    <row r="289" spans="1:25" s="238" customFormat="1" ht="16.5" customHeight="1">
      <c r="A289" s="234">
        <v>286</v>
      </c>
      <c r="B289" s="235" t="s">
        <v>512</v>
      </c>
      <c r="C289" s="235" t="s">
        <v>1050</v>
      </c>
      <c r="D289" s="235" t="s">
        <v>404</v>
      </c>
      <c r="E289" s="235" t="s">
        <v>1494</v>
      </c>
      <c r="F289" s="235" t="s">
        <v>591</v>
      </c>
      <c r="G289" s="235" t="s">
        <v>408</v>
      </c>
      <c r="H289" s="235" t="s">
        <v>405</v>
      </c>
      <c r="I289" s="215">
        <v>3850000</v>
      </c>
      <c r="J289" s="237">
        <v>44784</v>
      </c>
      <c r="K289" s="235" t="s">
        <v>713</v>
      </c>
      <c r="L289" s="237">
        <v>44796</v>
      </c>
      <c r="M289" s="237">
        <v>44798</v>
      </c>
      <c r="N289" s="235"/>
      <c r="O289" s="235" t="s">
        <v>735</v>
      </c>
      <c r="P289" s="235"/>
      <c r="Q289" s="235"/>
      <c r="R289" s="235"/>
      <c r="S289" s="235"/>
      <c r="T289" s="235"/>
      <c r="U289" s="235"/>
      <c r="V289" s="235"/>
      <c r="W289" s="235"/>
      <c r="X289" s="234" t="s">
        <v>1529</v>
      </c>
      <c r="Y289" s="235"/>
    </row>
    <row r="290" spans="1:25" s="238" customFormat="1" ht="16.5" customHeight="1">
      <c r="A290" s="234">
        <v>287</v>
      </c>
      <c r="B290" s="235" t="s">
        <v>1266</v>
      </c>
      <c r="C290" s="235"/>
      <c r="D290" s="235" t="s">
        <v>406</v>
      </c>
      <c r="E290" s="235" t="s">
        <v>1510</v>
      </c>
      <c r="F290" s="235" t="s">
        <v>591</v>
      </c>
      <c r="G290" s="235" t="s">
        <v>408</v>
      </c>
      <c r="H290" s="235" t="s">
        <v>405</v>
      </c>
      <c r="I290" s="215">
        <v>117590000</v>
      </c>
      <c r="J290" s="237">
        <v>44789</v>
      </c>
      <c r="K290" s="237">
        <v>44879</v>
      </c>
      <c r="L290" s="237">
        <v>44883</v>
      </c>
      <c r="M290" s="237">
        <v>44895</v>
      </c>
      <c r="N290" s="235"/>
      <c r="O290" s="235" t="s">
        <v>2013</v>
      </c>
      <c r="P290" s="235"/>
      <c r="Q290" s="235"/>
      <c r="R290" s="235"/>
      <c r="S290" s="235"/>
      <c r="T290" s="235"/>
      <c r="U290" s="235"/>
      <c r="V290" s="235"/>
      <c r="W290" s="235"/>
      <c r="X290" s="234"/>
      <c r="Y290" s="235"/>
    </row>
    <row r="291" spans="1:25" s="238" customFormat="1" ht="16.5" customHeight="1">
      <c r="A291" s="234">
        <v>288</v>
      </c>
      <c r="B291" s="235" t="s">
        <v>684</v>
      </c>
      <c r="C291" s="235" t="s">
        <v>978</v>
      </c>
      <c r="D291" s="235" t="s">
        <v>786</v>
      </c>
      <c r="E291" s="235" t="s">
        <v>1502</v>
      </c>
      <c r="F291" s="235" t="s">
        <v>591</v>
      </c>
      <c r="G291" s="235" t="s">
        <v>408</v>
      </c>
      <c r="H291" s="235" t="s">
        <v>405</v>
      </c>
      <c r="I291" s="215">
        <v>2090000</v>
      </c>
      <c r="J291" s="237">
        <v>44780</v>
      </c>
      <c r="K291" s="235" t="s">
        <v>713</v>
      </c>
      <c r="L291" s="237">
        <v>44792</v>
      </c>
      <c r="M291" s="237">
        <v>44796</v>
      </c>
      <c r="N291" s="235"/>
      <c r="O291" s="235" t="s">
        <v>596</v>
      </c>
      <c r="P291" s="235"/>
      <c r="Q291" s="235"/>
      <c r="R291" s="235"/>
      <c r="S291" s="235"/>
      <c r="T291" s="235"/>
      <c r="U291" s="235"/>
      <c r="V291" s="235"/>
      <c r="W291" s="235"/>
      <c r="X291" s="234" t="s">
        <v>1503</v>
      </c>
      <c r="Y291" s="235"/>
    </row>
    <row r="292" spans="1:25" s="238" customFormat="1" ht="16.5" customHeight="1">
      <c r="A292" s="234">
        <v>289</v>
      </c>
      <c r="B292" s="235" t="s">
        <v>1508</v>
      </c>
      <c r="C292" s="235"/>
      <c r="D292" s="235" t="s">
        <v>407</v>
      </c>
      <c r="E292" s="235" t="s">
        <v>1511</v>
      </c>
      <c r="F292" s="235" t="s">
        <v>591</v>
      </c>
      <c r="G292" s="235" t="s">
        <v>408</v>
      </c>
      <c r="H292" s="235" t="s">
        <v>405</v>
      </c>
      <c r="I292" s="215">
        <v>5390000</v>
      </c>
      <c r="J292" s="237">
        <v>44789</v>
      </c>
      <c r="K292" s="235" t="s">
        <v>713</v>
      </c>
      <c r="L292" s="237">
        <v>44847</v>
      </c>
      <c r="M292" s="237">
        <v>44859</v>
      </c>
      <c r="N292" s="235"/>
      <c r="O292" s="235" t="s">
        <v>590</v>
      </c>
      <c r="P292" s="235"/>
      <c r="Q292" s="235"/>
      <c r="R292" s="235"/>
      <c r="S292" s="235"/>
      <c r="T292" s="235"/>
      <c r="U292" s="235"/>
      <c r="V292" s="235"/>
      <c r="W292" s="235"/>
      <c r="X292" s="234" t="s">
        <v>1727</v>
      </c>
      <c r="Y292" s="235"/>
    </row>
    <row r="293" spans="1:25" s="238" customFormat="1" ht="16.5" customHeight="1">
      <c r="A293" s="234">
        <v>290</v>
      </c>
      <c r="B293" s="235" t="s">
        <v>1512</v>
      </c>
      <c r="C293" s="235"/>
      <c r="D293" s="235" t="s">
        <v>406</v>
      </c>
      <c r="E293" s="235" t="s">
        <v>1513</v>
      </c>
      <c r="F293" s="235" t="s">
        <v>591</v>
      </c>
      <c r="G293" s="235" t="s">
        <v>408</v>
      </c>
      <c r="H293" s="235" t="s">
        <v>405</v>
      </c>
      <c r="I293" s="215">
        <v>99000000</v>
      </c>
      <c r="J293" s="237">
        <v>44790</v>
      </c>
      <c r="K293" s="237">
        <v>44854</v>
      </c>
      <c r="L293" s="235"/>
      <c r="M293" s="235"/>
      <c r="N293" s="235"/>
      <c r="O293" s="235" t="s">
        <v>590</v>
      </c>
      <c r="P293" s="235"/>
      <c r="Q293" s="235"/>
      <c r="R293" s="235"/>
      <c r="S293" s="235"/>
      <c r="T293" s="235"/>
      <c r="U293" s="235"/>
      <c r="V293" s="235"/>
      <c r="W293" s="235"/>
      <c r="X293" s="234" t="s">
        <v>2023</v>
      </c>
      <c r="Y293" s="235"/>
    </row>
    <row r="294" spans="1:25" s="238" customFormat="1" ht="16.5" customHeight="1">
      <c r="A294" s="234">
        <v>291</v>
      </c>
      <c r="B294" s="235" t="s">
        <v>1509</v>
      </c>
      <c r="C294" s="235" t="s">
        <v>1488</v>
      </c>
      <c r="D294" s="235" t="s">
        <v>406</v>
      </c>
      <c r="E294" s="235" t="s">
        <v>1855</v>
      </c>
      <c r="F294" s="235" t="s">
        <v>502</v>
      </c>
      <c r="G294" s="235" t="s">
        <v>408</v>
      </c>
      <c r="H294" s="235" t="s">
        <v>405</v>
      </c>
      <c r="I294" s="215">
        <v>6600000</v>
      </c>
      <c r="J294" s="237">
        <v>44790</v>
      </c>
      <c r="K294" s="237">
        <v>44865</v>
      </c>
      <c r="L294" s="237">
        <v>44861</v>
      </c>
      <c r="M294" s="237">
        <v>44867</v>
      </c>
      <c r="N294" s="235"/>
      <c r="O294" s="235" t="s">
        <v>596</v>
      </c>
      <c r="P294" s="235"/>
      <c r="Q294" s="235"/>
      <c r="R294" s="235"/>
      <c r="S294" s="235"/>
      <c r="T294" s="235"/>
      <c r="U294" s="235"/>
      <c r="V294" s="235"/>
      <c r="W294" s="235"/>
      <c r="X294" s="234" t="s">
        <v>1567</v>
      </c>
      <c r="Y294" s="235"/>
    </row>
    <row r="295" spans="1:25" s="238" customFormat="1" ht="16.5" customHeight="1">
      <c r="A295" s="234">
        <v>292</v>
      </c>
      <c r="B295" s="235" t="s">
        <v>503</v>
      </c>
      <c r="C295" s="235"/>
      <c r="D295" s="235" t="s">
        <v>406</v>
      </c>
      <c r="E295" s="235" t="s">
        <v>1514</v>
      </c>
      <c r="F295" s="235" t="s">
        <v>591</v>
      </c>
      <c r="G295" s="235" t="s">
        <v>408</v>
      </c>
      <c r="H295" s="235" t="s">
        <v>405</v>
      </c>
      <c r="I295" s="215">
        <v>136975201</v>
      </c>
      <c r="J295" s="235"/>
      <c r="K295" s="235" t="s">
        <v>408</v>
      </c>
      <c r="L295" s="237">
        <v>44784</v>
      </c>
      <c r="M295" s="235" t="s">
        <v>1533</v>
      </c>
      <c r="N295" s="235"/>
      <c r="O295" s="235" t="s">
        <v>2011</v>
      </c>
      <c r="P295" s="235"/>
      <c r="Q295" s="235"/>
      <c r="R295" s="235"/>
      <c r="S295" s="235"/>
      <c r="T295" s="235"/>
      <c r="U295" s="235"/>
      <c r="V295" s="235"/>
      <c r="W295" s="235"/>
      <c r="X295" s="260" t="s">
        <v>1801</v>
      </c>
      <c r="Y295" s="235"/>
    </row>
    <row r="296" spans="1:25" s="238" customFormat="1" ht="16.5" customHeight="1">
      <c r="A296" s="234">
        <v>293</v>
      </c>
      <c r="B296" s="235" t="s">
        <v>892</v>
      </c>
      <c r="C296" s="235" t="s">
        <v>1403</v>
      </c>
      <c r="D296" s="235" t="s">
        <v>594</v>
      </c>
      <c r="E296" s="235" t="s">
        <v>1445</v>
      </c>
      <c r="F296" s="235" t="s">
        <v>591</v>
      </c>
      <c r="G296" s="235" t="s">
        <v>408</v>
      </c>
      <c r="H296" s="235" t="s">
        <v>405</v>
      </c>
      <c r="I296" s="215">
        <v>13200000</v>
      </c>
      <c r="J296" s="237">
        <v>44791</v>
      </c>
      <c r="K296" s="235" t="s">
        <v>713</v>
      </c>
      <c r="L296" s="237">
        <v>44803</v>
      </c>
      <c r="M296" s="237">
        <v>44854</v>
      </c>
      <c r="N296" s="235"/>
      <c r="O296" s="235" t="s">
        <v>590</v>
      </c>
      <c r="P296" s="235"/>
      <c r="Q296" s="235"/>
      <c r="R296" s="235"/>
      <c r="S296" s="235"/>
      <c r="T296" s="235"/>
      <c r="U296" s="235"/>
      <c r="V296" s="235"/>
      <c r="W296" s="235"/>
      <c r="X296" s="234" t="s">
        <v>1544</v>
      </c>
      <c r="Y296" s="235"/>
    </row>
    <row r="297" spans="1:25" s="238" customFormat="1" ht="16.5" customHeight="1">
      <c r="A297" s="234">
        <v>294</v>
      </c>
      <c r="B297" s="235" t="s">
        <v>1432</v>
      </c>
      <c r="C297" s="235" t="s">
        <v>1433</v>
      </c>
      <c r="D297" s="235" t="s">
        <v>665</v>
      </c>
      <c r="E297" s="235" t="s">
        <v>1532</v>
      </c>
      <c r="F297" s="235" t="s">
        <v>591</v>
      </c>
      <c r="G297" s="235" t="s">
        <v>408</v>
      </c>
      <c r="H297" s="235" t="s">
        <v>405</v>
      </c>
      <c r="I297" s="215">
        <v>5720000</v>
      </c>
      <c r="J297" s="237">
        <v>44792</v>
      </c>
      <c r="K297" s="235" t="s">
        <v>713</v>
      </c>
      <c r="L297" s="237">
        <v>44792</v>
      </c>
      <c r="M297" s="237">
        <v>44792</v>
      </c>
      <c r="N297" s="235"/>
      <c r="O297" s="235" t="s">
        <v>584</v>
      </c>
      <c r="P297" s="235"/>
      <c r="Q297" s="235"/>
      <c r="R297" s="235"/>
      <c r="S297" s="235"/>
      <c r="T297" s="235"/>
      <c r="U297" s="235"/>
      <c r="V297" s="235"/>
      <c r="W297" s="235"/>
      <c r="X297" s="234" t="s">
        <v>1528</v>
      </c>
      <c r="Y297" s="235"/>
    </row>
    <row r="298" spans="1:25" s="238" customFormat="1" ht="16.5" customHeight="1">
      <c r="A298" s="234">
        <v>295</v>
      </c>
      <c r="B298" s="235" t="s">
        <v>1311</v>
      </c>
      <c r="C298" s="235"/>
      <c r="D298" s="235" t="s">
        <v>665</v>
      </c>
      <c r="E298" s="235" t="s">
        <v>1582</v>
      </c>
      <c r="F298" s="235" t="s">
        <v>591</v>
      </c>
      <c r="G298" s="235" t="s">
        <v>408</v>
      </c>
      <c r="H298" s="235" t="s">
        <v>405</v>
      </c>
      <c r="I298" s="215">
        <v>2475000</v>
      </c>
      <c r="J298" s="237">
        <v>44792</v>
      </c>
      <c r="K298" s="235" t="s">
        <v>713</v>
      </c>
      <c r="L298" s="237">
        <v>44792</v>
      </c>
      <c r="M298" s="237">
        <v>44803</v>
      </c>
      <c r="N298" s="235"/>
      <c r="O298" s="235" t="s">
        <v>584</v>
      </c>
      <c r="P298" s="235"/>
      <c r="Q298" s="235"/>
      <c r="R298" s="235"/>
      <c r="S298" s="235"/>
      <c r="T298" s="235"/>
      <c r="U298" s="235"/>
      <c r="V298" s="235"/>
      <c r="W298" s="235"/>
      <c r="X298" s="234" t="s">
        <v>1591</v>
      </c>
      <c r="Y298" s="235"/>
    </row>
    <row r="299" spans="1:25" s="238" customFormat="1">
      <c r="A299" s="234">
        <v>296</v>
      </c>
      <c r="B299" s="235" t="s">
        <v>1351</v>
      </c>
      <c r="C299" s="235" t="s">
        <v>787</v>
      </c>
      <c r="D299" s="235" t="s">
        <v>1168</v>
      </c>
      <c r="E299" s="235" t="s">
        <v>1538</v>
      </c>
      <c r="F299" s="235" t="s">
        <v>591</v>
      </c>
      <c r="G299" s="235" t="s">
        <v>408</v>
      </c>
      <c r="H299" s="235" t="s">
        <v>405</v>
      </c>
      <c r="I299" s="215">
        <v>6600000</v>
      </c>
      <c r="J299" s="237">
        <v>44795</v>
      </c>
      <c r="K299" s="235"/>
      <c r="L299" s="237">
        <v>44875</v>
      </c>
      <c r="M299" s="237">
        <v>44887</v>
      </c>
      <c r="N299" s="235"/>
      <c r="O299" s="235" t="s">
        <v>1781</v>
      </c>
      <c r="P299" s="235"/>
      <c r="Q299" s="235"/>
      <c r="R299" s="235"/>
      <c r="S299" s="235"/>
      <c r="T299" s="235"/>
      <c r="U299" s="235"/>
      <c r="V299" s="235"/>
      <c r="W299" s="235"/>
      <c r="X299" s="234" t="s">
        <v>1773</v>
      </c>
      <c r="Y299" s="235"/>
    </row>
    <row r="300" spans="1:25" s="238" customFormat="1">
      <c r="A300" s="234">
        <v>297</v>
      </c>
      <c r="B300" s="235" t="s">
        <v>409</v>
      </c>
      <c r="C300" s="235"/>
      <c r="D300" s="235" t="s">
        <v>406</v>
      </c>
      <c r="E300" s="235" t="s">
        <v>1579</v>
      </c>
      <c r="F300" s="235" t="s">
        <v>502</v>
      </c>
      <c r="G300" s="235" t="s">
        <v>408</v>
      </c>
      <c r="H300" s="235" t="s">
        <v>405</v>
      </c>
      <c r="I300" s="215">
        <v>6380000</v>
      </c>
      <c r="J300" s="237">
        <v>44795</v>
      </c>
      <c r="K300" s="235" t="s">
        <v>713</v>
      </c>
      <c r="L300" s="237">
        <v>44790</v>
      </c>
      <c r="M300" s="237">
        <v>44803</v>
      </c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4" t="s">
        <v>1567</v>
      </c>
      <c r="Y300" s="235"/>
    </row>
    <row r="301" spans="1:25" s="238" customFormat="1">
      <c r="A301" s="234">
        <v>298</v>
      </c>
      <c r="B301" s="235" t="s">
        <v>409</v>
      </c>
      <c r="C301" s="235"/>
      <c r="D301" s="235" t="s">
        <v>406</v>
      </c>
      <c r="E301" s="235" t="s">
        <v>1583</v>
      </c>
      <c r="F301" s="235" t="s">
        <v>502</v>
      </c>
      <c r="G301" s="235" t="s">
        <v>408</v>
      </c>
      <c r="H301" s="235" t="s">
        <v>405</v>
      </c>
      <c r="I301" s="215">
        <v>32450000</v>
      </c>
      <c r="J301" s="237">
        <v>44795</v>
      </c>
      <c r="K301" s="235" t="s">
        <v>713</v>
      </c>
      <c r="L301" s="237">
        <v>44775</v>
      </c>
      <c r="M301" s="237">
        <v>44802</v>
      </c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4" t="s">
        <v>1567</v>
      </c>
      <c r="Y301" s="235"/>
    </row>
    <row r="302" spans="1:25" s="238" customFormat="1">
      <c r="A302" s="234">
        <v>299</v>
      </c>
      <c r="B302" s="235" t="s">
        <v>1587</v>
      </c>
      <c r="C302" s="235" t="s">
        <v>1588</v>
      </c>
      <c r="D302" s="235" t="s">
        <v>678</v>
      </c>
      <c r="E302" s="235" t="s">
        <v>1537</v>
      </c>
      <c r="F302" s="235" t="s">
        <v>591</v>
      </c>
      <c r="G302" s="235" t="s">
        <v>408</v>
      </c>
      <c r="H302" s="235" t="s">
        <v>405</v>
      </c>
      <c r="I302" s="215">
        <v>2420000</v>
      </c>
      <c r="J302" s="237">
        <v>44783</v>
      </c>
      <c r="K302" s="235" t="s">
        <v>713</v>
      </c>
      <c r="L302" s="237">
        <v>44806</v>
      </c>
      <c r="M302" s="237">
        <v>44838</v>
      </c>
      <c r="N302" s="235"/>
      <c r="O302" s="235" t="s">
        <v>735</v>
      </c>
      <c r="P302" s="235"/>
      <c r="Q302" s="235"/>
      <c r="R302" s="235"/>
      <c r="S302" s="235"/>
      <c r="T302" s="235"/>
      <c r="U302" s="235"/>
      <c r="V302" s="235"/>
      <c r="W302" s="235"/>
      <c r="X302" s="234" t="s">
        <v>1540</v>
      </c>
      <c r="Y302" s="235"/>
    </row>
    <row r="303" spans="1:25" s="238" customFormat="1">
      <c r="A303" s="234">
        <v>300</v>
      </c>
      <c r="B303" s="235" t="s">
        <v>1534</v>
      </c>
      <c r="C303" s="235" t="s">
        <v>1535</v>
      </c>
      <c r="D303" s="235" t="s">
        <v>406</v>
      </c>
      <c r="E303" s="235" t="s">
        <v>1536</v>
      </c>
      <c r="F303" s="235" t="s">
        <v>502</v>
      </c>
      <c r="G303" s="235" t="s">
        <v>408</v>
      </c>
      <c r="H303" s="235" t="s">
        <v>405</v>
      </c>
      <c r="I303" s="215">
        <v>1980000</v>
      </c>
      <c r="J303" s="237">
        <v>44798</v>
      </c>
      <c r="K303" s="235" t="s">
        <v>713</v>
      </c>
      <c r="L303" s="237">
        <v>44805</v>
      </c>
      <c r="M303" s="237">
        <v>44825</v>
      </c>
      <c r="N303" s="235"/>
      <c r="O303" s="235" t="s">
        <v>584</v>
      </c>
      <c r="P303" s="235"/>
      <c r="Q303" s="235"/>
      <c r="R303" s="235"/>
      <c r="S303" s="235"/>
      <c r="T303" s="235"/>
      <c r="U303" s="235"/>
      <c r="V303" s="235"/>
      <c r="W303" s="235"/>
      <c r="X303" s="234"/>
      <c r="Y303" s="235"/>
    </row>
    <row r="304" spans="1:25" s="238" customFormat="1">
      <c r="A304" s="234">
        <v>301</v>
      </c>
      <c r="B304" s="235" t="s">
        <v>412</v>
      </c>
      <c r="C304" s="235" t="s">
        <v>1167</v>
      </c>
      <c r="D304" s="235" t="s">
        <v>841</v>
      </c>
      <c r="E304" s="235" t="s">
        <v>1546</v>
      </c>
      <c r="F304" s="235" t="s">
        <v>591</v>
      </c>
      <c r="G304" s="235" t="s">
        <v>408</v>
      </c>
      <c r="H304" s="235" t="s">
        <v>733</v>
      </c>
      <c r="I304" s="215" t="s">
        <v>1550</v>
      </c>
      <c r="J304" s="237">
        <v>44798</v>
      </c>
      <c r="K304" s="237">
        <v>44881</v>
      </c>
      <c r="L304" s="235" t="s">
        <v>408</v>
      </c>
      <c r="M304" s="235" t="s">
        <v>408</v>
      </c>
      <c r="N304" s="235"/>
      <c r="O304" s="235" t="s">
        <v>596</v>
      </c>
      <c r="P304" s="235"/>
      <c r="Q304" s="235"/>
      <c r="R304" s="235"/>
      <c r="S304" s="235"/>
      <c r="T304" s="235"/>
      <c r="U304" s="235"/>
      <c r="V304" s="235"/>
      <c r="W304" s="235"/>
      <c r="X304" s="234" t="s">
        <v>1115</v>
      </c>
      <c r="Y304" s="235"/>
    </row>
    <row r="305" spans="1:25" s="238" customFormat="1">
      <c r="A305" s="234">
        <v>302</v>
      </c>
      <c r="B305" s="235" t="s">
        <v>512</v>
      </c>
      <c r="C305" s="235" t="s">
        <v>599</v>
      </c>
      <c r="D305" s="235" t="s">
        <v>594</v>
      </c>
      <c r="E305" s="235" t="s">
        <v>1547</v>
      </c>
      <c r="F305" s="235" t="s">
        <v>591</v>
      </c>
      <c r="G305" s="235" t="s">
        <v>408</v>
      </c>
      <c r="H305" s="235" t="s">
        <v>405</v>
      </c>
      <c r="I305" s="215">
        <v>10560000</v>
      </c>
      <c r="J305" s="237">
        <v>44799</v>
      </c>
      <c r="K305" s="235" t="s">
        <v>713</v>
      </c>
      <c r="L305" s="237">
        <v>44806</v>
      </c>
      <c r="M305" s="237">
        <v>44811</v>
      </c>
      <c r="N305" s="235"/>
      <c r="O305" s="235" t="s">
        <v>715</v>
      </c>
      <c r="P305" s="235"/>
      <c r="Q305" s="235"/>
      <c r="R305" s="235"/>
      <c r="S305" s="235"/>
      <c r="T305" s="235"/>
      <c r="U305" s="235"/>
      <c r="V305" s="235"/>
      <c r="W305" s="235"/>
      <c r="X305" s="234" t="s">
        <v>1574</v>
      </c>
      <c r="Y305" s="235"/>
    </row>
    <row r="306" spans="1:25" s="238" customFormat="1">
      <c r="A306" s="244">
        <v>303</v>
      </c>
      <c r="B306" s="245" t="s">
        <v>705</v>
      </c>
      <c r="C306" s="245" t="s">
        <v>877</v>
      </c>
      <c r="D306" s="245" t="s">
        <v>665</v>
      </c>
      <c r="E306" s="245" t="s">
        <v>1548</v>
      </c>
      <c r="F306" s="245" t="s">
        <v>591</v>
      </c>
      <c r="G306" s="245" t="s">
        <v>408</v>
      </c>
      <c r="H306" s="245" t="s">
        <v>405</v>
      </c>
      <c r="I306" s="219">
        <v>6754000</v>
      </c>
      <c r="J306" s="246">
        <v>44799</v>
      </c>
      <c r="K306" s="245"/>
      <c r="L306" s="245" t="s">
        <v>408</v>
      </c>
      <c r="M306" s="245" t="s">
        <v>408</v>
      </c>
      <c r="N306" s="245"/>
      <c r="O306" s="245" t="s">
        <v>738</v>
      </c>
      <c r="P306" s="235"/>
      <c r="Q306" s="235"/>
      <c r="R306" s="235"/>
      <c r="S306" s="235"/>
      <c r="T306" s="235"/>
      <c r="U306" s="235"/>
      <c r="V306" s="235"/>
      <c r="W306" s="235"/>
      <c r="X306" s="234"/>
      <c r="Y306" s="235"/>
    </row>
    <row r="307" spans="1:25" s="238" customFormat="1" ht="19.5" customHeight="1">
      <c r="A307" s="234">
        <v>304</v>
      </c>
      <c r="B307" s="235" t="s">
        <v>1545</v>
      </c>
      <c r="C307" s="235" t="s">
        <v>1551</v>
      </c>
      <c r="D307" s="235" t="s">
        <v>406</v>
      </c>
      <c r="E307" s="235" t="s">
        <v>1691</v>
      </c>
      <c r="F307" s="235" t="s">
        <v>591</v>
      </c>
      <c r="G307" s="235" t="s">
        <v>408</v>
      </c>
      <c r="H307" s="235" t="s">
        <v>405</v>
      </c>
      <c r="I307" s="215">
        <v>2310000</v>
      </c>
      <c r="J307" s="237">
        <v>44802</v>
      </c>
      <c r="K307" s="235" t="s">
        <v>713</v>
      </c>
      <c r="L307" s="237">
        <v>44802</v>
      </c>
      <c r="M307" s="237">
        <v>44802</v>
      </c>
      <c r="N307" s="235"/>
      <c r="O307" s="235" t="s">
        <v>596</v>
      </c>
      <c r="P307" s="235"/>
      <c r="Q307" s="235"/>
      <c r="R307" s="235"/>
      <c r="S307" s="235"/>
      <c r="T307" s="235"/>
      <c r="U307" s="235"/>
      <c r="V307" s="235"/>
      <c r="W307" s="235"/>
      <c r="X307" s="234" t="s">
        <v>1692</v>
      </c>
      <c r="Y307" s="235"/>
    </row>
    <row r="308" spans="1:25" s="238" customFormat="1">
      <c r="A308" s="234">
        <v>305</v>
      </c>
      <c r="B308" s="235" t="s">
        <v>503</v>
      </c>
      <c r="C308" s="235"/>
      <c r="D308" s="235" t="s">
        <v>406</v>
      </c>
      <c r="E308" s="235" t="s">
        <v>1549</v>
      </c>
      <c r="F308" s="235" t="s">
        <v>591</v>
      </c>
      <c r="G308" s="235" t="s">
        <v>408</v>
      </c>
      <c r="H308" s="235" t="s">
        <v>405</v>
      </c>
      <c r="I308" s="215">
        <v>47865679</v>
      </c>
      <c r="J308" s="237">
        <v>44802</v>
      </c>
      <c r="K308" s="235" t="s">
        <v>713</v>
      </c>
      <c r="L308" s="237">
        <v>44802</v>
      </c>
      <c r="M308" s="235" t="s">
        <v>1577</v>
      </c>
      <c r="N308" s="235"/>
      <c r="O308" s="235" t="s">
        <v>833</v>
      </c>
      <c r="P308" s="235"/>
      <c r="Q308" s="235"/>
      <c r="R308" s="235"/>
      <c r="S308" s="235"/>
      <c r="T308" s="235"/>
      <c r="U308" s="235"/>
      <c r="V308" s="235"/>
      <c r="W308" s="235"/>
      <c r="X308" s="234" t="s">
        <v>2159</v>
      </c>
      <c r="Y308" s="235"/>
    </row>
    <row r="309" spans="1:25" s="238" customFormat="1">
      <c r="A309" s="234">
        <v>306</v>
      </c>
      <c r="B309" s="235" t="s">
        <v>908</v>
      </c>
      <c r="C309" s="235" t="s">
        <v>909</v>
      </c>
      <c r="D309" s="235" t="s">
        <v>407</v>
      </c>
      <c r="E309" s="235" t="s">
        <v>1558</v>
      </c>
      <c r="F309" s="235" t="s">
        <v>591</v>
      </c>
      <c r="G309" s="240" t="s">
        <v>408</v>
      </c>
      <c r="H309" s="235" t="s">
        <v>405</v>
      </c>
      <c r="I309" s="215">
        <v>2640000</v>
      </c>
      <c r="J309" s="237">
        <v>44802</v>
      </c>
      <c r="K309" s="235" t="s">
        <v>713</v>
      </c>
      <c r="L309" s="237">
        <v>44825</v>
      </c>
      <c r="M309" s="237">
        <v>44827</v>
      </c>
      <c r="N309" s="235"/>
      <c r="O309" s="235" t="s">
        <v>590</v>
      </c>
      <c r="P309" s="235"/>
      <c r="Q309" s="235"/>
      <c r="R309" s="235"/>
      <c r="S309" s="235"/>
      <c r="T309" s="235"/>
      <c r="U309" s="235"/>
      <c r="V309" s="235"/>
      <c r="W309" s="235"/>
      <c r="X309" s="234" t="s">
        <v>1663</v>
      </c>
      <c r="Y309" s="235"/>
    </row>
    <row r="310" spans="1:25" s="238" customFormat="1">
      <c r="A310" s="234">
        <v>307</v>
      </c>
      <c r="B310" s="235" t="s">
        <v>512</v>
      </c>
      <c r="C310" s="235" t="s">
        <v>1556</v>
      </c>
      <c r="D310" s="235" t="s">
        <v>406</v>
      </c>
      <c r="E310" s="235" t="s">
        <v>1557</v>
      </c>
      <c r="F310" s="235" t="s">
        <v>502</v>
      </c>
      <c r="G310" s="240" t="s">
        <v>408</v>
      </c>
      <c r="H310" s="235" t="s">
        <v>405</v>
      </c>
      <c r="I310" s="215">
        <v>3168000</v>
      </c>
      <c r="J310" s="237">
        <v>44802</v>
      </c>
      <c r="K310" s="235" t="s">
        <v>713</v>
      </c>
      <c r="L310" s="237">
        <v>44809</v>
      </c>
      <c r="M310" s="237">
        <v>44812</v>
      </c>
      <c r="N310" s="235"/>
      <c r="O310" s="235" t="s">
        <v>584</v>
      </c>
      <c r="P310" s="235"/>
      <c r="Q310" s="235"/>
      <c r="R310" s="235"/>
      <c r="S310" s="235"/>
      <c r="T310" s="235"/>
      <c r="U310" s="235"/>
      <c r="V310" s="235"/>
      <c r="W310" s="235"/>
      <c r="X310" s="234" t="s">
        <v>1559</v>
      </c>
      <c r="Y310" s="235"/>
    </row>
    <row r="311" spans="1:25" s="247" customFormat="1">
      <c r="A311" s="244">
        <v>308</v>
      </c>
      <c r="B311" s="245" t="s">
        <v>1561</v>
      </c>
      <c r="C311" s="245" t="s">
        <v>1562</v>
      </c>
      <c r="D311" s="245" t="s">
        <v>406</v>
      </c>
      <c r="E311" s="245" t="s">
        <v>1563</v>
      </c>
      <c r="F311" s="245" t="s">
        <v>591</v>
      </c>
      <c r="G311" s="245" t="s">
        <v>408</v>
      </c>
      <c r="H311" s="245" t="s">
        <v>405</v>
      </c>
      <c r="I311" s="219">
        <v>2100000</v>
      </c>
      <c r="J311" s="246">
        <v>44770</v>
      </c>
      <c r="K311" s="245"/>
      <c r="L311" s="246" t="s">
        <v>408</v>
      </c>
      <c r="M311" s="245" t="s">
        <v>408</v>
      </c>
      <c r="N311" s="245"/>
      <c r="O311" s="245" t="s">
        <v>590</v>
      </c>
      <c r="P311" s="245"/>
      <c r="Q311" s="245"/>
      <c r="R311" s="245"/>
      <c r="S311" s="245"/>
      <c r="T311" s="245"/>
      <c r="U311" s="245"/>
      <c r="V311" s="245"/>
      <c r="W311" s="245"/>
      <c r="X311" s="261" t="s">
        <v>1564</v>
      </c>
      <c r="Y311" s="245"/>
    </row>
    <row r="312" spans="1:25" s="247" customFormat="1">
      <c r="A312" s="244">
        <v>309</v>
      </c>
      <c r="B312" s="245" t="s">
        <v>1561</v>
      </c>
      <c r="C312" s="245" t="s">
        <v>1562</v>
      </c>
      <c r="D312" s="245" t="s">
        <v>406</v>
      </c>
      <c r="E312" s="245" t="s">
        <v>1563</v>
      </c>
      <c r="F312" s="245" t="s">
        <v>591</v>
      </c>
      <c r="G312" s="245" t="s">
        <v>408</v>
      </c>
      <c r="H312" s="245" t="s">
        <v>405</v>
      </c>
      <c r="I312" s="219">
        <v>2900000</v>
      </c>
      <c r="J312" s="246">
        <v>44782</v>
      </c>
      <c r="K312" s="245"/>
      <c r="L312" s="246" t="s">
        <v>408</v>
      </c>
      <c r="M312" s="245" t="s">
        <v>408</v>
      </c>
      <c r="N312" s="245"/>
      <c r="O312" s="245" t="s">
        <v>590</v>
      </c>
      <c r="P312" s="245"/>
      <c r="Q312" s="245"/>
      <c r="R312" s="245"/>
      <c r="S312" s="245"/>
      <c r="T312" s="245"/>
      <c r="U312" s="245"/>
      <c r="V312" s="245"/>
      <c r="W312" s="245"/>
      <c r="X312" s="261" t="s">
        <v>1564</v>
      </c>
      <c r="Y312" s="245"/>
    </row>
    <row r="313" spans="1:25" s="238" customFormat="1">
      <c r="A313" s="234">
        <v>310</v>
      </c>
      <c r="B313" s="235" t="s">
        <v>512</v>
      </c>
      <c r="C313" s="235" t="s">
        <v>599</v>
      </c>
      <c r="D313" s="235" t="s">
        <v>594</v>
      </c>
      <c r="E313" s="235" t="s">
        <v>945</v>
      </c>
      <c r="F313" s="235" t="s">
        <v>591</v>
      </c>
      <c r="G313" s="235" t="s">
        <v>408</v>
      </c>
      <c r="H313" s="235" t="s">
        <v>405</v>
      </c>
      <c r="I313" s="215">
        <v>17600000</v>
      </c>
      <c r="J313" s="237">
        <v>44803</v>
      </c>
      <c r="K313" s="237">
        <v>44820</v>
      </c>
      <c r="L313" s="237">
        <v>44806</v>
      </c>
      <c r="M313" s="237">
        <v>44811</v>
      </c>
      <c r="N313" s="235"/>
      <c r="O313" s="235" t="s">
        <v>715</v>
      </c>
      <c r="P313" s="235"/>
      <c r="Q313" s="235"/>
      <c r="R313" s="235"/>
      <c r="S313" s="235"/>
      <c r="T313" s="235"/>
      <c r="U313" s="235"/>
      <c r="V313" s="235"/>
      <c r="W313" s="235"/>
      <c r="X313" s="234" t="s">
        <v>1575</v>
      </c>
      <c r="Y313" s="235"/>
    </row>
    <row r="314" spans="1:25" s="238" customFormat="1">
      <c r="A314" s="234">
        <v>311</v>
      </c>
      <c r="B314" s="235" t="s">
        <v>1561</v>
      </c>
      <c r="C314" s="235" t="s">
        <v>1562</v>
      </c>
      <c r="D314" s="235" t="s">
        <v>1325</v>
      </c>
      <c r="E314" s="235" t="s">
        <v>1857</v>
      </c>
      <c r="F314" s="235" t="s">
        <v>591</v>
      </c>
      <c r="G314" s="240" t="s">
        <v>408</v>
      </c>
      <c r="H314" s="235" t="s">
        <v>405</v>
      </c>
      <c r="I314" s="215">
        <v>4950000</v>
      </c>
      <c r="J314" s="237">
        <v>44750</v>
      </c>
      <c r="K314" s="235" t="s">
        <v>713</v>
      </c>
      <c r="L314" s="237">
        <v>44798</v>
      </c>
      <c r="M314" s="237">
        <v>44867</v>
      </c>
      <c r="N314" s="235"/>
      <c r="O314" s="235" t="s">
        <v>590</v>
      </c>
      <c r="P314" s="235"/>
      <c r="Q314" s="235"/>
      <c r="R314" s="235"/>
      <c r="S314" s="235"/>
      <c r="T314" s="235"/>
      <c r="U314" s="235"/>
      <c r="V314" s="235"/>
      <c r="W314" s="235"/>
      <c r="X314" s="234" t="s">
        <v>1565</v>
      </c>
      <c r="Y314" s="235"/>
    </row>
    <row r="315" spans="1:25" s="238" customFormat="1">
      <c r="A315" s="234">
        <v>312</v>
      </c>
      <c r="B315" s="235" t="s">
        <v>705</v>
      </c>
      <c r="C315" s="235" t="s">
        <v>1471</v>
      </c>
      <c r="D315" s="235" t="s">
        <v>406</v>
      </c>
      <c r="E315" s="235" t="s">
        <v>1566</v>
      </c>
      <c r="F315" s="235" t="s">
        <v>591</v>
      </c>
      <c r="G315" s="240" t="s">
        <v>408</v>
      </c>
      <c r="H315" s="235" t="s">
        <v>405</v>
      </c>
      <c r="I315" s="215">
        <v>4180000</v>
      </c>
      <c r="J315" s="237">
        <v>44803</v>
      </c>
      <c r="K315" s="235" t="s">
        <v>713</v>
      </c>
      <c r="L315" s="237">
        <v>44838</v>
      </c>
      <c r="M315" s="237">
        <v>44841</v>
      </c>
      <c r="N315" s="235"/>
      <c r="O315" s="235" t="s">
        <v>590</v>
      </c>
      <c r="P315" s="235"/>
      <c r="Q315" s="235"/>
      <c r="R315" s="235"/>
      <c r="S315" s="235"/>
      <c r="T315" s="235"/>
      <c r="U315" s="235"/>
      <c r="V315" s="235"/>
      <c r="W315" s="235"/>
      <c r="X315" s="234" t="s">
        <v>1544</v>
      </c>
      <c r="Y315" s="235"/>
    </row>
    <row r="316" spans="1:25" s="238" customFormat="1">
      <c r="A316" s="234">
        <v>313</v>
      </c>
      <c r="B316" s="235" t="s">
        <v>512</v>
      </c>
      <c r="C316" s="235" t="s">
        <v>599</v>
      </c>
      <c r="D316" s="235" t="s">
        <v>594</v>
      </c>
      <c r="E316" s="235" t="s">
        <v>1026</v>
      </c>
      <c r="F316" s="235" t="s">
        <v>591</v>
      </c>
      <c r="G316" s="240" t="s">
        <v>408</v>
      </c>
      <c r="H316" s="235" t="s">
        <v>405</v>
      </c>
      <c r="I316" s="215">
        <v>3520000</v>
      </c>
      <c r="J316" s="237">
        <v>44803</v>
      </c>
      <c r="K316" s="235" t="s">
        <v>713</v>
      </c>
      <c r="L316" s="237">
        <v>44805</v>
      </c>
      <c r="M316" s="237">
        <v>44809</v>
      </c>
      <c r="N316" s="235"/>
      <c r="O316" s="235" t="s">
        <v>735</v>
      </c>
      <c r="P316" s="235"/>
      <c r="Q316" s="235"/>
      <c r="R316" s="235"/>
      <c r="S316" s="235"/>
      <c r="T316" s="235"/>
      <c r="U316" s="235"/>
      <c r="V316" s="235"/>
      <c r="W316" s="235"/>
      <c r="X316" s="234" t="s">
        <v>1576</v>
      </c>
      <c r="Y316" s="235"/>
    </row>
    <row r="317" spans="1:25" s="238" customFormat="1" ht="15.75" customHeight="1">
      <c r="A317" s="234">
        <v>314</v>
      </c>
      <c r="B317" s="235" t="s">
        <v>934</v>
      </c>
      <c r="C317" s="235" t="s">
        <v>1570</v>
      </c>
      <c r="D317" s="235" t="s">
        <v>594</v>
      </c>
      <c r="E317" s="235" t="s">
        <v>1626</v>
      </c>
      <c r="F317" s="235" t="s">
        <v>591</v>
      </c>
      <c r="G317" s="240" t="s">
        <v>408</v>
      </c>
      <c r="H317" s="235" t="s">
        <v>405</v>
      </c>
      <c r="I317" s="215">
        <v>3520000</v>
      </c>
      <c r="J317" s="237">
        <v>44805</v>
      </c>
      <c r="K317" s="237">
        <v>44819</v>
      </c>
      <c r="L317" s="237">
        <v>44818</v>
      </c>
      <c r="M317" s="237">
        <v>44820</v>
      </c>
      <c r="N317" s="235"/>
      <c r="O317" s="235" t="s">
        <v>590</v>
      </c>
      <c r="P317" s="235"/>
      <c r="Q317" s="235"/>
      <c r="R317" s="235"/>
      <c r="S317" s="235"/>
      <c r="T317" s="235"/>
      <c r="U317" s="235"/>
      <c r="V317" s="235"/>
      <c r="W317" s="235"/>
      <c r="X317" s="234" t="s">
        <v>1688</v>
      </c>
      <c r="Y317" s="235"/>
    </row>
    <row r="318" spans="1:25" s="238" customFormat="1">
      <c r="A318" s="234">
        <v>315</v>
      </c>
      <c r="B318" s="235" t="s">
        <v>1650</v>
      </c>
      <c r="C318" s="235" t="s">
        <v>1569</v>
      </c>
      <c r="D318" s="235" t="s">
        <v>594</v>
      </c>
      <c r="E318" s="235" t="s">
        <v>1571</v>
      </c>
      <c r="F318" s="235" t="s">
        <v>591</v>
      </c>
      <c r="G318" s="240" t="s">
        <v>408</v>
      </c>
      <c r="H318" s="235" t="s">
        <v>405</v>
      </c>
      <c r="I318" s="215">
        <v>7040000</v>
      </c>
      <c r="J318" s="237">
        <v>44805</v>
      </c>
      <c r="K318" s="237">
        <v>44835</v>
      </c>
      <c r="L318" s="237">
        <v>44824</v>
      </c>
      <c r="M318" s="237">
        <v>44859</v>
      </c>
      <c r="N318" s="235"/>
      <c r="O318" s="235" t="s">
        <v>590</v>
      </c>
      <c r="P318" s="235"/>
      <c r="Q318" s="235"/>
      <c r="R318" s="235"/>
      <c r="S318" s="235"/>
      <c r="T318" s="235"/>
      <c r="U318" s="235"/>
      <c r="V318" s="235"/>
      <c r="W318" s="235"/>
      <c r="X318" s="234" t="s">
        <v>1651</v>
      </c>
      <c r="Y318" s="235"/>
    </row>
    <row r="319" spans="1:25" s="238" customFormat="1">
      <c r="A319" s="234">
        <v>316</v>
      </c>
      <c r="B319" s="235" t="s">
        <v>1395</v>
      </c>
      <c r="C319" s="235" t="s">
        <v>1569</v>
      </c>
      <c r="D319" s="235" t="s">
        <v>406</v>
      </c>
      <c r="E319" s="235" t="s">
        <v>1572</v>
      </c>
      <c r="F319" s="235" t="s">
        <v>591</v>
      </c>
      <c r="G319" s="240" t="s">
        <v>408</v>
      </c>
      <c r="H319" s="235" t="s">
        <v>405</v>
      </c>
      <c r="I319" s="215">
        <v>12320000</v>
      </c>
      <c r="J319" s="237">
        <v>44805</v>
      </c>
      <c r="K319" s="237">
        <v>44835</v>
      </c>
      <c r="L319" s="237">
        <v>44839</v>
      </c>
      <c r="M319" s="237">
        <v>44861</v>
      </c>
      <c r="N319" s="235"/>
      <c r="O319" s="235" t="s">
        <v>590</v>
      </c>
      <c r="P319" s="235"/>
      <c r="Q319" s="235"/>
      <c r="R319" s="235"/>
      <c r="S319" s="235"/>
      <c r="T319" s="235"/>
      <c r="U319" s="235"/>
      <c r="V319" s="235"/>
      <c r="W319" s="235"/>
      <c r="X319" s="234" t="s">
        <v>2151</v>
      </c>
      <c r="Y319" s="235"/>
    </row>
    <row r="320" spans="1:25" s="238" customFormat="1">
      <c r="A320" s="234">
        <v>317</v>
      </c>
      <c r="B320" s="235" t="s">
        <v>419</v>
      </c>
      <c r="C320" s="235" t="s">
        <v>1589</v>
      </c>
      <c r="D320" s="235" t="s">
        <v>406</v>
      </c>
      <c r="E320" s="235" t="s">
        <v>1862</v>
      </c>
      <c r="F320" s="235" t="s">
        <v>591</v>
      </c>
      <c r="G320" s="240" t="s">
        <v>408</v>
      </c>
      <c r="H320" s="235" t="s">
        <v>405</v>
      </c>
      <c r="I320" s="215">
        <v>6200000</v>
      </c>
      <c r="J320" s="237">
        <v>44805</v>
      </c>
      <c r="K320" s="237">
        <v>44834</v>
      </c>
      <c r="L320" s="237">
        <v>44862</v>
      </c>
      <c r="M320" s="237">
        <v>44869</v>
      </c>
      <c r="N320" s="235"/>
      <c r="O320" s="235" t="s">
        <v>1590</v>
      </c>
      <c r="P320" s="235"/>
      <c r="Q320" s="235"/>
      <c r="R320" s="235"/>
      <c r="S320" s="235"/>
      <c r="T320" s="235"/>
      <c r="U320" s="235"/>
      <c r="V320" s="235"/>
      <c r="W320" s="235"/>
      <c r="X320" s="234" t="s">
        <v>2153</v>
      </c>
      <c r="Y320" s="235"/>
    </row>
    <row r="321" spans="1:25" s="238" customFormat="1">
      <c r="A321" s="234">
        <v>318</v>
      </c>
      <c r="B321" s="235" t="s">
        <v>1344</v>
      </c>
      <c r="C321" s="235" t="s">
        <v>1593</v>
      </c>
      <c r="D321" s="235" t="s">
        <v>1105</v>
      </c>
      <c r="E321" s="235" t="s">
        <v>1592</v>
      </c>
      <c r="F321" s="235" t="s">
        <v>591</v>
      </c>
      <c r="G321" s="240" t="s">
        <v>408</v>
      </c>
      <c r="H321" s="235" t="s">
        <v>405</v>
      </c>
      <c r="I321" s="215">
        <v>13530000</v>
      </c>
      <c r="J321" s="237">
        <v>44811</v>
      </c>
      <c r="K321" s="235" t="s">
        <v>713</v>
      </c>
      <c r="L321" s="237">
        <v>44860</v>
      </c>
      <c r="M321" s="237">
        <v>44895</v>
      </c>
      <c r="N321" s="235"/>
      <c r="O321" s="235" t="s">
        <v>596</v>
      </c>
      <c r="P321" s="235"/>
      <c r="Q321" s="235"/>
      <c r="R321" s="235"/>
      <c r="S321" s="235"/>
      <c r="T321" s="235"/>
      <c r="U321" s="235"/>
      <c r="V321" s="235"/>
      <c r="W321" s="235"/>
      <c r="X321" s="234" t="s">
        <v>1721</v>
      </c>
      <c r="Y321" s="235"/>
    </row>
    <row r="322" spans="1:25" s="238" customFormat="1">
      <c r="A322" s="234">
        <v>319</v>
      </c>
      <c r="B322" s="235" t="s">
        <v>1509</v>
      </c>
      <c r="C322" s="235" t="s">
        <v>1488</v>
      </c>
      <c r="D322" s="235"/>
      <c r="E322" s="235" t="s">
        <v>1628</v>
      </c>
      <c r="F322" s="235" t="s">
        <v>591</v>
      </c>
      <c r="G322" s="240" t="s">
        <v>408</v>
      </c>
      <c r="H322" s="235" t="s">
        <v>405</v>
      </c>
      <c r="I322" s="215">
        <v>9130000</v>
      </c>
      <c r="J322" s="237">
        <v>44811</v>
      </c>
      <c r="K322" s="237">
        <v>44811</v>
      </c>
      <c r="L322" s="237">
        <v>44811</v>
      </c>
      <c r="M322" s="237">
        <v>44818</v>
      </c>
      <c r="N322" s="235"/>
      <c r="O322" s="235" t="s">
        <v>596</v>
      </c>
      <c r="P322" s="235"/>
      <c r="Q322" s="235"/>
      <c r="R322" s="235"/>
      <c r="S322" s="235"/>
      <c r="T322" s="235"/>
      <c r="U322" s="235"/>
      <c r="V322" s="235"/>
      <c r="W322" s="235"/>
      <c r="X322" s="234"/>
      <c r="Y322" s="235"/>
    </row>
    <row r="323" spans="1:25" s="238" customFormat="1">
      <c r="A323" s="234">
        <v>320</v>
      </c>
      <c r="B323" s="235" t="s">
        <v>1594</v>
      </c>
      <c r="C323" s="235" t="s">
        <v>1595</v>
      </c>
      <c r="D323" s="235" t="s">
        <v>407</v>
      </c>
      <c r="E323" s="235" t="s">
        <v>1598</v>
      </c>
      <c r="F323" s="235" t="s">
        <v>591</v>
      </c>
      <c r="G323" s="240" t="s">
        <v>408</v>
      </c>
      <c r="H323" s="235" t="s">
        <v>405</v>
      </c>
      <c r="I323" s="215">
        <v>2200000</v>
      </c>
      <c r="J323" s="237">
        <v>44811</v>
      </c>
      <c r="K323" s="237">
        <v>44840</v>
      </c>
      <c r="L323" s="237">
        <v>44887</v>
      </c>
      <c r="M323" s="237">
        <v>44896</v>
      </c>
      <c r="N323" s="235"/>
      <c r="O323" s="235" t="s">
        <v>590</v>
      </c>
      <c r="P323" s="235"/>
      <c r="Q323" s="235"/>
      <c r="R323" s="235"/>
      <c r="S323" s="235"/>
      <c r="T323" s="235"/>
      <c r="U323" s="235"/>
      <c r="V323" s="235"/>
      <c r="W323" s="235"/>
      <c r="X323" s="234" t="s">
        <v>1687</v>
      </c>
      <c r="Y323" s="235"/>
    </row>
    <row r="324" spans="1:25" s="238" customFormat="1">
      <c r="A324" s="234">
        <v>321</v>
      </c>
      <c r="B324" s="235" t="s">
        <v>412</v>
      </c>
      <c r="C324" s="235" t="s">
        <v>1596</v>
      </c>
      <c r="D324" s="235" t="s">
        <v>1292</v>
      </c>
      <c r="E324" s="235" t="s">
        <v>1599</v>
      </c>
      <c r="F324" s="235" t="s">
        <v>591</v>
      </c>
      <c r="G324" s="240" t="s">
        <v>408</v>
      </c>
      <c r="H324" s="235" t="s">
        <v>405</v>
      </c>
      <c r="I324" s="215">
        <v>5500000</v>
      </c>
      <c r="J324" s="237">
        <v>44811</v>
      </c>
      <c r="K324" s="237">
        <v>44855</v>
      </c>
      <c r="L324" s="237">
        <v>44824</v>
      </c>
      <c r="M324" s="237">
        <v>44826</v>
      </c>
      <c r="N324" s="235"/>
      <c r="O324" s="235" t="s">
        <v>590</v>
      </c>
      <c r="P324" s="235"/>
      <c r="Q324" s="235"/>
      <c r="R324" s="235"/>
      <c r="S324" s="235"/>
      <c r="T324" s="235"/>
      <c r="U324" s="235"/>
      <c r="V324" s="235"/>
      <c r="W324" s="235"/>
      <c r="X324" s="234" t="s">
        <v>1624</v>
      </c>
      <c r="Y324" s="235"/>
    </row>
    <row r="325" spans="1:25" s="238" customFormat="1">
      <c r="A325" s="234">
        <v>322</v>
      </c>
      <c r="B325" s="235" t="s">
        <v>1127</v>
      </c>
      <c r="C325" s="235" t="s">
        <v>1597</v>
      </c>
      <c r="D325" s="235" t="s">
        <v>807</v>
      </c>
      <c r="E325" s="235" t="s">
        <v>1600</v>
      </c>
      <c r="F325" s="235" t="s">
        <v>591</v>
      </c>
      <c r="G325" s="240" t="s">
        <v>408</v>
      </c>
      <c r="H325" s="235" t="s">
        <v>405</v>
      </c>
      <c r="I325" s="215">
        <v>4510000</v>
      </c>
      <c r="J325" s="237">
        <v>44812</v>
      </c>
      <c r="K325" s="237">
        <v>44900</v>
      </c>
      <c r="L325" s="237">
        <v>44823</v>
      </c>
      <c r="M325" s="237">
        <v>44825</v>
      </c>
      <c r="N325" s="235"/>
      <c r="O325" s="235" t="s">
        <v>590</v>
      </c>
      <c r="P325" s="235"/>
      <c r="Q325" s="235"/>
      <c r="R325" s="235"/>
      <c r="S325" s="235"/>
      <c r="T325" s="235"/>
      <c r="U325" s="235"/>
      <c r="V325" s="235"/>
      <c r="W325" s="235"/>
      <c r="X325" s="234" t="s">
        <v>1753</v>
      </c>
      <c r="Y325" s="235"/>
    </row>
    <row r="326" spans="1:25" s="238" customFormat="1">
      <c r="A326" s="234">
        <v>323</v>
      </c>
      <c r="B326" s="235" t="s">
        <v>581</v>
      </c>
      <c r="C326" s="235" t="s">
        <v>1618</v>
      </c>
      <c r="D326" s="235" t="s">
        <v>952</v>
      </c>
      <c r="E326" s="235" t="s">
        <v>1619</v>
      </c>
      <c r="F326" s="235" t="s">
        <v>591</v>
      </c>
      <c r="G326" s="240" t="s">
        <v>408</v>
      </c>
      <c r="H326" s="235" t="s">
        <v>405</v>
      </c>
      <c r="I326" s="215">
        <v>13200000</v>
      </c>
      <c r="J326" s="237">
        <v>44812</v>
      </c>
      <c r="K326" s="237">
        <v>44900</v>
      </c>
      <c r="L326" s="237">
        <v>44882</v>
      </c>
      <c r="M326" s="237">
        <v>44895</v>
      </c>
      <c r="N326" s="235"/>
      <c r="O326" s="235" t="s">
        <v>590</v>
      </c>
      <c r="P326" s="235"/>
      <c r="Q326" s="235"/>
      <c r="R326" s="235"/>
      <c r="S326" s="235"/>
      <c r="T326" s="235"/>
      <c r="U326" s="235"/>
      <c r="V326" s="235"/>
      <c r="W326" s="235"/>
      <c r="X326" s="234" t="s">
        <v>1754</v>
      </c>
      <c r="Y326" s="235"/>
    </row>
    <row r="327" spans="1:25" s="238" customFormat="1">
      <c r="A327" s="234">
        <v>324</v>
      </c>
      <c r="B327" s="235" t="s">
        <v>1441</v>
      </c>
      <c r="C327" s="235" t="s">
        <v>780</v>
      </c>
      <c r="D327" s="235" t="s">
        <v>406</v>
      </c>
      <c r="E327" s="235" t="s">
        <v>1627</v>
      </c>
      <c r="F327" s="235" t="s">
        <v>502</v>
      </c>
      <c r="G327" s="240" t="s">
        <v>408</v>
      </c>
      <c r="H327" s="235" t="s">
        <v>405</v>
      </c>
      <c r="I327" s="215">
        <v>1749000</v>
      </c>
      <c r="J327" s="237">
        <v>44806</v>
      </c>
      <c r="K327" s="235" t="s">
        <v>713</v>
      </c>
      <c r="L327" s="237">
        <v>44819</v>
      </c>
      <c r="M327" s="237">
        <v>44820</v>
      </c>
      <c r="N327" s="235"/>
      <c r="O327" s="235" t="s">
        <v>590</v>
      </c>
      <c r="P327" s="235"/>
      <c r="Q327" s="235"/>
      <c r="R327" s="235"/>
      <c r="S327" s="235"/>
      <c r="T327" s="235"/>
      <c r="U327" s="235"/>
      <c r="V327" s="235"/>
      <c r="W327" s="235"/>
      <c r="X327" s="234" t="s">
        <v>864</v>
      </c>
      <c r="Y327" s="235"/>
    </row>
    <row r="328" spans="1:25" s="238" customFormat="1">
      <c r="A328" s="234">
        <v>325</v>
      </c>
      <c r="B328" s="235" t="s">
        <v>1622</v>
      </c>
      <c r="C328" s="235" t="s">
        <v>1623</v>
      </c>
      <c r="D328" s="235" t="s">
        <v>407</v>
      </c>
      <c r="E328" s="235" t="s">
        <v>1373</v>
      </c>
      <c r="F328" s="235" t="s">
        <v>591</v>
      </c>
      <c r="G328" s="240" t="s">
        <v>408</v>
      </c>
      <c r="H328" s="235" t="s">
        <v>405</v>
      </c>
      <c r="I328" s="215">
        <v>17820000</v>
      </c>
      <c r="J328" s="237">
        <v>44818</v>
      </c>
      <c r="K328" s="235"/>
      <c r="L328" s="237">
        <v>44921</v>
      </c>
      <c r="M328" s="237">
        <v>44921</v>
      </c>
      <c r="N328" s="235"/>
      <c r="O328" s="235" t="s">
        <v>590</v>
      </c>
      <c r="P328" s="235"/>
      <c r="Q328" s="235"/>
      <c r="R328" s="235"/>
      <c r="S328" s="235"/>
      <c r="T328" s="235"/>
      <c r="U328" s="235"/>
      <c r="V328" s="235"/>
      <c r="W328" s="235"/>
      <c r="X328" s="262" t="s">
        <v>2124</v>
      </c>
      <c r="Y328" s="235"/>
    </row>
    <row r="329" spans="1:25" s="238" customFormat="1">
      <c r="A329" s="234">
        <v>326</v>
      </c>
      <c r="B329" s="235" t="s">
        <v>1395</v>
      </c>
      <c r="C329" s="235" t="s">
        <v>1630</v>
      </c>
      <c r="D329" s="235" t="s">
        <v>711</v>
      </c>
      <c r="E329" s="235" t="s">
        <v>1861</v>
      </c>
      <c r="F329" s="235" t="s">
        <v>591</v>
      </c>
      <c r="G329" s="240" t="s">
        <v>408</v>
      </c>
      <c r="H329" s="235" t="s">
        <v>405</v>
      </c>
      <c r="I329" s="215">
        <v>4290000</v>
      </c>
      <c r="J329" s="237">
        <v>44819</v>
      </c>
      <c r="K329" s="235" t="s">
        <v>713</v>
      </c>
      <c r="L329" s="237">
        <v>44855</v>
      </c>
      <c r="M329" s="237">
        <v>44869</v>
      </c>
      <c r="N329" s="235"/>
      <c r="O329" s="235" t="s">
        <v>735</v>
      </c>
      <c r="P329" s="235"/>
      <c r="Q329" s="235"/>
      <c r="R329" s="235"/>
      <c r="S329" s="235"/>
      <c r="T329" s="235"/>
      <c r="U329" s="235"/>
      <c r="V329" s="235"/>
      <c r="W329" s="235"/>
      <c r="X329" s="234" t="s">
        <v>1638</v>
      </c>
      <c r="Y329" s="235"/>
    </row>
    <row r="330" spans="1:25" s="238" customFormat="1">
      <c r="A330" s="234">
        <v>327</v>
      </c>
      <c r="B330" s="235" t="s">
        <v>512</v>
      </c>
      <c r="C330" s="235" t="s">
        <v>964</v>
      </c>
      <c r="D330" s="235" t="s">
        <v>1168</v>
      </c>
      <c r="E330" s="235" t="s">
        <v>2195</v>
      </c>
      <c r="F330" s="235" t="s">
        <v>591</v>
      </c>
      <c r="G330" s="240" t="s">
        <v>408</v>
      </c>
      <c r="H330" s="235" t="s">
        <v>405</v>
      </c>
      <c r="I330" s="215">
        <v>23596100</v>
      </c>
      <c r="J330" s="237">
        <v>44820</v>
      </c>
      <c r="K330" s="237">
        <v>44926</v>
      </c>
      <c r="L330" s="237">
        <v>44861</v>
      </c>
      <c r="M330" s="237">
        <v>44865</v>
      </c>
      <c r="N330" s="235"/>
      <c r="O330" s="235" t="s">
        <v>1783</v>
      </c>
      <c r="P330" s="235"/>
      <c r="Q330" s="235"/>
      <c r="R330" s="235"/>
      <c r="S330" s="235"/>
      <c r="T330" s="235"/>
      <c r="U330" s="235"/>
      <c r="V330" s="235"/>
      <c r="W330" s="235"/>
      <c r="X330" s="234" t="s">
        <v>1774</v>
      </c>
      <c r="Y330" s="235"/>
    </row>
    <row r="331" spans="1:25" s="238" customFormat="1">
      <c r="A331" s="234">
        <v>328</v>
      </c>
      <c r="B331" s="235" t="s">
        <v>1647</v>
      </c>
      <c r="C331" s="235" t="s">
        <v>757</v>
      </c>
      <c r="D331" s="235" t="s">
        <v>786</v>
      </c>
      <c r="E331" s="235" t="s">
        <v>1631</v>
      </c>
      <c r="F331" s="235" t="s">
        <v>591</v>
      </c>
      <c r="G331" s="240" t="s">
        <v>408</v>
      </c>
      <c r="H331" s="235" t="s">
        <v>405</v>
      </c>
      <c r="I331" s="215">
        <v>1870000</v>
      </c>
      <c r="J331" s="237">
        <v>44823</v>
      </c>
      <c r="K331" s="235" t="s">
        <v>713</v>
      </c>
      <c r="L331" s="237">
        <v>44830</v>
      </c>
      <c r="M331" s="237">
        <v>44833</v>
      </c>
      <c r="N331" s="235"/>
      <c r="O331" s="235" t="s">
        <v>735</v>
      </c>
      <c r="P331" s="235"/>
      <c r="Q331" s="235"/>
      <c r="R331" s="235"/>
      <c r="S331" s="235"/>
      <c r="T331" s="235"/>
      <c r="U331" s="235"/>
      <c r="V331" s="235"/>
      <c r="W331" s="235"/>
      <c r="X331" s="234" t="s">
        <v>1760</v>
      </c>
      <c r="Y331" s="235"/>
    </row>
    <row r="332" spans="1:25" s="238" customFormat="1">
      <c r="A332" s="234">
        <v>329</v>
      </c>
      <c r="B332" s="235" t="s">
        <v>1509</v>
      </c>
      <c r="C332" s="235" t="s">
        <v>1488</v>
      </c>
      <c r="D332" s="235" t="s">
        <v>406</v>
      </c>
      <c r="E332" s="235" t="s">
        <v>1635</v>
      </c>
      <c r="F332" s="235" t="s">
        <v>591</v>
      </c>
      <c r="G332" s="235" t="s">
        <v>408</v>
      </c>
      <c r="H332" s="235" t="s">
        <v>405</v>
      </c>
      <c r="I332" s="215">
        <v>2321000</v>
      </c>
      <c r="J332" s="237">
        <v>44823</v>
      </c>
      <c r="K332" s="235" t="s">
        <v>713</v>
      </c>
      <c r="L332" s="235" t="s">
        <v>1706</v>
      </c>
      <c r="M332" s="235" t="s">
        <v>1699</v>
      </c>
      <c r="N332" s="235"/>
      <c r="O332" s="235" t="s">
        <v>715</v>
      </c>
      <c r="P332" s="235"/>
      <c r="Q332" s="235"/>
      <c r="R332" s="235"/>
      <c r="S332" s="235"/>
      <c r="T332" s="235"/>
      <c r="U332" s="235"/>
      <c r="V332" s="235"/>
      <c r="W332" s="235"/>
      <c r="X332" s="234" t="s">
        <v>1733</v>
      </c>
      <c r="Y332" s="235"/>
    </row>
    <row r="333" spans="1:25" s="238" customFormat="1">
      <c r="A333" s="234">
        <v>330</v>
      </c>
      <c r="B333" s="235" t="s">
        <v>412</v>
      </c>
      <c r="C333" s="235" t="s">
        <v>1633</v>
      </c>
      <c r="D333" s="235" t="s">
        <v>686</v>
      </c>
      <c r="E333" s="235" t="s">
        <v>1689</v>
      </c>
      <c r="F333" s="235" t="s">
        <v>591</v>
      </c>
      <c r="G333" s="235" t="s">
        <v>408</v>
      </c>
      <c r="H333" s="235" t="s">
        <v>405</v>
      </c>
      <c r="I333" s="215">
        <v>3300000</v>
      </c>
      <c r="J333" s="237">
        <v>44823</v>
      </c>
      <c r="K333" s="237">
        <v>44841</v>
      </c>
      <c r="L333" s="237">
        <v>44834</v>
      </c>
      <c r="M333" s="237">
        <v>44840</v>
      </c>
      <c r="N333" s="235"/>
      <c r="O333" s="235" t="s">
        <v>596</v>
      </c>
      <c r="P333" s="235"/>
      <c r="Q333" s="235"/>
      <c r="R333" s="235"/>
      <c r="S333" s="235"/>
      <c r="T333" s="235"/>
      <c r="U333" s="235"/>
      <c r="V333" s="235"/>
      <c r="W333" s="235"/>
      <c r="X333" s="234" t="s">
        <v>1690</v>
      </c>
      <c r="Y333" s="235"/>
    </row>
    <row r="334" spans="1:25" s="238" customFormat="1">
      <c r="A334" s="234">
        <v>331</v>
      </c>
      <c r="B334" s="235" t="s">
        <v>696</v>
      </c>
      <c r="C334" s="235" t="s">
        <v>697</v>
      </c>
      <c r="D334" s="235" t="s">
        <v>711</v>
      </c>
      <c r="E334" s="235" t="s">
        <v>1632</v>
      </c>
      <c r="F334" s="235" t="s">
        <v>591</v>
      </c>
      <c r="G334" s="240" t="s">
        <v>408</v>
      </c>
      <c r="H334" s="235" t="s">
        <v>405</v>
      </c>
      <c r="I334" s="215">
        <v>1320000</v>
      </c>
      <c r="J334" s="237">
        <v>44820</v>
      </c>
      <c r="K334" s="235" t="s">
        <v>713</v>
      </c>
      <c r="L334" s="237">
        <v>44820</v>
      </c>
      <c r="M334" s="237">
        <v>44915</v>
      </c>
      <c r="N334" s="235"/>
      <c r="O334" s="235" t="s">
        <v>596</v>
      </c>
      <c r="P334" s="235"/>
      <c r="Q334" s="235"/>
      <c r="R334" s="235"/>
      <c r="S334" s="235"/>
      <c r="T334" s="235"/>
      <c r="U334" s="235"/>
      <c r="V334" s="235"/>
      <c r="W334" s="235"/>
      <c r="X334" s="234" t="s">
        <v>1634</v>
      </c>
      <c r="Y334" s="235"/>
    </row>
    <row r="335" spans="1:25" s="238" customFormat="1">
      <c r="A335" s="234">
        <v>332</v>
      </c>
      <c r="B335" s="235" t="s">
        <v>1640</v>
      </c>
      <c r="C335" s="235" t="s">
        <v>1642</v>
      </c>
      <c r="D335" s="235" t="s">
        <v>665</v>
      </c>
      <c r="E335" s="235" t="s">
        <v>1643</v>
      </c>
      <c r="F335" s="235" t="s">
        <v>591</v>
      </c>
      <c r="G335" s="240" t="s">
        <v>408</v>
      </c>
      <c r="H335" s="235" t="s">
        <v>405</v>
      </c>
      <c r="I335" s="215">
        <v>3960000</v>
      </c>
      <c r="J335" s="237">
        <v>44824</v>
      </c>
      <c r="K335" s="235"/>
      <c r="L335" s="237">
        <v>44872</v>
      </c>
      <c r="M335" s="237">
        <v>44916</v>
      </c>
      <c r="N335" s="235"/>
      <c r="O335" s="235" t="s">
        <v>735</v>
      </c>
      <c r="P335" s="235"/>
      <c r="Q335" s="235"/>
      <c r="R335" s="235"/>
      <c r="S335" s="235"/>
      <c r="T335" s="235"/>
      <c r="U335" s="235"/>
      <c r="V335" s="235"/>
      <c r="W335" s="235"/>
      <c r="X335" s="234" t="s">
        <v>1842</v>
      </c>
      <c r="Y335" s="235"/>
    </row>
    <row r="336" spans="1:25" s="238" customFormat="1">
      <c r="A336" s="234">
        <v>333</v>
      </c>
      <c r="B336" s="235" t="s">
        <v>412</v>
      </c>
      <c r="C336" s="235" t="s">
        <v>1019</v>
      </c>
      <c r="D336" s="235" t="s">
        <v>807</v>
      </c>
      <c r="E336" s="235" t="s">
        <v>1644</v>
      </c>
      <c r="F336" s="235" t="s">
        <v>591</v>
      </c>
      <c r="G336" s="240" t="s">
        <v>408</v>
      </c>
      <c r="H336" s="235" t="s">
        <v>405</v>
      </c>
      <c r="I336" s="215">
        <v>1430000</v>
      </c>
      <c r="J336" s="237">
        <v>44824</v>
      </c>
      <c r="K336" s="235" t="s">
        <v>713</v>
      </c>
      <c r="L336" s="237">
        <v>44825</v>
      </c>
      <c r="M336" s="237">
        <v>44826</v>
      </c>
      <c r="N336" s="235"/>
      <c r="O336" s="235" t="s">
        <v>590</v>
      </c>
      <c r="P336" s="235"/>
      <c r="Q336" s="235"/>
      <c r="R336" s="235"/>
      <c r="S336" s="235"/>
      <c r="T336" s="235"/>
      <c r="U336" s="235"/>
      <c r="V336" s="235"/>
      <c r="W336" s="235"/>
      <c r="X336" s="234" t="s">
        <v>1662</v>
      </c>
      <c r="Y336" s="235"/>
    </row>
    <row r="337" spans="1:25" s="238" customFormat="1">
      <c r="A337" s="234">
        <v>334</v>
      </c>
      <c r="B337" s="235" t="s">
        <v>705</v>
      </c>
      <c r="C337" s="235" t="s">
        <v>1641</v>
      </c>
      <c r="D337" s="235" t="s">
        <v>407</v>
      </c>
      <c r="E337" s="235" t="s">
        <v>1645</v>
      </c>
      <c r="F337" s="235" t="s">
        <v>591</v>
      </c>
      <c r="G337" s="240" t="s">
        <v>408</v>
      </c>
      <c r="H337" s="235" t="s">
        <v>405</v>
      </c>
      <c r="I337" s="215">
        <v>38280000</v>
      </c>
      <c r="J337" s="237">
        <v>44824</v>
      </c>
      <c r="K337" s="235" t="s">
        <v>713</v>
      </c>
      <c r="L337" s="237">
        <v>44824</v>
      </c>
      <c r="M337" s="237">
        <v>44827</v>
      </c>
      <c r="N337" s="235"/>
      <c r="O337" s="235" t="s">
        <v>1678</v>
      </c>
      <c r="P337" s="235"/>
      <c r="Q337" s="235"/>
      <c r="R337" s="235"/>
      <c r="S337" s="235"/>
      <c r="T337" s="235"/>
      <c r="U337" s="235"/>
      <c r="V337" s="235"/>
      <c r="W337" s="235"/>
      <c r="X337" s="234" t="s">
        <v>2158</v>
      </c>
      <c r="Y337" s="235"/>
    </row>
    <row r="338" spans="1:25" s="238" customFormat="1">
      <c r="A338" s="234">
        <v>335</v>
      </c>
      <c r="B338" s="235" t="s">
        <v>722</v>
      </c>
      <c r="C338" s="235" t="s">
        <v>1293</v>
      </c>
      <c r="D338" s="235" t="s">
        <v>406</v>
      </c>
      <c r="E338" s="235" t="s">
        <v>1646</v>
      </c>
      <c r="F338" s="235" t="s">
        <v>591</v>
      </c>
      <c r="G338" s="240" t="s">
        <v>408</v>
      </c>
      <c r="H338" s="235" t="s">
        <v>405</v>
      </c>
      <c r="I338" s="215">
        <v>2710000</v>
      </c>
      <c r="J338" s="237">
        <v>44825</v>
      </c>
      <c r="K338" s="235" t="s">
        <v>713</v>
      </c>
      <c r="L338" s="237">
        <v>44831</v>
      </c>
      <c r="M338" s="237">
        <v>44832</v>
      </c>
      <c r="N338" s="235"/>
      <c r="O338" s="235" t="s">
        <v>1590</v>
      </c>
      <c r="P338" s="235"/>
      <c r="Q338" s="235"/>
      <c r="R338" s="235"/>
      <c r="S338" s="235"/>
      <c r="T338" s="235"/>
      <c r="U338" s="235"/>
      <c r="V338" s="235"/>
      <c r="W338" s="235"/>
      <c r="X338" s="234"/>
      <c r="Y338" s="235"/>
    </row>
    <row r="339" spans="1:25" s="238" customFormat="1">
      <c r="A339" s="234">
        <v>336</v>
      </c>
      <c r="B339" s="235" t="s">
        <v>1040</v>
      </c>
      <c r="C339" s="235" t="s">
        <v>1648</v>
      </c>
      <c r="D339" s="235" t="s">
        <v>1105</v>
      </c>
      <c r="E339" s="235" t="s">
        <v>1649</v>
      </c>
      <c r="F339" s="235" t="s">
        <v>591</v>
      </c>
      <c r="G339" s="240" t="s">
        <v>408</v>
      </c>
      <c r="H339" s="235" t="s">
        <v>405</v>
      </c>
      <c r="I339" s="215">
        <v>13530000</v>
      </c>
      <c r="J339" s="237">
        <v>44823</v>
      </c>
      <c r="K339" s="235" t="s">
        <v>713</v>
      </c>
      <c r="L339" s="237">
        <v>44860</v>
      </c>
      <c r="M339" s="237">
        <v>44862</v>
      </c>
      <c r="N339" s="235"/>
      <c r="O339" s="235" t="s">
        <v>596</v>
      </c>
      <c r="P339" s="235"/>
      <c r="Q339" s="235"/>
      <c r="R339" s="235"/>
      <c r="S339" s="235"/>
      <c r="T339" s="235"/>
      <c r="U339" s="235"/>
      <c r="V339" s="235"/>
      <c r="W339" s="235"/>
      <c r="X339" s="234" t="s">
        <v>1723</v>
      </c>
      <c r="Y339" s="235"/>
    </row>
    <row r="340" spans="1:25" s="238" customFormat="1">
      <c r="A340" s="234">
        <v>337</v>
      </c>
      <c r="B340" s="235" t="s">
        <v>1194</v>
      </c>
      <c r="C340" s="235" t="s">
        <v>1199</v>
      </c>
      <c r="D340" s="235" t="s">
        <v>807</v>
      </c>
      <c r="E340" s="235" t="s">
        <v>1930</v>
      </c>
      <c r="F340" s="235" t="s">
        <v>591</v>
      </c>
      <c r="G340" s="240" t="s">
        <v>408</v>
      </c>
      <c r="H340" s="235" t="s">
        <v>405</v>
      </c>
      <c r="I340" s="215">
        <v>18700000</v>
      </c>
      <c r="J340" s="237">
        <v>44827</v>
      </c>
      <c r="K340" s="235"/>
      <c r="L340" s="237">
        <v>44867</v>
      </c>
      <c r="M340" s="237">
        <v>44872</v>
      </c>
      <c r="N340" s="235"/>
      <c r="O340" s="235" t="s">
        <v>596</v>
      </c>
      <c r="P340" s="235"/>
      <c r="Q340" s="235"/>
      <c r="R340" s="235"/>
      <c r="S340" s="235"/>
      <c r="T340" s="235"/>
      <c r="U340" s="235"/>
      <c r="V340" s="235"/>
      <c r="W340" s="235"/>
      <c r="X340" s="234" t="s">
        <v>1766</v>
      </c>
      <c r="Y340" s="235"/>
    </row>
    <row r="341" spans="1:25" s="238" customFormat="1">
      <c r="A341" s="234">
        <v>338</v>
      </c>
      <c r="B341" s="235" t="s">
        <v>1208</v>
      </c>
      <c r="C341" s="235" t="s">
        <v>1653</v>
      </c>
      <c r="D341" s="235" t="s">
        <v>1105</v>
      </c>
      <c r="E341" s="235" t="s">
        <v>1649</v>
      </c>
      <c r="F341" s="235" t="s">
        <v>591</v>
      </c>
      <c r="G341" s="240" t="s">
        <v>408</v>
      </c>
      <c r="H341" s="235" t="s">
        <v>405</v>
      </c>
      <c r="I341" s="215">
        <v>13530000</v>
      </c>
      <c r="J341" s="237">
        <v>44830</v>
      </c>
      <c r="K341" s="235" t="s">
        <v>713</v>
      </c>
      <c r="L341" s="237">
        <v>44860</v>
      </c>
      <c r="M341" s="237">
        <v>44867</v>
      </c>
      <c r="N341" s="235"/>
      <c r="O341" s="235" t="s">
        <v>596</v>
      </c>
      <c r="P341" s="235"/>
      <c r="Q341" s="235"/>
      <c r="R341" s="235"/>
      <c r="S341" s="235"/>
      <c r="T341" s="235"/>
      <c r="U341" s="235"/>
      <c r="V341" s="235"/>
      <c r="W341" s="235"/>
      <c r="X341" s="235" t="s">
        <v>1722</v>
      </c>
      <c r="Y341" s="235"/>
    </row>
    <row r="342" spans="1:25" s="238" customFormat="1">
      <c r="A342" s="234">
        <v>339</v>
      </c>
      <c r="B342" s="235" t="s">
        <v>512</v>
      </c>
      <c r="C342" s="235" t="s">
        <v>870</v>
      </c>
      <c r="D342" s="235" t="s">
        <v>665</v>
      </c>
      <c r="E342" s="235" t="s">
        <v>1860</v>
      </c>
      <c r="F342" s="235" t="s">
        <v>591</v>
      </c>
      <c r="G342" s="240" t="s">
        <v>408</v>
      </c>
      <c r="H342" s="235" t="s">
        <v>405</v>
      </c>
      <c r="I342" s="215">
        <v>12320000</v>
      </c>
      <c r="J342" s="237">
        <v>44830</v>
      </c>
      <c r="K342" s="235" t="s">
        <v>713</v>
      </c>
      <c r="L342" s="237">
        <v>44867</v>
      </c>
      <c r="M342" s="237">
        <v>44868</v>
      </c>
      <c r="N342" s="235"/>
      <c r="O342" s="235" t="s">
        <v>715</v>
      </c>
      <c r="P342" s="235"/>
      <c r="Q342" s="235"/>
      <c r="R342" s="235"/>
      <c r="S342" s="235"/>
      <c r="T342" s="235"/>
      <c r="U342" s="235"/>
      <c r="V342" s="235"/>
      <c r="W342" s="235"/>
      <c r="X342" s="234" t="s">
        <v>2155</v>
      </c>
      <c r="Y342" s="235"/>
    </row>
    <row r="343" spans="1:25" s="238" customFormat="1">
      <c r="A343" s="234">
        <v>340</v>
      </c>
      <c r="B343" s="235" t="s">
        <v>512</v>
      </c>
      <c r="C343" s="235" t="s">
        <v>1400</v>
      </c>
      <c r="D343" s="235" t="s">
        <v>1319</v>
      </c>
      <c r="E343" s="235" t="s">
        <v>1660</v>
      </c>
      <c r="F343" s="235" t="s">
        <v>591</v>
      </c>
      <c r="G343" s="240" t="s">
        <v>408</v>
      </c>
      <c r="H343" s="235" t="s">
        <v>405</v>
      </c>
      <c r="I343" s="215">
        <v>11770000</v>
      </c>
      <c r="J343" s="237">
        <v>44830</v>
      </c>
      <c r="K343" s="237"/>
      <c r="L343" s="237">
        <v>44914</v>
      </c>
      <c r="M343" s="237">
        <v>44916</v>
      </c>
      <c r="N343" s="235"/>
      <c r="O343" s="235" t="s">
        <v>584</v>
      </c>
      <c r="P343" s="235"/>
      <c r="Q343" s="235"/>
      <c r="R343" s="235"/>
      <c r="S343" s="235"/>
      <c r="T343" s="235"/>
      <c r="U343" s="235"/>
      <c r="V343" s="235"/>
      <c r="W343" s="235"/>
      <c r="X343" s="234" t="s">
        <v>1841</v>
      </c>
      <c r="Y343" s="235"/>
    </row>
    <row r="344" spans="1:25" s="238" customFormat="1">
      <c r="A344" s="234">
        <v>341</v>
      </c>
      <c r="B344" s="235" t="s">
        <v>512</v>
      </c>
      <c r="C344" s="235" t="s">
        <v>1656</v>
      </c>
      <c r="D344" s="235" t="s">
        <v>665</v>
      </c>
      <c r="E344" s="235" t="s">
        <v>1659</v>
      </c>
      <c r="F344" s="235" t="s">
        <v>591</v>
      </c>
      <c r="G344" s="240" t="s">
        <v>408</v>
      </c>
      <c r="H344" s="235" t="s">
        <v>405</v>
      </c>
      <c r="I344" s="215">
        <v>2750000</v>
      </c>
      <c r="J344" s="237">
        <v>44738</v>
      </c>
      <c r="K344" s="235" t="s">
        <v>713</v>
      </c>
      <c r="L344" s="237">
        <v>44867</v>
      </c>
      <c r="M344" s="237">
        <v>44883</v>
      </c>
      <c r="N344" s="235"/>
      <c r="O344" s="235" t="s">
        <v>715</v>
      </c>
      <c r="P344" s="235"/>
      <c r="Q344" s="235"/>
      <c r="R344" s="235"/>
      <c r="S344" s="235"/>
      <c r="T344" s="235"/>
      <c r="U344" s="235"/>
      <c r="V344" s="235"/>
      <c r="W344" s="235"/>
      <c r="X344" s="234" t="s">
        <v>1840</v>
      </c>
      <c r="Y344" s="235"/>
    </row>
    <row r="345" spans="1:25" s="238" customFormat="1">
      <c r="A345" s="234">
        <v>342</v>
      </c>
      <c r="B345" s="235" t="s">
        <v>1654</v>
      </c>
      <c r="C345" s="235" t="s">
        <v>1657</v>
      </c>
      <c r="D345" s="235" t="s">
        <v>1105</v>
      </c>
      <c r="E345" s="235" t="s">
        <v>1856</v>
      </c>
      <c r="F345" s="235" t="s">
        <v>591</v>
      </c>
      <c r="G345" s="240" t="s">
        <v>408</v>
      </c>
      <c r="H345" s="235" t="s">
        <v>405</v>
      </c>
      <c r="I345" s="215">
        <v>14586000</v>
      </c>
      <c r="J345" s="237">
        <v>44830</v>
      </c>
      <c r="K345" s="235" t="s">
        <v>713</v>
      </c>
      <c r="L345" s="237">
        <v>44860</v>
      </c>
      <c r="M345" s="237">
        <v>44867</v>
      </c>
      <c r="N345" s="235"/>
      <c r="O345" s="235" t="s">
        <v>596</v>
      </c>
      <c r="P345" s="235"/>
      <c r="Q345" s="235"/>
      <c r="R345" s="235"/>
      <c r="S345" s="235"/>
      <c r="T345" s="235"/>
      <c r="U345" s="235"/>
      <c r="V345" s="235"/>
      <c r="W345" s="235"/>
      <c r="X345" s="234" t="s">
        <v>1725</v>
      </c>
      <c r="Y345" s="235"/>
    </row>
    <row r="346" spans="1:25" s="238" customFormat="1">
      <c r="A346" s="234">
        <v>343</v>
      </c>
      <c r="B346" s="235" t="s">
        <v>1655</v>
      </c>
      <c r="C346" s="235" t="s">
        <v>1658</v>
      </c>
      <c r="D346" s="235" t="s">
        <v>1105</v>
      </c>
      <c r="E346" s="235" t="s">
        <v>1649</v>
      </c>
      <c r="F346" s="235" t="s">
        <v>591</v>
      </c>
      <c r="G346" s="240" t="s">
        <v>408</v>
      </c>
      <c r="H346" s="235" t="s">
        <v>405</v>
      </c>
      <c r="I346" s="215">
        <v>7293000</v>
      </c>
      <c r="J346" s="237">
        <v>44831</v>
      </c>
      <c r="K346" s="235" t="s">
        <v>713</v>
      </c>
      <c r="L346" s="237">
        <v>44860</v>
      </c>
      <c r="M346" s="237">
        <v>44908</v>
      </c>
      <c r="N346" s="235"/>
      <c r="O346" s="235" t="s">
        <v>596</v>
      </c>
      <c r="P346" s="235"/>
      <c r="Q346" s="235"/>
      <c r="R346" s="235"/>
      <c r="S346" s="235"/>
      <c r="T346" s="235"/>
      <c r="U346" s="235"/>
      <c r="V346" s="235"/>
      <c r="W346" s="235"/>
      <c r="X346" s="234" t="s">
        <v>1726</v>
      </c>
      <c r="Y346" s="235"/>
    </row>
    <row r="347" spans="1:25" s="238" customFormat="1">
      <c r="A347" s="234">
        <v>344</v>
      </c>
      <c r="B347" s="235" t="s">
        <v>1040</v>
      </c>
      <c r="C347" s="235" t="s">
        <v>1648</v>
      </c>
      <c r="D347" s="235" t="s">
        <v>1105</v>
      </c>
      <c r="E347" s="235" t="s">
        <v>1649</v>
      </c>
      <c r="F347" s="235" t="s">
        <v>591</v>
      </c>
      <c r="G347" s="240" t="s">
        <v>408</v>
      </c>
      <c r="H347" s="235" t="s">
        <v>405</v>
      </c>
      <c r="I347" s="215">
        <v>7293000</v>
      </c>
      <c r="J347" s="237">
        <v>44831</v>
      </c>
      <c r="K347" s="235" t="s">
        <v>713</v>
      </c>
      <c r="L347" s="237">
        <v>44860</v>
      </c>
      <c r="M347" s="237">
        <v>44862</v>
      </c>
      <c r="N347" s="235"/>
      <c r="O347" s="235" t="s">
        <v>596</v>
      </c>
      <c r="P347" s="235"/>
      <c r="Q347" s="235"/>
      <c r="R347" s="235"/>
      <c r="S347" s="235"/>
      <c r="T347" s="235"/>
      <c r="U347" s="235"/>
      <c r="V347" s="235"/>
      <c r="W347" s="235"/>
      <c r="X347" s="234" t="s">
        <v>1724</v>
      </c>
      <c r="Y347" s="235"/>
    </row>
    <row r="348" spans="1:25" s="238" customFormat="1">
      <c r="A348" s="234">
        <v>345</v>
      </c>
      <c r="B348" s="235" t="s">
        <v>1667</v>
      </c>
      <c r="C348" s="235" t="s">
        <v>1509</v>
      </c>
      <c r="D348" s="235" t="s">
        <v>407</v>
      </c>
      <c r="E348" s="235" t="s">
        <v>1668</v>
      </c>
      <c r="F348" s="235" t="s">
        <v>591</v>
      </c>
      <c r="G348" s="240" t="s">
        <v>408</v>
      </c>
      <c r="H348" s="235" t="s">
        <v>405</v>
      </c>
      <c r="I348" s="215">
        <v>26763000</v>
      </c>
      <c r="J348" s="237">
        <v>44726</v>
      </c>
      <c r="K348" s="235" t="s">
        <v>713</v>
      </c>
      <c r="L348" s="237">
        <v>44846</v>
      </c>
      <c r="M348" s="237">
        <v>44860</v>
      </c>
      <c r="N348" s="235"/>
      <c r="O348" s="235" t="s">
        <v>590</v>
      </c>
      <c r="P348" s="235"/>
      <c r="Q348" s="235"/>
      <c r="R348" s="235"/>
      <c r="S348" s="235"/>
      <c r="T348" s="235"/>
      <c r="U348" s="235"/>
      <c r="V348" s="235"/>
      <c r="W348" s="235"/>
      <c r="X348" s="234" t="s">
        <v>2069</v>
      </c>
      <c r="Y348" s="235"/>
    </row>
    <row r="349" spans="1:25" s="238" customFormat="1">
      <c r="A349" s="234">
        <v>346</v>
      </c>
      <c r="B349" s="235" t="s">
        <v>512</v>
      </c>
      <c r="C349" s="235" t="s">
        <v>757</v>
      </c>
      <c r="D349" s="235" t="s">
        <v>1292</v>
      </c>
      <c r="E349" s="235" t="s">
        <v>1669</v>
      </c>
      <c r="F349" s="235" t="s">
        <v>591</v>
      </c>
      <c r="G349" s="240" t="s">
        <v>408</v>
      </c>
      <c r="H349" s="235" t="s">
        <v>405</v>
      </c>
      <c r="I349" s="215">
        <v>3916000</v>
      </c>
      <c r="J349" s="237">
        <v>44833</v>
      </c>
      <c r="K349" s="235" t="s">
        <v>408</v>
      </c>
      <c r="L349" s="237">
        <v>44881</v>
      </c>
      <c r="M349" s="237">
        <v>44882</v>
      </c>
      <c r="N349" s="235"/>
      <c r="O349" s="235" t="s">
        <v>738</v>
      </c>
      <c r="P349" s="235"/>
      <c r="Q349" s="235"/>
      <c r="R349" s="235"/>
      <c r="S349" s="235"/>
      <c r="T349" s="235"/>
      <c r="U349" s="235"/>
      <c r="V349" s="235"/>
      <c r="W349" s="235"/>
      <c r="X349" s="234" t="s">
        <v>1934</v>
      </c>
      <c r="Y349" s="235"/>
    </row>
    <row r="350" spans="1:25" s="238" customFormat="1">
      <c r="A350" s="234">
        <v>347</v>
      </c>
      <c r="B350" s="235" t="s">
        <v>512</v>
      </c>
      <c r="C350" s="235" t="s">
        <v>870</v>
      </c>
      <c r="D350" s="235" t="s">
        <v>665</v>
      </c>
      <c r="E350" s="235" t="s">
        <v>1670</v>
      </c>
      <c r="F350" s="235" t="s">
        <v>591</v>
      </c>
      <c r="G350" s="240" t="s">
        <v>408</v>
      </c>
      <c r="H350" s="235" t="s">
        <v>405</v>
      </c>
      <c r="I350" s="215">
        <v>8250000</v>
      </c>
      <c r="J350" s="237">
        <v>44834</v>
      </c>
      <c r="K350" s="235"/>
      <c r="L350" s="237">
        <v>44908</v>
      </c>
      <c r="M350" s="237">
        <v>44910</v>
      </c>
      <c r="N350" s="235"/>
      <c r="O350" s="235" t="s">
        <v>715</v>
      </c>
      <c r="P350" s="235"/>
      <c r="Q350" s="235"/>
      <c r="R350" s="235"/>
      <c r="S350" s="235"/>
      <c r="T350" s="235"/>
      <c r="U350" s="235"/>
      <c r="V350" s="235"/>
      <c r="W350" s="235"/>
      <c r="X350" s="234" t="s">
        <v>2048</v>
      </c>
      <c r="Y350" s="235"/>
    </row>
    <row r="351" spans="1:25" s="238" customFormat="1">
      <c r="A351" s="234">
        <v>348</v>
      </c>
      <c r="B351" s="235" t="s">
        <v>1194</v>
      </c>
      <c r="C351" s="235" t="s">
        <v>1199</v>
      </c>
      <c r="D351" s="235" t="s">
        <v>586</v>
      </c>
      <c r="E351" s="235" t="s">
        <v>1671</v>
      </c>
      <c r="F351" s="235" t="s">
        <v>591</v>
      </c>
      <c r="G351" s="235" t="s">
        <v>408</v>
      </c>
      <c r="H351" s="235" t="s">
        <v>405</v>
      </c>
      <c r="I351" s="215">
        <v>37840000</v>
      </c>
      <c r="J351" s="237">
        <v>44838</v>
      </c>
      <c r="K351" s="235"/>
      <c r="L351" s="235"/>
      <c r="M351" s="235"/>
      <c r="N351" s="235"/>
      <c r="O351" s="235" t="s">
        <v>596</v>
      </c>
      <c r="P351" s="235"/>
      <c r="Q351" s="235"/>
      <c r="R351" s="235"/>
      <c r="S351" s="235"/>
      <c r="T351" s="235"/>
      <c r="U351" s="235"/>
      <c r="V351" s="235"/>
      <c r="W351" s="235"/>
      <c r="X351" s="234" t="s">
        <v>2146</v>
      </c>
      <c r="Y351" s="235"/>
    </row>
    <row r="352" spans="1:25" s="238" customFormat="1">
      <c r="A352" s="234">
        <v>349</v>
      </c>
      <c r="B352" s="235" t="s">
        <v>419</v>
      </c>
      <c r="C352" s="235" t="s">
        <v>1672</v>
      </c>
      <c r="D352" s="235" t="s">
        <v>665</v>
      </c>
      <c r="E352" s="235" t="s">
        <v>1673</v>
      </c>
      <c r="F352" s="235" t="s">
        <v>591</v>
      </c>
      <c r="G352" s="235" t="s">
        <v>408</v>
      </c>
      <c r="H352" s="235" t="s">
        <v>405</v>
      </c>
      <c r="I352" s="215">
        <v>82863000</v>
      </c>
      <c r="J352" s="237">
        <v>44834</v>
      </c>
      <c r="K352" s="237">
        <v>44848</v>
      </c>
      <c r="L352" s="237">
        <v>44851</v>
      </c>
      <c r="M352" s="237">
        <v>44859</v>
      </c>
      <c r="N352" s="235"/>
      <c r="O352" s="235" t="s">
        <v>590</v>
      </c>
      <c r="P352" s="235"/>
      <c r="Q352" s="235"/>
      <c r="R352" s="235"/>
      <c r="S352" s="235"/>
      <c r="T352" s="235"/>
      <c r="U352" s="235"/>
      <c r="V352" s="235"/>
      <c r="W352" s="235"/>
      <c r="X352" s="234" t="s">
        <v>1780</v>
      </c>
      <c r="Y352" s="235"/>
    </row>
    <row r="353" spans="1:25" s="238" customFormat="1">
      <c r="A353" s="234">
        <v>350</v>
      </c>
      <c r="B353" s="235" t="s">
        <v>512</v>
      </c>
      <c r="C353" s="235" t="s">
        <v>870</v>
      </c>
      <c r="D353" s="235" t="s">
        <v>413</v>
      </c>
      <c r="E353" s="235" t="s">
        <v>1859</v>
      </c>
      <c r="F353" s="235" t="s">
        <v>591</v>
      </c>
      <c r="G353" s="235" t="s">
        <v>408</v>
      </c>
      <c r="H353" s="235" t="s">
        <v>405</v>
      </c>
      <c r="I353" s="215">
        <v>20020000</v>
      </c>
      <c r="J353" s="237">
        <v>44838</v>
      </c>
      <c r="K353" s="235" t="s">
        <v>713</v>
      </c>
      <c r="L353" s="237">
        <v>44867</v>
      </c>
      <c r="M353" s="237">
        <v>44868</v>
      </c>
      <c r="N353" s="235"/>
      <c r="O353" s="235" t="s">
        <v>715</v>
      </c>
      <c r="P353" s="235"/>
      <c r="Q353" s="235"/>
      <c r="R353" s="235"/>
      <c r="S353" s="235"/>
      <c r="T353" s="235"/>
      <c r="U353" s="235"/>
      <c r="V353" s="235"/>
      <c r="W353" s="235"/>
      <c r="X353" s="234" t="s">
        <v>1846</v>
      </c>
      <c r="Y353" s="235"/>
    </row>
    <row r="354" spans="1:25" s="238" customFormat="1">
      <c r="A354" s="234">
        <v>351</v>
      </c>
      <c r="B354" s="235" t="s">
        <v>1675</v>
      </c>
      <c r="C354" s="235" t="s">
        <v>1676</v>
      </c>
      <c r="D354" s="235" t="s">
        <v>1677</v>
      </c>
      <c r="E354" s="235" t="s">
        <v>1928</v>
      </c>
      <c r="F354" s="235" t="s">
        <v>591</v>
      </c>
      <c r="G354" s="235" t="s">
        <v>408</v>
      </c>
      <c r="H354" s="235" t="s">
        <v>405</v>
      </c>
      <c r="I354" s="215">
        <v>7700000</v>
      </c>
      <c r="J354" s="237">
        <v>44839</v>
      </c>
      <c r="K354" s="235"/>
      <c r="L354" s="237">
        <v>44868</v>
      </c>
      <c r="M354" s="237">
        <v>44873</v>
      </c>
      <c r="N354" s="235"/>
      <c r="O354" s="235" t="s">
        <v>1678</v>
      </c>
      <c r="P354" s="235"/>
      <c r="Q354" s="235"/>
      <c r="R354" s="235"/>
      <c r="S354" s="235"/>
      <c r="T354" s="235"/>
      <c r="U354" s="235"/>
      <c r="V354" s="235"/>
      <c r="W354" s="235"/>
      <c r="X354" s="234" t="s">
        <v>2145</v>
      </c>
      <c r="Y354" s="235"/>
    </row>
    <row r="355" spans="1:25" s="238" customFormat="1">
      <c r="A355" s="234">
        <v>352</v>
      </c>
      <c r="B355" s="235" t="s">
        <v>892</v>
      </c>
      <c r="C355" s="235" t="s">
        <v>1679</v>
      </c>
      <c r="D355" s="235" t="s">
        <v>1105</v>
      </c>
      <c r="E355" s="235" t="s">
        <v>1680</v>
      </c>
      <c r="F355" s="235" t="s">
        <v>591</v>
      </c>
      <c r="G355" s="235" t="s">
        <v>408</v>
      </c>
      <c r="H355" s="235" t="s">
        <v>405</v>
      </c>
      <c r="I355" s="215">
        <v>38500000</v>
      </c>
      <c r="J355" s="237">
        <v>44839</v>
      </c>
      <c r="K355" s="235" t="s">
        <v>713</v>
      </c>
      <c r="L355" s="237">
        <v>44860</v>
      </c>
      <c r="M355" s="237">
        <v>44861</v>
      </c>
      <c r="N355" s="235"/>
      <c r="O355" s="235" t="s">
        <v>596</v>
      </c>
      <c r="P355" s="235"/>
      <c r="Q355" s="235"/>
      <c r="R355" s="235"/>
      <c r="S355" s="235"/>
      <c r="T355" s="235"/>
      <c r="U355" s="235"/>
      <c r="V355" s="235"/>
      <c r="W355" s="235"/>
      <c r="X355" s="234" t="s">
        <v>1767</v>
      </c>
      <c r="Y355" s="235"/>
    </row>
    <row r="356" spans="1:25" s="238" customFormat="1">
      <c r="A356" s="234">
        <v>353</v>
      </c>
      <c r="B356" s="235" t="s">
        <v>1681</v>
      </c>
      <c r="C356" s="235" t="s">
        <v>1682</v>
      </c>
      <c r="D356" s="235" t="s">
        <v>678</v>
      </c>
      <c r="E356" s="235" t="s">
        <v>1683</v>
      </c>
      <c r="F356" s="235" t="s">
        <v>591</v>
      </c>
      <c r="G356" s="235" t="s">
        <v>408</v>
      </c>
      <c r="H356" s="235" t="s">
        <v>405</v>
      </c>
      <c r="I356" s="215">
        <v>2310000</v>
      </c>
      <c r="J356" s="237">
        <v>44839</v>
      </c>
      <c r="K356" s="235" t="s">
        <v>713</v>
      </c>
      <c r="L356" s="237">
        <v>44860</v>
      </c>
      <c r="M356" s="237">
        <v>44883</v>
      </c>
      <c r="N356" s="235"/>
      <c r="O356" s="235" t="s">
        <v>735</v>
      </c>
      <c r="P356" s="235"/>
      <c r="Q356" s="235"/>
      <c r="R356" s="235"/>
      <c r="S356" s="235"/>
      <c r="T356" s="235"/>
      <c r="U356" s="235"/>
      <c r="V356" s="235"/>
      <c r="W356" s="235"/>
      <c r="X356" s="234" t="s">
        <v>1805</v>
      </c>
      <c r="Y356" s="235"/>
    </row>
    <row r="357" spans="1:25" s="238" customFormat="1">
      <c r="A357" s="234">
        <v>354</v>
      </c>
      <c r="B357" s="235" t="s">
        <v>934</v>
      </c>
      <c r="C357" s="235" t="s">
        <v>1434</v>
      </c>
      <c r="D357" s="235" t="s">
        <v>1271</v>
      </c>
      <c r="E357" s="235" t="s">
        <v>1684</v>
      </c>
      <c r="F357" s="235" t="s">
        <v>591</v>
      </c>
      <c r="G357" s="235" t="s">
        <v>408</v>
      </c>
      <c r="H357" s="235" t="s">
        <v>405</v>
      </c>
      <c r="I357" s="215">
        <v>7114800</v>
      </c>
      <c r="J357" s="237">
        <v>44839</v>
      </c>
      <c r="K357" s="237">
        <v>44872</v>
      </c>
      <c r="L357" s="237">
        <v>44866</v>
      </c>
      <c r="M357" s="237">
        <v>44869</v>
      </c>
      <c r="N357" s="235"/>
      <c r="O357" s="235" t="s">
        <v>715</v>
      </c>
      <c r="P357" s="235"/>
      <c r="Q357" s="235"/>
      <c r="R357" s="235"/>
      <c r="S357" s="235"/>
      <c r="T357" s="235"/>
      <c r="U357" s="235"/>
      <c r="V357" s="235"/>
      <c r="W357" s="235"/>
      <c r="X357" s="234" t="s">
        <v>1686</v>
      </c>
      <c r="Y357" s="235"/>
    </row>
    <row r="358" spans="1:25" s="238" customFormat="1">
      <c r="A358" s="234">
        <v>355</v>
      </c>
      <c r="B358" s="235" t="s">
        <v>581</v>
      </c>
      <c r="C358" s="235" t="s">
        <v>582</v>
      </c>
      <c r="D358" s="235" t="s">
        <v>406</v>
      </c>
      <c r="E358" s="235" t="s">
        <v>1026</v>
      </c>
      <c r="F358" s="235" t="s">
        <v>591</v>
      </c>
      <c r="G358" s="235" t="s">
        <v>408</v>
      </c>
      <c r="H358" s="235" t="s">
        <v>405</v>
      </c>
      <c r="I358" s="215">
        <v>3520000</v>
      </c>
      <c r="J358" s="237">
        <v>44840</v>
      </c>
      <c r="K358" s="235" t="s">
        <v>713</v>
      </c>
      <c r="L358" s="237">
        <v>44840</v>
      </c>
      <c r="M358" s="237">
        <v>44858</v>
      </c>
      <c r="N358" s="235"/>
      <c r="O358" s="235" t="s">
        <v>584</v>
      </c>
      <c r="P358" s="235"/>
      <c r="Q358" s="235"/>
      <c r="R358" s="235"/>
      <c r="S358" s="235"/>
      <c r="T358" s="235"/>
      <c r="U358" s="235"/>
      <c r="V358" s="235"/>
      <c r="W358" s="235"/>
      <c r="X358" s="234" t="s">
        <v>1685</v>
      </c>
      <c r="Y358" s="235"/>
    </row>
    <row r="359" spans="1:25" s="238" customFormat="1">
      <c r="A359" s="234">
        <v>356</v>
      </c>
      <c r="B359" s="235" t="s">
        <v>512</v>
      </c>
      <c r="C359" s="235" t="s">
        <v>1469</v>
      </c>
      <c r="D359" s="235"/>
      <c r="E359" s="235" t="s">
        <v>1694</v>
      </c>
      <c r="F359" s="235" t="s">
        <v>591</v>
      </c>
      <c r="G359" s="235" t="s">
        <v>408</v>
      </c>
      <c r="H359" s="235" t="s">
        <v>405</v>
      </c>
      <c r="I359" s="215">
        <v>18150000</v>
      </c>
      <c r="J359" s="237">
        <v>44840</v>
      </c>
      <c r="K359" s="237">
        <v>44893</v>
      </c>
      <c r="L359" s="237">
        <v>44917</v>
      </c>
      <c r="M359" s="235"/>
      <c r="N359" s="235"/>
      <c r="O359" s="235" t="s">
        <v>590</v>
      </c>
      <c r="P359" s="235"/>
      <c r="Q359" s="235"/>
      <c r="R359" s="235"/>
      <c r="S359" s="235"/>
      <c r="T359" s="235"/>
      <c r="U359" s="235"/>
      <c r="V359" s="235"/>
      <c r="W359" s="235"/>
      <c r="X359" s="234" t="s">
        <v>2086</v>
      </c>
      <c r="Y359" s="235"/>
    </row>
    <row r="360" spans="1:25" s="238" customFormat="1">
      <c r="A360" s="234">
        <v>357</v>
      </c>
      <c r="B360" s="235" t="s">
        <v>512</v>
      </c>
      <c r="C360" s="235" t="s">
        <v>870</v>
      </c>
      <c r="D360" s="235" t="s">
        <v>413</v>
      </c>
      <c r="E360" s="235" t="s">
        <v>1695</v>
      </c>
      <c r="F360" s="235" t="s">
        <v>591</v>
      </c>
      <c r="G360" s="235" t="s">
        <v>408</v>
      </c>
      <c r="H360" s="235" t="s">
        <v>405</v>
      </c>
      <c r="I360" s="215">
        <v>20020000</v>
      </c>
      <c r="J360" s="237">
        <v>44840</v>
      </c>
      <c r="K360" s="237">
        <v>44895</v>
      </c>
      <c r="L360" s="237">
        <v>44867</v>
      </c>
      <c r="M360" s="237">
        <v>44868</v>
      </c>
      <c r="N360" s="235"/>
      <c r="O360" s="235" t="s">
        <v>715</v>
      </c>
      <c r="P360" s="235"/>
      <c r="Q360" s="235"/>
      <c r="R360" s="235"/>
      <c r="S360" s="235"/>
      <c r="T360" s="235"/>
      <c r="U360" s="235"/>
      <c r="V360" s="235"/>
      <c r="W360" s="235"/>
      <c r="X360" s="234" t="s">
        <v>1845</v>
      </c>
      <c r="Y360" s="235"/>
    </row>
    <row r="361" spans="1:25" s="238" customFormat="1">
      <c r="A361" s="234">
        <v>358</v>
      </c>
      <c r="B361" s="235" t="s">
        <v>1697</v>
      </c>
      <c r="C361" s="235" t="s">
        <v>1698</v>
      </c>
      <c r="D361" s="235" t="s">
        <v>406</v>
      </c>
      <c r="E361" s="235" t="s">
        <v>1696</v>
      </c>
      <c r="F361" s="235" t="s">
        <v>591</v>
      </c>
      <c r="G361" s="235" t="s">
        <v>408</v>
      </c>
      <c r="H361" s="235" t="s">
        <v>405</v>
      </c>
      <c r="I361" s="215">
        <v>3960000</v>
      </c>
      <c r="J361" s="237">
        <v>44841</v>
      </c>
      <c r="K361" s="235"/>
      <c r="L361" s="237">
        <v>44889</v>
      </c>
      <c r="M361" s="237">
        <v>44902</v>
      </c>
      <c r="N361" s="235"/>
      <c r="O361" s="235" t="s">
        <v>584</v>
      </c>
      <c r="P361" s="235"/>
      <c r="Q361" s="235"/>
      <c r="R361" s="235"/>
      <c r="S361" s="235"/>
      <c r="T361" s="235"/>
      <c r="U361" s="235"/>
      <c r="V361" s="235"/>
      <c r="W361" s="235"/>
      <c r="X361" s="234" t="s">
        <v>1892</v>
      </c>
      <c r="Y361" s="235"/>
    </row>
    <row r="362" spans="1:25" s="238" customFormat="1">
      <c r="A362" s="234">
        <v>359</v>
      </c>
      <c r="B362" s="235" t="s">
        <v>512</v>
      </c>
      <c r="C362" s="235" t="s">
        <v>1701</v>
      </c>
      <c r="D362" s="235" t="s">
        <v>1319</v>
      </c>
      <c r="E362" s="235" t="s">
        <v>1702</v>
      </c>
      <c r="F362" s="235" t="s">
        <v>591</v>
      </c>
      <c r="G362" s="235" t="s">
        <v>408</v>
      </c>
      <c r="H362" s="235" t="s">
        <v>405</v>
      </c>
      <c r="I362" s="215">
        <v>2860000</v>
      </c>
      <c r="J362" s="237">
        <v>44845</v>
      </c>
      <c r="K362" s="237">
        <v>44895</v>
      </c>
      <c r="L362" s="237">
        <v>44917</v>
      </c>
      <c r="M362" s="237">
        <v>44921</v>
      </c>
      <c r="N362" s="235"/>
      <c r="O362" s="235" t="s">
        <v>735</v>
      </c>
      <c r="P362" s="235"/>
      <c r="Q362" s="235"/>
      <c r="R362" s="235"/>
      <c r="S362" s="235"/>
      <c r="T362" s="235"/>
      <c r="U362" s="235"/>
      <c r="V362" s="235"/>
      <c r="W362" s="235"/>
      <c r="X362" s="234" t="s">
        <v>2087</v>
      </c>
      <c r="Y362" s="235"/>
    </row>
    <row r="363" spans="1:25" s="238" customFormat="1">
      <c r="A363" s="234">
        <v>360</v>
      </c>
      <c r="B363" s="235" t="s">
        <v>412</v>
      </c>
      <c r="C363" s="235" t="s">
        <v>1633</v>
      </c>
      <c r="D363" s="235" t="s">
        <v>686</v>
      </c>
      <c r="E363" s="235" t="s">
        <v>1703</v>
      </c>
      <c r="F363" s="235" t="s">
        <v>591</v>
      </c>
      <c r="G363" s="235" t="s">
        <v>408</v>
      </c>
      <c r="H363" s="235" t="s">
        <v>405</v>
      </c>
      <c r="I363" s="215">
        <v>3300000</v>
      </c>
      <c r="J363" s="237">
        <v>44845</v>
      </c>
      <c r="K363" s="237">
        <v>44862</v>
      </c>
      <c r="L363" s="237">
        <v>44846</v>
      </c>
      <c r="M363" s="237">
        <v>44848</v>
      </c>
      <c r="N363" s="235"/>
      <c r="O363" s="235" t="s">
        <v>715</v>
      </c>
      <c r="P363" s="235"/>
      <c r="Q363" s="235"/>
      <c r="R363" s="235"/>
      <c r="S363" s="235"/>
      <c r="T363" s="235"/>
      <c r="U363" s="235"/>
      <c r="V363" s="235"/>
      <c r="W363" s="235"/>
      <c r="X363" s="234" t="s">
        <v>1768</v>
      </c>
      <c r="Y363" s="235"/>
    </row>
    <row r="364" spans="1:25" s="238" customFormat="1">
      <c r="A364" s="234">
        <v>361</v>
      </c>
      <c r="B364" s="235" t="s">
        <v>1992</v>
      </c>
      <c r="C364" s="235"/>
      <c r="D364" s="235" t="s">
        <v>586</v>
      </c>
      <c r="E364" s="235" t="s">
        <v>1704</v>
      </c>
      <c r="F364" s="235" t="s">
        <v>591</v>
      </c>
      <c r="G364" s="235" t="s">
        <v>408</v>
      </c>
      <c r="H364" s="235" t="s">
        <v>405</v>
      </c>
      <c r="I364" s="215">
        <v>40920000</v>
      </c>
      <c r="J364" s="237">
        <v>44845</v>
      </c>
      <c r="K364" s="235"/>
      <c r="L364" s="237">
        <v>44889</v>
      </c>
      <c r="M364" s="237">
        <v>44917</v>
      </c>
      <c r="N364" s="235"/>
      <c r="O364" s="235" t="s">
        <v>596</v>
      </c>
      <c r="P364" s="235"/>
      <c r="Q364" s="235"/>
      <c r="R364" s="235"/>
      <c r="S364" s="235"/>
      <c r="T364" s="235"/>
      <c r="U364" s="235"/>
      <c r="V364" s="235"/>
      <c r="W364" s="235"/>
      <c r="X364" s="234" t="s">
        <v>1849</v>
      </c>
      <c r="Y364" s="235"/>
    </row>
    <row r="365" spans="1:25" s="238" customFormat="1">
      <c r="A365" s="234">
        <v>362</v>
      </c>
      <c r="B365" s="235" t="s">
        <v>1312</v>
      </c>
      <c r="C365" s="235" t="s">
        <v>1315</v>
      </c>
      <c r="D365" s="235" t="s">
        <v>407</v>
      </c>
      <c r="E365" s="235" t="s">
        <v>1705</v>
      </c>
      <c r="F365" s="235" t="s">
        <v>591</v>
      </c>
      <c r="G365" s="235" t="s">
        <v>408</v>
      </c>
      <c r="H365" s="235" t="s">
        <v>405</v>
      </c>
      <c r="I365" s="215">
        <v>9570000</v>
      </c>
      <c r="J365" s="237">
        <v>44847</v>
      </c>
      <c r="K365" s="237">
        <v>44910</v>
      </c>
      <c r="L365" s="237">
        <v>44918</v>
      </c>
      <c r="M365" s="237">
        <v>44921</v>
      </c>
      <c r="N365" s="235"/>
      <c r="O365" s="235" t="s">
        <v>590</v>
      </c>
      <c r="P365" s="235"/>
      <c r="Q365" s="235"/>
      <c r="R365" s="235"/>
      <c r="S365" s="235"/>
      <c r="T365" s="235"/>
      <c r="U365" s="235"/>
      <c r="V365" s="235"/>
      <c r="W365" s="235"/>
      <c r="X365" s="234" t="s">
        <v>2024</v>
      </c>
      <c r="Y365" s="235"/>
    </row>
    <row r="366" spans="1:25" s="238" customFormat="1">
      <c r="A366" s="234">
        <v>363</v>
      </c>
      <c r="B366" s="235" t="s">
        <v>512</v>
      </c>
      <c r="C366" s="235" t="s">
        <v>870</v>
      </c>
      <c r="D366" s="235" t="s">
        <v>406</v>
      </c>
      <c r="E366" s="235" t="s">
        <v>1707</v>
      </c>
      <c r="F366" s="235" t="s">
        <v>591</v>
      </c>
      <c r="G366" s="235" t="s">
        <v>408</v>
      </c>
      <c r="H366" s="235" t="s">
        <v>405</v>
      </c>
      <c r="I366" s="215">
        <v>53900000</v>
      </c>
      <c r="J366" s="237">
        <v>44847</v>
      </c>
      <c r="K366" s="237">
        <v>44904</v>
      </c>
      <c r="L366" s="237">
        <v>44903</v>
      </c>
      <c r="M366" s="237">
        <v>44907</v>
      </c>
      <c r="N366" s="235"/>
      <c r="O366" s="235" t="s">
        <v>584</v>
      </c>
      <c r="P366" s="235"/>
      <c r="Q366" s="235"/>
      <c r="R366" s="235"/>
      <c r="S366" s="235"/>
      <c r="T366" s="235"/>
      <c r="U366" s="235"/>
      <c r="V366" s="235"/>
      <c r="W366" s="235"/>
      <c r="X366" s="234"/>
      <c r="Y366" s="235"/>
    </row>
    <row r="367" spans="1:25" s="238" customFormat="1">
      <c r="A367" s="234">
        <v>364</v>
      </c>
      <c r="B367" s="235" t="s">
        <v>892</v>
      </c>
      <c r="C367" s="235" t="s">
        <v>1403</v>
      </c>
      <c r="D367" s="235" t="s">
        <v>513</v>
      </c>
      <c r="E367" s="235" t="s">
        <v>1709</v>
      </c>
      <c r="F367" s="235" t="s">
        <v>591</v>
      </c>
      <c r="G367" s="235" t="s">
        <v>408</v>
      </c>
      <c r="H367" s="235" t="s">
        <v>405</v>
      </c>
      <c r="I367" s="215">
        <v>9350000</v>
      </c>
      <c r="J367" s="237">
        <v>44847</v>
      </c>
      <c r="K367" s="235"/>
      <c r="L367" s="237">
        <v>44881</v>
      </c>
      <c r="M367" s="237">
        <v>44883</v>
      </c>
      <c r="N367" s="235"/>
      <c r="O367" s="235" t="s">
        <v>1110</v>
      </c>
      <c r="P367" s="235"/>
      <c r="Q367" s="235"/>
      <c r="R367" s="235"/>
      <c r="S367" s="235"/>
      <c r="T367" s="235"/>
      <c r="U367" s="235"/>
      <c r="V367" s="235"/>
      <c r="W367" s="235"/>
      <c r="X367" s="234" t="s">
        <v>1891</v>
      </c>
      <c r="Y367" s="235"/>
    </row>
    <row r="368" spans="1:25" s="238" customFormat="1">
      <c r="A368" s="234">
        <v>365</v>
      </c>
      <c r="B368" s="235" t="s">
        <v>412</v>
      </c>
      <c r="C368" s="235" t="s">
        <v>1708</v>
      </c>
      <c r="D368" s="235" t="s">
        <v>404</v>
      </c>
      <c r="E368" s="235" t="s">
        <v>1710</v>
      </c>
      <c r="F368" s="235" t="s">
        <v>591</v>
      </c>
      <c r="G368" s="235" t="s">
        <v>408</v>
      </c>
      <c r="H368" s="235" t="s">
        <v>405</v>
      </c>
      <c r="I368" s="215">
        <v>4290000</v>
      </c>
      <c r="J368" s="237">
        <v>44825</v>
      </c>
      <c r="K368" s="237">
        <v>44841</v>
      </c>
      <c r="L368" s="237">
        <v>44841</v>
      </c>
      <c r="M368" s="237">
        <v>44854</v>
      </c>
      <c r="N368" s="235"/>
      <c r="O368" s="235" t="s">
        <v>735</v>
      </c>
      <c r="P368" s="235"/>
      <c r="Q368" s="235"/>
      <c r="R368" s="235"/>
      <c r="S368" s="235"/>
      <c r="T368" s="235"/>
      <c r="U368" s="235"/>
      <c r="V368" s="235"/>
      <c r="W368" s="235"/>
      <c r="X368" s="234" t="s">
        <v>1874</v>
      </c>
      <c r="Y368" s="235"/>
    </row>
    <row r="369" spans="1:25" s="238" customFormat="1">
      <c r="A369" s="234">
        <v>366</v>
      </c>
      <c r="B369" s="235" t="s">
        <v>1711</v>
      </c>
      <c r="C369" s="235"/>
      <c r="D369" s="235" t="s">
        <v>406</v>
      </c>
      <c r="E369" s="235" t="s">
        <v>1929</v>
      </c>
      <c r="F369" s="235" t="s">
        <v>502</v>
      </c>
      <c r="G369" s="235" t="s">
        <v>408</v>
      </c>
      <c r="H369" s="235" t="s">
        <v>405</v>
      </c>
      <c r="I369" s="215">
        <v>24222000</v>
      </c>
      <c r="J369" s="237">
        <v>44848</v>
      </c>
      <c r="K369" s="235"/>
      <c r="L369" s="237">
        <v>44872</v>
      </c>
      <c r="M369" s="237">
        <v>44873</v>
      </c>
      <c r="N369" s="235"/>
      <c r="O369" s="235" t="s">
        <v>584</v>
      </c>
      <c r="P369" s="235"/>
      <c r="Q369" s="235"/>
      <c r="R369" s="235"/>
      <c r="S369" s="235"/>
      <c r="T369" s="235"/>
      <c r="U369" s="235"/>
      <c r="V369" s="235"/>
      <c r="W369" s="235"/>
      <c r="X369" s="234"/>
      <c r="Y369" s="235"/>
    </row>
    <row r="370" spans="1:25" s="238" customFormat="1">
      <c r="A370" s="234">
        <v>367</v>
      </c>
      <c r="B370" s="235" t="s">
        <v>985</v>
      </c>
      <c r="C370" s="235" t="s">
        <v>1712</v>
      </c>
      <c r="D370" s="235" t="s">
        <v>932</v>
      </c>
      <c r="E370" s="235" t="s">
        <v>933</v>
      </c>
      <c r="F370" s="235" t="s">
        <v>591</v>
      </c>
      <c r="G370" s="235" t="s">
        <v>408</v>
      </c>
      <c r="H370" s="235" t="s">
        <v>405</v>
      </c>
      <c r="I370" s="215">
        <v>74800000</v>
      </c>
      <c r="J370" s="237">
        <v>44848</v>
      </c>
      <c r="K370" s="235"/>
      <c r="L370" s="235" t="s">
        <v>2018</v>
      </c>
      <c r="M370" s="235" t="s">
        <v>2066</v>
      </c>
      <c r="N370" s="235"/>
      <c r="O370" s="235" t="s">
        <v>596</v>
      </c>
      <c r="P370" s="235"/>
      <c r="Q370" s="235"/>
      <c r="R370" s="235"/>
      <c r="S370" s="235"/>
      <c r="T370" s="235"/>
      <c r="U370" s="235"/>
      <c r="V370" s="235"/>
      <c r="W370" s="235"/>
      <c r="X370" s="234" t="s">
        <v>1890</v>
      </c>
      <c r="Y370" s="235"/>
    </row>
    <row r="371" spans="1:25" s="238" customFormat="1">
      <c r="A371" s="234">
        <v>368</v>
      </c>
      <c r="B371" s="235" t="s">
        <v>512</v>
      </c>
      <c r="C371" s="235" t="s">
        <v>1050</v>
      </c>
      <c r="D371" s="235" t="s">
        <v>1292</v>
      </c>
      <c r="E371" s="235" t="s">
        <v>1977</v>
      </c>
      <c r="F371" s="235" t="s">
        <v>591</v>
      </c>
      <c r="G371" s="235" t="s">
        <v>408</v>
      </c>
      <c r="H371" s="235" t="s">
        <v>405</v>
      </c>
      <c r="I371" s="215">
        <v>4400000</v>
      </c>
      <c r="J371" s="237">
        <v>44848</v>
      </c>
      <c r="K371" s="235"/>
      <c r="L371" s="237">
        <v>44879</v>
      </c>
      <c r="M371" s="237">
        <v>44880</v>
      </c>
      <c r="N371" s="235"/>
      <c r="O371" s="235" t="s">
        <v>994</v>
      </c>
      <c r="P371" s="235"/>
      <c r="Q371" s="235"/>
      <c r="R371" s="235"/>
      <c r="S371" s="235"/>
      <c r="T371" s="235"/>
      <c r="U371" s="235"/>
      <c r="V371" s="235"/>
      <c r="W371" s="235"/>
      <c r="X371" s="234" t="s">
        <v>1875</v>
      </c>
      <c r="Y371" s="235"/>
    </row>
    <row r="372" spans="1:25" s="238" customFormat="1">
      <c r="A372" s="234">
        <v>369</v>
      </c>
      <c r="B372" s="235" t="s">
        <v>512</v>
      </c>
      <c r="C372" s="235" t="s">
        <v>870</v>
      </c>
      <c r="D372" s="235" t="s">
        <v>413</v>
      </c>
      <c r="E372" s="235" t="s">
        <v>1858</v>
      </c>
      <c r="F372" s="235" t="s">
        <v>591</v>
      </c>
      <c r="G372" s="235" t="s">
        <v>408</v>
      </c>
      <c r="H372" s="235" t="s">
        <v>405</v>
      </c>
      <c r="I372" s="215">
        <v>18150000</v>
      </c>
      <c r="J372" s="237">
        <v>44848</v>
      </c>
      <c r="K372" s="235" t="s">
        <v>713</v>
      </c>
      <c r="L372" s="237">
        <v>44867</v>
      </c>
      <c r="M372" s="237">
        <v>44868</v>
      </c>
      <c r="N372" s="235"/>
      <c r="O372" s="235" t="s">
        <v>715</v>
      </c>
      <c r="P372" s="235"/>
      <c r="Q372" s="235"/>
      <c r="R372" s="235"/>
      <c r="S372" s="235"/>
      <c r="T372" s="235"/>
      <c r="U372" s="235"/>
      <c r="V372" s="235"/>
      <c r="W372" s="235"/>
      <c r="X372" s="241" t="s">
        <v>1844</v>
      </c>
      <c r="Y372" s="235"/>
    </row>
    <row r="373" spans="1:25" s="238" customFormat="1">
      <c r="A373" s="234">
        <v>370</v>
      </c>
      <c r="B373" s="235" t="s">
        <v>409</v>
      </c>
      <c r="C373" s="235" t="s">
        <v>994</v>
      </c>
      <c r="D373" s="235" t="s">
        <v>406</v>
      </c>
      <c r="E373" s="235" t="s">
        <v>1713</v>
      </c>
      <c r="F373" s="235" t="s">
        <v>591</v>
      </c>
      <c r="G373" s="235" t="s">
        <v>408</v>
      </c>
      <c r="H373" s="235" t="s">
        <v>405</v>
      </c>
      <c r="I373" s="215">
        <v>4048000</v>
      </c>
      <c r="J373" s="237">
        <v>44810</v>
      </c>
      <c r="K373" s="235" t="s">
        <v>713</v>
      </c>
      <c r="L373" s="237">
        <v>44848</v>
      </c>
      <c r="M373" s="237">
        <v>44854</v>
      </c>
      <c r="N373" s="235"/>
      <c r="O373" s="235" t="s">
        <v>994</v>
      </c>
      <c r="P373" s="235"/>
      <c r="Q373" s="235"/>
      <c r="R373" s="235"/>
      <c r="S373" s="235"/>
      <c r="T373" s="235"/>
      <c r="U373" s="235"/>
      <c r="V373" s="235"/>
      <c r="W373" s="235"/>
      <c r="X373" s="234" t="s">
        <v>1778</v>
      </c>
      <c r="Y373" s="235"/>
    </row>
    <row r="374" spans="1:25" s="238" customFormat="1">
      <c r="A374" s="234">
        <v>371</v>
      </c>
      <c r="B374" s="235" t="s">
        <v>1441</v>
      </c>
      <c r="C374" s="235" t="s">
        <v>780</v>
      </c>
      <c r="D374" s="235" t="s">
        <v>406</v>
      </c>
      <c r="E374" s="235" t="s">
        <v>1714</v>
      </c>
      <c r="F374" s="235" t="s">
        <v>502</v>
      </c>
      <c r="G374" s="235" t="s">
        <v>408</v>
      </c>
      <c r="H374" s="235" t="s">
        <v>405</v>
      </c>
      <c r="I374" s="215">
        <v>6127000</v>
      </c>
      <c r="J374" s="237">
        <v>44830</v>
      </c>
      <c r="K374" s="235" t="s">
        <v>713</v>
      </c>
      <c r="L374" s="237">
        <v>44851</v>
      </c>
      <c r="M374" s="237">
        <v>44852</v>
      </c>
      <c r="N374" s="235"/>
      <c r="O374" s="235" t="s">
        <v>590</v>
      </c>
      <c r="P374" s="235"/>
      <c r="Q374" s="235"/>
      <c r="R374" s="235"/>
      <c r="S374" s="235"/>
      <c r="T374" s="235"/>
      <c r="U374" s="235"/>
      <c r="V374" s="235"/>
      <c r="W374" s="235"/>
      <c r="X374" s="234" t="s">
        <v>864</v>
      </c>
      <c r="Y374" s="235"/>
    </row>
    <row r="375" spans="1:25" s="238" customFormat="1">
      <c r="A375" s="234">
        <v>372</v>
      </c>
      <c r="B375" s="235" t="s">
        <v>412</v>
      </c>
      <c r="C375" s="235" t="s">
        <v>1135</v>
      </c>
      <c r="D375" s="235" t="s">
        <v>407</v>
      </c>
      <c r="E375" s="235" t="s">
        <v>1715</v>
      </c>
      <c r="F375" s="235" t="s">
        <v>591</v>
      </c>
      <c r="G375" s="235" t="s">
        <v>408</v>
      </c>
      <c r="H375" s="235" t="s">
        <v>405</v>
      </c>
      <c r="I375" s="215">
        <v>1760000</v>
      </c>
      <c r="J375" s="237">
        <v>44790</v>
      </c>
      <c r="K375" s="237">
        <v>44847</v>
      </c>
      <c r="L375" s="237">
        <v>44847</v>
      </c>
      <c r="M375" s="237">
        <v>44854</v>
      </c>
      <c r="N375" s="235"/>
      <c r="O375" s="235" t="s">
        <v>590</v>
      </c>
      <c r="P375" s="235"/>
      <c r="Q375" s="235"/>
      <c r="R375" s="235"/>
      <c r="S375" s="235"/>
      <c r="T375" s="235"/>
      <c r="U375" s="235"/>
      <c r="V375" s="235"/>
      <c r="W375" s="235"/>
      <c r="X375" s="234" t="s">
        <v>1728</v>
      </c>
      <c r="Y375" s="235"/>
    </row>
    <row r="376" spans="1:25" s="238" customFormat="1">
      <c r="A376" s="234">
        <v>373</v>
      </c>
      <c r="B376" s="235" t="s">
        <v>1208</v>
      </c>
      <c r="C376" s="235" t="s">
        <v>1716</v>
      </c>
      <c r="D376" s="235" t="s">
        <v>594</v>
      </c>
      <c r="E376" s="235" t="s">
        <v>1445</v>
      </c>
      <c r="F376" s="235" t="s">
        <v>591</v>
      </c>
      <c r="G376" s="235" t="s">
        <v>408</v>
      </c>
      <c r="H376" s="235" t="s">
        <v>405</v>
      </c>
      <c r="I376" s="215">
        <v>15400000</v>
      </c>
      <c r="J376" s="237">
        <v>44851</v>
      </c>
      <c r="K376" s="235" t="s">
        <v>713</v>
      </c>
      <c r="L376" s="237">
        <v>44855</v>
      </c>
      <c r="M376" s="235" t="s">
        <v>2022</v>
      </c>
      <c r="N376" s="235"/>
      <c r="O376" s="235" t="s">
        <v>590</v>
      </c>
      <c r="P376" s="235"/>
      <c r="Q376" s="235"/>
      <c r="R376" s="235"/>
      <c r="S376" s="235"/>
      <c r="T376" s="235"/>
      <c r="U376" s="235"/>
      <c r="V376" s="235"/>
      <c r="W376" s="235"/>
      <c r="X376" s="234" t="s">
        <v>1758</v>
      </c>
      <c r="Y376" s="235"/>
    </row>
    <row r="377" spans="1:25" s="238" customFormat="1">
      <c r="A377" s="234">
        <v>374</v>
      </c>
      <c r="B377" s="235" t="s">
        <v>2064</v>
      </c>
      <c r="C377" s="235" t="s">
        <v>1471</v>
      </c>
      <c r="D377" s="235" t="s">
        <v>1292</v>
      </c>
      <c r="E377" s="235" t="s">
        <v>1717</v>
      </c>
      <c r="F377" s="235" t="s">
        <v>591</v>
      </c>
      <c r="G377" s="235" t="s">
        <v>408</v>
      </c>
      <c r="H377" s="235" t="s">
        <v>405</v>
      </c>
      <c r="I377" s="215">
        <v>7810000</v>
      </c>
      <c r="J377" s="237">
        <v>44851</v>
      </c>
      <c r="K377" s="235" t="s">
        <v>713</v>
      </c>
      <c r="L377" s="237">
        <v>44867</v>
      </c>
      <c r="M377" s="237">
        <v>44869</v>
      </c>
      <c r="N377" s="235"/>
      <c r="O377" s="235" t="s">
        <v>590</v>
      </c>
      <c r="P377" s="235"/>
      <c r="Q377" s="235"/>
      <c r="R377" s="235"/>
      <c r="S377" s="235"/>
      <c r="T377" s="235"/>
      <c r="U377" s="235"/>
      <c r="V377" s="235"/>
      <c r="W377" s="235"/>
      <c r="X377" s="234" t="s">
        <v>1757</v>
      </c>
      <c r="Y377" s="235"/>
    </row>
    <row r="378" spans="1:25" s="238" customFormat="1">
      <c r="A378" s="234">
        <v>375</v>
      </c>
      <c r="B378" s="235" t="s">
        <v>874</v>
      </c>
      <c r="C378" s="235" t="s">
        <v>1481</v>
      </c>
      <c r="D378" s="235" t="s">
        <v>1326</v>
      </c>
      <c r="E378" s="235" t="s">
        <v>1718</v>
      </c>
      <c r="F378" s="235" t="s">
        <v>591</v>
      </c>
      <c r="G378" s="235" t="s">
        <v>408</v>
      </c>
      <c r="H378" s="235" t="s">
        <v>405</v>
      </c>
      <c r="I378" s="215">
        <v>12870000</v>
      </c>
      <c r="J378" s="237">
        <v>44851</v>
      </c>
      <c r="K378" s="235" t="s">
        <v>713</v>
      </c>
      <c r="L378" s="237">
        <v>44853</v>
      </c>
      <c r="M378" s="237">
        <v>44858</v>
      </c>
      <c r="N378" s="235"/>
      <c r="O378" s="235" t="s">
        <v>590</v>
      </c>
      <c r="P378" s="235"/>
      <c r="Q378" s="235"/>
      <c r="R378" s="235"/>
      <c r="S378" s="235"/>
      <c r="T378" s="235"/>
      <c r="U378" s="235"/>
      <c r="V378" s="235"/>
      <c r="W378" s="235"/>
      <c r="X378" s="234" t="s">
        <v>1806</v>
      </c>
      <c r="Y378" s="235"/>
    </row>
    <row r="379" spans="1:25" s="238" customFormat="1">
      <c r="A379" s="234">
        <v>376</v>
      </c>
      <c r="B379" s="235" t="s">
        <v>512</v>
      </c>
      <c r="C379" s="235" t="s">
        <v>964</v>
      </c>
      <c r="D379" s="235" t="s">
        <v>1168</v>
      </c>
      <c r="E379" s="235" t="s">
        <v>1737</v>
      </c>
      <c r="F379" s="235" t="s">
        <v>591</v>
      </c>
      <c r="G379" s="235" t="s">
        <v>408</v>
      </c>
      <c r="H379" s="235" t="s">
        <v>405</v>
      </c>
      <c r="I379" s="215">
        <v>24418350</v>
      </c>
      <c r="J379" s="237">
        <v>44852</v>
      </c>
      <c r="K379" s="237">
        <v>44862</v>
      </c>
      <c r="L379" s="237">
        <v>44861</v>
      </c>
      <c r="M379" s="237">
        <v>44865</v>
      </c>
      <c r="N379" s="235"/>
      <c r="O379" s="235" t="s">
        <v>715</v>
      </c>
      <c r="P379" s="235"/>
      <c r="Q379" s="235"/>
      <c r="R379" s="235"/>
      <c r="S379" s="235"/>
      <c r="T379" s="235"/>
      <c r="U379" s="235"/>
      <c r="V379" s="235"/>
      <c r="W379" s="235"/>
      <c r="X379" s="234" t="s">
        <v>1775</v>
      </c>
      <c r="Y379" s="235"/>
    </row>
    <row r="380" spans="1:25" s="238" customFormat="1">
      <c r="A380" s="234">
        <v>377</v>
      </c>
      <c r="B380" s="235" t="s">
        <v>1208</v>
      </c>
      <c r="C380" s="235" t="s">
        <v>1734</v>
      </c>
      <c r="D380" s="235" t="s">
        <v>406</v>
      </c>
      <c r="E380" s="235" t="s">
        <v>1852</v>
      </c>
      <c r="F380" s="235" t="s">
        <v>591</v>
      </c>
      <c r="G380" s="235" t="s">
        <v>408</v>
      </c>
      <c r="H380" s="235" t="s">
        <v>405</v>
      </c>
      <c r="I380" s="215">
        <v>1045000</v>
      </c>
      <c r="J380" s="237">
        <v>44852</v>
      </c>
      <c r="K380" s="235" t="s">
        <v>713</v>
      </c>
      <c r="L380" s="237">
        <v>44852</v>
      </c>
      <c r="M380" s="237">
        <v>44865</v>
      </c>
      <c r="N380" s="235"/>
      <c r="O380" s="235" t="s">
        <v>596</v>
      </c>
      <c r="P380" s="235"/>
      <c r="Q380" s="235"/>
      <c r="R380" s="235"/>
      <c r="S380" s="235"/>
      <c r="T380" s="235"/>
      <c r="U380" s="235"/>
      <c r="V380" s="235"/>
      <c r="W380" s="235"/>
      <c r="X380" s="234"/>
      <c r="Y380" s="235"/>
    </row>
    <row r="381" spans="1:25" s="238" customFormat="1">
      <c r="A381" s="234">
        <v>378</v>
      </c>
      <c r="B381" s="235" t="s">
        <v>1448</v>
      </c>
      <c r="C381" s="235"/>
      <c r="D381" s="235"/>
      <c r="E381" s="235" t="s">
        <v>1738</v>
      </c>
      <c r="F381" s="235" t="s">
        <v>591</v>
      </c>
      <c r="G381" s="235" t="s">
        <v>408</v>
      </c>
      <c r="H381" s="235" t="s">
        <v>405</v>
      </c>
      <c r="I381" s="215">
        <v>3740000</v>
      </c>
      <c r="J381" s="237">
        <v>44852</v>
      </c>
      <c r="K381" s="235" t="s">
        <v>713</v>
      </c>
      <c r="L381" s="237">
        <v>44847</v>
      </c>
      <c r="M381" s="237">
        <v>44868</v>
      </c>
      <c r="N381" s="235"/>
      <c r="O381" s="235" t="s">
        <v>596</v>
      </c>
      <c r="P381" s="235"/>
      <c r="Q381" s="235"/>
      <c r="R381" s="235"/>
      <c r="S381" s="235"/>
      <c r="T381" s="235"/>
      <c r="U381" s="235"/>
      <c r="V381" s="235"/>
      <c r="W381" s="235"/>
      <c r="X381" s="234" t="s">
        <v>1826</v>
      </c>
      <c r="Y381" s="235"/>
    </row>
    <row r="382" spans="1:25" s="238" customFormat="1">
      <c r="A382" s="234">
        <v>379</v>
      </c>
      <c r="B382" s="235" t="s">
        <v>581</v>
      </c>
      <c r="C382" s="235" t="s">
        <v>1735</v>
      </c>
      <c r="D382" s="235" t="s">
        <v>1326</v>
      </c>
      <c r="E382" s="235" t="s">
        <v>1739</v>
      </c>
      <c r="F382" s="235" t="s">
        <v>591</v>
      </c>
      <c r="G382" s="235" t="s">
        <v>408</v>
      </c>
      <c r="H382" s="235" t="s">
        <v>405</v>
      </c>
      <c r="I382" s="215">
        <v>15400000</v>
      </c>
      <c r="J382" s="237">
        <v>44852</v>
      </c>
      <c r="K382" s="235" t="s">
        <v>713</v>
      </c>
      <c r="L382" s="237">
        <v>44854</v>
      </c>
      <c r="M382" s="237">
        <v>44858</v>
      </c>
      <c r="N382" s="235"/>
      <c r="O382" s="235" t="s">
        <v>590</v>
      </c>
      <c r="P382" s="235"/>
      <c r="Q382" s="235"/>
      <c r="R382" s="235"/>
      <c r="S382" s="235"/>
      <c r="T382" s="235"/>
      <c r="U382" s="235"/>
      <c r="V382" s="235"/>
      <c r="W382" s="235"/>
      <c r="X382" s="234" t="s">
        <v>1756</v>
      </c>
      <c r="Y382" s="235"/>
    </row>
    <row r="383" spans="1:25" s="238" customFormat="1">
      <c r="A383" s="234">
        <v>380</v>
      </c>
      <c r="B383" s="235" t="s">
        <v>503</v>
      </c>
      <c r="C383" s="235" t="s">
        <v>1736</v>
      </c>
      <c r="D383" s="235" t="s">
        <v>406</v>
      </c>
      <c r="E383" s="235" t="s">
        <v>1740</v>
      </c>
      <c r="F383" s="235" t="s">
        <v>591</v>
      </c>
      <c r="G383" s="235" t="s">
        <v>408</v>
      </c>
      <c r="H383" s="235" t="s">
        <v>405</v>
      </c>
      <c r="I383" s="215">
        <v>19740000</v>
      </c>
      <c r="J383" s="237">
        <v>44852</v>
      </c>
      <c r="K383" s="237">
        <v>44886</v>
      </c>
      <c r="L383" s="237">
        <v>44886</v>
      </c>
      <c r="M383" s="237">
        <v>44890</v>
      </c>
      <c r="N383" s="235"/>
      <c r="O383" s="235" t="s">
        <v>833</v>
      </c>
      <c r="P383" s="235"/>
      <c r="Q383" s="235"/>
      <c r="R383" s="235"/>
      <c r="S383" s="235"/>
      <c r="T383" s="235"/>
      <c r="U383" s="235"/>
      <c r="V383" s="235"/>
      <c r="W383" s="235"/>
      <c r="X383" s="234"/>
      <c r="Y383" s="235"/>
    </row>
    <row r="384" spans="1:25" s="238" customFormat="1">
      <c r="A384" s="234">
        <v>381</v>
      </c>
      <c r="B384" s="235" t="s">
        <v>1351</v>
      </c>
      <c r="C384" s="235" t="s">
        <v>787</v>
      </c>
      <c r="D384" s="235" t="s">
        <v>406</v>
      </c>
      <c r="E384" s="235" t="s">
        <v>1741</v>
      </c>
      <c r="F384" s="235" t="s">
        <v>591</v>
      </c>
      <c r="G384" s="235" t="s">
        <v>408</v>
      </c>
      <c r="H384" s="235" t="s">
        <v>405</v>
      </c>
      <c r="I384" s="215">
        <v>3300000</v>
      </c>
      <c r="J384" s="237">
        <v>44852</v>
      </c>
      <c r="K384" s="237">
        <v>44895</v>
      </c>
      <c r="L384" s="237">
        <v>44875</v>
      </c>
      <c r="M384" s="237">
        <v>44887</v>
      </c>
      <c r="N384" s="235"/>
      <c r="O384" s="235" t="s">
        <v>1678</v>
      </c>
      <c r="P384" s="235"/>
      <c r="Q384" s="235"/>
      <c r="R384" s="235"/>
      <c r="S384" s="235"/>
      <c r="T384" s="235"/>
      <c r="U384" s="235"/>
      <c r="V384" s="235"/>
      <c r="W384" s="235"/>
      <c r="X384" s="234" t="s">
        <v>1879</v>
      </c>
      <c r="Y384" s="235"/>
    </row>
    <row r="385" spans="1:25" s="238" customFormat="1">
      <c r="A385" s="234">
        <v>382</v>
      </c>
      <c r="B385" s="235" t="s">
        <v>683</v>
      </c>
      <c r="C385" s="235" t="s">
        <v>687</v>
      </c>
      <c r="D385" s="235" t="s">
        <v>1326</v>
      </c>
      <c r="E385" s="235" t="s">
        <v>1742</v>
      </c>
      <c r="F385" s="235" t="s">
        <v>591</v>
      </c>
      <c r="G385" s="235" t="s">
        <v>408</v>
      </c>
      <c r="H385" s="235" t="s">
        <v>405</v>
      </c>
      <c r="I385" s="215">
        <v>26730000</v>
      </c>
      <c r="J385" s="237">
        <v>44853</v>
      </c>
      <c r="K385" s="235" t="s">
        <v>713</v>
      </c>
      <c r="L385" s="237">
        <v>44853</v>
      </c>
      <c r="M385" s="235" t="s">
        <v>1971</v>
      </c>
      <c r="N385" s="235"/>
      <c r="O385" s="235" t="s">
        <v>590</v>
      </c>
      <c r="P385" s="235"/>
      <c r="Q385" s="235"/>
      <c r="R385" s="235"/>
      <c r="S385" s="235"/>
      <c r="T385" s="235"/>
      <c r="U385" s="235"/>
      <c r="V385" s="235"/>
      <c r="W385" s="235"/>
      <c r="X385" s="234" t="s">
        <v>2036</v>
      </c>
      <c r="Y385" s="235"/>
    </row>
    <row r="386" spans="1:25" s="238" customFormat="1">
      <c r="A386" s="234">
        <v>383</v>
      </c>
      <c r="B386" s="235" t="s">
        <v>683</v>
      </c>
      <c r="C386" s="235" t="s">
        <v>687</v>
      </c>
      <c r="D386" s="235" t="s">
        <v>1326</v>
      </c>
      <c r="E386" s="235" t="s">
        <v>1743</v>
      </c>
      <c r="F386" s="235" t="s">
        <v>591</v>
      </c>
      <c r="G386" s="235" t="s">
        <v>408</v>
      </c>
      <c r="H386" s="235" t="s">
        <v>405</v>
      </c>
      <c r="I386" s="215">
        <v>6270000</v>
      </c>
      <c r="J386" s="237">
        <v>44853</v>
      </c>
      <c r="K386" s="235" t="s">
        <v>713</v>
      </c>
      <c r="L386" s="237">
        <v>44853</v>
      </c>
      <c r="M386" s="235" t="s">
        <v>1970</v>
      </c>
      <c r="N386" s="235"/>
      <c r="O386" s="235" t="s">
        <v>590</v>
      </c>
      <c r="P386" s="235"/>
      <c r="Q386" s="235"/>
      <c r="R386" s="235"/>
      <c r="S386" s="235"/>
      <c r="T386" s="235"/>
      <c r="U386" s="235"/>
      <c r="V386" s="235"/>
      <c r="W386" s="235"/>
      <c r="X386" s="234" t="s">
        <v>2037</v>
      </c>
      <c r="Y386" s="235"/>
    </row>
    <row r="387" spans="1:25" s="238" customFormat="1">
      <c r="A387" s="234">
        <v>384</v>
      </c>
      <c r="B387" s="235" t="s">
        <v>581</v>
      </c>
      <c r="C387" s="235" t="s">
        <v>1735</v>
      </c>
      <c r="D387" s="235" t="s">
        <v>406</v>
      </c>
      <c r="E387" s="235" t="s">
        <v>1026</v>
      </c>
      <c r="F387" s="235" t="s">
        <v>591</v>
      </c>
      <c r="G387" s="235" t="s">
        <v>408</v>
      </c>
      <c r="H387" s="235" t="s">
        <v>405</v>
      </c>
      <c r="I387" s="215">
        <v>3520000</v>
      </c>
      <c r="J387" s="237">
        <v>44853</v>
      </c>
      <c r="K387" s="235" t="s">
        <v>713</v>
      </c>
      <c r="L387" s="237">
        <v>44854</v>
      </c>
      <c r="M387" s="237">
        <v>44854</v>
      </c>
      <c r="N387" s="235"/>
      <c r="O387" s="235" t="s">
        <v>590</v>
      </c>
      <c r="P387" s="235"/>
      <c r="Q387" s="235"/>
      <c r="R387" s="235"/>
      <c r="S387" s="235"/>
      <c r="T387" s="235"/>
      <c r="U387" s="235"/>
      <c r="V387" s="235"/>
      <c r="W387" s="235"/>
      <c r="X387" s="234" t="s">
        <v>1771</v>
      </c>
      <c r="Y387" s="235"/>
    </row>
    <row r="388" spans="1:25" s="238" customFormat="1">
      <c r="A388" s="234">
        <v>385</v>
      </c>
      <c r="B388" s="235" t="s">
        <v>512</v>
      </c>
      <c r="C388" s="235" t="s">
        <v>870</v>
      </c>
      <c r="D388" s="235" t="s">
        <v>413</v>
      </c>
      <c r="E388" s="235" t="s">
        <v>1802</v>
      </c>
      <c r="F388" s="235" t="s">
        <v>591</v>
      </c>
      <c r="G388" s="235" t="s">
        <v>408</v>
      </c>
      <c r="H388" s="235" t="s">
        <v>405</v>
      </c>
      <c r="I388" s="215">
        <v>17270000</v>
      </c>
      <c r="J388" s="237">
        <v>44854</v>
      </c>
      <c r="K388" s="237">
        <v>44895</v>
      </c>
      <c r="L388" s="237">
        <v>44867</v>
      </c>
      <c r="M388" s="237">
        <v>44868</v>
      </c>
      <c r="N388" s="235"/>
      <c r="O388" s="235" t="s">
        <v>715</v>
      </c>
      <c r="P388" s="235"/>
      <c r="Q388" s="235"/>
      <c r="R388" s="235"/>
      <c r="S388" s="235"/>
      <c r="T388" s="235"/>
      <c r="U388" s="235"/>
      <c r="V388" s="235"/>
      <c r="W388" s="235"/>
      <c r="X388" s="234" t="s">
        <v>1843</v>
      </c>
      <c r="Y388" s="235"/>
    </row>
    <row r="389" spans="1:25" s="238" customFormat="1">
      <c r="A389" s="234">
        <v>386</v>
      </c>
      <c r="B389" s="235" t="s">
        <v>512</v>
      </c>
      <c r="C389" s="235" t="s">
        <v>920</v>
      </c>
      <c r="D389" s="235" t="s">
        <v>871</v>
      </c>
      <c r="E389" s="235" t="s">
        <v>1803</v>
      </c>
      <c r="F389" s="235" t="s">
        <v>591</v>
      </c>
      <c r="G389" s="235" t="s">
        <v>408</v>
      </c>
      <c r="H389" s="235" t="s">
        <v>405</v>
      </c>
      <c r="I389" s="215">
        <v>33000000</v>
      </c>
      <c r="J389" s="237">
        <v>44855</v>
      </c>
      <c r="K389" s="237">
        <v>44915</v>
      </c>
      <c r="L389" s="237">
        <v>44889</v>
      </c>
      <c r="M389" s="237">
        <v>44893</v>
      </c>
      <c r="N389" s="235"/>
      <c r="O389" s="235" t="s">
        <v>590</v>
      </c>
      <c r="P389" s="235"/>
      <c r="Q389" s="235"/>
      <c r="R389" s="235"/>
      <c r="S389" s="235"/>
      <c r="T389" s="235"/>
      <c r="U389" s="235"/>
      <c r="V389" s="235"/>
      <c r="W389" s="235"/>
      <c r="X389" s="234" t="s">
        <v>1991</v>
      </c>
      <c r="Y389" s="235"/>
    </row>
    <row r="390" spans="1:25" s="238" customFormat="1">
      <c r="A390" s="234">
        <v>387</v>
      </c>
      <c r="B390" s="235" t="s">
        <v>503</v>
      </c>
      <c r="C390" s="235" t="s">
        <v>1804</v>
      </c>
      <c r="D390" s="235" t="s">
        <v>406</v>
      </c>
      <c r="E390" s="235" t="s">
        <v>1953</v>
      </c>
      <c r="F390" s="235" t="s">
        <v>591</v>
      </c>
      <c r="G390" s="235" t="s">
        <v>408</v>
      </c>
      <c r="H390" s="235" t="s">
        <v>405</v>
      </c>
      <c r="I390" s="215">
        <v>113850000</v>
      </c>
      <c r="J390" s="237">
        <v>44853</v>
      </c>
      <c r="K390" s="263">
        <v>44946</v>
      </c>
      <c r="L390" s="235" t="s">
        <v>2189</v>
      </c>
      <c r="M390" s="235" t="s">
        <v>2190</v>
      </c>
      <c r="N390" s="235"/>
      <c r="O390" s="235" t="s">
        <v>590</v>
      </c>
      <c r="P390" s="235"/>
      <c r="Q390" s="235"/>
      <c r="R390" s="235"/>
      <c r="S390" s="235"/>
      <c r="T390" s="235"/>
      <c r="U390" s="235"/>
      <c r="V390" s="235"/>
      <c r="W390" s="235"/>
      <c r="X390" s="234" t="s">
        <v>2123</v>
      </c>
      <c r="Y390" s="235"/>
    </row>
    <row r="391" spans="1:25" s="238" customFormat="1">
      <c r="A391" s="234">
        <v>388</v>
      </c>
      <c r="B391" s="235" t="s">
        <v>503</v>
      </c>
      <c r="C391" s="235" t="s">
        <v>1817</v>
      </c>
      <c r="D391" s="235" t="s">
        <v>406</v>
      </c>
      <c r="E391" s="235" t="s">
        <v>2046</v>
      </c>
      <c r="F391" s="235" t="s">
        <v>591</v>
      </c>
      <c r="G391" s="235" t="s">
        <v>408</v>
      </c>
      <c r="H391" s="235" t="s">
        <v>405</v>
      </c>
      <c r="I391" s="215">
        <v>4873000</v>
      </c>
      <c r="J391" s="237">
        <v>44858</v>
      </c>
      <c r="K391" s="235"/>
      <c r="L391" s="237">
        <v>44876</v>
      </c>
      <c r="M391" s="237">
        <v>44879</v>
      </c>
      <c r="N391" s="235"/>
      <c r="O391" s="235" t="s">
        <v>941</v>
      </c>
      <c r="P391" s="235"/>
      <c r="Q391" s="235"/>
      <c r="R391" s="235"/>
      <c r="S391" s="235"/>
      <c r="T391" s="235"/>
      <c r="U391" s="235"/>
      <c r="V391" s="235"/>
      <c r="W391" s="235"/>
      <c r="X391" s="234" t="s">
        <v>2025</v>
      </c>
      <c r="Y391" s="235"/>
    </row>
    <row r="392" spans="1:25" s="247" customFormat="1">
      <c r="A392" s="244">
        <v>389</v>
      </c>
      <c r="B392" s="245" t="s">
        <v>1816</v>
      </c>
      <c r="C392" s="245"/>
      <c r="D392" s="245" t="s">
        <v>406</v>
      </c>
      <c r="E392" s="245" t="s">
        <v>1823</v>
      </c>
      <c r="F392" s="245" t="s">
        <v>502</v>
      </c>
      <c r="G392" s="245" t="s">
        <v>408</v>
      </c>
      <c r="H392" s="245" t="s">
        <v>405</v>
      </c>
      <c r="I392" s="219">
        <v>5500000</v>
      </c>
      <c r="J392" s="246">
        <v>44858</v>
      </c>
      <c r="K392" s="245"/>
      <c r="L392" s="246" t="s">
        <v>1652</v>
      </c>
      <c r="M392" s="245" t="s">
        <v>408</v>
      </c>
      <c r="N392" s="245"/>
      <c r="O392" s="245" t="s">
        <v>590</v>
      </c>
      <c r="P392" s="245"/>
      <c r="Q392" s="245"/>
      <c r="R392" s="245"/>
      <c r="S392" s="245"/>
      <c r="T392" s="245"/>
      <c r="U392" s="245"/>
      <c r="V392" s="245"/>
      <c r="W392" s="245"/>
      <c r="X392" s="244"/>
      <c r="Y392" s="245"/>
    </row>
    <row r="393" spans="1:25" s="238" customFormat="1">
      <c r="A393" s="234">
        <v>390</v>
      </c>
      <c r="B393" s="235" t="s">
        <v>705</v>
      </c>
      <c r="C393" s="235" t="s">
        <v>1818</v>
      </c>
      <c r="D393" s="235" t="s">
        <v>715</v>
      </c>
      <c r="E393" s="235" t="s">
        <v>1972</v>
      </c>
      <c r="F393" s="235" t="s">
        <v>591</v>
      </c>
      <c r="G393" s="235" t="s">
        <v>408</v>
      </c>
      <c r="H393" s="235" t="s">
        <v>405</v>
      </c>
      <c r="I393" s="215">
        <v>3960000</v>
      </c>
      <c r="J393" s="237">
        <v>44858</v>
      </c>
      <c r="K393" s="235"/>
      <c r="L393" s="237">
        <v>44882</v>
      </c>
      <c r="M393" s="237">
        <v>44883</v>
      </c>
      <c r="N393" s="235"/>
      <c r="O393" s="235" t="s">
        <v>715</v>
      </c>
      <c r="P393" s="235"/>
      <c r="Q393" s="235"/>
      <c r="R393" s="235"/>
      <c r="S393" s="235"/>
      <c r="T393" s="235"/>
      <c r="U393" s="235"/>
      <c r="V393" s="235"/>
      <c r="W393" s="235"/>
      <c r="X393" s="234" t="s">
        <v>1889</v>
      </c>
      <c r="Y393" s="235"/>
    </row>
    <row r="394" spans="1:25" s="238" customFormat="1">
      <c r="A394" s="234">
        <v>391</v>
      </c>
      <c r="B394" s="235" t="s">
        <v>585</v>
      </c>
      <c r="C394" s="235" t="s">
        <v>587</v>
      </c>
      <c r="D394" s="235" t="s">
        <v>587</v>
      </c>
      <c r="E394" s="235" t="s">
        <v>1822</v>
      </c>
      <c r="F394" s="235" t="s">
        <v>591</v>
      </c>
      <c r="G394" s="235" t="s">
        <v>408</v>
      </c>
      <c r="H394" s="235" t="s">
        <v>405</v>
      </c>
      <c r="I394" s="215">
        <v>6050000</v>
      </c>
      <c r="J394" s="237">
        <v>44858</v>
      </c>
      <c r="K394" s="235"/>
      <c r="L394" s="237" t="s">
        <v>2177</v>
      </c>
      <c r="M394" s="235" t="s">
        <v>2186</v>
      </c>
      <c r="N394" s="235"/>
      <c r="O394" s="235" t="s">
        <v>590</v>
      </c>
      <c r="P394" s="235"/>
      <c r="Q394" s="235"/>
      <c r="R394" s="235"/>
      <c r="S394" s="235"/>
      <c r="T394" s="235"/>
      <c r="U394" s="235"/>
      <c r="V394" s="235"/>
      <c r="W394" s="235"/>
      <c r="X394" s="234" t="s">
        <v>2163</v>
      </c>
      <c r="Y394" s="235"/>
    </row>
    <row r="395" spans="1:25" s="238" customFormat="1">
      <c r="A395" s="234">
        <v>392</v>
      </c>
      <c r="B395" s="235" t="s">
        <v>512</v>
      </c>
      <c r="C395" s="235" t="s">
        <v>1819</v>
      </c>
      <c r="D395" s="235" t="s">
        <v>665</v>
      </c>
      <c r="E395" s="235" t="s">
        <v>1871</v>
      </c>
      <c r="F395" s="235" t="s">
        <v>591</v>
      </c>
      <c r="G395" s="235" t="s">
        <v>408</v>
      </c>
      <c r="H395" s="235" t="s">
        <v>405</v>
      </c>
      <c r="I395" s="215">
        <v>7590000</v>
      </c>
      <c r="J395" s="237">
        <v>44858</v>
      </c>
      <c r="K395" s="245"/>
      <c r="L395" s="237">
        <v>44887</v>
      </c>
      <c r="M395" s="237">
        <v>44888</v>
      </c>
      <c r="N395" s="245"/>
      <c r="O395" s="235" t="s">
        <v>735</v>
      </c>
      <c r="P395" s="235"/>
      <c r="Q395" s="235"/>
      <c r="R395" s="235"/>
      <c r="S395" s="235"/>
      <c r="T395" s="235"/>
      <c r="U395" s="235"/>
      <c r="V395" s="235"/>
      <c r="W395" s="235"/>
      <c r="X395" s="234" t="s">
        <v>2004</v>
      </c>
      <c r="Y395" s="235"/>
    </row>
    <row r="396" spans="1:25" s="238" customFormat="1">
      <c r="A396" s="234">
        <v>393</v>
      </c>
      <c r="B396" s="235" t="s">
        <v>908</v>
      </c>
      <c r="C396" s="235" t="s">
        <v>1820</v>
      </c>
      <c r="D396" s="235" t="s">
        <v>406</v>
      </c>
      <c r="E396" s="235" t="s">
        <v>1924</v>
      </c>
      <c r="F396" s="235" t="s">
        <v>591</v>
      </c>
      <c r="G396" s="235" t="s">
        <v>408</v>
      </c>
      <c r="H396" s="235" t="s">
        <v>405</v>
      </c>
      <c r="I396" s="215">
        <v>5500000</v>
      </c>
      <c r="J396" s="237">
        <v>44858</v>
      </c>
      <c r="K396" s="237">
        <v>44876</v>
      </c>
      <c r="L396" s="237">
        <v>44875</v>
      </c>
      <c r="M396" s="237">
        <v>44875</v>
      </c>
      <c r="N396" s="235"/>
      <c r="O396" s="235" t="s">
        <v>735</v>
      </c>
      <c r="P396" s="235"/>
      <c r="Q396" s="235"/>
      <c r="R396" s="235"/>
      <c r="S396" s="235"/>
      <c r="T396" s="235"/>
      <c r="U396" s="235"/>
      <c r="V396" s="235"/>
      <c r="W396" s="235"/>
      <c r="X396" s="234" t="s">
        <v>2003</v>
      </c>
      <c r="Y396" s="235"/>
    </row>
    <row r="397" spans="1:25" s="238" customFormat="1">
      <c r="A397" s="234">
        <v>394</v>
      </c>
      <c r="B397" s="235" t="s">
        <v>512</v>
      </c>
      <c r="C397" s="235" t="s">
        <v>1821</v>
      </c>
      <c r="D397" s="235" t="s">
        <v>406</v>
      </c>
      <c r="E397" s="235" t="s">
        <v>1927</v>
      </c>
      <c r="F397" s="235" t="s">
        <v>591</v>
      </c>
      <c r="G397" s="235" t="s">
        <v>408</v>
      </c>
      <c r="H397" s="235" t="s">
        <v>405</v>
      </c>
      <c r="I397" s="215">
        <v>4620000</v>
      </c>
      <c r="J397" s="237">
        <v>44859</v>
      </c>
      <c r="K397" s="235"/>
      <c r="L397" s="237">
        <v>44872</v>
      </c>
      <c r="M397" s="237">
        <v>44874</v>
      </c>
      <c r="N397" s="235"/>
      <c r="O397" s="235" t="s">
        <v>596</v>
      </c>
      <c r="P397" s="235"/>
      <c r="Q397" s="235"/>
      <c r="R397" s="235"/>
      <c r="S397" s="235"/>
      <c r="T397" s="235"/>
      <c r="U397" s="235"/>
      <c r="V397" s="235"/>
      <c r="W397" s="235"/>
      <c r="X397" s="234" t="s">
        <v>1863</v>
      </c>
      <c r="Y397" s="235"/>
    </row>
    <row r="398" spans="1:25" s="238" customFormat="1">
      <c r="A398" s="234">
        <v>395</v>
      </c>
      <c r="B398" s="235" t="s">
        <v>1395</v>
      </c>
      <c r="C398" s="235" t="s">
        <v>1827</v>
      </c>
      <c r="D398" s="235" t="s">
        <v>406</v>
      </c>
      <c r="E398" s="235" t="s">
        <v>1974</v>
      </c>
      <c r="F398" s="235"/>
      <c r="G398" s="235" t="s">
        <v>408</v>
      </c>
      <c r="H398" s="235" t="s">
        <v>405</v>
      </c>
      <c r="I398" s="215">
        <v>5009000</v>
      </c>
      <c r="J398" s="237">
        <v>44851</v>
      </c>
      <c r="K398" s="235"/>
      <c r="L398" s="237">
        <v>44872</v>
      </c>
      <c r="M398" s="237">
        <v>44882</v>
      </c>
      <c r="N398" s="235"/>
      <c r="O398" s="235" t="s">
        <v>994</v>
      </c>
      <c r="P398" s="235"/>
      <c r="Q398" s="235"/>
      <c r="R398" s="235"/>
      <c r="S398" s="235"/>
      <c r="T398" s="235"/>
      <c r="U398" s="235"/>
      <c r="V398" s="235"/>
      <c r="W398" s="235"/>
      <c r="X398" s="234" t="s">
        <v>1888</v>
      </c>
      <c r="Y398" s="235"/>
    </row>
    <row r="399" spans="1:25" s="238" customFormat="1">
      <c r="A399" s="234">
        <v>396</v>
      </c>
      <c r="B399" s="235" t="s">
        <v>512</v>
      </c>
      <c r="C399" s="235" t="s">
        <v>1828</v>
      </c>
      <c r="D399" s="235" t="s">
        <v>1829</v>
      </c>
      <c r="E399" s="235" t="s">
        <v>1978</v>
      </c>
      <c r="F399" s="235" t="s">
        <v>591</v>
      </c>
      <c r="G399" s="235" t="s">
        <v>408</v>
      </c>
      <c r="H399" s="235" t="s">
        <v>405</v>
      </c>
      <c r="I399" s="215">
        <v>4400000</v>
      </c>
      <c r="J399" s="237">
        <v>44861</v>
      </c>
      <c r="K399" s="237">
        <v>44866</v>
      </c>
      <c r="L399" s="237">
        <v>44879</v>
      </c>
      <c r="M399" s="237">
        <v>44880</v>
      </c>
      <c r="N399" s="235"/>
      <c r="O399" s="235" t="s">
        <v>735</v>
      </c>
      <c r="P399" s="235"/>
      <c r="Q399" s="235"/>
      <c r="R399" s="235"/>
      <c r="S399" s="235"/>
      <c r="T399" s="235"/>
      <c r="U399" s="235"/>
      <c r="V399" s="235"/>
      <c r="W399" s="235"/>
      <c r="X399" s="234" t="s">
        <v>1933</v>
      </c>
      <c r="Y399" s="235"/>
    </row>
    <row r="400" spans="1:25" s="238" customFormat="1">
      <c r="A400" s="234">
        <v>397</v>
      </c>
      <c r="B400" s="235" t="s">
        <v>1351</v>
      </c>
      <c r="C400" s="235" t="s">
        <v>787</v>
      </c>
      <c r="D400" s="235"/>
      <c r="E400" s="235" t="s">
        <v>1830</v>
      </c>
      <c r="F400" s="235" t="s">
        <v>591</v>
      </c>
      <c r="G400" s="235" t="s">
        <v>408</v>
      </c>
      <c r="H400" s="235" t="s">
        <v>405</v>
      </c>
      <c r="I400" s="215">
        <v>2200000</v>
      </c>
      <c r="J400" s="237">
        <v>44861</v>
      </c>
      <c r="K400" s="235"/>
      <c r="L400" s="237">
        <v>44875</v>
      </c>
      <c r="M400" s="237">
        <v>44887</v>
      </c>
      <c r="N400" s="235"/>
      <c r="O400" s="235" t="s">
        <v>1678</v>
      </c>
      <c r="P400" s="235"/>
      <c r="Q400" s="235"/>
      <c r="R400" s="235"/>
      <c r="S400" s="235"/>
      <c r="T400" s="235"/>
      <c r="U400" s="235"/>
      <c r="V400" s="235"/>
      <c r="W400" s="235"/>
      <c r="X400" s="241" t="s">
        <v>1878</v>
      </c>
      <c r="Y400" s="235"/>
    </row>
    <row r="401" spans="1:25" s="238" customFormat="1">
      <c r="A401" s="234">
        <v>398</v>
      </c>
      <c r="B401" s="235" t="s">
        <v>1832</v>
      </c>
      <c r="C401" s="235" t="s">
        <v>1833</v>
      </c>
      <c r="D401" s="235" t="s">
        <v>406</v>
      </c>
      <c r="E401" s="235" t="s">
        <v>1834</v>
      </c>
      <c r="F401" s="235" t="s">
        <v>502</v>
      </c>
      <c r="G401" s="235" t="s">
        <v>408</v>
      </c>
      <c r="H401" s="235" t="s">
        <v>405</v>
      </c>
      <c r="I401" s="215">
        <v>4972000</v>
      </c>
      <c r="J401" s="237">
        <v>44859</v>
      </c>
      <c r="K401" s="237">
        <v>44866</v>
      </c>
      <c r="L401" s="237">
        <v>44886</v>
      </c>
      <c r="M401" s="237">
        <v>44887</v>
      </c>
      <c r="N401" s="235"/>
      <c r="O401" s="235" t="s">
        <v>584</v>
      </c>
      <c r="P401" s="235"/>
      <c r="Q401" s="235"/>
      <c r="R401" s="235"/>
      <c r="S401" s="235"/>
      <c r="T401" s="235"/>
      <c r="U401" s="235"/>
      <c r="V401" s="235"/>
      <c r="W401" s="235"/>
      <c r="X401" s="234"/>
      <c r="Y401" s="235"/>
    </row>
    <row r="402" spans="1:25" s="238" customFormat="1">
      <c r="A402" s="234">
        <v>399</v>
      </c>
      <c r="B402" s="235" t="s">
        <v>585</v>
      </c>
      <c r="C402" s="235"/>
      <c r="D402" s="235"/>
      <c r="E402" s="235" t="s">
        <v>1192</v>
      </c>
      <c r="F402" s="235" t="s">
        <v>591</v>
      </c>
      <c r="G402" s="235" t="s">
        <v>408</v>
      </c>
      <c r="H402" s="235" t="s">
        <v>405</v>
      </c>
      <c r="I402" s="215">
        <v>14080000</v>
      </c>
      <c r="J402" s="237">
        <v>44866</v>
      </c>
      <c r="K402" s="235"/>
      <c r="L402" s="237">
        <v>44866</v>
      </c>
      <c r="M402" s="237">
        <v>44886</v>
      </c>
      <c r="N402" s="235"/>
      <c r="O402" s="235" t="s">
        <v>1110</v>
      </c>
      <c r="P402" s="235"/>
      <c r="Q402" s="235"/>
      <c r="R402" s="235"/>
      <c r="S402" s="235"/>
      <c r="T402" s="235"/>
      <c r="U402" s="235"/>
      <c r="V402" s="235"/>
      <c r="W402" s="235"/>
      <c r="X402" s="234" t="s">
        <v>1848</v>
      </c>
      <c r="Y402" s="235"/>
    </row>
    <row r="403" spans="1:25" s="238" customFormat="1">
      <c r="A403" s="234">
        <v>400</v>
      </c>
      <c r="B403" s="235" t="s">
        <v>705</v>
      </c>
      <c r="C403" s="235" t="s">
        <v>1471</v>
      </c>
      <c r="D403" s="235" t="s">
        <v>1292</v>
      </c>
      <c r="E403" s="235" t="s">
        <v>1839</v>
      </c>
      <c r="F403" s="235" t="s">
        <v>591</v>
      </c>
      <c r="G403" s="235" t="s">
        <v>408</v>
      </c>
      <c r="H403" s="235" t="s">
        <v>405</v>
      </c>
      <c r="I403" s="215">
        <v>2200000</v>
      </c>
      <c r="J403" s="237">
        <v>44867</v>
      </c>
      <c r="K403" s="235"/>
      <c r="L403" s="237">
        <v>44867</v>
      </c>
      <c r="M403" s="237">
        <v>44875</v>
      </c>
      <c r="N403" s="235"/>
      <c r="O403" s="235" t="s">
        <v>1110</v>
      </c>
      <c r="P403" s="235"/>
      <c r="Q403" s="235"/>
      <c r="R403" s="235"/>
      <c r="S403" s="235"/>
      <c r="T403" s="235"/>
      <c r="U403" s="235"/>
      <c r="V403" s="235"/>
      <c r="W403" s="235"/>
      <c r="X403" s="234" t="s">
        <v>1847</v>
      </c>
      <c r="Y403" s="235"/>
    </row>
    <row r="404" spans="1:25" s="238" customFormat="1">
      <c r="A404" s="234">
        <v>401</v>
      </c>
      <c r="B404" s="235" t="s">
        <v>1838</v>
      </c>
      <c r="C404" s="235"/>
      <c r="D404" s="235" t="s">
        <v>678</v>
      </c>
      <c r="E404" s="235" t="s">
        <v>1837</v>
      </c>
      <c r="F404" s="235" t="s">
        <v>591</v>
      </c>
      <c r="G404" s="235" t="s">
        <v>408</v>
      </c>
      <c r="H404" s="235" t="s">
        <v>405</v>
      </c>
      <c r="I404" s="215">
        <v>2046000</v>
      </c>
      <c r="J404" s="237">
        <v>44867</v>
      </c>
      <c r="K404" s="235"/>
      <c r="L404" s="237">
        <v>44867</v>
      </c>
      <c r="M404" s="237">
        <v>44868</v>
      </c>
      <c r="N404" s="235"/>
      <c r="O404" s="235" t="s">
        <v>735</v>
      </c>
      <c r="P404" s="235"/>
      <c r="Q404" s="235"/>
      <c r="R404" s="235"/>
      <c r="S404" s="235"/>
      <c r="T404" s="235"/>
      <c r="U404" s="235"/>
      <c r="V404" s="235"/>
      <c r="W404" s="235"/>
      <c r="X404" s="234" t="s">
        <v>1887</v>
      </c>
      <c r="Y404" s="235"/>
    </row>
    <row r="405" spans="1:25" s="238" customFormat="1">
      <c r="A405" s="234">
        <v>402</v>
      </c>
      <c r="B405" s="235" t="s">
        <v>503</v>
      </c>
      <c r="C405" s="235"/>
      <c r="D405" s="235" t="s">
        <v>406</v>
      </c>
      <c r="E405" s="235" t="s">
        <v>1836</v>
      </c>
      <c r="F405" s="235" t="s">
        <v>591</v>
      </c>
      <c r="G405" s="235" t="s">
        <v>408</v>
      </c>
      <c r="H405" s="235" t="s">
        <v>405</v>
      </c>
      <c r="I405" s="215">
        <v>284142060</v>
      </c>
      <c r="J405" s="237">
        <v>44867</v>
      </c>
      <c r="K405" s="235"/>
      <c r="L405" s="237">
        <v>44867</v>
      </c>
      <c r="M405" s="235" t="s">
        <v>1854</v>
      </c>
      <c r="N405" s="235"/>
      <c r="O405" s="234" t="s">
        <v>833</v>
      </c>
      <c r="P405" s="235"/>
      <c r="Q405" s="235"/>
      <c r="R405" s="235"/>
      <c r="S405" s="235"/>
      <c r="T405" s="235"/>
      <c r="U405" s="235"/>
      <c r="V405" s="235"/>
      <c r="W405" s="235"/>
      <c r="X405" s="234"/>
      <c r="Y405" s="235"/>
    </row>
    <row r="406" spans="1:25" s="238" customFormat="1">
      <c r="A406" s="234">
        <v>403</v>
      </c>
      <c r="B406" s="235" t="s">
        <v>512</v>
      </c>
      <c r="C406" s="235" t="s">
        <v>1864</v>
      </c>
      <c r="D406" s="235" t="s">
        <v>841</v>
      </c>
      <c r="E406" s="235" t="s">
        <v>1867</v>
      </c>
      <c r="F406" s="235" t="s">
        <v>591</v>
      </c>
      <c r="G406" s="235" t="s">
        <v>408</v>
      </c>
      <c r="H406" s="235" t="s">
        <v>405</v>
      </c>
      <c r="I406" s="215">
        <v>21450000</v>
      </c>
      <c r="J406" s="237">
        <v>44868</v>
      </c>
      <c r="K406" s="237">
        <v>44918</v>
      </c>
      <c r="L406" s="237">
        <v>44914</v>
      </c>
      <c r="M406" s="237">
        <v>44915</v>
      </c>
      <c r="N406" s="235"/>
      <c r="O406" s="235" t="s">
        <v>2014</v>
      </c>
      <c r="P406" s="235"/>
      <c r="Q406" s="235"/>
      <c r="R406" s="235"/>
      <c r="S406" s="235"/>
      <c r="T406" s="235"/>
      <c r="U406" s="235"/>
      <c r="V406" s="235"/>
      <c r="W406" s="235"/>
      <c r="X406" s="234" t="s">
        <v>1922</v>
      </c>
      <c r="Y406" s="235"/>
    </row>
    <row r="407" spans="1:25" s="238" customFormat="1">
      <c r="A407" s="234">
        <v>404</v>
      </c>
      <c r="B407" s="235" t="s">
        <v>1587</v>
      </c>
      <c r="C407" s="235" t="s">
        <v>1588</v>
      </c>
      <c r="D407" s="235" t="s">
        <v>678</v>
      </c>
      <c r="E407" s="235" t="s">
        <v>1868</v>
      </c>
      <c r="F407" s="235" t="s">
        <v>591</v>
      </c>
      <c r="G407" s="235" t="s">
        <v>408</v>
      </c>
      <c r="H407" s="235" t="s">
        <v>405</v>
      </c>
      <c r="I407" s="215">
        <v>2640000</v>
      </c>
      <c r="J407" s="235" t="s">
        <v>1905</v>
      </c>
      <c r="K407" s="235"/>
      <c r="L407" s="237">
        <v>44876</v>
      </c>
      <c r="M407" s="237">
        <v>44887</v>
      </c>
      <c r="N407" s="235"/>
      <c r="O407" s="235" t="s">
        <v>735</v>
      </c>
      <c r="P407" s="235"/>
      <c r="Q407" s="235"/>
      <c r="R407" s="235"/>
      <c r="S407" s="235"/>
      <c r="T407" s="235"/>
      <c r="U407" s="235"/>
      <c r="V407" s="235"/>
      <c r="W407" s="235"/>
      <c r="X407" s="234" t="s">
        <v>1906</v>
      </c>
      <c r="Y407" s="235"/>
    </row>
    <row r="408" spans="1:25" s="238" customFormat="1">
      <c r="A408" s="234">
        <v>405</v>
      </c>
      <c r="B408" s="235" t="s">
        <v>934</v>
      </c>
      <c r="C408" s="235" t="s">
        <v>1865</v>
      </c>
      <c r="D408" s="235" t="s">
        <v>1866</v>
      </c>
      <c r="E408" s="235" t="s">
        <v>1975</v>
      </c>
      <c r="F408" s="235" t="s">
        <v>591</v>
      </c>
      <c r="G408" s="235" t="s">
        <v>408</v>
      </c>
      <c r="H408" s="235" t="s">
        <v>405</v>
      </c>
      <c r="I408" s="215">
        <v>9240000</v>
      </c>
      <c r="J408" s="237">
        <v>44872</v>
      </c>
      <c r="K408" s="237">
        <v>44876</v>
      </c>
      <c r="L408" s="237">
        <v>44879</v>
      </c>
      <c r="M408" s="237">
        <v>44881</v>
      </c>
      <c r="N408" s="235"/>
      <c r="O408" s="235" t="s">
        <v>1869</v>
      </c>
      <c r="P408" s="235"/>
      <c r="Q408" s="235"/>
      <c r="R408" s="235"/>
      <c r="S408" s="235"/>
      <c r="T408" s="235"/>
      <c r="U408" s="235"/>
      <c r="V408" s="235"/>
      <c r="W408" s="235"/>
      <c r="X408" s="234" t="s">
        <v>1883</v>
      </c>
      <c r="Y408" s="235"/>
    </row>
    <row r="409" spans="1:25" s="238" customFormat="1">
      <c r="A409" s="234">
        <v>406</v>
      </c>
      <c r="B409" s="235" t="s">
        <v>512</v>
      </c>
      <c r="C409" s="235" t="s">
        <v>964</v>
      </c>
      <c r="D409" s="235" t="s">
        <v>1168</v>
      </c>
      <c r="E409" s="235" t="s">
        <v>1870</v>
      </c>
      <c r="F409" s="235" t="s">
        <v>591</v>
      </c>
      <c r="G409" s="235" t="s">
        <v>408</v>
      </c>
      <c r="H409" s="235" t="s">
        <v>405</v>
      </c>
      <c r="I409" s="215">
        <v>8139450</v>
      </c>
      <c r="J409" s="237">
        <v>44873</v>
      </c>
      <c r="K409" s="237">
        <v>44895</v>
      </c>
      <c r="L409" s="237">
        <v>44880</v>
      </c>
      <c r="M409" s="237">
        <v>44893</v>
      </c>
      <c r="N409" s="235"/>
      <c r="O409" s="235" t="s">
        <v>715</v>
      </c>
      <c r="P409" s="235"/>
      <c r="Q409" s="235"/>
      <c r="R409" s="235"/>
      <c r="S409" s="235"/>
      <c r="T409" s="235"/>
      <c r="U409" s="235"/>
      <c r="V409" s="235"/>
      <c r="W409" s="235"/>
      <c r="X409" s="234" t="s">
        <v>1872</v>
      </c>
      <c r="Y409" s="235"/>
    </row>
    <row r="410" spans="1:25" s="238" customFormat="1">
      <c r="A410" s="234">
        <v>407</v>
      </c>
      <c r="B410" s="235" t="s">
        <v>683</v>
      </c>
      <c r="C410" s="235" t="s">
        <v>1876</v>
      </c>
      <c r="D410" s="235" t="s">
        <v>407</v>
      </c>
      <c r="E410" s="235" t="s">
        <v>1877</v>
      </c>
      <c r="F410" s="235" t="s">
        <v>591</v>
      </c>
      <c r="G410" s="235" t="s">
        <v>408</v>
      </c>
      <c r="H410" s="235" t="s">
        <v>405</v>
      </c>
      <c r="I410" s="215">
        <v>23760000</v>
      </c>
      <c r="J410" s="237">
        <v>44865</v>
      </c>
      <c r="K410" s="235"/>
      <c r="L410" s="237" t="s">
        <v>2176</v>
      </c>
      <c r="M410" s="235" t="s">
        <v>2185</v>
      </c>
      <c r="N410" s="235"/>
      <c r="O410" s="235" t="s">
        <v>590</v>
      </c>
      <c r="P410" s="235"/>
      <c r="Q410" s="235"/>
      <c r="R410" s="235"/>
      <c r="S410" s="235"/>
      <c r="T410" s="235"/>
      <c r="U410" s="235"/>
      <c r="V410" s="235"/>
      <c r="W410" s="235"/>
      <c r="X410" s="234" t="s">
        <v>2172</v>
      </c>
      <c r="Y410" s="235"/>
    </row>
    <row r="411" spans="1:25" s="238" customFormat="1">
      <c r="A411" s="234">
        <v>408</v>
      </c>
      <c r="B411" s="235" t="s">
        <v>1351</v>
      </c>
      <c r="C411" s="235" t="s">
        <v>787</v>
      </c>
      <c r="D411" s="235" t="s">
        <v>406</v>
      </c>
      <c r="E411" s="235" t="s">
        <v>1880</v>
      </c>
      <c r="F411" s="235" t="s">
        <v>591</v>
      </c>
      <c r="G411" s="235" t="s">
        <v>408</v>
      </c>
      <c r="H411" s="235" t="s">
        <v>405</v>
      </c>
      <c r="I411" s="215">
        <v>4400000</v>
      </c>
      <c r="J411" s="237">
        <v>44874</v>
      </c>
      <c r="K411" s="235"/>
      <c r="L411" s="237">
        <v>44875</v>
      </c>
      <c r="M411" s="237">
        <v>44887</v>
      </c>
      <c r="N411" s="235"/>
      <c r="O411" s="235" t="s">
        <v>1678</v>
      </c>
      <c r="P411" s="235"/>
      <c r="Q411" s="235"/>
      <c r="R411" s="235"/>
      <c r="S411" s="235"/>
      <c r="T411" s="235"/>
      <c r="U411" s="235"/>
      <c r="V411" s="235"/>
      <c r="W411" s="235"/>
      <c r="X411" s="234" t="s">
        <v>1881</v>
      </c>
      <c r="Y411" s="235"/>
    </row>
    <row r="412" spans="1:25" s="238" customFormat="1">
      <c r="A412" s="234">
        <v>409</v>
      </c>
      <c r="B412" s="235" t="s">
        <v>512</v>
      </c>
      <c r="C412" s="235" t="s">
        <v>1828</v>
      </c>
      <c r="D412" s="235" t="s">
        <v>1292</v>
      </c>
      <c r="E412" s="235" t="s">
        <v>1882</v>
      </c>
      <c r="F412" s="235" t="s">
        <v>591</v>
      </c>
      <c r="G412" s="235" t="s">
        <v>408</v>
      </c>
      <c r="H412" s="235" t="s">
        <v>405</v>
      </c>
      <c r="I412" s="215">
        <v>62700000</v>
      </c>
      <c r="J412" s="237">
        <v>44874</v>
      </c>
      <c r="K412" s="263">
        <v>45290</v>
      </c>
      <c r="L412" s="235" t="s">
        <v>1944</v>
      </c>
      <c r="M412" s="235" t="s">
        <v>1967</v>
      </c>
      <c r="N412" s="235"/>
      <c r="O412" s="235" t="s">
        <v>735</v>
      </c>
      <c r="P412" s="235"/>
      <c r="Q412" s="235"/>
      <c r="R412" s="235"/>
      <c r="S412" s="235"/>
      <c r="T412" s="235"/>
      <c r="U412" s="235"/>
      <c r="V412" s="235"/>
      <c r="W412" s="235"/>
      <c r="X412" s="234"/>
      <c r="Y412" s="235"/>
    </row>
    <row r="413" spans="1:25" s="238" customFormat="1">
      <c r="A413" s="234">
        <v>410</v>
      </c>
      <c r="B413" s="235" t="s">
        <v>1884</v>
      </c>
      <c r="C413" s="235" t="s">
        <v>1421</v>
      </c>
      <c r="D413" s="235" t="s">
        <v>1885</v>
      </c>
      <c r="E413" s="235" t="s">
        <v>1886</v>
      </c>
      <c r="F413" s="235" t="s">
        <v>591</v>
      </c>
      <c r="G413" s="235" t="s">
        <v>408</v>
      </c>
      <c r="H413" s="235" t="s">
        <v>405</v>
      </c>
      <c r="I413" s="215">
        <v>2910600</v>
      </c>
      <c r="J413" s="237">
        <v>44874</v>
      </c>
      <c r="K413" s="235"/>
      <c r="L413" s="237">
        <v>44904</v>
      </c>
      <c r="M413" s="237">
        <v>44909</v>
      </c>
      <c r="N413" s="235"/>
      <c r="O413" s="235" t="s">
        <v>715</v>
      </c>
      <c r="P413" s="235"/>
      <c r="Q413" s="235"/>
      <c r="R413" s="235"/>
      <c r="S413" s="235"/>
      <c r="T413" s="235"/>
      <c r="U413" s="235"/>
      <c r="V413" s="235"/>
      <c r="W413" s="235"/>
      <c r="X413" s="234" t="s">
        <v>2038</v>
      </c>
      <c r="Y413" s="235"/>
    </row>
    <row r="414" spans="1:25" s="238" customFormat="1">
      <c r="A414" s="234">
        <v>411</v>
      </c>
      <c r="B414" s="235" t="s">
        <v>1909</v>
      </c>
      <c r="C414" s="235" t="s">
        <v>1910</v>
      </c>
      <c r="D414" s="235" t="s">
        <v>678</v>
      </c>
      <c r="E414" s="235" t="s">
        <v>1911</v>
      </c>
      <c r="F414" s="235" t="s">
        <v>591</v>
      </c>
      <c r="G414" s="235" t="s">
        <v>408</v>
      </c>
      <c r="H414" s="235" t="s">
        <v>405</v>
      </c>
      <c r="I414" s="215">
        <v>4290000</v>
      </c>
      <c r="J414" s="237">
        <v>44874</v>
      </c>
      <c r="K414" s="235"/>
      <c r="L414" s="237">
        <v>44879</v>
      </c>
      <c r="M414" s="237">
        <v>44880</v>
      </c>
      <c r="N414" s="235"/>
      <c r="O414" s="235" t="s">
        <v>715</v>
      </c>
      <c r="P414" s="235"/>
      <c r="Q414" s="235"/>
      <c r="R414" s="235"/>
      <c r="S414" s="235"/>
      <c r="T414" s="235"/>
      <c r="U414" s="235"/>
      <c r="V414" s="235"/>
      <c r="W414" s="235"/>
      <c r="X414" s="234" t="s">
        <v>1919</v>
      </c>
      <c r="Y414" s="235"/>
    </row>
    <row r="415" spans="1:25" s="238" customFormat="1">
      <c r="A415" s="234">
        <v>412</v>
      </c>
      <c r="B415" s="235" t="s">
        <v>1912</v>
      </c>
      <c r="C415" s="235" t="s">
        <v>1913</v>
      </c>
      <c r="D415" s="235" t="s">
        <v>1105</v>
      </c>
      <c r="E415" s="235" t="s">
        <v>1926</v>
      </c>
      <c r="F415" s="235" t="s">
        <v>591</v>
      </c>
      <c r="G415" s="235" t="s">
        <v>408</v>
      </c>
      <c r="H415" s="235" t="s">
        <v>405</v>
      </c>
      <c r="I415" s="215">
        <v>8800000</v>
      </c>
      <c r="J415" s="237">
        <v>44875</v>
      </c>
      <c r="K415" s="235"/>
      <c r="L415" s="237">
        <v>44875</v>
      </c>
      <c r="M415" s="237">
        <v>44875</v>
      </c>
      <c r="N415" s="235"/>
      <c r="O415" s="235" t="s">
        <v>596</v>
      </c>
      <c r="P415" s="235"/>
      <c r="Q415" s="235"/>
      <c r="R415" s="235"/>
      <c r="S415" s="235"/>
      <c r="T415" s="235"/>
      <c r="U415" s="235"/>
      <c r="V415" s="235"/>
      <c r="W415" s="235"/>
      <c r="X415" s="234" t="s">
        <v>2144</v>
      </c>
      <c r="Y415" s="235"/>
    </row>
    <row r="416" spans="1:25" s="238" customFormat="1">
      <c r="A416" s="234">
        <v>413</v>
      </c>
      <c r="B416" s="235" t="s">
        <v>581</v>
      </c>
      <c r="C416" s="235" t="s">
        <v>582</v>
      </c>
      <c r="D416" s="235" t="s">
        <v>1914</v>
      </c>
      <c r="E416" s="235" t="s">
        <v>1915</v>
      </c>
      <c r="F416" s="235" t="s">
        <v>591</v>
      </c>
      <c r="G416" s="235" t="s">
        <v>408</v>
      </c>
      <c r="H416" s="235" t="s">
        <v>405</v>
      </c>
      <c r="I416" s="215">
        <v>28600000</v>
      </c>
      <c r="J416" s="237">
        <v>44875</v>
      </c>
      <c r="K416" s="235"/>
      <c r="L416" s="264" t="s">
        <v>2162</v>
      </c>
      <c r="M416" s="235" t="s">
        <v>2192</v>
      </c>
      <c r="N416" s="235"/>
      <c r="O416" s="235" t="s">
        <v>735</v>
      </c>
      <c r="P416" s="235"/>
      <c r="Q416" s="235"/>
      <c r="R416" s="235"/>
      <c r="S416" s="235"/>
      <c r="T416" s="235"/>
      <c r="U416" s="235"/>
      <c r="V416" s="235"/>
      <c r="W416" s="235"/>
      <c r="X416" s="234" t="s">
        <v>2143</v>
      </c>
      <c r="Y416" s="235"/>
    </row>
    <row r="417" spans="1:25" s="238" customFormat="1">
      <c r="A417" s="234">
        <v>414</v>
      </c>
      <c r="B417" s="235" t="s">
        <v>705</v>
      </c>
      <c r="C417" s="235"/>
      <c r="D417" s="235" t="s">
        <v>952</v>
      </c>
      <c r="E417" s="235" t="s">
        <v>1923</v>
      </c>
      <c r="F417" s="235" t="s">
        <v>591</v>
      </c>
      <c r="G417" s="235" t="s">
        <v>408</v>
      </c>
      <c r="H417" s="235" t="s">
        <v>405</v>
      </c>
      <c r="I417" s="215">
        <v>6820000</v>
      </c>
      <c r="J417" s="237">
        <v>44876</v>
      </c>
      <c r="K417" s="235"/>
      <c r="L417" s="237">
        <v>44914</v>
      </c>
      <c r="M417" s="237">
        <v>44922</v>
      </c>
      <c r="N417" s="235"/>
      <c r="O417" s="235" t="s">
        <v>915</v>
      </c>
      <c r="P417" s="235"/>
      <c r="Q417" s="235"/>
      <c r="R417" s="235"/>
      <c r="S417" s="235"/>
      <c r="T417" s="235"/>
      <c r="U417" s="235"/>
      <c r="V417" s="235"/>
      <c r="W417" s="235"/>
      <c r="X417" s="234" t="s">
        <v>2088</v>
      </c>
      <c r="Y417" s="235"/>
    </row>
    <row r="418" spans="1:25" s="238" customFormat="1">
      <c r="A418" s="234">
        <v>415</v>
      </c>
      <c r="B418" s="235" t="s">
        <v>908</v>
      </c>
      <c r="C418" s="235" t="s">
        <v>909</v>
      </c>
      <c r="D418" s="235"/>
      <c r="E418" s="235" t="s">
        <v>1938</v>
      </c>
      <c r="F418" s="235" t="s">
        <v>591</v>
      </c>
      <c r="G418" s="235" t="s">
        <v>408</v>
      </c>
      <c r="H418" s="235" t="s">
        <v>405</v>
      </c>
      <c r="I418" s="215">
        <v>1760000</v>
      </c>
      <c r="J418" s="237">
        <v>44880</v>
      </c>
      <c r="K418" s="235"/>
      <c r="L418" s="237">
        <v>44893</v>
      </c>
      <c r="M418" s="237">
        <v>44894</v>
      </c>
      <c r="N418" s="235"/>
      <c r="O418" s="235" t="s">
        <v>590</v>
      </c>
      <c r="P418" s="235"/>
      <c r="Q418" s="235"/>
      <c r="R418" s="235"/>
      <c r="S418" s="235"/>
      <c r="T418" s="235"/>
      <c r="U418" s="235"/>
      <c r="V418" s="235"/>
      <c r="W418" s="235"/>
      <c r="X418" s="234" t="s">
        <v>1999</v>
      </c>
      <c r="Y418" s="235"/>
    </row>
    <row r="419" spans="1:25" s="238" customFormat="1">
      <c r="A419" s="234">
        <v>416</v>
      </c>
      <c r="B419" s="235" t="s">
        <v>512</v>
      </c>
      <c r="C419" s="235" t="s">
        <v>1230</v>
      </c>
      <c r="D419" s="235" t="s">
        <v>406</v>
      </c>
      <c r="E419" s="235" t="s">
        <v>1937</v>
      </c>
      <c r="F419" s="235" t="s">
        <v>591</v>
      </c>
      <c r="G419" s="235" t="s">
        <v>408</v>
      </c>
      <c r="H419" s="235" t="s">
        <v>405</v>
      </c>
      <c r="I419" s="215">
        <v>1650000</v>
      </c>
      <c r="J419" s="237">
        <v>44880</v>
      </c>
      <c r="K419" s="235"/>
      <c r="L419" s="237">
        <v>44881</v>
      </c>
      <c r="M419" s="237">
        <v>44887</v>
      </c>
      <c r="N419" s="235"/>
      <c r="O419" s="235" t="s">
        <v>596</v>
      </c>
      <c r="P419" s="235"/>
      <c r="Q419" s="235"/>
      <c r="R419" s="235"/>
      <c r="S419" s="235"/>
      <c r="T419" s="235"/>
      <c r="U419" s="235"/>
      <c r="V419" s="235"/>
      <c r="W419" s="235"/>
      <c r="X419" s="234" t="s">
        <v>1943</v>
      </c>
      <c r="Y419" s="235"/>
    </row>
    <row r="420" spans="1:25" s="238" customFormat="1">
      <c r="A420" s="234">
        <v>417</v>
      </c>
      <c r="B420" s="235" t="s">
        <v>503</v>
      </c>
      <c r="C420" s="235"/>
      <c r="D420" s="235" t="s">
        <v>406</v>
      </c>
      <c r="E420" s="235" t="s">
        <v>1935</v>
      </c>
      <c r="F420" s="235" t="s">
        <v>591</v>
      </c>
      <c r="G420" s="235" t="s">
        <v>408</v>
      </c>
      <c r="H420" s="235" t="s">
        <v>405</v>
      </c>
      <c r="I420" s="215">
        <v>202937021</v>
      </c>
      <c r="J420" s="237">
        <v>44880</v>
      </c>
      <c r="K420" s="235"/>
      <c r="L420" s="235" t="s">
        <v>1968</v>
      </c>
      <c r="M420" s="235" t="s">
        <v>1969</v>
      </c>
      <c r="N420" s="235"/>
      <c r="O420" s="235" t="s">
        <v>2012</v>
      </c>
      <c r="P420" s="235"/>
      <c r="Q420" s="235"/>
      <c r="R420" s="235"/>
      <c r="S420" s="235"/>
      <c r="T420" s="235"/>
      <c r="U420" s="235"/>
      <c r="V420" s="235"/>
      <c r="W420" s="235"/>
      <c r="X420" s="234" t="s">
        <v>1936</v>
      </c>
      <c r="Y420" s="235"/>
    </row>
    <row r="421" spans="1:25" s="238" customFormat="1">
      <c r="A421" s="234">
        <v>418</v>
      </c>
      <c r="B421" s="235" t="s">
        <v>1940</v>
      </c>
      <c r="C421" s="235" t="s">
        <v>1941</v>
      </c>
      <c r="D421" s="235" t="s">
        <v>711</v>
      </c>
      <c r="E421" s="235" t="s">
        <v>1942</v>
      </c>
      <c r="F421" s="235" t="s">
        <v>591</v>
      </c>
      <c r="G421" s="235" t="s">
        <v>408</v>
      </c>
      <c r="H421" s="235" t="s">
        <v>405</v>
      </c>
      <c r="I421" s="215">
        <v>23276000</v>
      </c>
      <c r="J421" s="237">
        <v>44880</v>
      </c>
      <c r="K421" s="263">
        <v>45107</v>
      </c>
      <c r="L421" s="235"/>
      <c r="M421" s="235"/>
      <c r="N421" s="235"/>
      <c r="O421" s="235" t="s">
        <v>715</v>
      </c>
      <c r="P421" s="235"/>
      <c r="Q421" s="235"/>
      <c r="R421" s="235"/>
      <c r="S421" s="235"/>
      <c r="T421" s="235"/>
      <c r="U421" s="235"/>
      <c r="V421" s="235"/>
      <c r="W421" s="235"/>
      <c r="X421" s="234"/>
      <c r="Y421" s="235" t="s">
        <v>1777</v>
      </c>
    </row>
    <row r="422" spans="1:25" s="238" customFormat="1">
      <c r="A422" s="234">
        <v>419</v>
      </c>
      <c r="B422" s="235" t="s">
        <v>1954</v>
      </c>
      <c r="C422" s="235" t="s">
        <v>1957</v>
      </c>
      <c r="D422" s="235" t="s">
        <v>678</v>
      </c>
      <c r="E422" s="235" t="s">
        <v>1973</v>
      </c>
      <c r="F422" s="235" t="s">
        <v>591</v>
      </c>
      <c r="G422" s="235" t="s">
        <v>408</v>
      </c>
      <c r="H422" s="235" t="s">
        <v>405</v>
      </c>
      <c r="I422" s="215">
        <v>1320000</v>
      </c>
      <c r="J422" s="237">
        <v>44881</v>
      </c>
      <c r="K422" s="235"/>
      <c r="L422" s="237">
        <v>44881</v>
      </c>
      <c r="M422" s="237">
        <v>44882</v>
      </c>
      <c r="N422" s="235"/>
      <c r="O422" s="235" t="s">
        <v>735</v>
      </c>
      <c r="P422" s="235"/>
      <c r="Q422" s="235"/>
      <c r="R422" s="235"/>
      <c r="S422" s="235"/>
      <c r="T422" s="235"/>
      <c r="U422" s="235"/>
      <c r="V422" s="235"/>
      <c r="W422" s="235"/>
      <c r="X422" s="234" t="s">
        <v>2000</v>
      </c>
      <c r="Y422" s="235"/>
    </row>
    <row r="423" spans="1:25" s="238" customFormat="1">
      <c r="A423" s="234">
        <v>420</v>
      </c>
      <c r="B423" s="235" t="s">
        <v>512</v>
      </c>
      <c r="C423" s="235" t="s">
        <v>1050</v>
      </c>
      <c r="D423" s="235" t="s">
        <v>404</v>
      </c>
      <c r="E423" s="235" t="s">
        <v>1961</v>
      </c>
      <c r="F423" s="235" t="s">
        <v>591</v>
      </c>
      <c r="G423" s="235" t="s">
        <v>408</v>
      </c>
      <c r="H423" s="235" t="s">
        <v>405</v>
      </c>
      <c r="I423" s="215">
        <v>2475000</v>
      </c>
      <c r="J423" s="237">
        <v>44881</v>
      </c>
      <c r="K423" s="235"/>
      <c r="L423" s="237">
        <v>44886</v>
      </c>
      <c r="M423" s="237">
        <v>44887</v>
      </c>
      <c r="N423" s="235"/>
      <c r="O423" s="235" t="s">
        <v>735</v>
      </c>
      <c r="P423" s="235"/>
      <c r="Q423" s="235"/>
      <c r="R423" s="235"/>
      <c r="S423" s="235"/>
      <c r="T423" s="235"/>
      <c r="U423" s="235"/>
      <c r="V423" s="235"/>
      <c r="W423" s="235"/>
      <c r="X423" s="234" t="s">
        <v>1962</v>
      </c>
      <c r="Y423" s="235"/>
    </row>
    <row r="424" spans="1:25" s="238" customFormat="1">
      <c r="A424" s="234">
        <v>421</v>
      </c>
      <c r="B424" s="235" t="s">
        <v>1955</v>
      </c>
      <c r="C424" s="235" t="s">
        <v>1958</v>
      </c>
      <c r="D424" s="235" t="s">
        <v>703</v>
      </c>
      <c r="E424" s="235" t="s">
        <v>1963</v>
      </c>
      <c r="F424" s="235" t="s">
        <v>591</v>
      </c>
      <c r="G424" s="235" t="s">
        <v>408</v>
      </c>
      <c r="H424" s="235" t="s">
        <v>405</v>
      </c>
      <c r="I424" s="215">
        <v>5225000</v>
      </c>
      <c r="J424" s="237">
        <v>44882</v>
      </c>
      <c r="K424" s="235"/>
      <c r="L424" s="237">
        <v>44907</v>
      </c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41" t="s">
        <v>2041</v>
      </c>
      <c r="Y424" s="235"/>
    </row>
    <row r="425" spans="1:25" s="238" customFormat="1">
      <c r="A425" s="234">
        <v>422</v>
      </c>
      <c r="B425" s="235" t="s">
        <v>1141</v>
      </c>
      <c r="C425" s="235"/>
      <c r="D425" s="235" t="s">
        <v>406</v>
      </c>
      <c r="E425" s="235" t="s">
        <v>1964</v>
      </c>
      <c r="F425" s="235" t="s">
        <v>502</v>
      </c>
      <c r="G425" s="235" t="s">
        <v>408</v>
      </c>
      <c r="H425" s="235" t="s">
        <v>405</v>
      </c>
      <c r="I425" s="215">
        <v>27500000</v>
      </c>
      <c r="J425" s="237">
        <v>44882</v>
      </c>
      <c r="K425" s="235"/>
      <c r="L425" s="235" t="s">
        <v>2128</v>
      </c>
      <c r="M425" s="235" t="s">
        <v>2187</v>
      </c>
      <c r="N425" s="235"/>
      <c r="O425" s="235" t="s">
        <v>1678</v>
      </c>
      <c r="P425" s="235"/>
      <c r="Q425" s="235"/>
      <c r="R425" s="235"/>
      <c r="S425" s="235"/>
      <c r="T425" s="235"/>
      <c r="U425" s="235"/>
      <c r="V425" s="235"/>
      <c r="W425" s="235"/>
      <c r="X425" s="234"/>
      <c r="Y425" s="235"/>
    </row>
    <row r="426" spans="1:25" s="238" customFormat="1">
      <c r="A426" s="234">
        <v>423</v>
      </c>
      <c r="B426" s="235" t="s">
        <v>1956</v>
      </c>
      <c r="C426" s="235" t="s">
        <v>1959</v>
      </c>
      <c r="D426" s="235" t="s">
        <v>835</v>
      </c>
      <c r="E426" s="235" t="s">
        <v>1965</v>
      </c>
      <c r="F426" s="235" t="s">
        <v>502</v>
      </c>
      <c r="G426" s="235" t="s">
        <v>408</v>
      </c>
      <c r="H426" s="235" t="s">
        <v>405</v>
      </c>
      <c r="I426" s="215">
        <v>1870000</v>
      </c>
      <c r="J426" s="237">
        <v>44883</v>
      </c>
      <c r="K426" s="235"/>
      <c r="L426" s="237" t="s">
        <v>1652</v>
      </c>
      <c r="M426" s="235"/>
      <c r="N426" s="235"/>
      <c r="O426" s="235" t="s">
        <v>596</v>
      </c>
      <c r="P426" s="235"/>
      <c r="Q426" s="235"/>
      <c r="R426" s="235"/>
      <c r="S426" s="235"/>
      <c r="T426" s="235"/>
      <c r="U426" s="235"/>
      <c r="V426" s="235"/>
      <c r="W426" s="235"/>
      <c r="X426" s="234"/>
      <c r="Y426" s="235"/>
    </row>
    <row r="427" spans="1:25" s="238" customFormat="1">
      <c r="A427" s="234">
        <v>424</v>
      </c>
      <c r="B427" s="235" t="s">
        <v>683</v>
      </c>
      <c r="C427" s="235" t="s">
        <v>1960</v>
      </c>
      <c r="D427" s="235" t="s">
        <v>987</v>
      </c>
      <c r="E427" s="235" t="s">
        <v>1966</v>
      </c>
      <c r="F427" s="235" t="s">
        <v>591</v>
      </c>
      <c r="G427" s="235" t="s">
        <v>408</v>
      </c>
      <c r="H427" s="235" t="s">
        <v>405</v>
      </c>
      <c r="I427" s="215">
        <v>114180000</v>
      </c>
      <c r="J427" s="237">
        <v>44883</v>
      </c>
      <c r="K427" s="235"/>
      <c r="L427" s="235" t="s">
        <v>1979</v>
      </c>
      <c r="M427" s="235" t="s">
        <v>1996</v>
      </c>
      <c r="N427" s="235"/>
      <c r="O427" s="235" t="s">
        <v>1678</v>
      </c>
      <c r="P427" s="235"/>
      <c r="Q427" s="235"/>
      <c r="R427" s="235"/>
      <c r="S427" s="235"/>
      <c r="T427" s="235"/>
      <c r="U427" s="235"/>
      <c r="V427" s="235"/>
      <c r="W427" s="235"/>
      <c r="X427" s="234" t="s">
        <v>2183</v>
      </c>
      <c r="Y427" s="235"/>
    </row>
    <row r="428" spans="1:25" s="238" customFormat="1">
      <c r="A428" s="234">
        <v>425</v>
      </c>
      <c r="B428" s="235" t="s">
        <v>1981</v>
      </c>
      <c r="C428" s="235" t="s">
        <v>1982</v>
      </c>
      <c r="D428" s="235" t="s">
        <v>406</v>
      </c>
      <c r="E428" s="235" t="s">
        <v>1983</v>
      </c>
      <c r="F428" s="235" t="s">
        <v>502</v>
      </c>
      <c r="G428" s="235" t="s">
        <v>408</v>
      </c>
      <c r="H428" s="235" t="s">
        <v>405</v>
      </c>
      <c r="I428" s="215">
        <v>9383000</v>
      </c>
      <c r="J428" s="237">
        <v>44886</v>
      </c>
      <c r="K428" s="235"/>
      <c r="L428" s="237">
        <v>44902</v>
      </c>
      <c r="M428" s="237">
        <v>44910</v>
      </c>
      <c r="N428" s="235"/>
      <c r="O428" s="235" t="s">
        <v>584</v>
      </c>
      <c r="P428" s="235"/>
      <c r="Q428" s="235"/>
      <c r="R428" s="235"/>
      <c r="S428" s="235"/>
      <c r="T428" s="235"/>
      <c r="U428" s="235"/>
      <c r="V428" s="235"/>
      <c r="W428" s="235"/>
      <c r="X428" s="234" t="s">
        <v>2026</v>
      </c>
      <c r="Y428" s="235"/>
    </row>
    <row r="429" spans="1:25" s="238" customFormat="1">
      <c r="A429" s="234">
        <v>426</v>
      </c>
      <c r="B429" s="235" t="s">
        <v>683</v>
      </c>
      <c r="C429" s="235" t="s">
        <v>1277</v>
      </c>
      <c r="D429" s="235" t="s">
        <v>407</v>
      </c>
      <c r="E429" s="235" t="s">
        <v>1984</v>
      </c>
      <c r="F429" s="235" t="s">
        <v>591</v>
      </c>
      <c r="G429" s="235" t="s">
        <v>408</v>
      </c>
      <c r="H429" s="235" t="s">
        <v>405</v>
      </c>
      <c r="I429" s="215">
        <v>16060000</v>
      </c>
      <c r="J429" s="237">
        <v>44886</v>
      </c>
      <c r="K429" s="237">
        <v>44915</v>
      </c>
      <c r="L429" s="237" t="s">
        <v>2176</v>
      </c>
      <c r="M429" s="235"/>
      <c r="N429" s="235"/>
      <c r="O429" s="235" t="s">
        <v>590</v>
      </c>
      <c r="P429" s="235"/>
      <c r="Q429" s="235"/>
      <c r="R429" s="235"/>
      <c r="S429" s="235"/>
      <c r="T429" s="235"/>
      <c r="U429" s="235"/>
      <c r="V429" s="235"/>
      <c r="W429" s="235"/>
      <c r="X429" s="234" t="s">
        <v>2173</v>
      </c>
      <c r="Y429" s="235"/>
    </row>
    <row r="430" spans="1:25" s="238" customFormat="1">
      <c r="A430" s="234">
        <v>427</v>
      </c>
      <c r="B430" s="235" t="s">
        <v>1985</v>
      </c>
      <c r="C430" s="235" t="s">
        <v>1986</v>
      </c>
      <c r="D430" s="235" t="s">
        <v>807</v>
      </c>
      <c r="E430" s="235" t="s">
        <v>1987</v>
      </c>
      <c r="F430" s="235" t="s">
        <v>1988</v>
      </c>
      <c r="G430" s="235" t="s">
        <v>408</v>
      </c>
      <c r="H430" s="235" t="s">
        <v>1989</v>
      </c>
      <c r="I430" s="215">
        <v>4268000</v>
      </c>
      <c r="J430" s="237">
        <v>44887</v>
      </c>
      <c r="K430" s="237">
        <v>44926</v>
      </c>
      <c r="L430" s="237">
        <v>44887</v>
      </c>
      <c r="M430" s="237">
        <v>44909</v>
      </c>
      <c r="N430" s="235"/>
      <c r="O430" s="235" t="s">
        <v>1990</v>
      </c>
      <c r="P430" s="235"/>
      <c r="Q430" s="235"/>
      <c r="R430" s="235"/>
      <c r="S430" s="235"/>
      <c r="T430" s="235"/>
      <c r="U430" s="235"/>
      <c r="V430" s="235"/>
      <c r="W430" s="235"/>
      <c r="X430" s="234" t="s">
        <v>1998</v>
      </c>
      <c r="Y430" s="235"/>
    </row>
    <row r="431" spans="1:25" s="238" customFormat="1">
      <c r="A431" s="234">
        <v>428</v>
      </c>
      <c r="B431" s="235" t="s">
        <v>931</v>
      </c>
      <c r="C431" s="235"/>
      <c r="D431" s="235" t="s">
        <v>406</v>
      </c>
      <c r="E431" s="235" t="s">
        <v>1993</v>
      </c>
      <c r="F431" s="235" t="s">
        <v>502</v>
      </c>
      <c r="G431" s="235" t="s">
        <v>408</v>
      </c>
      <c r="H431" s="235" t="s">
        <v>405</v>
      </c>
      <c r="I431" s="215">
        <v>3267000</v>
      </c>
      <c r="J431" s="237">
        <v>44888</v>
      </c>
      <c r="K431" s="235"/>
      <c r="L431" s="237">
        <v>44890</v>
      </c>
      <c r="M431" s="235"/>
      <c r="N431" s="235"/>
      <c r="O431" s="235" t="s">
        <v>596</v>
      </c>
      <c r="P431" s="235"/>
      <c r="Q431" s="235"/>
      <c r="R431" s="235"/>
      <c r="S431" s="235"/>
      <c r="T431" s="235"/>
      <c r="U431" s="235"/>
      <c r="V431" s="235"/>
      <c r="W431" s="235"/>
      <c r="X431" s="234"/>
      <c r="Y431" s="235"/>
    </row>
    <row r="432" spans="1:25" s="238" customFormat="1">
      <c r="A432" s="234">
        <v>429</v>
      </c>
      <c r="B432" s="235" t="s">
        <v>1992</v>
      </c>
      <c r="C432" s="235"/>
      <c r="D432" s="235" t="s">
        <v>1136</v>
      </c>
      <c r="E432" s="235" t="s">
        <v>1994</v>
      </c>
      <c r="F432" s="235" t="s">
        <v>591</v>
      </c>
      <c r="G432" s="235" t="s">
        <v>408</v>
      </c>
      <c r="H432" s="235" t="s">
        <v>405</v>
      </c>
      <c r="I432" s="215">
        <v>171600000</v>
      </c>
      <c r="J432" s="237">
        <v>44888</v>
      </c>
      <c r="K432" s="252">
        <v>45199</v>
      </c>
      <c r="L432" s="235"/>
      <c r="M432" s="235"/>
      <c r="N432" s="235"/>
      <c r="O432" s="235" t="s">
        <v>596</v>
      </c>
      <c r="P432" s="235"/>
      <c r="Q432" s="235"/>
      <c r="R432" s="235"/>
      <c r="S432" s="235"/>
      <c r="T432" s="235"/>
      <c r="U432" s="235"/>
      <c r="V432" s="235"/>
      <c r="W432" s="235"/>
      <c r="X432" s="234"/>
      <c r="Y432" s="235"/>
    </row>
    <row r="433" spans="1:25" s="238" customFormat="1">
      <c r="A433" s="234">
        <v>430</v>
      </c>
      <c r="B433" s="235" t="s">
        <v>512</v>
      </c>
      <c r="C433" s="235" t="s">
        <v>1864</v>
      </c>
      <c r="D433" s="235" t="s">
        <v>841</v>
      </c>
      <c r="E433" s="235" t="s">
        <v>1995</v>
      </c>
      <c r="F433" s="235" t="s">
        <v>591</v>
      </c>
      <c r="G433" s="235" t="s">
        <v>408</v>
      </c>
      <c r="H433" s="235" t="s">
        <v>405</v>
      </c>
      <c r="I433" s="215">
        <v>21780000</v>
      </c>
      <c r="J433" s="237">
        <v>44889</v>
      </c>
      <c r="K433" s="237">
        <v>44918</v>
      </c>
      <c r="L433" s="237">
        <v>44914</v>
      </c>
      <c r="M433" s="237">
        <v>44915</v>
      </c>
      <c r="N433" s="235"/>
      <c r="O433" s="235" t="s">
        <v>2015</v>
      </c>
      <c r="P433" s="235"/>
      <c r="Q433" s="235"/>
      <c r="R433" s="235"/>
      <c r="S433" s="235"/>
      <c r="T433" s="235"/>
      <c r="U433" s="235"/>
      <c r="V433" s="235"/>
      <c r="W433" s="235"/>
      <c r="X433" s="234" t="s">
        <v>2142</v>
      </c>
      <c r="Y433" s="235"/>
    </row>
    <row r="434" spans="1:25" s="238" customFormat="1">
      <c r="A434" s="234">
        <v>431</v>
      </c>
      <c r="B434" s="235" t="s">
        <v>722</v>
      </c>
      <c r="C434" s="235"/>
      <c r="D434" s="235" t="s">
        <v>406</v>
      </c>
      <c r="E434" s="235" t="s">
        <v>2001</v>
      </c>
      <c r="F434" s="235" t="s">
        <v>502</v>
      </c>
      <c r="G434" s="235" t="s">
        <v>408</v>
      </c>
      <c r="H434" s="235" t="s">
        <v>405</v>
      </c>
      <c r="I434" s="215">
        <v>29293000</v>
      </c>
      <c r="J434" s="237">
        <v>44890</v>
      </c>
      <c r="K434" s="237">
        <v>44905</v>
      </c>
      <c r="L434" s="237">
        <v>44907</v>
      </c>
      <c r="M434" s="237">
        <v>44908</v>
      </c>
      <c r="N434" s="235"/>
      <c r="O434" s="235" t="s">
        <v>2016</v>
      </c>
      <c r="P434" s="235"/>
      <c r="Q434" s="235"/>
      <c r="R434" s="235"/>
      <c r="S434" s="235"/>
      <c r="T434" s="235"/>
      <c r="U434" s="235"/>
      <c r="V434" s="235"/>
      <c r="W434" s="235"/>
      <c r="X434" s="234"/>
      <c r="Y434" s="235"/>
    </row>
    <row r="435" spans="1:25" s="238" customFormat="1">
      <c r="A435" s="234">
        <v>432</v>
      </c>
      <c r="B435" s="235" t="s">
        <v>512</v>
      </c>
      <c r="C435" s="235" t="s">
        <v>1864</v>
      </c>
      <c r="D435" s="235" t="s">
        <v>1215</v>
      </c>
      <c r="E435" s="235" t="s">
        <v>2002</v>
      </c>
      <c r="F435" s="235" t="s">
        <v>591</v>
      </c>
      <c r="G435" s="235" t="s">
        <v>408</v>
      </c>
      <c r="H435" s="235" t="s">
        <v>405</v>
      </c>
      <c r="I435" s="215">
        <v>19800000</v>
      </c>
      <c r="J435" s="237">
        <v>44893</v>
      </c>
      <c r="K435" s="237">
        <v>44910</v>
      </c>
      <c r="L435" s="237">
        <v>44907</v>
      </c>
      <c r="M435" s="237">
        <v>44907</v>
      </c>
      <c r="N435" s="235"/>
      <c r="O435" s="235" t="s">
        <v>1678</v>
      </c>
      <c r="P435" s="235"/>
      <c r="Q435" s="235"/>
      <c r="R435" s="235"/>
      <c r="S435" s="235"/>
      <c r="T435" s="235"/>
      <c r="U435" s="235"/>
      <c r="V435" s="235"/>
      <c r="W435" s="235"/>
      <c r="X435" s="234" t="s">
        <v>2039</v>
      </c>
      <c r="Y435" s="235"/>
    </row>
    <row r="436" spans="1:25" s="238" customFormat="1">
      <c r="A436" s="234">
        <v>433</v>
      </c>
      <c r="B436" s="235" t="s">
        <v>1351</v>
      </c>
      <c r="C436" s="235" t="s">
        <v>787</v>
      </c>
      <c r="D436" s="235" t="s">
        <v>1168</v>
      </c>
      <c r="E436" s="235" t="s">
        <v>2047</v>
      </c>
      <c r="F436" s="235" t="s">
        <v>591</v>
      </c>
      <c r="G436" s="235" t="s">
        <v>408</v>
      </c>
      <c r="H436" s="235" t="s">
        <v>405</v>
      </c>
      <c r="I436" s="215">
        <v>5500000</v>
      </c>
      <c r="J436" s="237">
        <v>44893</v>
      </c>
      <c r="K436" s="235"/>
      <c r="L436" s="237">
        <v>44907</v>
      </c>
      <c r="M436" s="237">
        <v>44907</v>
      </c>
      <c r="N436" s="235"/>
      <c r="O436" s="235" t="s">
        <v>1678</v>
      </c>
      <c r="P436" s="235"/>
      <c r="Q436" s="235"/>
      <c r="R436" s="235"/>
      <c r="S436" s="235"/>
      <c r="T436" s="235"/>
      <c r="U436" s="235"/>
      <c r="V436" s="235"/>
      <c r="W436" s="235"/>
      <c r="X436" s="234"/>
      <c r="Y436" s="235"/>
    </row>
    <row r="437" spans="1:25" s="238" customFormat="1">
      <c r="A437" s="234">
        <v>434</v>
      </c>
      <c r="B437" s="235" t="s">
        <v>503</v>
      </c>
      <c r="C437" s="235" t="s">
        <v>1736</v>
      </c>
      <c r="D437" s="235" t="s">
        <v>407</v>
      </c>
      <c r="E437" s="235" t="s">
        <v>2005</v>
      </c>
      <c r="F437" s="235" t="s">
        <v>591</v>
      </c>
      <c r="G437" s="235" t="s">
        <v>408</v>
      </c>
      <c r="H437" s="235" t="s">
        <v>405</v>
      </c>
      <c r="I437" s="215">
        <v>21642500</v>
      </c>
      <c r="J437" s="237">
        <v>44890</v>
      </c>
      <c r="K437" s="237">
        <v>44911</v>
      </c>
      <c r="L437" s="237">
        <v>44901</v>
      </c>
      <c r="M437" s="237">
        <v>44902</v>
      </c>
      <c r="N437" s="235"/>
      <c r="O437" s="235" t="s">
        <v>590</v>
      </c>
      <c r="P437" s="235"/>
      <c r="Q437" s="235"/>
      <c r="R437" s="235"/>
      <c r="S437" s="235"/>
      <c r="T437" s="235"/>
      <c r="U437" s="235"/>
      <c r="V437" s="235"/>
      <c r="W437" s="235"/>
      <c r="X437" s="234" t="s">
        <v>2009</v>
      </c>
      <c r="Y437" s="235"/>
    </row>
    <row r="438" spans="1:25" s="238" customFormat="1">
      <c r="A438" s="234">
        <v>435</v>
      </c>
      <c r="B438" s="235" t="s">
        <v>512</v>
      </c>
      <c r="C438" s="235" t="s">
        <v>2006</v>
      </c>
      <c r="D438" s="235"/>
      <c r="E438" s="235" t="s">
        <v>2007</v>
      </c>
      <c r="F438" s="235" t="s">
        <v>591</v>
      </c>
      <c r="G438" s="235" t="s">
        <v>408</v>
      </c>
      <c r="H438" s="235" t="s">
        <v>405</v>
      </c>
      <c r="I438" s="215">
        <v>10890000</v>
      </c>
      <c r="J438" s="237">
        <v>44894</v>
      </c>
      <c r="K438" s="235"/>
      <c r="L438" s="237">
        <v>44904</v>
      </c>
      <c r="M438" s="237">
        <v>44904</v>
      </c>
      <c r="N438" s="235"/>
      <c r="O438" s="235" t="s">
        <v>2017</v>
      </c>
      <c r="P438" s="235"/>
      <c r="Q438" s="235"/>
      <c r="R438" s="235"/>
      <c r="S438" s="235"/>
      <c r="T438" s="235"/>
      <c r="U438" s="235"/>
      <c r="V438" s="235"/>
      <c r="W438" s="235"/>
      <c r="X438" s="234" t="s">
        <v>2092</v>
      </c>
      <c r="Y438" s="235"/>
    </row>
    <row r="439" spans="1:25" s="238" customFormat="1">
      <c r="A439" s="234">
        <v>436</v>
      </c>
      <c r="B439" s="235" t="s">
        <v>908</v>
      </c>
      <c r="C439" s="235" t="s">
        <v>909</v>
      </c>
      <c r="D439" s="235" t="s">
        <v>406</v>
      </c>
      <c r="E439" s="235" t="s">
        <v>2010</v>
      </c>
      <c r="F439" s="235" t="s">
        <v>502</v>
      </c>
      <c r="G439" s="235" t="s">
        <v>408</v>
      </c>
      <c r="H439" s="235" t="s">
        <v>405</v>
      </c>
      <c r="I439" s="215">
        <v>2570000</v>
      </c>
      <c r="J439" s="237">
        <v>44894</v>
      </c>
      <c r="K439" s="237">
        <v>44918</v>
      </c>
      <c r="L439" s="237">
        <v>44914</v>
      </c>
      <c r="M439" s="237">
        <v>44914</v>
      </c>
      <c r="N439" s="235"/>
      <c r="O439" s="235" t="s">
        <v>590</v>
      </c>
      <c r="P439" s="235"/>
      <c r="Q439" s="235"/>
      <c r="R439" s="235"/>
      <c r="S439" s="235"/>
      <c r="T439" s="235"/>
      <c r="U439" s="235"/>
      <c r="V439" s="235"/>
      <c r="W439" s="235"/>
      <c r="X439" s="234"/>
      <c r="Y439" s="235"/>
    </row>
    <row r="440" spans="1:25" s="238" customFormat="1">
      <c r="A440" s="234">
        <v>437</v>
      </c>
      <c r="B440" s="235" t="s">
        <v>1043</v>
      </c>
      <c r="C440" s="235" t="s">
        <v>1044</v>
      </c>
      <c r="D440" s="235" t="s">
        <v>406</v>
      </c>
      <c r="E440" s="235" t="s">
        <v>2008</v>
      </c>
      <c r="F440" s="235" t="s">
        <v>502</v>
      </c>
      <c r="G440" s="235" t="s">
        <v>408</v>
      </c>
      <c r="H440" s="235" t="s">
        <v>405</v>
      </c>
      <c r="I440" s="215">
        <v>66000000</v>
      </c>
      <c r="J440" s="237">
        <v>44729</v>
      </c>
      <c r="K440" s="235"/>
      <c r="L440" s="237">
        <v>44900</v>
      </c>
      <c r="M440" s="237">
        <v>44908</v>
      </c>
      <c r="N440" s="235"/>
      <c r="O440" s="235" t="s">
        <v>1678</v>
      </c>
      <c r="P440" s="235"/>
      <c r="Q440" s="235"/>
      <c r="R440" s="235"/>
      <c r="S440" s="235"/>
      <c r="T440" s="235"/>
      <c r="U440" s="235"/>
      <c r="V440" s="235"/>
      <c r="W440" s="235"/>
      <c r="X440" s="234" t="s">
        <v>2061</v>
      </c>
      <c r="Y440" s="235"/>
    </row>
    <row r="441" spans="1:25" s="238" customFormat="1">
      <c r="A441" s="234">
        <v>438</v>
      </c>
      <c r="B441" s="235" t="s">
        <v>412</v>
      </c>
      <c r="C441" s="235" t="s">
        <v>1135</v>
      </c>
      <c r="D441" s="235" t="s">
        <v>407</v>
      </c>
      <c r="E441" s="235" t="s">
        <v>2027</v>
      </c>
      <c r="F441" s="235" t="s">
        <v>591</v>
      </c>
      <c r="G441" s="235" t="s">
        <v>408</v>
      </c>
      <c r="H441" s="235" t="s">
        <v>405</v>
      </c>
      <c r="I441" s="215">
        <v>27610000</v>
      </c>
      <c r="J441" s="237">
        <v>44900</v>
      </c>
      <c r="K441" s="237">
        <v>44921</v>
      </c>
      <c r="L441" s="237">
        <v>44917</v>
      </c>
      <c r="M441" s="237">
        <v>44921</v>
      </c>
      <c r="N441" s="235"/>
      <c r="O441" s="235" t="s">
        <v>596</v>
      </c>
      <c r="P441" s="235"/>
      <c r="Q441" s="235"/>
      <c r="R441" s="235"/>
      <c r="S441" s="235"/>
      <c r="T441" s="235"/>
      <c r="U441" s="235"/>
      <c r="V441" s="235"/>
      <c r="W441" s="235"/>
      <c r="X441" s="234" t="s">
        <v>2040</v>
      </c>
      <c r="Y441" s="235"/>
    </row>
    <row r="442" spans="1:25" s="238" customFormat="1">
      <c r="A442" s="234">
        <v>439</v>
      </c>
      <c r="B442" s="235" t="s">
        <v>1397</v>
      </c>
      <c r="C442" s="235" t="s">
        <v>2028</v>
      </c>
      <c r="D442" s="235" t="s">
        <v>718</v>
      </c>
      <c r="E442" s="235" t="s">
        <v>1327</v>
      </c>
      <c r="F442" s="235" t="s">
        <v>591</v>
      </c>
      <c r="G442" s="235" t="s">
        <v>408</v>
      </c>
      <c r="H442" s="235" t="s">
        <v>405</v>
      </c>
      <c r="I442" s="215">
        <v>13200000</v>
      </c>
      <c r="J442" s="237">
        <v>44900</v>
      </c>
      <c r="K442" s="252">
        <v>44981</v>
      </c>
      <c r="L442" s="235"/>
      <c r="M442" s="235"/>
      <c r="N442" s="235"/>
      <c r="O442" s="235" t="s">
        <v>590</v>
      </c>
      <c r="P442" s="235"/>
      <c r="Q442" s="235"/>
      <c r="R442" s="235"/>
      <c r="S442" s="235"/>
      <c r="T442" s="235"/>
      <c r="U442" s="235"/>
      <c r="V442" s="235"/>
      <c r="W442" s="235"/>
      <c r="X442" s="234"/>
      <c r="Y442" s="235"/>
    </row>
    <row r="443" spans="1:25" s="238" customFormat="1">
      <c r="A443" s="234">
        <v>440</v>
      </c>
      <c r="B443" s="235" t="s">
        <v>503</v>
      </c>
      <c r="C443" s="235" t="s">
        <v>1817</v>
      </c>
      <c r="D443" s="235" t="s">
        <v>406</v>
      </c>
      <c r="E443" s="235" t="s">
        <v>2029</v>
      </c>
      <c r="F443" s="235" t="s">
        <v>591</v>
      </c>
      <c r="G443" s="235" t="s">
        <v>408</v>
      </c>
      <c r="H443" s="235" t="s">
        <v>405</v>
      </c>
      <c r="I443" s="215">
        <v>4818000</v>
      </c>
      <c r="J443" s="237">
        <v>44900</v>
      </c>
      <c r="K443" s="235"/>
      <c r="L443" s="237">
        <v>44916</v>
      </c>
      <c r="M443" s="237">
        <v>44917</v>
      </c>
      <c r="N443" s="235"/>
      <c r="O443" s="235" t="s">
        <v>2030</v>
      </c>
      <c r="P443" s="235"/>
      <c r="Q443" s="235"/>
      <c r="R443" s="235"/>
      <c r="S443" s="235"/>
      <c r="T443" s="235"/>
      <c r="U443" s="235"/>
      <c r="V443" s="235"/>
      <c r="W443" s="235"/>
      <c r="X443" s="234"/>
      <c r="Y443" s="235"/>
    </row>
    <row r="444" spans="1:25" s="238" customFormat="1">
      <c r="A444" s="234">
        <v>441</v>
      </c>
      <c r="B444" s="235" t="s">
        <v>419</v>
      </c>
      <c r="C444" s="235" t="s">
        <v>754</v>
      </c>
      <c r="D444" s="235" t="s">
        <v>406</v>
      </c>
      <c r="E444" s="235" t="s">
        <v>2031</v>
      </c>
      <c r="F444" s="235" t="s">
        <v>591</v>
      </c>
      <c r="G444" s="235" t="s">
        <v>408</v>
      </c>
      <c r="H444" s="235" t="s">
        <v>405</v>
      </c>
      <c r="I444" s="215">
        <v>1980000</v>
      </c>
      <c r="J444" s="237">
        <v>44900</v>
      </c>
      <c r="K444" s="235"/>
      <c r="L444" s="237">
        <v>44901</v>
      </c>
      <c r="M444" s="237">
        <v>44903</v>
      </c>
      <c r="N444" s="235"/>
      <c r="O444" s="235" t="s">
        <v>1678</v>
      </c>
      <c r="P444" s="235"/>
      <c r="Q444" s="235"/>
      <c r="R444" s="235"/>
      <c r="S444" s="235"/>
      <c r="T444" s="235"/>
      <c r="U444" s="235"/>
      <c r="V444" s="235"/>
      <c r="W444" s="235"/>
      <c r="X444" s="234" t="s">
        <v>1129</v>
      </c>
      <c r="Y444" s="235"/>
    </row>
    <row r="445" spans="1:25" s="238" customFormat="1">
      <c r="A445" s="234">
        <v>442</v>
      </c>
      <c r="B445" s="235" t="s">
        <v>409</v>
      </c>
      <c r="C445" s="235" t="s">
        <v>994</v>
      </c>
      <c r="D445" s="235" t="s">
        <v>406</v>
      </c>
      <c r="E445" s="235" t="s">
        <v>2032</v>
      </c>
      <c r="F445" s="235" t="s">
        <v>502</v>
      </c>
      <c r="G445" s="235" t="s">
        <v>408</v>
      </c>
      <c r="H445" s="235" t="s">
        <v>405</v>
      </c>
      <c r="I445" s="215">
        <v>5170000</v>
      </c>
      <c r="J445" s="237">
        <v>44876</v>
      </c>
      <c r="K445" s="235"/>
      <c r="L445" s="237">
        <v>44876</v>
      </c>
      <c r="M445" s="237">
        <v>44902</v>
      </c>
      <c r="N445" s="235"/>
      <c r="O445" s="235" t="s">
        <v>994</v>
      </c>
      <c r="P445" s="235"/>
      <c r="Q445" s="235"/>
      <c r="R445" s="235"/>
      <c r="S445" s="235"/>
      <c r="T445" s="235"/>
      <c r="U445" s="235"/>
      <c r="V445" s="235"/>
      <c r="W445" s="235"/>
      <c r="X445" s="234" t="s">
        <v>2061</v>
      </c>
      <c r="Y445" s="235"/>
    </row>
    <row r="446" spans="1:25" s="238" customFormat="1">
      <c r="A446" s="234">
        <v>443</v>
      </c>
      <c r="B446" s="235" t="s">
        <v>2033</v>
      </c>
      <c r="C446" s="235"/>
      <c r="D446" s="235" t="s">
        <v>406</v>
      </c>
      <c r="E446" s="235" t="s">
        <v>2035</v>
      </c>
      <c r="F446" s="235" t="s">
        <v>502</v>
      </c>
      <c r="G446" s="235" t="s">
        <v>408</v>
      </c>
      <c r="H446" s="235" t="s">
        <v>405</v>
      </c>
      <c r="I446" s="215">
        <v>41250000</v>
      </c>
      <c r="J446" s="237">
        <v>44902</v>
      </c>
      <c r="K446" s="237">
        <v>44925</v>
      </c>
      <c r="L446" s="235" t="s">
        <v>2115</v>
      </c>
      <c r="M446" s="235"/>
      <c r="N446" s="235"/>
      <c r="O446" s="235" t="s">
        <v>590</v>
      </c>
      <c r="P446" s="235"/>
      <c r="Q446" s="235"/>
      <c r="R446" s="235"/>
      <c r="S446" s="235"/>
      <c r="T446" s="235"/>
      <c r="U446" s="235"/>
      <c r="V446" s="235"/>
      <c r="W446" s="235"/>
      <c r="X446" s="234"/>
      <c r="Y446" s="235"/>
    </row>
    <row r="447" spans="1:25" s="238" customFormat="1">
      <c r="A447" s="234">
        <v>444</v>
      </c>
      <c r="B447" s="235" t="s">
        <v>419</v>
      </c>
      <c r="C447" s="235" t="s">
        <v>2034</v>
      </c>
      <c r="D447" s="235" t="s">
        <v>1105</v>
      </c>
      <c r="E447" s="235" t="s">
        <v>2114</v>
      </c>
      <c r="F447" s="235" t="s">
        <v>591</v>
      </c>
      <c r="G447" s="235" t="s">
        <v>408</v>
      </c>
      <c r="H447" s="235" t="s">
        <v>405</v>
      </c>
      <c r="I447" s="215">
        <v>9020000</v>
      </c>
      <c r="J447" s="237">
        <v>44902</v>
      </c>
      <c r="K447" s="237">
        <v>44915</v>
      </c>
      <c r="L447" s="237">
        <v>44917</v>
      </c>
      <c r="M447" s="237">
        <v>44888</v>
      </c>
      <c r="N447" s="235"/>
      <c r="O447" s="235" t="s">
        <v>596</v>
      </c>
      <c r="P447" s="235"/>
      <c r="Q447" s="235"/>
      <c r="R447" s="235"/>
      <c r="S447" s="235"/>
      <c r="T447" s="235"/>
      <c r="U447" s="235"/>
      <c r="V447" s="235"/>
      <c r="W447" s="235"/>
      <c r="X447" s="234" t="s">
        <v>2089</v>
      </c>
      <c r="Y447" s="235"/>
    </row>
    <row r="448" spans="1:25" s="238" customFormat="1">
      <c r="A448" s="234">
        <v>445</v>
      </c>
      <c r="B448" s="235" t="s">
        <v>412</v>
      </c>
      <c r="C448" s="235" t="s">
        <v>2042</v>
      </c>
      <c r="D448" s="235" t="s">
        <v>678</v>
      </c>
      <c r="E448" s="235" t="s">
        <v>2045</v>
      </c>
      <c r="F448" s="235" t="s">
        <v>591</v>
      </c>
      <c r="G448" s="235" t="s">
        <v>408</v>
      </c>
      <c r="H448" s="235" t="s">
        <v>405</v>
      </c>
      <c r="I448" s="215">
        <v>1650000</v>
      </c>
      <c r="J448" s="237">
        <v>44903</v>
      </c>
      <c r="K448" s="235"/>
      <c r="L448" s="237">
        <v>44897</v>
      </c>
      <c r="M448" s="237">
        <v>44909</v>
      </c>
      <c r="N448" s="235"/>
      <c r="O448" s="235" t="s">
        <v>590</v>
      </c>
      <c r="P448" s="235"/>
      <c r="Q448" s="235"/>
      <c r="R448" s="235"/>
      <c r="S448" s="235"/>
      <c r="T448" s="235"/>
      <c r="U448" s="235"/>
      <c r="V448" s="235"/>
      <c r="W448" s="235"/>
      <c r="X448" s="234" t="s">
        <v>2043</v>
      </c>
      <c r="Y448" s="235"/>
    </row>
    <row r="449" spans="1:25" s="238" customFormat="1">
      <c r="A449" s="234">
        <v>446</v>
      </c>
      <c r="B449" s="235" t="s">
        <v>412</v>
      </c>
      <c r="C449" s="235" t="s">
        <v>2042</v>
      </c>
      <c r="D449" s="235" t="s">
        <v>678</v>
      </c>
      <c r="E449" s="235" t="s">
        <v>2045</v>
      </c>
      <c r="F449" s="235" t="s">
        <v>591</v>
      </c>
      <c r="G449" s="235" t="s">
        <v>408</v>
      </c>
      <c r="H449" s="235" t="s">
        <v>405</v>
      </c>
      <c r="I449" s="215">
        <v>1650000</v>
      </c>
      <c r="J449" s="237">
        <v>44903</v>
      </c>
      <c r="K449" s="235"/>
      <c r="L449" s="237">
        <v>44907</v>
      </c>
      <c r="M449" s="237">
        <v>44914</v>
      </c>
      <c r="N449" s="235"/>
      <c r="O449" s="235" t="s">
        <v>590</v>
      </c>
      <c r="P449" s="235"/>
      <c r="Q449" s="235"/>
      <c r="R449" s="235"/>
      <c r="S449" s="235"/>
      <c r="T449" s="235"/>
      <c r="U449" s="235"/>
      <c r="V449" s="235"/>
      <c r="W449" s="235"/>
      <c r="X449" s="234" t="s">
        <v>2044</v>
      </c>
      <c r="Y449" s="235"/>
    </row>
    <row r="450" spans="1:25" s="238" customFormat="1">
      <c r="A450" s="234">
        <v>447</v>
      </c>
      <c r="B450" s="235" t="s">
        <v>512</v>
      </c>
      <c r="C450" s="235" t="s">
        <v>925</v>
      </c>
      <c r="D450" s="235" t="s">
        <v>2049</v>
      </c>
      <c r="E450" s="235" t="s">
        <v>2050</v>
      </c>
      <c r="F450" s="235" t="s">
        <v>591</v>
      </c>
      <c r="G450" s="235" t="s">
        <v>408</v>
      </c>
      <c r="H450" s="235" t="s">
        <v>405</v>
      </c>
      <c r="I450" s="215">
        <v>5500000</v>
      </c>
      <c r="J450" s="237">
        <v>44904</v>
      </c>
      <c r="K450" s="235"/>
      <c r="L450" s="237">
        <v>44910</v>
      </c>
      <c r="M450" s="237">
        <v>44911</v>
      </c>
      <c r="N450" s="235"/>
      <c r="O450" s="235" t="s">
        <v>590</v>
      </c>
      <c r="P450" s="235"/>
      <c r="Q450" s="235"/>
      <c r="R450" s="235"/>
      <c r="S450" s="235"/>
      <c r="T450" s="235"/>
      <c r="U450" s="235"/>
      <c r="V450" s="235"/>
      <c r="W450" s="235"/>
      <c r="X450" s="234" t="s">
        <v>2060</v>
      </c>
      <c r="Y450" s="235"/>
    </row>
    <row r="451" spans="1:25" s="238" customFormat="1">
      <c r="A451" s="234">
        <v>448</v>
      </c>
      <c r="B451" s="235" t="s">
        <v>2051</v>
      </c>
      <c r="C451" s="235" t="s">
        <v>2052</v>
      </c>
      <c r="D451" s="235" t="s">
        <v>406</v>
      </c>
      <c r="E451" s="235" t="s">
        <v>2053</v>
      </c>
      <c r="F451" s="235" t="s">
        <v>502</v>
      </c>
      <c r="G451" s="235" t="s">
        <v>408</v>
      </c>
      <c r="H451" s="235" t="s">
        <v>405</v>
      </c>
      <c r="I451" s="215">
        <v>22000000</v>
      </c>
      <c r="J451" s="237">
        <v>44907</v>
      </c>
      <c r="K451" s="235"/>
      <c r="L451" s="237">
        <v>44923</v>
      </c>
      <c r="M451" s="237">
        <v>44924</v>
      </c>
      <c r="N451" s="235"/>
      <c r="O451" s="235" t="s">
        <v>1678</v>
      </c>
      <c r="P451" s="235"/>
      <c r="Q451" s="235"/>
      <c r="R451" s="235"/>
      <c r="S451" s="235"/>
      <c r="T451" s="235"/>
      <c r="U451" s="235"/>
      <c r="V451" s="235"/>
      <c r="W451" s="235"/>
      <c r="X451" s="234"/>
      <c r="Y451" s="235"/>
    </row>
    <row r="452" spans="1:25" s="238" customFormat="1">
      <c r="A452" s="234">
        <v>449</v>
      </c>
      <c r="B452" s="235" t="s">
        <v>722</v>
      </c>
      <c r="C452" s="235" t="s">
        <v>724</v>
      </c>
      <c r="D452" s="235" t="s">
        <v>2084</v>
      </c>
      <c r="E452" s="235" t="s">
        <v>2054</v>
      </c>
      <c r="F452" s="235" t="s">
        <v>591</v>
      </c>
      <c r="G452" s="235" t="s">
        <v>408</v>
      </c>
      <c r="H452" s="235" t="s">
        <v>405</v>
      </c>
      <c r="I452" s="215">
        <v>1650000</v>
      </c>
      <c r="J452" s="237">
        <v>44904</v>
      </c>
      <c r="K452" s="237">
        <v>44914</v>
      </c>
      <c r="L452" s="237">
        <v>44916</v>
      </c>
      <c r="M452" s="237">
        <v>44917</v>
      </c>
      <c r="N452" s="235"/>
      <c r="O452" s="235" t="s">
        <v>2013</v>
      </c>
      <c r="P452" s="235"/>
      <c r="Q452" s="235"/>
      <c r="R452" s="235"/>
      <c r="S452" s="235"/>
      <c r="T452" s="235"/>
      <c r="U452" s="235"/>
      <c r="V452" s="235"/>
      <c r="W452" s="235"/>
      <c r="X452" s="234" t="s">
        <v>2091</v>
      </c>
      <c r="Y452" s="235"/>
    </row>
    <row r="453" spans="1:25" s="238" customFormat="1">
      <c r="A453" s="234">
        <v>450</v>
      </c>
      <c r="B453" s="235" t="s">
        <v>512</v>
      </c>
      <c r="C453" s="235" t="s">
        <v>1166</v>
      </c>
      <c r="D453" s="235" t="s">
        <v>2055</v>
      </c>
      <c r="E453" s="235" t="s">
        <v>2056</v>
      </c>
      <c r="F453" s="235" t="s">
        <v>591</v>
      </c>
      <c r="G453" s="235" t="s">
        <v>408</v>
      </c>
      <c r="H453" s="235" t="s">
        <v>405</v>
      </c>
      <c r="I453" s="215">
        <v>55000000</v>
      </c>
      <c r="J453" s="237">
        <v>44908</v>
      </c>
      <c r="K453" s="237">
        <v>44914</v>
      </c>
      <c r="L453" s="237">
        <v>44911</v>
      </c>
      <c r="M453" s="237">
        <v>44911</v>
      </c>
      <c r="N453" s="235"/>
      <c r="O453" s="235" t="s">
        <v>596</v>
      </c>
      <c r="P453" s="235"/>
      <c r="Q453" s="235"/>
      <c r="R453" s="235"/>
      <c r="S453" s="235"/>
      <c r="T453" s="235"/>
      <c r="U453" s="235"/>
      <c r="V453" s="235"/>
      <c r="W453" s="235"/>
      <c r="X453" s="234" t="s">
        <v>2089</v>
      </c>
      <c r="Y453" s="235"/>
    </row>
    <row r="454" spans="1:25" s="238" customFormat="1">
      <c r="A454" s="234">
        <v>451</v>
      </c>
      <c r="B454" s="235" t="s">
        <v>1909</v>
      </c>
      <c r="C454" s="235" t="s">
        <v>2057</v>
      </c>
      <c r="D454" s="235" t="s">
        <v>2049</v>
      </c>
      <c r="E454" s="235" t="s">
        <v>2058</v>
      </c>
      <c r="F454" s="235" t="s">
        <v>591</v>
      </c>
      <c r="G454" s="235" t="s">
        <v>408</v>
      </c>
      <c r="H454" s="235" t="s">
        <v>405</v>
      </c>
      <c r="I454" s="215">
        <v>4700000</v>
      </c>
      <c r="J454" s="237">
        <v>44886</v>
      </c>
      <c r="K454" s="237">
        <v>44911</v>
      </c>
      <c r="L454" s="237">
        <v>44909</v>
      </c>
      <c r="M454" s="237">
        <v>44909</v>
      </c>
      <c r="N454" s="235"/>
      <c r="O454" s="235" t="s">
        <v>590</v>
      </c>
      <c r="P454" s="235"/>
      <c r="Q454" s="235"/>
      <c r="R454" s="235"/>
      <c r="S454" s="235"/>
      <c r="T454" s="235"/>
      <c r="U454" s="235"/>
      <c r="V454" s="235"/>
      <c r="W454" s="235"/>
      <c r="X454" s="234" t="s">
        <v>2059</v>
      </c>
      <c r="Y454" s="235"/>
    </row>
    <row r="455" spans="1:25" s="238" customFormat="1">
      <c r="A455" s="234">
        <v>452</v>
      </c>
      <c r="B455" s="235" t="s">
        <v>512</v>
      </c>
      <c r="C455" s="235" t="s">
        <v>757</v>
      </c>
      <c r="D455" s="235" t="s">
        <v>404</v>
      </c>
      <c r="E455" s="235" t="s">
        <v>2073</v>
      </c>
      <c r="F455" s="235" t="s">
        <v>591</v>
      </c>
      <c r="G455" s="235" t="s">
        <v>408</v>
      </c>
      <c r="H455" s="235" t="s">
        <v>405</v>
      </c>
      <c r="I455" s="215">
        <f>1760000*3</f>
        <v>5280000</v>
      </c>
      <c r="J455" s="237">
        <v>44911</v>
      </c>
      <c r="K455" s="235"/>
      <c r="L455" s="237">
        <v>44911</v>
      </c>
      <c r="M455" s="237">
        <v>44915</v>
      </c>
      <c r="N455" s="235"/>
      <c r="O455" s="235" t="s">
        <v>735</v>
      </c>
      <c r="P455" s="235"/>
      <c r="Q455" s="235"/>
      <c r="R455" s="235"/>
      <c r="S455" s="235"/>
      <c r="T455" s="235"/>
      <c r="U455" s="235"/>
      <c r="V455" s="235"/>
      <c r="W455" s="235"/>
      <c r="X455" s="234" t="s">
        <v>2068</v>
      </c>
      <c r="Y455" s="235"/>
    </row>
    <row r="456" spans="1:25" s="238" customFormat="1">
      <c r="A456" s="234">
        <v>453</v>
      </c>
      <c r="B456" s="235" t="s">
        <v>1369</v>
      </c>
      <c r="C456" s="235" t="s">
        <v>1370</v>
      </c>
      <c r="D456" s="235" t="s">
        <v>513</v>
      </c>
      <c r="E456" s="235" t="s">
        <v>2067</v>
      </c>
      <c r="F456" s="235" t="s">
        <v>591</v>
      </c>
      <c r="G456" s="235" t="s">
        <v>408</v>
      </c>
      <c r="H456" s="235" t="s">
        <v>405</v>
      </c>
      <c r="I456" s="215">
        <v>9350000</v>
      </c>
      <c r="J456" s="237">
        <v>44911</v>
      </c>
      <c r="K456" s="235"/>
      <c r="L456" s="237">
        <v>44946</v>
      </c>
      <c r="M456" s="235"/>
      <c r="N456" s="235"/>
      <c r="O456" s="235" t="s">
        <v>738</v>
      </c>
      <c r="P456" s="235"/>
      <c r="Q456" s="235"/>
      <c r="R456" s="235"/>
      <c r="S456" s="235"/>
      <c r="T456" s="235"/>
      <c r="U456" s="235"/>
      <c r="V456" s="235"/>
      <c r="W456" s="235"/>
      <c r="X456" s="234" t="s">
        <v>2184</v>
      </c>
      <c r="Y456" s="235"/>
    </row>
    <row r="457" spans="1:25" s="238" customFormat="1">
      <c r="A457" s="234">
        <v>454</v>
      </c>
      <c r="B457" s="235" t="s">
        <v>696</v>
      </c>
      <c r="C457" s="235" t="s">
        <v>1123</v>
      </c>
      <c r="D457" s="235" t="s">
        <v>711</v>
      </c>
      <c r="E457" s="235" t="s">
        <v>2076</v>
      </c>
      <c r="F457" s="235" t="s">
        <v>591</v>
      </c>
      <c r="G457" s="235" t="s">
        <v>408</v>
      </c>
      <c r="H457" s="235" t="s">
        <v>405</v>
      </c>
      <c r="I457" s="215">
        <v>22220000</v>
      </c>
      <c r="J457" s="237">
        <v>44910</v>
      </c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4"/>
      <c r="Y457" s="235"/>
    </row>
    <row r="458" spans="1:25" s="238" customFormat="1">
      <c r="A458" s="234">
        <v>455</v>
      </c>
      <c r="B458" s="235" t="s">
        <v>934</v>
      </c>
      <c r="C458" s="235" t="s">
        <v>2077</v>
      </c>
      <c r="D458" s="235" t="s">
        <v>1168</v>
      </c>
      <c r="E458" s="235" t="s">
        <v>2078</v>
      </c>
      <c r="F458" s="235" t="s">
        <v>591</v>
      </c>
      <c r="G458" s="235" t="s">
        <v>408</v>
      </c>
      <c r="H458" s="235" t="s">
        <v>405</v>
      </c>
      <c r="I458" s="215">
        <v>14014000</v>
      </c>
      <c r="J458" s="237">
        <v>44914</v>
      </c>
      <c r="K458" s="237">
        <v>44970</v>
      </c>
      <c r="L458" s="252" t="s">
        <v>2188</v>
      </c>
      <c r="M458" s="235" t="s">
        <v>2191</v>
      </c>
      <c r="N458" s="235"/>
      <c r="O458" s="235" t="s">
        <v>1678</v>
      </c>
      <c r="P458" s="235"/>
      <c r="Q458" s="235"/>
      <c r="R458" s="235"/>
      <c r="S458" s="235"/>
      <c r="T458" s="235"/>
      <c r="U458" s="235"/>
      <c r="V458" s="235"/>
      <c r="W458" s="235"/>
      <c r="X458" s="234"/>
      <c r="Y458" s="235"/>
    </row>
    <row r="459" spans="1:25" s="238" customFormat="1">
      <c r="A459" s="234">
        <v>456</v>
      </c>
      <c r="B459" s="235" t="s">
        <v>2082</v>
      </c>
      <c r="C459" s="235" t="s">
        <v>2079</v>
      </c>
      <c r="D459" s="235" t="s">
        <v>711</v>
      </c>
      <c r="E459" s="235" t="s">
        <v>2080</v>
      </c>
      <c r="F459" s="235" t="s">
        <v>591</v>
      </c>
      <c r="G459" s="235" t="s">
        <v>408</v>
      </c>
      <c r="H459" s="235" t="s">
        <v>733</v>
      </c>
      <c r="I459" s="215" t="s">
        <v>2081</v>
      </c>
      <c r="J459" s="237">
        <v>44914</v>
      </c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4"/>
      <c r="Y459" s="235"/>
    </row>
    <row r="460" spans="1:25" s="238" customFormat="1">
      <c r="A460" s="234">
        <v>457</v>
      </c>
      <c r="B460" s="235" t="s">
        <v>696</v>
      </c>
      <c r="C460" s="235" t="s">
        <v>697</v>
      </c>
      <c r="D460" s="235" t="s">
        <v>2074</v>
      </c>
      <c r="E460" s="235" t="s">
        <v>2075</v>
      </c>
      <c r="F460" s="235" t="s">
        <v>591</v>
      </c>
      <c r="G460" s="235" t="s">
        <v>809</v>
      </c>
      <c r="H460" s="235" t="s">
        <v>405</v>
      </c>
      <c r="I460" s="215">
        <v>4620000</v>
      </c>
      <c r="J460" s="237" t="s">
        <v>809</v>
      </c>
      <c r="K460" s="235"/>
      <c r="L460" s="237">
        <v>44910</v>
      </c>
      <c r="M460" s="237">
        <v>44915</v>
      </c>
      <c r="N460" s="235"/>
      <c r="O460" s="235" t="s">
        <v>596</v>
      </c>
      <c r="P460" s="235"/>
      <c r="Q460" s="235"/>
      <c r="R460" s="235"/>
      <c r="S460" s="235"/>
      <c r="T460" s="235"/>
      <c r="U460" s="235"/>
      <c r="V460" s="235"/>
      <c r="W460" s="235"/>
      <c r="X460" s="244" t="s">
        <v>2167</v>
      </c>
      <c r="Y460" s="235"/>
    </row>
    <row r="461" spans="1:25" s="238" customFormat="1">
      <c r="A461" s="234">
        <v>458</v>
      </c>
      <c r="B461" s="235" t="s">
        <v>503</v>
      </c>
      <c r="C461" s="235"/>
      <c r="D461" s="235" t="s">
        <v>406</v>
      </c>
      <c r="E461" s="234" t="s">
        <v>2083</v>
      </c>
      <c r="F461" s="235" t="s">
        <v>591</v>
      </c>
      <c r="G461" s="235"/>
      <c r="H461" s="235" t="s">
        <v>405</v>
      </c>
      <c r="I461" s="215">
        <v>257000000</v>
      </c>
      <c r="J461" s="237">
        <v>44914</v>
      </c>
      <c r="K461" s="235"/>
      <c r="L461" s="237">
        <v>44911</v>
      </c>
      <c r="M461" s="237">
        <v>44911</v>
      </c>
      <c r="N461" s="235"/>
      <c r="O461" s="235" t="s">
        <v>2085</v>
      </c>
      <c r="P461" s="235"/>
      <c r="Q461" s="235"/>
      <c r="R461" s="235"/>
      <c r="S461" s="235"/>
      <c r="T461" s="235"/>
      <c r="U461" s="235"/>
      <c r="V461" s="235"/>
      <c r="W461" s="235"/>
      <c r="X461" s="234"/>
      <c r="Y461" s="235"/>
    </row>
    <row r="462" spans="1:25" s="238" customFormat="1">
      <c r="A462" s="234">
        <v>459</v>
      </c>
      <c r="B462" s="235" t="s">
        <v>2093</v>
      </c>
      <c r="C462" s="235" t="s">
        <v>2094</v>
      </c>
      <c r="D462" s="235" t="s">
        <v>406</v>
      </c>
      <c r="E462" s="235" t="s">
        <v>1571</v>
      </c>
      <c r="F462" s="235" t="s">
        <v>591</v>
      </c>
      <c r="G462" s="235" t="s">
        <v>809</v>
      </c>
      <c r="H462" s="235" t="s">
        <v>405</v>
      </c>
      <c r="I462" s="215">
        <v>7040000</v>
      </c>
      <c r="J462" s="237">
        <v>44916</v>
      </c>
      <c r="K462" s="235"/>
      <c r="L462" s="237">
        <v>44916</v>
      </c>
      <c r="M462" s="237">
        <v>44916</v>
      </c>
      <c r="N462" s="235"/>
      <c r="O462" s="235" t="s">
        <v>915</v>
      </c>
      <c r="P462" s="235"/>
      <c r="Q462" s="235"/>
      <c r="R462" s="235"/>
      <c r="S462" s="235"/>
      <c r="T462" s="235"/>
      <c r="U462" s="235"/>
      <c r="V462" s="235"/>
      <c r="W462" s="235"/>
      <c r="X462" s="234" t="s">
        <v>2095</v>
      </c>
      <c r="Y462" s="235"/>
    </row>
    <row r="463" spans="1:25" s="238" customFormat="1">
      <c r="A463" s="234">
        <v>460</v>
      </c>
      <c r="B463" s="235" t="s">
        <v>512</v>
      </c>
      <c r="C463" s="235" t="s">
        <v>1367</v>
      </c>
      <c r="D463" s="235" t="s">
        <v>871</v>
      </c>
      <c r="E463" s="235" t="s">
        <v>2103</v>
      </c>
      <c r="F463" s="235" t="s">
        <v>591</v>
      </c>
      <c r="G463" s="235" t="s">
        <v>408</v>
      </c>
      <c r="H463" s="235" t="s">
        <v>405</v>
      </c>
      <c r="I463" s="215">
        <v>1980000</v>
      </c>
      <c r="J463" s="237">
        <v>44917</v>
      </c>
      <c r="K463" s="235"/>
      <c r="L463" s="237">
        <v>44918</v>
      </c>
      <c r="M463" s="237">
        <v>44922</v>
      </c>
      <c r="N463" s="235"/>
      <c r="O463" s="235" t="s">
        <v>738</v>
      </c>
      <c r="P463" s="235"/>
      <c r="Q463" s="235"/>
      <c r="R463" s="235"/>
      <c r="S463" s="235"/>
      <c r="T463" s="235"/>
      <c r="U463" s="235"/>
      <c r="V463" s="235"/>
      <c r="W463" s="235"/>
      <c r="X463" s="234" t="s">
        <v>2104</v>
      </c>
      <c r="Y463" s="235"/>
    </row>
    <row r="464" spans="1:25" s="238" customFormat="1">
      <c r="A464" s="234">
        <v>461</v>
      </c>
      <c r="B464" s="235" t="s">
        <v>2105</v>
      </c>
      <c r="C464" s="235"/>
      <c r="D464" s="235" t="s">
        <v>2106</v>
      </c>
      <c r="E464" s="235" t="s">
        <v>2109</v>
      </c>
      <c r="F464" s="235" t="s">
        <v>2107</v>
      </c>
      <c r="G464" s="235" t="s">
        <v>408</v>
      </c>
      <c r="H464" s="235" t="s">
        <v>2108</v>
      </c>
      <c r="I464" s="215">
        <v>112860000</v>
      </c>
      <c r="J464" s="237">
        <v>44917</v>
      </c>
      <c r="K464" s="235"/>
      <c r="L464" s="237">
        <v>44918</v>
      </c>
      <c r="M464" s="237">
        <v>44925</v>
      </c>
      <c r="N464" s="235"/>
      <c r="O464" s="235" t="s">
        <v>2110</v>
      </c>
      <c r="P464" s="235"/>
      <c r="Q464" s="235"/>
      <c r="R464" s="235"/>
      <c r="S464" s="235"/>
      <c r="T464" s="235"/>
      <c r="U464" s="235"/>
      <c r="V464" s="235"/>
      <c r="W464" s="235"/>
      <c r="X464" s="234" t="s">
        <v>2111</v>
      </c>
      <c r="Y464" s="235"/>
    </row>
    <row r="465" spans="1:25" s="238" customFormat="1">
      <c r="A465" s="234">
        <v>462</v>
      </c>
      <c r="B465" s="235" t="s">
        <v>503</v>
      </c>
      <c r="C465" s="235"/>
      <c r="D465" s="235" t="s">
        <v>406</v>
      </c>
      <c r="E465" s="234" t="s">
        <v>2196</v>
      </c>
      <c r="F465" s="235" t="s">
        <v>591</v>
      </c>
      <c r="G465" s="235" t="s">
        <v>408</v>
      </c>
      <c r="H465" s="235" t="s">
        <v>405</v>
      </c>
      <c r="I465" s="215">
        <v>103552849</v>
      </c>
      <c r="J465" s="235" t="s">
        <v>408</v>
      </c>
      <c r="K465" s="235"/>
      <c r="L465" s="237" t="s">
        <v>2174</v>
      </c>
      <c r="M465" s="237" t="s">
        <v>2174</v>
      </c>
      <c r="N465" s="235"/>
      <c r="O465" s="235" t="s">
        <v>2112</v>
      </c>
      <c r="P465" s="235"/>
      <c r="Q465" s="235"/>
      <c r="R465" s="235"/>
      <c r="S465" s="235"/>
      <c r="T465" s="235"/>
      <c r="U465" s="235"/>
      <c r="V465" s="235"/>
      <c r="W465" s="235"/>
      <c r="X465" s="234" t="s">
        <v>2113</v>
      </c>
      <c r="Y465" s="235" t="s">
        <v>2161</v>
      </c>
    </row>
    <row r="466" spans="1:25" s="238" customFormat="1">
      <c r="A466" s="234">
        <v>463</v>
      </c>
      <c r="B466" s="235" t="s">
        <v>892</v>
      </c>
      <c r="C466" s="235" t="s">
        <v>1403</v>
      </c>
      <c r="D466" s="235" t="s">
        <v>718</v>
      </c>
      <c r="E466" s="235" t="s">
        <v>2117</v>
      </c>
      <c r="F466" s="235" t="s">
        <v>591</v>
      </c>
      <c r="G466" s="235" t="s">
        <v>408</v>
      </c>
      <c r="H466" s="235" t="s">
        <v>405</v>
      </c>
      <c r="I466" s="215">
        <v>13200000</v>
      </c>
      <c r="J466" s="235"/>
      <c r="K466" s="235"/>
      <c r="L466" s="235"/>
      <c r="M466" s="235"/>
      <c r="N466" s="235"/>
      <c r="O466" s="235" t="s">
        <v>590</v>
      </c>
      <c r="P466" s="235"/>
      <c r="Q466" s="235"/>
      <c r="R466" s="235"/>
      <c r="S466" s="235"/>
      <c r="T466" s="235"/>
      <c r="U466" s="235"/>
      <c r="V466" s="235"/>
      <c r="W466" s="235"/>
      <c r="X466" s="234"/>
      <c r="Y466" s="235"/>
    </row>
    <row r="467" spans="1:25" s="238" customFormat="1">
      <c r="A467" s="234">
        <v>464</v>
      </c>
      <c r="B467" s="235" t="s">
        <v>2118</v>
      </c>
      <c r="C467" s="235" t="s">
        <v>2119</v>
      </c>
      <c r="D467" s="235" t="s">
        <v>407</v>
      </c>
      <c r="E467" s="235" t="s">
        <v>2120</v>
      </c>
      <c r="F467" s="235" t="s">
        <v>591</v>
      </c>
      <c r="G467" s="235" t="s">
        <v>408</v>
      </c>
      <c r="H467" s="235" t="s">
        <v>405</v>
      </c>
      <c r="I467" s="215">
        <v>2200000</v>
      </c>
      <c r="J467" s="237">
        <v>44896</v>
      </c>
      <c r="K467" s="235"/>
      <c r="L467" s="237">
        <v>44902</v>
      </c>
      <c r="M467" s="237">
        <v>44923</v>
      </c>
      <c r="N467" s="235"/>
      <c r="O467" s="235" t="s">
        <v>590</v>
      </c>
      <c r="P467" s="235"/>
      <c r="Q467" s="235"/>
      <c r="R467" s="235"/>
      <c r="S467" s="235"/>
      <c r="T467" s="235"/>
      <c r="U467" s="235"/>
      <c r="V467" s="235"/>
      <c r="W467" s="235"/>
      <c r="X467" s="234"/>
      <c r="Y467" s="235"/>
    </row>
    <row r="468" spans="1:25" s="238" customFormat="1">
      <c r="A468" s="234">
        <v>465</v>
      </c>
      <c r="B468" s="235" t="s">
        <v>409</v>
      </c>
      <c r="C468" s="235" t="s">
        <v>994</v>
      </c>
      <c r="D468" s="235" t="s">
        <v>406</v>
      </c>
      <c r="E468" s="235" t="s">
        <v>2121</v>
      </c>
      <c r="F468" s="235" t="s">
        <v>591</v>
      </c>
      <c r="G468" s="235" t="s">
        <v>408</v>
      </c>
      <c r="H468" s="235" t="s">
        <v>405</v>
      </c>
      <c r="I468" s="215">
        <v>8800000</v>
      </c>
      <c r="J468" s="237">
        <v>44904</v>
      </c>
      <c r="K468" s="235"/>
      <c r="L468" s="237">
        <v>44904</v>
      </c>
      <c r="M468" s="237">
        <v>44921</v>
      </c>
      <c r="N468" s="235"/>
      <c r="O468" s="235" t="s">
        <v>596</v>
      </c>
      <c r="P468" s="235"/>
      <c r="Q468" s="235"/>
      <c r="R468" s="235"/>
      <c r="S468" s="235"/>
      <c r="T468" s="235"/>
      <c r="U468" s="235"/>
      <c r="V468" s="235"/>
      <c r="W468" s="235"/>
      <c r="X468" s="234" t="s">
        <v>2122</v>
      </c>
      <c r="Y468" s="235"/>
    </row>
    <row r="469" spans="1:25" s="238" customFormat="1">
      <c r="A469" s="234">
        <v>466</v>
      </c>
      <c r="B469" s="235" t="s">
        <v>931</v>
      </c>
      <c r="C469" s="235" t="s">
        <v>2126</v>
      </c>
      <c r="D469" s="235" t="s">
        <v>987</v>
      </c>
      <c r="E469" s="235" t="s">
        <v>2127</v>
      </c>
      <c r="F469" s="235" t="s">
        <v>591</v>
      </c>
      <c r="G469" s="235" t="s">
        <v>408</v>
      </c>
      <c r="H469" s="235" t="s">
        <v>405</v>
      </c>
      <c r="I469" s="215">
        <v>11440000</v>
      </c>
      <c r="J469" s="237">
        <v>44922</v>
      </c>
      <c r="K469" s="235"/>
      <c r="L469" s="237">
        <v>44922</v>
      </c>
      <c r="M469" s="235" t="s">
        <v>2132</v>
      </c>
      <c r="N469" s="235"/>
      <c r="O469" s="235" t="s">
        <v>738</v>
      </c>
      <c r="P469" s="235"/>
      <c r="Q469" s="235"/>
      <c r="R469" s="235"/>
      <c r="S469" s="235"/>
      <c r="T469" s="235"/>
      <c r="U469" s="235"/>
      <c r="V469" s="235"/>
      <c r="W469" s="235"/>
      <c r="X469" s="234"/>
      <c r="Y469" s="235"/>
    </row>
    <row r="470" spans="1:25" s="238" customFormat="1">
      <c r="A470" s="234">
        <v>467</v>
      </c>
      <c r="B470" s="235" t="s">
        <v>866</v>
      </c>
      <c r="C470" s="235" t="s">
        <v>2140</v>
      </c>
      <c r="D470" s="235" t="s">
        <v>678</v>
      </c>
      <c r="E470" s="235" t="s">
        <v>2141</v>
      </c>
      <c r="F470" s="235" t="s">
        <v>591</v>
      </c>
      <c r="G470" s="235" t="s">
        <v>408</v>
      </c>
      <c r="H470" s="235" t="s">
        <v>405</v>
      </c>
      <c r="I470" s="215">
        <v>87450000</v>
      </c>
      <c r="J470" s="237">
        <v>44924</v>
      </c>
      <c r="K470" s="235"/>
      <c r="L470" s="235"/>
      <c r="M470" s="235"/>
      <c r="N470" s="235"/>
      <c r="O470" s="235" t="s">
        <v>590</v>
      </c>
      <c r="P470" s="235"/>
      <c r="Q470" s="235"/>
      <c r="R470" s="235"/>
      <c r="S470" s="235"/>
      <c r="T470" s="235"/>
      <c r="U470" s="235"/>
      <c r="V470" s="235"/>
      <c r="W470" s="235"/>
      <c r="X470" s="234"/>
      <c r="Y470" s="235"/>
    </row>
    <row r="471" spans="1:25" s="238" customFormat="1">
      <c r="A471" s="234">
        <v>468</v>
      </c>
      <c r="B471" s="235" t="s">
        <v>2137</v>
      </c>
      <c r="C471" s="235"/>
      <c r="D471" s="235" t="s">
        <v>2138</v>
      </c>
      <c r="E471" s="235" t="s">
        <v>2139</v>
      </c>
      <c r="F471" s="235" t="s">
        <v>591</v>
      </c>
      <c r="G471" s="235" t="s">
        <v>408</v>
      </c>
      <c r="H471" s="235" t="s">
        <v>405</v>
      </c>
      <c r="I471" s="215">
        <v>3960000</v>
      </c>
      <c r="J471" s="237">
        <v>44924</v>
      </c>
      <c r="K471" s="235"/>
      <c r="L471" s="237">
        <v>44918</v>
      </c>
      <c r="M471" s="237">
        <v>44924</v>
      </c>
      <c r="N471" s="235"/>
      <c r="O471" s="235" t="s">
        <v>833</v>
      </c>
      <c r="P471" s="235"/>
      <c r="Q471" s="235"/>
      <c r="R471" s="235"/>
      <c r="S471" s="235"/>
      <c r="T471" s="235"/>
      <c r="U471" s="235"/>
      <c r="V471" s="235"/>
      <c r="W471" s="235"/>
      <c r="X471" s="234"/>
      <c r="Y471" s="235"/>
    </row>
    <row r="472" spans="1:25" s="238" customFormat="1">
      <c r="A472" s="234"/>
      <c r="B472" s="235"/>
      <c r="C472" s="235"/>
      <c r="D472" s="235"/>
      <c r="E472" s="235"/>
      <c r="F472" s="235"/>
      <c r="G472" s="235"/>
      <c r="H472" s="235"/>
      <c r="I472" s="21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4"/>
      <c r="Y472" s="235"/>
    </row>
    <row r="473" spans="1:25" s="238" customFormat="1">
      <c r="A473" s="234"/>
      <c r="B473" s="235"/>
      <c r="C473" s="235"/>
      <c r="D473" s="235"/>
      <c r="E473" s="235"/>
      <c r="F473" s="235"/>
      <c r="G473" s="235"/>
      <c r="H473" s="235"/>
      <c r="I473" s="21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4"/>
      <c r="Y473" s="235"/>
    </row>
    <row r="474" spans="1:25" s="238" customFormat="1">
      <c r="A474" s="234"/>
      <c r="B474" s="235"/>
      <c r="C474" s="235"/>
      <c r="D474" s="235"/>
      <c r="E474" s="235"/>
      <c r="F474" s="235"/>
      <c r="G474" s="235"/>
      <c r="H474" s="235"/>
      <c r="I474" s="21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4"/>
      <c r="Y474" s="235"/>
    </row>
    <row r="475" spans="1:25" s="238" customFormat="1">
      <c r="A475" s="234"/>
      <c r="B475" s="235"/>
      <c r="C475" s="235"/>
      <c r="D475" s="235"/>
      <c r="E475" s="235"/>
      <c r="F475" s="235"/>
      <c r="G475" s="235"/>
      <c r="H475" s="235"/>
      <c r="I475" s="21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4"/>
      <c r="Y475" s="235"/>
    </row>
    <row r="476" spans="1:25" s="238" customFormat="1">
      <c r="A476" s="234"/>
      <c r="B476" s="235"/>
      <c r="C476" s="235"/>
      <c r="D476" s="235"/>
      <c r="E476" s="235"/>
      <c r="F476" s="235"/>
      <c r="G476" s="235"/>
      <c r="H476" s="235"/>
      <c r="I476" s="21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4"/>
      <c r="Y476" s="235"/>
    </row>
    <row r="477" spans="1:25" s="238" customFormat="1">
      <c r="A477" s="234"/>
      <c r="B477" s="235"/>
      <c r="C477" s="235"/>
      <c r="D477" s="235"/>
      <c r="E477" s="235"/>
      <c r="F477" s="235"/>
      <c r="G477" s="235"/>
      <c r="H477" s="235"/>
      <c r="I477" s="21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4"/>
      <c r="Y477" s="235"/>
    </row>
    <row r="478" spans="1:25" s="238" customFormat="1">
      <c r="A478" s="234"/>
      <c r="B478" s="235"/>
      <c r="C478" s="235"/>
      <c r="D478" s="235"/>
      <c r="E478" s="235"/>
      <c r="F478" s="235"/>
      <c r="G478" s="235"/>
      <c r="H478" s="235"/>
      <c r="I478" s="21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4"/>
      <c r="Y478" s="235"/>
    </row>
    <row r="479" spans="1:25" s="238" customFormat="1">
      <c r="A479" s="234"/>
      <c r="B479" s="235"/>
      <c r="C479" s="235"/>
      <c r="D479" s="235"/>
      <c r="E479" s="235"/>
      <c r="F479" s="235"/>
      <c r="G479" s="235"/>
      <c r="H479" s="235"/>
      <c r="I479" s="21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4"/>
      <c r="Y479" s="235"/>
    </row>
    <row r="480" spans="1:25" s="238" customFormat="1">
      <c r="A480" s="234"/>
      <c r="B480" s="235"/>
      <c r="C480" s="235"/>
      <c r="D480" s="235"/>
      <c r="E480" s="235"/>
      <c r="F480" s="235"/>
      <c r="G480" s="235"/>
      <c r="H480" s="235"/>
      <c r="I480" s="21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4"/>
      <c r="Y480" s="235"/>
    </row>
    <row r="481" spans="1:23">
      <c r="A481" s="2"/>
      <c r="B481" s="1"/>
      <c r="C481" s="1"/>
      <c r="D481" s="1"/>
      <c r="E481" s="1"/>
      <c r="F481" s="1"/>
      <c r="G481" s="1"/>
      <c r="H481" s="1"/>
      <c r="I481" s="212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2"/>
      <c r="B482" s="1"/>
      <c r="C482" s="1"/>
      <c r="D482" s="1"/>
      <c r="E482" s="1"/>
      <c r="F482" s="1"/>
      <c r="G482" s="1"/>
      <c r="H482" s="1"/>
      <c r="I482" s="212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2"/>
      <c r="B483" s="1"/>
      <c r="C483" s="1"/>
      <c r="D483" s="1"/>
      <c r="E483" s="1"/>
      <c r="F483" s="1"/>
      <c r="G483" s="1"/>
      <c r="H483" s="1"/>
      <c r="I483" s="212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2"/>
      <c r="B484" s="1"/>
      <c r="C484" s="1"/>
      <c r="D484" s="1"/>
      <c r="E484" s="1"/>
      <c r="F484" s="1"/>
      <c r="G484" s="1"/>
      <c r="H484" s="1"/>
      <c r="I484" s="212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2"/>
      <c r="B485" s="1"/>
      <c r="C485" s="1"/>
      <c r="D485" s="1"/>
      <c r="E485" s="1"/>
      <c r="F485" s="1"/>
      <c r="G485" s="1"/>
      <c r="H485" s="1"/>
      <c r="I485" s="212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2"/>
      <c r="B486" s="1"/>
      <c r="C486" s="1"/>
      <c r="D486" s="1"/>
      <c r="E486" s="1"/>
      <c r="F486" s="1"/>
      <c r="G486" s="1"/>
      <c r="H486" s="1"/>
      <c r="I486" s="212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2"/>
      <c r="B487" s="1"/>
      <c r="C487" s="1"/>
      <c r="D487" s="1"/>
      <c r="E487" s="1"/>
      <c r="F487" s="1"/>
      <c r="G487" s="1"/>
      <c r="H487" s="1"/>
      <c r="I487" s="212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V487" s="1"/>
      <c r="W487" s="1"/>
    </row>
    <row r="744" spans="12:12">
      <c r="L744" s="3" t="s">
        <v>2182</v>
      </c>
    </row>
    <row r="756" spans="13:13">
      <c r="M756" s="3" t="s">
        <v>2181</v>
      </c>
    </row>
  </sheetData>
  <autoFilter ref="A3:AC471" xr:uid="{00000000-0009-0000-0000-000000000000}"/>
  <phoneticPr fontId="7" type="noConversion"/>
  <pageMargins left="0.25" right="0.25" top="0.75" bottom="0.75" header="0.3" footer="0.3"/>
  <pageSetup paperSize="9" scale="1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4"/>
  <sheetViews>
    <sheetView workbookViewId="0">
      <pane ySplit="6" topLeftCell="A135" activePane="bottomLeft" state="frozen"/>
      <selection pane="bottomLeft" activeCell="A156" sqref="A156:XFD156"/>
    </sheetView>
  </sheetViews>
  <sheetFormatPr defaultColWidth="9" defaultRowHeight="13.5"/>
  <cols>
    <col min="1" max="1" width="11.5" style="31" customWidth="1"/>
    <col min="2" max="2" width="20.25" style="31" customWidth="1"/>
    <col min="3" max="3" width="54.5" style="40" customWidth="1"/>
    <col min="4" max="4" width="17.125" style="34" customWidth="1"/>
    <col min="5" max="5" width="20.875" style="34" customWidth="1"/>
    <col min="6" max="6" width="21.625" style="35" customWidth="1"/>
    <col min="7" max="7" width="21.75" style="36" customWidth="1"/>
    <col min="8" max="8" width="11.5" style="37" customWidth="1"/>
    <col min="9" max="9" width="20.25" style="37" customWidth="1"/>
    <col min="10" max="10" width="30.25" style="36" customWidth="1"/>
    <col min="11" max="11" width="39.75" style="40" customWidth="1"/>
    <col min="12" max="12" width="15.25" style="31" customWidth="1"/>
    <col min="13" max="13" width="10.625" style="31" bestFit="1" customWidth="1"/>
    <col min="14" max="14" width="10" style="31"/>
    <col min="15" max="15" width="12" style="31" customWidth="1"/>
    <col min="16" max="16384" width="9" style="31"/>
  </cols>
  <sheetData>
    <row r="1" spans="1:13">
      <c r="B1" s="32" t="s">
        <v>49</v>
      </c>
      <c r="C1" s="33"/>
      <c r="I1" s="38" t="s">
        <v>50</v>
      </c>
      <c r="J1" s="39" t="s">
        <v>51</v>
      </c>
      <c r="K1" s="33" t="s">
        <v>52</v>
      </c>
    </row>
    <row r="2" spans="1:13">
      <c r="E2" s="41"/>
      <c r="F2" s="42" t="s">
        <v>53</v>
      </c>
      <c r="H2" s="43" t="s">
        <v>54</v>
      </c>
      <c r="I2" s="43"/>
      <c r="K2" s="31" t="s">
        <v>55</v>
      </c>
    </row>
    <row r="3" spans="1:13">
      <c r="A3" s="44" t="s">
        <v>56</v>
      </c>
      <c r="B3" s="44"/>
      <c r="C3" s="45"/>
      <c r="D3" s="46"/>
      <c r="E3" s="47"/>
    </row>
    <row r="4" spans="1:13">
      <c r="E4" s="41"/>
      <c r="K4" s="48" t="s">
        <v>57</v>
      </c>
    </row>
    <row r="5" spans="1:13">
      <c r="E5" s="41"/>
      <c r="F5" s="34"/>
      <c r="K5" s="40" t="s">
        <v>58</v>
      </c>
    </row>
    <row r="6" spans="1:13" s="34" customFormat="1">
      <c r="A6" s="38" t="s">
        <v>59</v>
      </c>
      <c r="B6" s="38" t="s">
        <v>60</v>
      </c>
      <c r="C6" s="38" t="s">
        <v>61</v>
      </c>
      <c r="D6" s="38" t="s">
        <v>62</v>
      </c>
      <c r="E6" s="49" t="s">
        <v>63</v>
      </c>
      <c r="F6" s="50" t="s">
        <v>64</v>
      </c>
      <c r="G6" s="39" t="s">
        <v>65</v>
      </c>
      <c r="H6" s="37" t="s">
        <v>66</v>
      </c>
      <c r="I6" s="37"/>
      <c r="J6" s="39" t="s">
        <v>67</v>
      </c>
      <c r="K6" s="38" t="s">
        <v>68</v>
      </c>
      <c r="L6" s="51" t="s">
        <v>69</v>
      </c>
      <c r="M6" s="38" t="s">
        <v>70</v>
      </c>
    </row>
    <row r="7" spans="1:13" s="34" customFormat="1">
      <c r="A7" s="38"/>
      <c r="B7" s="38"/>
      <c r="C7" s="38"/>
      <c r="D7" s="38"/>
      <c r="E7" s="49"/>
      <c r="F7" s="50"/>
      <c r="G7" s="39"/>
      <c r="H7" s="37"/>
      <c r="I7" s="37"/>
      <c r="J7" s="39"/>
      <c r="K7" s="38"/>
      <c r="L7" s="38"/>
    </row>
    <row r="8" spans="1:13" s="61" customFormat="1">
      <c r="A8" s="52"/>
      <c r="B8" s="53"/>
      <c r="C8" s="54"/>
      <c r="D8" s="55"/>
      <c r="E8" s="56"/>
      <c r="F8" s="57"/>
      <c r="G8" s="58"/>
      <c r="H8" s="59"/>
      <c r="I8" s="59"/>
      <c r="J8" s="58"/>
      <c r="K8" s="60"/>
    </row>
    <row r="9" spans="1:13" s="72" customFormat="1">
      <c r="A9" s="62" t="s">
        <v>104</v>
      </c>
      <c r="B9" s="63" t="s">
        <v>103</v>
      </c>
      <c r="C9" s="64" t="s">
        <v>97</v>
      </c>
      <c r="D9" s="63" t="s">
        <v>105</v>
      </c>
      <c r="E9" s="65" t="s">
        <v>98</v>
      </c>
      <c r="F9" s="66" t="s">
        <v>106</v>
      </c>
      <c r="G9" s="67" t="s">
        <v>107</v>
      </c>
      <c r="H9" s="68" t="s">
        <v>95</v>
      </c>
      <c r="I9" s="69"/>
      <c r="J9" s="70" t="s">
        <v>108</v>
      </c>
      <c r="K9" s="71"/>
    </row>
    <row r="10" spans="1:13" s="61" customFormat="1">
      <c r="A10" s="61" t="s">
        <v>109</v>
      </c>
      <c r="C10" s="60"/>
      <c r="D10" s="55"/>
      <c r="E10" s="55"/>
      <c r="F10" s="57"/>
      <c r="G10" s="58"/>
      <c r="H10" s="59"/>
      <c r="I10" s="59"/>
      <c r="J10" s="58"/>
      <c r="K10" s="60"/>
    </row>
    <row r="11" spans="1:13" s="73" customFormat="1">
      <c r="C11" s="74"/>
      <c r="D11" s="75"/>
      <c r="E11" s="75"/>
      <c r="F11" s="76"/>
      <c r="G11" s="77"/>
      <c r="H11" s="78"/>
      <c r="I11" s="78"/>
      <c r="J11" s="77"/>
      <c r="K11" s="74"/>
    </row>
    <row r="12" spans="1:13" s="73" customFormat="1">
      <c r="C12" s="79" t="s">
        <v>111</v>
      </c>
      <c r="D12" s="75"/>
      <c r="E12" s="75"/>
      <c r="F12" s="76"/>
      <c r="G12" s="77"/>
      <c r="H12" s="78"/>
      <c r="I12" s="78"/>
      <c r="J12" s="77"/>
      <c r="K12" s="74"/>
    </row>
    <row r="13" spans="1:13" s="82" customFormat="1">
      <c r="A13" s="80" t="s">
        <v>110</v>
      </c>
      <c r="B13" s="81" t="s">
        <v>77</v>
      </c>
      <c r="D13" s="82" t="s">
        <v>94</v>
      </c>
      <c r="E13" s="83" t="s">
        <v>112</v>
      </c>
      <c r="F13" s="84"/>
      <c r="G13" s="77">
        <v>42916</v>
      </c>
      <c r="H13" s="85" t="s">
        <v>76</v>
      </c>
      <c r="I13" s="86"/>
      <c r="J13" s="77">
        <v>42915</v>
      </c>
      <c r="K13" s="87" t="s">
        <v>113</v>
      </c>
    </row>
    <row r="14" spans="1:13" s="91" customFormat="1">
      <c r="A14" s="88" t="s">
        <v>110</v>
      </c>
      <c r="B14" s="89" t="s">
        <v>77</v>
      </c>
      <c r="C14" s="90" t="s">
        <v>114</v>
      </c>
      <c r="D14" s="91" t="s">
        <v>94</v>
      </c>
      <c r="E14" s="92" t="s">
        <v>115</v>
      </c>
      <c r="F14" s="84"/>
      <c r="G14" s="77">
        <v>42916</v>
      </c>
      <c r="H14" s="85" t="s">
        <v>76</v>
      </c>
      <c r="I14" s="93"/>
      <c r="J14" s="77">
        <v>42915</v>
      </c>
      <c r="K14" s="90" t="s">
        <v>113</v>
      </c>
    </row>
    <row r="15" spans="1:13" s="91" customFormat="1">
      <c r="A15" s="88" t="s">
        <v>116</v>
      </c>
      <c r="B15" s="89" t="s">
        <v>77</v>
      </c>
      <c r="C15" s="90" t="s">
        <v>85</v>
      </c>
      <c r="D15" s="91" t="s">
        <v>94</v>
      </c>
      <c r="E15" s="92" t="s">
        <v>117</v>
      </c>
      <c r="F15" s="84"/>
      <c r="G15" s="77">
        <v>42916</v>
      </c>
      <c r="H15" s="85" t="s">
        <v>76</v>
      </c>
      <c r="I15" s="93"/>
      <c r="J15" s="77">
        <v>42915</v>
      </c>
      <c r="K15" s="90" t="s">
        <v>113</v>
      </c>
    </row>
    <row r="16" spans="1:13" s="100" customFormat="1">
      <c r="A16" s="94" t="s">
        <v>118</v>
      </c>
      <c r="B16" s="95" t="s">
        <v>80</v>
      </c>
      <c r="C16" s="96" t="s">
        <v>119</v>
      </c>
      <c r="D16" s="91" t="s">
        <v>94</v>
      </c>
      <c r="E16" s="97" t="s">
        <v>120</v>
      </c>
      <c r="F16" s="84"/>
      <c r="G16" s="77">
        <v>42916</v>
      </c>
      <c r="H16" s="85" t="s">
        <v>76</v>
      </c>
      <c r="I16" s="98"/>
      <c r="J16" s="77">
        <v>42915</v>
      </c>
      <c r="K16" s="99" t="s">
        <v>113</v>
      </c>
    </row>
    <row r="17" spans="1:26" s="102" customFormat="1">
      <c r="A17" s="101" t="s">
        <v>121</v>
      </c>
      <c r="B17" s="102" t="s">
        <v>77</v>
      </c>
      <c r="C17" s="103" t="s">
        <v>122</v>
      </c>
      <c r="D17" s="102" t="s">
        <v>92</v>
      </c>
      <c r="E17" s="104" t="s">
        <v>123</v>
      </c>
      <c r="F17" s="102" t="s">
        <v>124</v>
      </c>
      <c r="G17" s="105">
        <v>42810</v>
      </c>
      <c r="H17" s="78" t="s">
        <v>76</v>
      </c>
      <c r="J17" s="106">
        <v>42440</v>
      </c>
      <c r="K17" s="107"/>
      <c r="L17" s="107"/>
      <c r="M17" s="108"/>
      <c r="N17" s="103"/>
      <c r="O17" s="103"/>
      <c r="Q17" s="103"/>
      <c r="S17" s="109"/>
      <c r="U17" s="110"/>
      <c r="V17" s="110"/>
      <c r="X17" s="103"/>
      <c r="Z17" s="103"/>
    </row>
    <row r="18" spans="1:26" s="102" customFormat="1">
      <c r="A18" s="101" t="s">
        <v>125</v>
      </c>
      <c r="B18" s="102" t="s">
        <v>126</v>
      </c>
      <c r="C18" s="103" t="s">
        <v>127</v>
      </c>
      <c r="D18" s="102" t="s">
        <v>73</v>
      </c>
      <c r="E18" s="104" t="s">
        <v>518</v>
      </c>
      <c r="F18" s="102" t="s">
        <v>128</v>
      </c>
      <c r="G18" s="105">
        <v>43096</v>
      </c>
      <c r="H18" s="78" t="s">
        <v>76</v>
      </c>
      <c r="J18" s="106">
        <v>43091</v>
      </c>
      <c r="K18" s="107"/>
      <c r="L18" s="107"/>
      <c r="M18" s="108"/>
      <c r="N18" s="103"/>
      <c r="O18" s="103"/>
      <c r="Q18" s="103"/>
      <c r="S18" s="109"/>
      <c r="U18" s="110"/>
      <c r="V18" s="110"/>
      <c r="X18" s="103"/>
      <c r="Z18" s="103"/>
    </row>
    <row r="19" spans="1:26" s="122" customFormat="1">
      <c r="A19" s="111" t="s">
        <v>125</v>
      </c>
      <c r="B19" s="112" t="s">
        <v>126</v>
      </c>
      <c r="C19" s="113" t="s">
        <v>129</v>
      </c>
      <c r="D19" s="112" t="s">
        <v>73</v>
      </c>
      <c r="E19" s="114"/>
      <c r="F19" s="112" t="s">
        <v>130</v>
      </c>
      <c r="G19" s="115">
        <v>43467</v>
      </c>
      <c r="H19" s="116" t="s">
        <v>76</v>
      </c>
      <c r="I19" s="112"/>
      <c r="J19" s="117">
        <v>43462</v>
      </c>
      <c r="K19" s="118"/>
      <c r="L19" s="119"/>
      <c r="M19" s="120"/>
      <c r="N19" s="121"/>
      <c r="O19" s="121"/>
      <c r="Q19" s="121"/>
      <c r="S19" s="123"/>
      <c r="U19" s="124"/>
      <c r="V19" s="124"/>
      <c r="X19" s="121"/>
      <c r="Z19" s="121"/>
    </row>
    <row r="20" spans="1:26" s="73" customFormat="1">
      <c r="A20" s="101" t="s">
        <v>131</v>
      </c>
      <c r="B20" s="102" t="s">
        <v>82</v>
      </c>
      <c r="C20" s="103" t="s">
        <v>132</v>
      </c>
      <c r="D20" s="102" t="s">
        <v>72</v>
      </c>
      <c r="E20" s="104" t="s">
        <v>133</v>
      </c>
      <c r="F20" s="102" t="s">
        <v>134</v>
      </c>
      <c r="G20" s="105">
        <v>42936</v>
      </c>
      <c r="H20" s="125" t="s">
        <v>76</v>
      </c>
      <c r="I20" s="102"/>
      <c r="J20" s="106">
        <v>42886</v>
      </c>
      <c r="K20" s="107"/>
    </row>
    <row r="21" spans="1:26" s="73" customFormat="1">
      <c r="A21" s="94" t="s">
        <v>135</v>
      </c>
      <c r="B21" s="95" t="s">
        <v>77</v>
      </c>
      <c r="C21" s="96" t="s">
        <v>136</v>
      </c>
      <c r="D21" s="95" t="s">
        <v>137</v>
      </c>
      <c r="E21" s="126" t="s">
        <v>87</v>
      </c>
      <c r="F21" s="127" t="s">
        <v>138</v>
      </c>
      <c r="G21" s="128">
        <v>43038</v>
      </c>
      <c r="H21" s="129" t="s">
        <v>76</v>
      </c>
      <c r="I21" s="129"/>
      <c r="J21" s="128">
        <v>42951</v>
      </c>
      <c r="K21" s="74"/>
    </row>
    <row r="22" spans="1:26" s="73" customFormat="1">
      <c r="A22" s="94" t="s">
        <v>139</v>
      </c>
      <c r="B22" s="95" t="s">
        <v>77</v>
      </c>
      <c r="C22" s="96" t="s">
        <v>91</v>
      </c>
      <c r="D22" s="95" t="s">
        <v>92</v>
      </c>
      <c r="E22" s="126" t="s">
        <v>140</v>
      </c>
      <c r="F22" s="127" t="s">
        <v>141</v>
      </c>
      <c r="G22" s="128">
        <v>42977</v>
      </c>
      <c r="H22" s="129" t="s">
        <v>76</v>
      </c>
      <c r="I22" s="129"/>
      <c r="J22" s="128">
        <v>42972</v>
      </c>
      <c r="K22" s="74"/>
    </row>
    <row r="23" spans="1:26" s="73" customFormat="1">
      <c r="A23" s="94" t="s">
        <v>142</v>
      </c>
      <c r="B23" s="95" t="s">
        <v>77</v>
      </c>
      <c r="C23" s="96" t="s">
        <v>143</v>
      </c>
      <c r="D23" s="95" t="s">
        <v>92</v>
      </c>
      <c r="E23" s="126" t="s">
        <v>144</v>
      </c>
      <c r="F23" s="127" t="s">
        <v>145</v>
      </c>
      <c r="G23" s="128">
        <v>42977</v>
      </c>
      <c r="H23" s="129" t="s">
        <v>76</v>
      </c>
      <c r="I23" s="129"/>
      <c r="J23" s="128">
        <v>42972</v>
      </c>
      <c r="K23" s="74"/>
    </row>
    <row r="24" spans="1:26" s="73" customFormat="1">
      <c r="A24" s="94" t="s">
        <v>146</v>
      </c>
      <c r="B24" s="95" t="s">
        <v>77</v>
      </c>
      <c r="C24" s="96" t="s">
        <v>147</v>
      </c>
      <c r="D24" s="95" t="s">
        <v>92</v>
      </c>
      <c r="E24" s="126" t="s">
        <v>148</v>
      </c>
      <c r="F24" s="127" t="s">
        <v>149</v>
      </c>
      <c r="G24" s="128">
        <v>42977</v>
      </c>
      <c r="H24" s="129" t="s">
        <v>76</v>
      </c>
      <c r="I24" s="129"/>
      <c r="J24" s="128">
        <v>42972</v>
      </c>
      <c r="K24" s="74"/>
    </row>
    <row r="25" spans="1:26" s="130" customFormat="1">
      <c r="A25" s="94" t="s">
        <v>150</v>
      </c>
      <c r="B25" s="95" t="s">
        <v>77</v>
      </c>
      <c r="C25" s="96" t="s">
        <v>151</v>
      </c>
      <c r="D25" s="95" t="s">
        <v>92</v>
      </c>
      <c r="E25" s="126" t="s">
        <v>152</v>
      </c>
      <c r="F25" s="127" t="s">
        <v>153</v>
      </c>
      <c r="G25" s="128">
        <v>42977</v>
      </c>
      <c r="H25" s="129" t="s">
        <v>76</v>
      </c>
      <c r="I25" s="129"/>
      <c r="J25" s="128">
        <v>42972</v>
      </c>
      <c r="K25" s="74"/>
    </row>
    <row r="26" spans="1:26" s="73" customFormat="1">
      <c r="A26" s="94" t="s">
        <v>154</v>
      </c>
      <c r="B26" s="95" t="s">
        <v>155</v>
      </c>
      <c r="C26" s="96" t="s">
        <v>156</v>
      </c>
      <c r="D26" s="95" t="s">
        <v>74</v>
      </c>
      <c r="E26" s="126" t="s">
        <v>157</v>
      </c>
      <c r="F26" s="127" t="s">
        <v>158</v>
      </c>
      <c r="G26" s="128">
        <v>43186</v>
      </c>
      <c r="H26" s="129" t="s">
        <v>76</v>
      </c>
      <c r="I26" s="129"/>
      <c r="J26" s="128">
        <v>42964</v>
      </c>
      <c r="K26" s="74" t="s">
        <v>159</v>
      </c>
    </row>
    <row r="27" spans="1:26" s="73" customFormat="1">
      <c r="A27" s="94" t="s">
        <v>160</v>
      </c>
      <c r="B27" s="95" t="s">
        <v>82</v>
      </c>
      <c r="C27" s="96" t="s">
        <v>161</v>
      </c>
      <c r="D27" s="95" t="s">
        <v>162</v>
      </c>
      <c r="E27" s="126" t="s">
        <v>163</v>
      </c>
      <c r="F27" s="127" t="s">
        <v>164</v>
      </c>
      <c r="G27" s="128">
        <v>43201</v>
      </c>
      <c r="H27" s="129" t="s">
        <v>76</v>
      </c>
      <c r="I27" s="129"/>
      <c r="J27" s="128">
        <v>42951</v>
      </c>
      <c r="K27" s="74" t="s">
        <v>159</v>
      </c>
    </row>
    <row r="28" spans="1:26" s="73" customFormat="1">
      <c r="A28" s="94" t="s">
        <v>165</v>
      </c>
      <c r="B28" s="95" t="s">
        <v>77</v>
      </c>
      <c r="C28" s="96" t="s">
        <v>166</v>
      </c>
      <c r="D28" s="95" t="s">
        <v>92</v>
      </c>
      <c r="E28" s="126" t="s">
        <v>167</v>
      </c>
      <c r="F28" s="127" t="s">
        <v>168</v>
      </c>
      <c r="H28" s="129" t="s">
        <v>76</v>
      </c>
      <c r="I28" s="129"/>
      <c r="J28" s="128">
        <v>42972</v>
      </c>
      <c r="K28" s="74"/>
    </row>
    <row r="29" spans="1:26">
      <c r="A29" s="94" t="s">
        <v>169</v>
      </c>
      <c r="B29" s="95" t="s">
        <v>170</v>
      </c>
      <c r="C29" s="96" t="s">
        <v>171</v>
      </c>
      <c r="D29" s="95" t="s">
        <v>81</v>
      </c>
      <c r="E29" s="126" t="s">
        <v>172</v>
      </c>
      <c r="F29" s="127" t="s">
        <v>173</v>
      </c>
      <c r="G29" s="131">
        <v>42998</v>
      </c>
      <c r="H29" s="129" t="s">
        <v>76</v>
      </c>
      <c r="I29" s="129"/>
      <c r="J29" s="128">
        <v>42995</v>
      </c>
      <c r="K29" s="74"/>
    </row>
    <row r="30" spans="1:26" s="72" customFormat="1">
      <c r="A30" s="132" t="s">
        <v>174</v>
      </c>
      <c r="B30" s="63" t="s">
        <v>80</v>
      </c>
      <c r="C30" s="64" t="s">
        <v>99</v>
      </c>
      <c r="D30" s="63" t="s">
        <v>175</v>
      </c>
      <c r="E30" s="65" t="s">
        <v>176</v>
      </c>
      <c r="F30" s="133"/>
      <c r="G30" s="67">
        <v>42977</v>
      </c>
      <c r="H30" s="134" t="s">
        <v>95</v>
      </c>
      <c r="I30" s="134"/>
      <c r="J30" s="67"/>
      <c r="K30" s="71"/>
    </row>
    <row r="31" spans="1:26" s="72" customFormat="1">
      <c r="A31" s="62" t="s">
        <v>177</v>
      </c>
      <c r="B31" s="63" t="s">
        <v>71</v>
      </c>
      <c r="C31" s="64" t="s">
        <v>178</v>
      </c>
      <c r="D31" s="63" t="s">
        <v>175</v>
      </c>
      <c r="E31" s="65" t="s">
        <v>102</v>
      </c>
      <c r="F31" s="135"/>
      <c r="G31" s="67"/>
      <c r="H31" s="134" t="s">
        <v>352</v>
      </c>
      <c r="I31" s="136"/>
      <c r="J31" s="137"/>
      <c r="K31" s="71"/>
    </row>
    <row r="32" spans="1:26" s="73" customFormat="1">
      <c r="A32" s="94" t="s">
        <v>179</v>
      </c>
      <c r="B32" s="95" t="s">
        <v>80</v>
      </c>
      <c r="C32" s="96" t="s">
        <v>180</v>
      </c>
      <c r="D32" s="75" t="s">
        <v>78</v>
      </c>
      <c r="E32" s="126" t="s">
        <v>181</v>
      </c>
      <c r="F32" s="76" t="s">
        <v>182</v>
      </c>
      <c r="G32" s="77">
        <v>42949</v>
      </c>
      <c r="H32" s="129" t="s">
        <v>76</v>
      </c>
      <c r="I32" s="78"/>
      <c r="J32" s="77">
        <v>42944</v>
      </c>
      <c r="K32" s="74"/>
    </row>
    <row r="33" spans="1:11" s="73" customFormat="1">
      <c r="A33" s="94" t="s">
        <v>183</v>
      </c>
      <c r="B33" s="95" t="s">
        <v>80</v>
      </c>
      <c r="C33" s="96" t="s">
        <v>184</v>
      </c>
      <c r="D33" s="95" t="s">
        <v>84</v>
      </c>
      <c r="E33" s="126" t="s">
        <v>185</v>
      </c>
      <c r="F33" s="76" t="s">
        <v>186</v>
      </c>
      <c r="G33" s="77">
        <v>42997</v>
      </c>
      <c r="H33" s="129" t="s">
        <v>76</v>
      </c>
      <c r="I33" s="78"/>
      <c r="J33" s="77">
        <v>42964</v>
      </c>
      <c r="K33" s="74"/>
    </row>
    <row r="34" spans="1:11">
      <c r="A34" s="94" t="s">
        <v>187</v>
      </c>
      <c r="B34" s="95" t="s">
        <v>80</v>
      </c>
      <c r="C34" s="96" t="s">
        <v>188</v>
      </c>
      <c r="D34" s="75" t="s">
        <v>90</v>
      </c>
      <c r="E34" s="126" t="s">
        <v>189</v>
      </c>
      <c r="F34" s="76" t="s">
        <v>190</v>
      </c>
      <c r="G34" s="77">
        <v>42965</v>
      </c>
      <c r="H34" s="129" t="s">
        <v>76</v>
      </c>
      <c r="I34" s="78"/>
      <c r="J34" s="77">
        <v>42944</v>
      </c>
      <c r="K34" s="74"/>
    </row>
    <row r="35" spans="1:11" s="72" customFormat="1">
      <c r="A35" s="62" t="s">
        <v>191</v>
      </c>
      <c r="B35" s="63" t="s">
        <v>77</v>
      </c>
      <c r="C35" s="64" t="s">
        <v>99</v>
      </c>
      <c r="D35" s="63" t="s">
        <v>175</v>
      </c>
      <c r="E35" s="65" t="s">
        <v>192</v>
      </c>
      <c r="F35" s="135"/>
      <c r="G35" s="137"/>
      <c r="H35" s="134" t="s">
        <v>352</v>
      </c>
      <c r="I35" s="136"/>
      <c r="J35" s="137"/>
      <c r="K35" s="71"/>
    </row>
    <row r="36" spans="1:11">
      <c r="A36" s="94" t="s">
        <v>193</v>
      </c>
      <c r="B36" s="95" t="s">
        <v>77</v>
      </c>
      <c r="C36" s="96" t="s">
        <v>194</v>
      </c>
      <c r="D36" s="95" t="s">
        <v>78</v>
      </c>
      <c r="E36" s="126" t="s">
        <v>88</v>
      </c>
      <c r="F36" s="76" t="s">
        <v>195</v>
      </c>
      <c r="G36" s="77">
        <v>42999</v>
      </c>
      <c r="H36" s="129" t="s">
        <v>76</v>
      </c>
      <c r="I36" s="78"/>
      <c r="J36" s="77">
        <v>42999</v>
      </c>
      <c r="K36" s="74"/>
    </row>
    <row r="37" spans="1:11" s="73" customFormat="1">
      <c r="A37" s="101" t="s">
        <v>196</v>
      </c>
      <c r="B37" s="102" t="s">
        <v>77</v>
      </c>
      <c r="C37" s="103" t="s">
        <v>197</v>
      </c>
      <c r="D37" s="102" t="s">
        <v>78</v>
      </c>
      <c r="E37" s="104" t="s">
        <v>198</v>
      </c>
      <c r="F37" s="35" t="s">
        <v>199</v>
      </c>
      <c r="G37" s="36">
        <v>43032</v>
      </c>
      <c r="H37" s="125" t="s">
        <v>76</v>
      </c>
      <c r="I37" s="37"/>
      <c r="J37" s="36"/>
      <c r="K37" s="40"/>
    </row>
    <row r="38" spans="1:11">
      <c r="A38" s="94" t="s">
        <v>200</v>
      </c>
      <c r="B38" s="95" t="s">
        <v>77</v>
      </c>
      <c r="C38" s="96" t="s">
        <v>201</v>
      </c>
      <c r="D38" s="75" t="s">
        <v>202</v>
      </c>
      <c r="E38" s="126" t="s">
        <v>203</v>
      </c>
      <c r="F38" s="76" t="s">
        <v>204</v>
      </c>
      <c r="G38" s="77">
        <v>42955</v>
      </c>
      <c r="H38" s="129" t="s">
        <v>76</v>
      </c>
      <c r="I38" s="78"/>
      <c r="J38" s="77">
        <v>42951</v>
      </c>
      <c r="K38" s="74"/>
    </row>
    <row r="39" spans="1:11" s="138" customFormat="1">
      <c r="A39" s="101" t="s">
        <v>205</v>
      </c>
      <c r="B39" s="102" t="s">
        <v>77</v>
      </c>
      <c r="C39" s="103" t="s">
        <v>206</v>
      </c>
      <c r="D39" s="102" t="s">
        <v>92</v>
      </c>
      <c r="E39" s="104" t="s">
        <v>207</v>
      </c>
      <c r="F39" s="35" t="s">
        <v>208</v>
      </c>
      <c r="G39" s="36">
        <v>42997</v>
      </c>
      <c r="H39" s="125" t="s">
        <v>76</v>
      </c>
      <c r="I39" s="37"/>
      <c r="J39" s="36">
        <v>42990</v>
      </c>
      <c r="K39" s="40"/>
    </row>
    <row r="40" spans="1:11">
      <c r="A40" s="139" t="s">
        <v>209</v>
      </c>
      <c r="B40" s="140" t="s">
        <v>77</v>
      </c>
      <c r="C40" s="141" t="s">
        <v>210</v>
      </c>
      <c r="D40" s="140" t="s">
        <v>211</v>
      </c>
      <c r="E40" s="142" t="s">
        <v>212</v>
      </c>
      <c r="F40" s="143" t="s">
        <v>213</v>
      </c>
      <c r="G40" s="144">
        <v>43019</v>
      </c>
      <c r="H40" s="145" t="s">
        <v>76</v>
      </c>
      <c r="I40" s="146"/>
      <c r="J40" s="144">
        <v>42995</v>
      </c>
      <c r="K40" s="147"/>
    </row>
    <row r="41" spans="1:11" s="153" customFormat="1">
      <c r="A41" s="148" t="s">
        <v>214</v>
      </c>
      <c r="B41" s="149" t="s">
        <v>77</v>
      </c>
      <c r="C41" s="150" t="s">
        <v>215</v>
      </c>
      <c r="D41" s="149" t="s">
        <v>216</v>
      </c>
      <c r="E41" s="151" t="s">
        <v>217</v>
      </c>
      <c r="F41" s="35" t="s">
        <v>218</v>
      </c>
      <c r="G41" s="36"/>
      <c r="H41" s="152" t="s">
        <v>76</v>
      </c>
      <c r="I41" s="37"/>
      <c r="J41" s="36"/>
      <c r="K41" s="40"/>
    </row>
    <row r="42" spans="1:11" s="73" customFormat="1">
      <c r="A42" s="154" t="s">
        <v>214</v>
      </c>
      <c r="B42" s="155" t="s">
        <v>77</v>
      </c>
      <c r="C42" s="156" t="s">
        <v>215</v>
      </c>
      <c r="D42" s="155" t="s">
        <v>216</v>
      </c>
      <c r="E42" s="142"/>
      <c r="F42" s="143" t="s">
        <v>101</v>
      </c>
      <c r="G42" s="144">
        <v>43123</v>
      </c>
      <c r="H42" s="146" t="s">
        <v>76</v>
      </c>
      <c r="I42" s="146"/>
      <c r="J42" s="144">
        <v>43055</v>
      </c>
      <c r="K42" s="147"/>
    </row>
    <row r="43" spans="1:11">
      <c r="A43" s="157" t="s">
        <v>219</v>
      </c>
      <c r="B43" s="158" t="s">
        <v>77</v>
      </c>
      <c r="C43" s="159" t="s">
        <v>180</v>
      </c>
      <c r="D43" s="158" t="s">
        <v>78</v>
      </c>
      <c r="E43" s="160" t="s">
        <v>220</v>
      </c>
      <c r="F43" s="75" t="s">
        <v>221</v>
      </c>
      <c r="G43" s="77">
        <v>42999</v>
      </c>
      <c r="H43" s="78" t="s">
        <v>76</v>
      </c>
      <c r="I43" s="78"/>
      <c r="J43" s="77">
        <v>42999</v>
      </c>
      <c r="K43" s="74"/>
    </row>
    <row r="44" spans="1:11">
      <c r="A44" s="101" t="s">
        <v>222</v>
      </c>
      <c r="B44" s="102" t="s">
        <v>80</v>
      </c>
      <c r="C44" s="103" t="s">
        <v>223</v>
      </c>
      <c r="D44" s="102" t="s">
        <v>78</v>
      </c>
      <c r="E44" s="104" t="s">
        <v>224</v>
      </c>
      <c r="F44" s="34" t="s">
        <v>225</v>
      </c>
      <c r="G44" s="36">
        <v>43032</v>
      </c>
      <c r="H44" s="37" t="s">
        <v>76</v>
      </c>
    </row>
    <row r="45" spans="1:11" s="130" customFormat="1">
      <c r="A45" s="101" t="s">
        <v>226</v>
      </c>
      <c r="B45" s="102" t="s">
        <v>80</v>
      </c>
      <c r="C45" s="103" t="s">
        <v>180</v>
      </c>
      <c r="D45" s="102" t="s">
        <v>78</v>
      </c>
      <c r="E45" s="104" t="s">
        <v>181</v>
      </c>
      <c r="F45" s="35" t="s">
        <v>227</v>
      </c>
      <c r="G45" s="36">
        <v>43032</v>
      </c>
      <c r="H45" s="37" t="s">
        <v>76</v>
      </c>
      <c r="I45" s="37"/>
      <c r="J45" s="36"/>
      <c r="K45" s="40"/>
    </row>
    <row r="46" spans="1:11" s="130" customFormat="1">
      <c r="A46" s="94" t="s">
        <v>228</v>
      </c>
      <c r="B46" s="95" t="s">
        <v>71</v>
      </c>
      <c r="C46" s="96" t="s">
        <v>229</v>
      </c>
      <c r="D46" s="95" t="s">
        <v>230</v>
      </c>
      <c r="E46" s="161" t="s">
        <v>231</v>
      </c>
      <c r="F46" s="76" t="s">
        <v>232</v>
      </c>
      <c r="G46" s="77">
        <v>43081</v>
      </c>
      <c r="H46" s="78" t="s">
        <v>76</v>
      </c>
      <c r="I46" s="78"/>
      <c r="J46" s="77">
        <v>42972</v>
      </c>
      <c r="K46" s="74"/>
    </row>
    <row r="47" spans="1:11">
      <c r="A47" s="94" t="s">
        <v>233</v>
      </c>
      <c r="B47" s="95" t="s">
        <v>77</v>
      </c>
      <c r="C47" s="96" t="s">
        <v>234</v>
      </c>
      <c r="D47" s="95" t="s">
        <v>92</v>
      </c>
      <c r="E47" s="126" t="s">
        <v>235</v>
      </c>
      <c r="F47" s="76" t="s">
        <v>236</v>
      </c>
      <c r="G47" s="77">
        <v>43118</v>
      </c>
      <c r="H47" s="78" t="s">
        <v>76</v>
      </c>
      <c r="I47" s="78"/>
      <c r="J47" s="77">
        <v>43075</v>
      </c>
      <c r="K47" s="74"/>
    </row>
    <row r="48" spans="1:11" s="130" customFormat="1">
      <c r="A48" s="101" t="s">
        <v>237</v>
      </c>
      <c r="B48" s="102" t="s">
        <v>80</v>
      </c>
      <c r="C48" s="103" t="s">
        <v>83</v>
      </c>
      <c r="D48" s="102" t="s">
        <v>78</v>
      </c>
      <c r="E48" s="104" t="s">
        <v>238</v>
      </c>
      <c r="F48" s="35" t="s">
        <v>145</v>
      </c>
      <c r="G48" s="36">
        <v>43052</v>
      </c>
      <c r="H48" s="37" t="s">
        <v>76</v>
      </c>
      <c r="I48" s="37"/>
      <c r="J48" s="36"/>
      <c r="K48" s="40"/>
    </row>
    <row r="49" spans="1:11">
      <c r="A49" s="94" t="s">
        <v>239</v>
      </c>
      <c r="B49" s="95" t="s">
        <v>80</v>
      </c>
      <c r="C49" s="96" t="s">
        <v>240</v>
      </c>
      <c r="D49" s="95" t="s">
        <v>211</v>
      </c>
      <c r="E49" s="126" t="s">
        <v>241</v>
      </c>
      <c r="F49" s="76" t="s">
        <v>242</v>
      </c>
      <c r="G49" s="77">
        <v>43081</v>
      </c>
      <c r="H49" s="78" t="s">
        <v>76</v>
      </c>
      <c r="I49" s="78"/>
      <c r="J49" s="77">
        <v>43075</v>
      </c>
      <c r="K49" s="74"/>
    </row>
    <row r="50" spans="1:11">
      <c r="A50" s="101" t="s">
        <v>243</v>
      </c>
      <c r="B50" s="102" t="s">
        <v>80</v>
      </c>
      <c r="C50" s="103" t="s">
        <v>180</v>
      </c>
      <c r="D50" s="102" t="s">
        <v>78</v>
      </c>
      <c r="E50" s="104" t="s">
        <v>244</v>
      </c>
      <c r="F50" s="35" t="s">
        <v>227</v>
      </c>
      <c r="G50" s="36">
        <v>43052</v>
      </c>
      <c r="H50" s="37" t="s">
        <v>76</v>
      </c>
    </row>
    <row r="51" spans="1:11">
      <c r="A51" s="101" t="s">
        <v>245</v>
      </c>
      <c r="B51" s="102" t="s">
        <v>77</v>
      </c>
      <c r="C51" s="103" t="s">
        <v>246</v>
      </c>
      <c r="D51" s="34" t="s">
        <v>73</v>
      </c>
      <c r="E51" s="104" t="s">
        <v>247</v>
      </c>
      <c r="F51" s="35" t="s">
        <v>248</v>
      </c>
      <c r="G51" s="36">
        <v>43074</v>
      </c>
      <c r="H51" s="37" t="s">
        <v>76</v>
      </c>
    </row>
    <row r="52" spans="1:11" s="73" customFormat="1">
      <c r="A52" s="94" t="s">
        <v>249</v>
      </c>
      <c r="B52" s="95" t="s">
        <v>250</v>
      </c>
      <c r="C52" s="96" t="s">
        <v>132</v>
      </c>
      <c r="D52" s="75" t="s">
        <v>72</v>
      </c>
      <c r="E52" s="126" t="s">
        <v>251</v>
      </c>
      <c r="F52" s="76" t="s">
        <v>134</v>
      </c>
      <c r="G52" s="77">
        <v>43129</v>
      </c>
      <c r="H52" s="78" t="s">
        <v>76</v>
      </c>
      <c r="I52" s="78"/>
      <c r="J52" s="77">
        <v>43112</v>
      </c>
      <c r="K52" s="74"/>
    </row>
    <row r="53" spans="1:11">
      <c r="A53" s="101" t="s">
        <v>252</v>
      </c>
      <c r="B53" s="102" t="s">
        <v>77</v>
      </c>
      <c r="C53" s="103" t="s">
        <v>253</v>
      </c>
      <c r="D53" s="34" t="s">
        <v>78</v>
      </c>
      <c r="E53" s="104" t="s">
        <v>254</v>
      </c>
      <c r="F53" s="35" t="s">
        <v>255</v>
      </c>
      <c r="G53" s="36">
        <v>43118</v>
      </c>
      <c r="H53" s="37" t="s">
        <v>76</v>
      </c>
    </row>
    <row r="54" spans="1:11" s="72" customFormat="1">
      <c r="A54" s="62" t="s">
        <v>256</v>
      </c>
      <c r="B54" s="63" t="s">
        <v>257</v>
      </c>
      <c r="C54" s="64" t="s">
        <v>258</v>
      </c>
      <c r="D54" s="132"/>
      <c r="E54" s="65" t="s">
        <v>259</v>
      </c>
      <c r="F54" s="135" t="s">
        <v>260</v>
      </c>
      <c r="G54" s="137"/>
      <c r="H54" s="136"/>
      <c r="I54" s="136"/>
      <c r="J54" s="137"/>
      <c r="K54" s="71"/>
    </row>
    <row r="55" spans="1:11" s="72" customFormat="1">
      <c r="A55" s="62" t="s">
        <v>261</v>
      </c>
      <c r="B55" s="63" t="s">
        <v>77</v>
      </c>
      <c r="C55" s="64" t="s">
        <v>253</v>
      </c>
      <c r="D55" s="132" t="s">
        <v>78</v>
      </c>
      <c r="E55" s="65" t="s">
        <v>254</v>
      </c>
      <c r="F55" s="135" t="s">
        <v>255</v>
      </c>
      <c r="G55" s="137"/>
      <c r="H55" s="136"/>
      <c r="I55" s="136"/>
      <c r="J55" s="137"/>
      <c r="K55" s="71"/>
    </row>
    <row r="56" spans="1:11" s="72" customFormat="1">
      <c r="A56" s="132" t="s">
        <v>262</v>
      </c>
      <c r="B56" s="132" t="s">
        <v>77</v>
      </c>
      <c r="C56" s="71" t="s">
        <v>263</v>
      </c>
      <c r="D56" s="132"/>
      <c r="E56" s="162" t="s">
        <v>264</v>
      </c>
      <c r="F56" s="135" t="s">
        <v>100</v>
      </c>
      <c r="G56" s="137">
        <v>43126</v>
      </c>
      <c r="H56" s="136" t="s">
        <v>76</v>
      </c>
      <c r="I56" s="136"/>
      <c r="J56" s="137">
        <v>43075</v>
      </c>
      <c r="K56" s="71"/>
    </row>
    <row r="57" spans="1:11">
      <c r="A57" s="94" t="s">
        <v>265</v>
      </c>
      <c r="B57" s="95" t="s">
        <v>29</v>
      </c>
      <c r="C57" s="96" t="s">
        <v>519</v>
      </c>
      <c r="D57" s="75" t="s">
        <v>92</v>
      </c>
      <c r="E57" s="126" t="s">
        <v>520</v>
      </c>
      <c r="F57" s="76" t="s">
        <v>93</v>
      </c>
      <c r="G57" s="77">
        <v>43118</v>
      </c>
      <c r="H57" s="78" t="s">
        <v>76</v>
      </c>
      <c r="I57" s="78"/>
      <c r="J57" s="77">
        <v>43112</v>
      </c>
      <c r="K57" s="74"/>
    </row>
    <row r="58" spans="1:11">
      <c r="A58" s="101" t="s">
        <v>266</v>
      </c>
      <c r="B58" s="102" t="s">
        <v>71</v>
      </c>
      <c r="C58" s="103" t="s">
        <v>521</v>
      </c>
      <c r="D58" s="102" t="s">
        <v>522</v>
      </c>
      <c r="E58" s="104" t="s">
        <v>523</v>
      </c>
      <c r="F58" s="35" t="s">
        <v>267</v>
      </c>
      <c r="G58" s="36">
        <v>43161</v>
      </c>
      <c r="H58" s="37" t="s">
        <v>76</v>
      </c>
      <c r="J58" s="36">
        <v>43126</v>
      </c>
    </row>
    <row r="59" spans="1:11" s="72" customFormat="1">
      <c r="A59" s="62" t="s">
        <v>268</v>
      </c>
      <c r="B59" s="63" t="s">
        <v>71</v>
      </c>
      <c r="C59" s="64" t="s">
        <v>524</v>
      </c>
      <c r="D59" s="63" t="s">
        <v>336</v>
      </c>
      <c r="E59" s="65" t="s">
        <v>525</v>
      </c>
      <c r="F59" s="135"/>
      <c r="G59" s="137"/>
      <c r="H59" s="136" t="s">
        <v>95</v>
      </c>
      <c r="I59" s="136"/>
      <c r="J59" s="137"/>
      <c r="K59" s="71"/>
    </row>
    <row r="60" spans="1:11" s="72" customFormat="1">
      <c r="A60" s="62" t="s">
        <v>269</v>
      </c>
      <c r="B60" s="63" t="s">
        <v>71</v>
      </c>
      <c r="C60" s="64" t="s">
        <v>526</v>
      </c>
      <c r="D60" s="63" t="s">
        <v>175</v>
      </c>
      <c r="E60" s="65" t="s">
        <v>527</v>
      </c>
      <c r="F60" s="135"/>
      <c r="G60" s="137"/>
      <c r="H60" s="136" t="s">
        <v>352</v>
      </c>
      <c r="I60" s="136"/>
      <c r="J60" s="137"/>
      <c r="K60" s="71"/>
    </row>
    <row r="61" spans="1:11" s="130" customFormat="1">
      <c r="C61" s="163"/>
      <c r="D61" s="164"/>
      <c r="E61" s="164"/>
      <c r="F61" s="165"/>
      <c r="G61" s="166"/>
      <c r="H61" s="167"/>
      <c r="I61" s="167"/>
      <c r="J61" s="166"/>
      <c r="K61" s="163"/>
    </row>
    <row r="62" spans="1:11">
      <c r="A62" s="101" t="s">
        <v>270</v>
      </c>
      <c r="B62" s="102" t="s">
        <v>23</v>
      </c>
      <c r="C62" s="103" t="s">
        <v>528</v>
      </c>
      <c r="D62" s="102" t="s">
        <v>284</v>
      </c>
      <c r="E62" s="104" t="s">
        <v>529</v>
      </c>
      <c r="H62" s="37" t="s">
        <v>353</v>
      </c>
    </row>
    <row r="63" spans="1:11" s="72" customFormat="1">
      <c r="A63" s="62" t="s">
        <v>271</v>
      </c>
      <c r="B63" s="63" t="s">
        <v>530</v>
      </c>
      <c r="C63" s="64" t="s">
        <v>531</v>
      </c>
      <c r="D63" s="63" t="s">
        <v>96</v>
      </c>
      <c r="E63" s="65" t="s">
        <v>532</v>
      </c>
      <c r="F63" s="135" t="s">
        <v>272</v>
      </c>
      <c r="G63" s="137">
        <v>43273</v>
      </c>
      <c r="H63" s="136" t="s">
        <v>76</v>
      </c>
      <c r="I63" s="136"/>
      <c r="J63" s="137">
        <v>43238</v>
      </c>
      <c r="K63" s="71"/>
    </row>
    <row r="64" spans="1:11" s="72" customFormat="1">
      <c r="A64" s="62" t="s">
        <v>273</v>
      </c>
      <c r="B64" s="63" t="s">
        <v>71</v>
      </c>
      <c r="C64" s="64" t="s">
        <v>533</v>
      </c>
      <c r="D64" s="63" t="s">
        <v>284</v>
      </c>
      <c r="E64" s="65" t="s">
        <v>534</v>
      </c>
      <c r="F64" s="135"/>
      <c r="G64" s="137"/>
      <c r="H64" s="136" t="s">
        <v>353</v>
      </c>
      <c r="I64" s="136"/>
      <c r="J64" s="137"/>
      <c r="K64" s="71"/>
    </row>
    <row r="65" spans="1:11" s="170" customFormat="1">
      <c r="A65" s="111" t="s">
        <v>274</v>
      </c>
      <c r="B65" s="112" t="s">
        <v>30</v>
      </c>
      <c r="C65" s="113" t="s">
        <v>535</v>
      </c>
      <c r="D65" s="112" t="s">
        <v>96</v>
      </c>
      <c r="E65" s="114" t="s">
        <v>536</v>
      </c>
      <c r="F65" s="168"/>
      <c r="G65" s="169"/>
      <c r="H65" s="116"/>
      <c r="I65" s="116"/>
      <c r="J65" s="169"/>
      <c r="K65" s="121"/>
    </row>
    <row r="66" spans="1:11">
      <c r="A66" s="101" t="s">
        <v>275</v>
      </c>
      <c r="B66" s="102" t="s">
        <v>276</v>
      </c>
      <c r="C66" s="103" t="s">
        <v>537</v>
      </c>
      <c r="D66" s="102" t="s">
        <v>538</v>
      </c>
      <c r="E66" s="104" t="s">
        <v>539</v>
      </c>
      <c r="F66" s="35" t="s">
        <v>277</v>
      </c>
      <c r="G66" s="36">
        <v>43349</v>
      </c>
      <c r="H66" s="37" t="s">
        <v>76</v>
      </c>
      <c r="I66" s="37" t="s">
        <v>278</v>
      </c>
      <c r="J66" s="36">
        <v>43347</v>
      </c>
    </row>
    <row r="67" spans="1:11">
      <c r="A67" s="101" t="s">
        <v>279</v>
      </c>
      <c r="B67" s="102" t="s">
        <v>276</v>
      </c>
      <c r="C67" s="103" t="s">
        <v>540</v>
      </c>
      <c r="D67" s="102" t="s">
        <v>74</v>
      </c>
      <c r="E67" s="104" t="s">
        <v>541</v>
      </c>
      <c r="F67" s="35" t="s">
        <v>280</v>
      </c>
      <c r="G67" s="36">
        <v>43494</v>
      </c>
      <c r="H67" s="37" t="s">
        <v>76</v>
      </c>
      <c r="J67" s="36">
        <v>43466</v>
      </c>
    </row>
    <row r="68" spans="1:11">
      <c r="A68" s="101" t="s">
        <v>281</v>
      </c>
      <c r="B68" s="102" t="s">
        <v>71</v>
      </c>
      <c r="C68" s="103" t="s">
        <v>542</v>
      </c>
      <c r="D68" s="102" t="s">
        <v>74</v>
      </c>
      <c r="E68" s="104" t="s">
        <v>543</v>
      </c>
      <c r="F68" s="35" t="s">
        <v>282</v>
      </c>
      <c r="G68" s="36">
        <v>43377</v>
      </c>
      <c r="H68" s="37" t="s">
        <v>76</v>
      </c>
      <c r="J68" s="36">
        <v>43341</v>
      </c>
    </row>
    <row r="69" spans="1:11" s="72" customFormat="1">
      <c r="A69" s="62" t="s">
        <v>283</v>
      </c>
      <c r="B69" s="63" t="s">
        <v>23</v>
      </c>
      <c r="C69" s="64" t="s">
        <v>544</v>
      </c>
      <c r="D69" s="63" t="s">
        <v>284</v>
      </c>
      <c r="E69" s="65" t="s">
        <v>545</v>
      </c>
      <c r="F69" s="135" t="s">
        <v>344</v>
      </c>
      <c r="G69" s="137"/>
      <c r="H69" s="136" t="s">
        <v>351</v>
      </c>
      <c r="J69" s="137">
        <v>43616</v>
      </c>
      <c r="K69" s="71"/>
    </row>
    <row r="70" spans="1:11" s="72" customFormat="1">
      <c r="A70" s="62" t="s">
        <v>285</v>
      </c>
      <c r="B70" s="63" t="s">
        <v>80</v>
      </c>
      <c r="C70" s="64" t="s">
        <v>546</v>
      </c>
      <c r="D70" s="63" t="s">
        <v>284</v>
      </c>
      <c r="E70" s="65" t="s">
        <v>547</v>
      </c>
      <c r="F70" s="135" t="s">
        <v>345</v>
      </c>
      <c r="G70" s="137"/>
      <c r="H70" s="136" t="s">
        <v>351</v>
      </c>
      <c r="J70" s="137">
        <v>43616</v>
      </c>
      <c r="K70" s="71"/>
    </row>
    <row r="71" spans="1:11" s="72" customFormat="1">
      <c r="A71" s="62" t="s">
        <v>286</v>
      </c>
      <c r="B71" s="63" t="s">
        <v>23</v>
      </c>
      <c r="C71" s="64" t="s">
        <v>548</v>
      </c>
      <c r="D71" s="63" t="s">
        <v>284</v>
      </c>
      <c r="E71" s="65" t="s">
        <v>549</v>
      </c>
      <c r="F71" s="135" t="s">
        <v>346</v>
      </c>
      <c r="G71" s="137"/>
      <c r="H71" s="136" t="s">
        <v>351</v>
      </c>
      <c r="J71" s="137">
        <v>43616</v>
      </c>
      <c r="K71" s="71"/>
    </row>
    <row r="72" spans="1:11" s="72" customFormat="1">
      <c r="A72" s="62" t="s">
        <v>287</v>
      </c>
      <c r="B72" s="63" t="s">
        <v>23</v>
      </c>
      <c r="C72" s="64" t="s">
        <v>550</v>
      </c>
      <c r="D72" s="63" t="s">
        <v>284</v>
      </c>
      <c r="E72" s="65" t="s">
        <v>551</v>
      </c>
      <c r="F72" s="135" t="s">
        <v>347</v>
      </c>
      <c r="G72" s="137"/>
      <c r="H72" s="136" t="s">
        <v>351</v>
      </c>
      <c r="J72" s="137">
        <v>43616</v>
      </c>
      <c r="K72" s="71"/>
    </row>
    <row r="73" spans="1:11" s="73" customFormat="1">
      <c r="A73" s="94" t="s">
        <v>288</v>
      </c>
      <c r="B73" s="95" t="s">
        <v>80</v>
      </c>
      <c r="C73" s="96" t="s">
        <v>552</v>
      </c>
      <c r="D73" s="95" t="s">
        <v>86</v>
      </c>
      <c r="E73" s="126" t="s">
        <v>289</v>
      </c>
      <c r="F73" s="76" t="s">
        <v>348</v>
      </c>
      <c r="G73" s="77">
        <v>43363</v>
      </c>
      <c r="H73" s="78" t="s">
        <v>76</v>
      </c>
      <c r="J73" s="77">
        <v>43350</v>
      </c>
      <c r="K73" s="74"/>
    </row>
    <row r="74" spans="1:11" s="73" customFormat="1">
      <c r="A74" s="94" t="s">
        <v>290</v>
      </c>
      <c r="B74" s="95" t="s">
        <v>23</v>
      </c>
      <c r="C74" s="96" t="s">
        <v>553</v>
      </c>
      <c r="D74" s="95" t="s">
        <v>78</v>
      </c>
      <c r="E74" s="126" t="s">
        <v>554</v>
      </c>
      <c r="F74" s="76" t="s">
        <v>79</v>
      </c>
      <c r="G74" s="77">
        <v>43446</v>
      </c>
      <c r="H74" s="78" t="s">
        <v>76</v>
      </c>
      <c r="J74" s="77">
        <v>43434</v>
      </c>
      <c r="K74" s="74"/>
    </row>
    <row r="75" spans="1:11" s="170" customFormat="1">
      <c r="A75" s="111" t="s">
        <v>291</v>
      </c>
      <c r="B75" s="112" t="s">
        <v>23</v>
      </c>
      <c r="C75" s="113" t="s">
        <v>555</v>
      </c>
      <c r="D75" s="112" t="s">
        <v>90</v>
      </c>
      <c r="E75" s="114" t="s">
        <v>556</v>
      </c>
      <c r="F75" s="122" t="s">
        <v>190</v>
      </c>
      <c r="G75" s="169"/>
      <c r="H75" s="116"/>
      <c r="J75" s="169"/>
      <c r="K75" s="121"/>
    </row>
    <row r="76" spans="1:11" s="73" customFormat="1">
      <c r="A76" s="94" t="s">
        <v>292</v>
      </c>
      <c r="B76" s="95" t="s">
        <v>29</v>
      </c>
      <c r="C76" s="96" t="s">
        <v>293</v>
      </c>
      <c r="D76" s="95" t="s">
        <v>557</v>
      </c>
      <c r="E76" s="126" t="s">
        <v>89</v>
      </c>
      <c r="F76" s="171" t="s">
        <v>294</v>
      </c>
      <c r="G76" s="77">
        <v>43567</v>
      </c>
      <c r="H76" s="78" t="s">
        <v>76</v>
      </c>
      <c r="I76" s="73" t="s">
        <v>295</v>
      </c>
      <c r="J76" s="77">
        <v>43511</v>
      </c>
      <c r="K76" s="74"/>
    </row>
    <row r="77" spans="1:11" s="73" customFormat="1">
      <c r="A77" s="94" t="s">
        <v>296</v>
      </c>
      <c r="B77" s="95" t="s">
        <v>23</v>
      </c>
      <c r="C77" s="96" t="s">
        <v>558</v>
      </c>
      <c r="D77" s="95" t="s">
        <v>78</v>
      </c>
      <c r="E77" s="126" t="s">
        <v>559</v>
      </c>
      <c r="F77" s="76" t="s">
        <v>297</v>
      </c>
      <c r="G77" s="77">
        <v>43446</v>
      </c>
      <c r="H77" s="78" t="s">
        <v>76</v>
      </c>
      <c r="J77" s="77">
        <v>43434</v>
      </c>
      <c r="K77" s="74"/>
    </row>
    <row r="78" spans="1:11" s="73" customFormat="1">
      <c r="A78" s="94" t="s">
        <v>298</v>
      </c>
      <c r="B78" s="95" t="s">
        <v>29</v>
      </c>
      <c r="C78" s="96" t="s">
        <v>560</v>
      </c>
      <c r="D78" s="95" t="s">
        <v>299</v>
      </c>
      <c r="E78" s="126" t="s">
        <v>300</v>
      </c>
      <c r="F78" s="76" t="s">
        <v>301</v>
      </c>
      <c r="G78" s="77">
        <v>43438</v>
      </c>
      <c r="H78" s="78" t="s">
        <v>76</v>
      </c>
      <c r="J78" s="77">
        <v>43424</v>
      </c>
      <c r="K78" s="74"/>
    </row>
    <row r="79" spans="1:11">
      <c r="A79" s="101" t="s">
        <v>302</v>
      </c>
      <c r="B79" s="102" t="s">
        <v>71</v>
      </c>
      <c r="C79" s="103" t="s">
        <v>303</v>
      </c>
      <c r="D79" s="102" t="s">
        <v>561</v>
      </c>
      <c r="E79" s="104" t="s">
        <v>562</v>
      </c>
      <c r="F79" s="35" t="s">
        <v>304</v>
      </c>
      <c r="G79" s="36">
        <v>43447</v>
      </c>
      <c r="H79" s="37" t="s">
        <v>76</v>
      </c>
      <c r="J79" s="36">
        <v>43446</v>
      </c>
    </row>
    <row r="80" spans="1:11" s="73" customFormat="1">
      <c r="A80" s="94" t="s">
        <v>305</v>
      </c>
      <c r="B80" s="95" t="s">
        <v>310</v>
      </c>
      <c r="C80" s="96" t="s">
        <v>306</v>
      </c>
      <c r="D80" s="95" t="s">
        <v>563</v>
      </c>
      <c r="E80" s="126" t="s">
        <v>98</v>
      </c>
      <c r="F80" s="76" t="s">
        <v>307</v>
      </c>
      <c r="G80" s="77">
        <v>43441</v>
      </c>
      <c r="H80" s="78" t="s">
        <v>76</v>
      </c>
      <c r="I80" s="78"/>
      <c r="J80" s="77">
        <v>43434</v>
      </c>
      <c r="K80" s="74" t="s">
        <v>308</v>
      </c>
    </row>
    <row r="81" spans="1:11">
      <c r="A81" s="101" t="s">
        <v>309</v>
      </c>
      <c r="B81" s="102" t="s">
        <v>310</v>
      </c>
      <c r="C81" s="103" t="s">
        <v>311</v>
      </c>
      <c r="D81" s="102" t="s">
        <v>74</v>
      </c>
      <c r="E81" s="104" t="s">
        <v>541</v>
      </c>
      <c r="F81" s="35" t="s">
        <v>280</v>
      </c>
      <c r="G81" s="36">
        <v>43494</v>
      </c>
      <c r="H81" s="37" t="s">
        <v>76</v>
      </c>
      <c r="J81" s="36">
        <v>43466</v>
      </c>
    </row>
    <row r="82" spans="1:11" s="170" customFormat="1">
      <c r="A82" s="111" t="s">
        <v>312</v>
      </c>
      <c r="B82" s="112" t="s">
        <v>310</v>
      </c>
      <c r="C82" s="113" t="s">
        <v>313</v>
      </c>
      <c r="D82" s="112" t="s">
        <v>73</v>
      </c>
      <c r="E82" s="114" t="s">
        <v>564</v>
      </c>
      <c r="F82" s="168" t="s">
        <v>416</v>
      </c>
      <c r="G82" s="169">
        <v>43896</v>
      </c>
      <c r="H82" s="116" t="s">
        <v>374</v>
      </c>
      <c r="I82" s="116"/>
      <c r="J82" s="169">
        <v>43895</v>
      </c>
      <c r="K82" s="121"/>
    </row>
    <row r="83" spans="1:11">
      <c r="A83" s="101" t="s">
        <v>314</v>
      </c>
      <c r="B83" s="102" t="s">
        <v>310</v>
      </c>
      <c r="C83" s="103" t="s">
        <v>565</v>
      </c>
      <c r="D83" s="102" t="s">
        <v>73</v>
      </c>
      <c r="E83" s="104" t="s">
        <v>566</v>
      </c>
      <c r="F83" s="35" t="s">
        <v>315</v>
      </c>
      <c r="H83" s="37" t="s">
        <v>316</v>
      </c>
      <c r="J83" s="36" t="s">
        <v>317</v>
      </c>
    </row>
    <row r="84" spans="1:11" s="170" customFormat="1">
      <c r="A84" s="111" t="s">
        <v>318</v>
      </c>
      <c r="B84" s="112" t="s">
        <v>30</v>
      </c>
      <c r="C84" s="113" t="s">
        <v>331</v>
      </c>
      <c r="D84" s="112" t="s">
        <v>96</v>
      </c>
      <c r="E84" s="114" t="s">
        <v>567</v>
      </c>
      <c r="F84" s="168"/>
      <c r="G84" s="169"/>
      <c r="H84" s="116" t="s">
        <v>75</v>
      </c>
      <c r="I84" s="116"/>
      <c r="J84" s="169"/>
      <c r="K84" s="121"/>
    </row>
    <row r="85" spans="1:11" s="73" customFormat="1">
      <c r="A85" s="94" t="s">
        <v>319</v>
      </c>
      <c r="B85" s="95" t="s">
        <v>30</v>
      </c>
      <c r="C85" s="96" t="s">
        <v>568</v>
      </c>
      <c r="D85" s="95" t="s">
        <v>48</v>
      </c>
      <c r="E85" s="126" t="s">
        <v>320</v>
      </c>
      <c r="F85" s="76" t="s">
        <v>321</v>
      </c>
      <c r="G85" s="77">
        <v>43516</v>
      </c>
      <c r="H85" s="78" t="s">
        <v>76</v>
      </c>
      <c r="I85" s="78"/>
      <c r="J85" s="77">
        <v>43511</v>
      </c>
      <c r="K85" s="74"/>
    </row>
    <row r="86" spans="1:11" s="130" customFormat="1">
      <c r="A86" s="172" t="s">
        <v>322</v>
      </c>
      <c r="B86" s="173" t="s">
        <v>29</v>
      </c>
      <c r="C86" s="174" t="s">
        <v>569</v>
      </c>
      <c r="D86" s="173" t="s">
        <v>570</v>
      </c>
      <c r="E86" s="175" t="s">
        <v>264</v>
      </c>
      <c r="F86" s="165" t="s">
        <v>100</v>
      </c>
      <c r="G86" s="166" t="s">
        <v>323</v>
      </c>
      <c r="H86" s="167" t="s">
        <v>95</v>
      </c>
      <c r="I86" s="167"/>
      <c r="J86" s="166">
        <v>43430</v>
      </c>
      <c r="K86" s="163"/>
    </row>
    <row r="87" spans="1:11" s="170" customFormat="1">
      <c r="A87" s="111" t="s">
        <v>324</v>
      </c>
      <c r="B87" s="112" t="s">
        <v>30</v>
      </c>
      <c r="C87" s="113" t="s">
        <v>571</v>
      </c>
      <c r="D87" s="112" t="s">
        <v>572</v>
      </c>
      <c r="E87" s="114" t="s">
        <v>573</v>
      </c>
      <c r="F87" s="168" t="s">
        <v>325</v>
      </c>
      <c r="G87" s="169">
        <v>43574</v>
      </c>
      <c r="H87" s="116" t="s">
        <v>76</v>
      </c>
      <c r="I87" s="116"/>
      <c r="J87" s="169">
        <v>43573</v>
      </c>
      <c r="K87" s="121"/>
    </row>
    <row r="88" spans="1:11">
      <c r="A88" s="34" t="s">
        <v>326</v>
      </c>
      <c r="B88" s="34" t="s">
        <v>80</v>
      </c>
      <c r="C88" s="40" t="s">
        <v>327</v>
      </c>
      <c r="D88" s="34" t="s">
        <v>73</v>
      </c>
      <c r="E88" s="176" t="s">
        <v>328</v>
      </c>
      <c r="F88" s="35" t="s">
        <v>329</v>
      </c>
      <c r="G88" s="36">
        <v>43475</v>
      </c>
      <c r="H88" s="37" t="s">
        <v>76</v>
      </c>
      <c r="J88" s="36">
        <v>43469</v>
      </c>
    </row>
    <row r="89" spans="1:11" s="170" customFormat="1">
      <c r="A89" s="111" t="s">
        <v>330</v>
      </c>
      <c r="B89" s="112" t="s">
        <v>30</v>
      </c>
      <c r="C89" s="113" t="s">
        <v>331</v>
      </c>
      <c r="D89" s="112" t="s">
        <v>96</v>
      </c>
      <c r="E89" s="114" t="s">
        <v>574</v>
      </c>
      <c r="F89" s="168"/>
      <c r="G89" s="169"/>
      <c r="H89" s="116"/>
      <c r="I89" s="116"/>
      <c r="J89" s="169"/>
      <c r="K89" s="121"/>
    </row>
    <row r="90" spans="1:11" s="170" customFormat="1">
      <c r="A90" s="111" t="s">
        <v>332</v>
      </c>
      <c r="B90" s="112" t="s">
        <v>80</v>
      </c>
      <c r="C90" s="113" t="s">
        <v>575</v>
      </c>
      <c r="D90" s="112" t="s">
        <v>81</v>
      </c>
      <c r="E90" s="114" t="s">
        <v>576</v>
      </c>
      <c r="F90" s="168"/>
      <c r="G90" s="169"/>
      <c r="H90" s="116"/>
      <c r="I90" s="116"/>
      <c r="J90" s="169"/>
      <c r="K90" s="121"/>
    </row>
    <row r="91" spans="1:11" s="130" customFormat="1">
      <c r="A91" s="172" t="s">
        <v>333</v>
      </c>
      <c r="B91" s="173" t="s">
        <v>30</v>
      </c>
      <c r="C91" s="174" t="s">
        <v>577</v>
      </c>
      <c r="D91" s="173" t="s">
        <v>563</v>
      </c>
      <c r="E91" s="175" t="s">
        <v>578</v>
      </c>
      <c r="F91" s="165" t="s">
        <v>334</v>
      </c>
      <c r="G91" s="166"/>
      <c r="H91" s="167" t="s">
        <v>95</v>
      </c>
      <c r="I91" s="167"/>
      <c r="J91" s="166">
        <v>43511</v>
      </c>
      <c r="K91" s="163"/>
    </row>
    <row r="92" spans="1:11" s="177" customFormat="1">
      <c r="A92" s="177" t="s">
        <v>335</v>
      </c>
      <c r="C92" s="178"/>
      <c r="D92" s="179"/>
      <c r="E92" s="179"/>
      <c r="F92" s="180"/>
      <c r="G92" s="181"/>
      <c r="H92" s="182"/>
      <c r="I92" s="182"/>
      <c r="J92" s="181"/>
      <c r="K92" s="178"/>
    </row>
    <row r="93" spans="1:11">
      <c r="A93" s="183" t="s">
        <v>350</v>
      </c>
      <c r="B93" s="183" t="s">
        <v>23</v>
      </c>
      <c r="C93" s="183" t="s">
        <v>25</v>
      </c>
      <c r="D93" s="183" t="s">
        <v>24</v>
      </c>
      <c r="E93" s="184" t="s">
        <v>26</v>
      </c>
      <c r="F93" s="35" t="s">
        <v>349</v>
      </c>
      <c r="H93" s="136" t="s">
        <v>351</v>
      </c>
      <c r="J93" s="137">
        <v>43616</v>
      </c>
    </row>
    <row r="94" spans="1:11">
      <c r="A94" s="183" t="s">
        <v>370</v>
      </c>
      <c r="B94" s="183" t="s">
        <v>29</v>
      </c>
      <c r="C94" s="183" t="s">
        <v>31</v>
      </c>
      <c r="D94" s="183" t="s">
        <v>32</v>
      </c>
      <c r="E94" s="185" t="s">
        <v>33</v>
      </c>
      <c r="F94" s="35" t="s">
        <v>388</v>
      </c>
      <c r="G94" s="77" t="s">
        <v>460</v>
      </c>
      <c r="H94" s="37" t="s">
        <v>374</v>
      </c>
      <c r="I94" s="186" t="s">
        <v>495</v>
      </c>
    </row>
    <row r="95" spans="1:11">
      <c r="A95" s="183" t="s">
        <v>371</v>
      </c>
      <c r="B95" s="183" t="s">
        <v>34</v>
      </c>
      <c r="C95" s="183" t="s">
        <v>36</v>
      </c>
      <c r="D95" s="183" t="s">
        <v>35</v>
      </c>
      <c r="E95" s="187" t="s">
        <v>42</v>
      </c>
      <c r="F95" s="35" t="s">
        <v>373</v>
      </c>
      <c r="G95" s="36">
        <v>43712</v>
      </c>
      <c r="H95" s="37" t="s">
        <v>374</v>
      </c>
      <c r="J95" s="36">
        <v>43706</v>
      </c>
    </row>
    <row r="96" spans="1:11">
      <c r="A96" s="183" t="s">
        <v>372</v>
      </c>
      <c r="B96" s="183" t="s">
        <v>37</v>
      </c>
      <c r="C96" s="183" t="s">
        <v>39</v>
      </c>
      <c r="D96" s="183" t="s">
        <v>38</v>
      </c>
      <c r="E96" s="188" t="s">
        <v>40</v>
      </c>
      <c r="F96" s="35" t="s">
        <v>392</v>
      </c>
      <c r="G96" s="36">
        <v>43768</v>
      </c>
      <c r="H96" s="37" t="s">
        <v>374</v>
      </c>
    </row>
    <row r="97" spans="1:11">
      <c r="A97" s="183" t="s">
        <v>375</v>
      </c>
      <c r="B97" s="183" t="s">
        <v>43</v>
      </c>
      <c r="C97" s="183" t="s">
        <v>44</v>
      </c>
      <c r="D97" s="183" t="s">
        <v>27</v>
      </c>
      <c r="E97" s="185" t="s">
        <v>45</v>
      </c>
      <c r="F97" s="76" t="s">
        <v>389</v>
      </c>
      <c r="G97" s="77" t="s">
        <v>459</v>
      </c>
      <c r="H97" s="37" t="s">
        <v>374</v>
      </c>
    </row>
    <row r="98" spans="1:11">
      <c r="A98" s="183" t="s">
        <v>376</v>
      </c>
      <c r="B98" s="183" t="s">
        <v>43</v>
      </c>
      <c r="C98" s="183" t="s">
        <v>47</v>
      </c>
      <c r="D98" s="183" t="s">
        <v>46</v>
      </c>
      <c r="E98" s="185" t="s">
        <v>390</v>
      </c>
      <c r="F98" s="76" t="s">
        <v>391</v>
      </c>
      <c r="G98" s="77">
        <v>43768</v>
      </c>
      <c r="H98" s="37" t="s">
        <v>374</v>
      </c>
    </row>
    <row r="99" spans="1:11">
      <c r="A99" s="183" t="s">
        <v>377</v>
      </c>
      <c r="B99" s="183" t="s">
        <v>23</v>
      </c>
      <c r="C99" s="183" t="s">
        <v>337</v>
      </c>
      <c r="D99" s="183" t="s">
        <v>336</v>
      </c>
      <c r="E99" s="185" t="s">
        <v>338</v>
      </c>
      <c r="F99" s="35" t="s">
        <v>425</v>
      </c>
      <c r="G99" s="36">
        <v>43963</v>
      </c>
      <c r="H99" s="78" t="s">
        <v>374</v>
      </c>
      <c r="J99" s="36">
        <v>43823</v>
      </c>
    </row>
    <row r="100" spans="1:11">
      <c r="A100" s="183" t="s">
        <v>378</v>
      </c>
      <c r="B100" s="183" t="s">
        <v>23</v>
      </c>
      <c r="C100" s="183" t="s">
        <v>339</v>
      </c>
      <c r="D100" s="183" t="s">
        <v>336</v>
      </c>
      <c r="E100" s="185" t="s">
        <v>340</v>
      </c>
      <c r="F100" s="35" t="s">
        <v>426</v>
      </c>
      <c r="G100" s="36">
        <v>43963</v>
      </c>
      <c r="H100" s="78" t="s">
        <v>374</v>
      </c>
      <c r="J100" s="36">
        <v>43823</v>
      </c>
    </row>
    <row r="101" spans="1:11">
      <c r="A101" s="183" t="s">
        <v>379</v>
      </c>
      <c r="B101" s="183" t="s">
        <v>341</v>
      </c>
      <c r="C101" s="183" t="s">
        <v>343</v>
      </c>
      <c r="D101" s="183" t="s">
        <v>342</v>
      </c>
      <c r="E101" s="189">
        <v>19317760</v>
      </c>
    </row>
    <row r="102" spans="1:11">
      <c r="A102" s="183" t="s">
        <v>380</v>
      </c>
      <c r="B102" s="183" t="s">
        <v>355</v>
      </c>
      <c r="C102" s="183" t="s">
        <v>356</v>
      </c>
      <c r="D102" s="183" t="s">
        <v>354</v>
      </c>
      <c r="E102" s="185" t="s">
        <v>394</v>
      </c>
      <c r="F102" s="76" t="s">
        <v>395</v>
      </c>
      <c r="G102" s="77" t="s">
        <v>459</v>
      </c>
      <c r="H102" s="37" t="s">
        <v>374</v>
      </c>
    </row>
    <row r="103" spans="1:11">
      <c r="A103" s="183" t="s">
        <v>381</v>
      </c>
      <c r="B103" s="183" t="s">
        <v>357</v>
      </c>
      <c r="C103" s="183" t="s">
        <v>356</v>
      </c>
      <c r="D103" s="183" t="s">
        <v>27</v>
      </c>
      <c r="E103" s="185" t="s">
        <v>358</v>
      </c>
      <c r="F103" s="76">
        <v>1755</v>
      </c>
      <c r="G103" s="77" t="s">
        <v>459</v>
      </c>
      <c r="H103" s="37" t="s">
        <v>374</v>
      </c>
    </row>
    <row r="104" spans="1:11">
      <c r="A104" s="183" t="s">
        <v>382</v>
      </c>
      <c r="B104" s="183" t="s">
        <v>359</v>
      </c>
      <c r="C104" s="183" t="s">
        <v>360</v>
      </c>
      <c r="D104" s="183" t="s">
        <v>48</v>
      </c>
      <c r="E104" s="185" t="s">
        <v>361</v>
      </c>
      <c r="F104" s="35" t="s">
        <v>397</v>
      </c>
      <c r="G104" s="36" t="s">
        <v>399</v>
      </c>
      <c r="H104" s="37" t="s">
        <v>398</v>
      </c>
    </row>
    <row r="105" spans="1:11" s="195" customFormat="1">
      <c r="A105" s="190" t="s">
        <v>383</v>
      </c>
      <c r="B105" s="190" t="s">
        <v>362</v>
      </c>
      <c r="C105" s="190" t="s">
        <v>356</v>
      </c>
      <c r="D105" s="190" t="s">
        <v>27</v>
      </c>
      <c r="E105" s="191" t="s">
        <v>358</v>
      </c>
      <c r="F105" s="143">
        <v>1755</v>
      </c>
      <c r="G105" s="144" t="s">
        <v>459</v>
      </c>
      <c r="H105" s="37" t="s">
        <v>374</v>
      </c>
      <c r="I105" s="192"/>
      <c r="J105" s="193"/>
      <c r="K105" s="194"/>
    </row>
    <row r="106" spans="1:11">
      <c r="A106" s="183" t="s">
        <v>384</v>
      </c>
      <c r="B106" s="183" t="s">
        <v>363</v>
      </c>
      <c r="C106" s="183" t="s">
        <v>364</v>
      </c>
      <c r="D106" s="183" t="s">
        <v>41</v>
      </c>
      <c r="E106" s="185" t="s">
        <v>365</v>
      </c>
      <c r="F106" s="35" t="s">
        <v>393</v>
      </c>
      <c r="G106" s="36">
        <v>43767</v>
      </c>
      <c r="H106" s="37" t="s">
        <v>374</v>
      </c>
      <c r="J106" s="36" t="s">
        <v>387</v>
      </c>
    </row>
    <row r="107" spans="1:11" s="195" customFormat="1">
      <c r="A107" s="190" t="s">
        <v>384</v>
      </c>
      <c r="B107" s="190" t="s">
        <v>29</v>
      </c>
      <c r="C107" s="190" t="s">
        <v>364</v>
      </c>
      <c r="D107" s="190" t="s">
        <v>41</v>
      </c>
      <c r="E107" s="196"/>
      <c r="F107" s="143" t="s">
        <v>427</v>
      </c>
      <c r="G107" s="144">
        <v>43994</v>
      </c>
      <c r="H107" s="146" t="s">
        <v>432</v>
      </c>
      <c r="I107" s="146"/>
      <c r="J107" s="144" t="s">
        <v>428</v>
      </c>
      <c r="K107" s="147"/>
    </row>
    <row r="108" spans="1:11">
      <c r="A108" s="183" t="s">
        <v>385</v>
      </c>
      <c r="B108" s="183" t="s">
        <v>30</v>
      </c>
      <c r="C108" s="183" t="s">
        <v>366</v>
      </c>
      <c r="D108" s="183" t="s">
        <v>48</v>
      </c>
      <c r="E108" s="197">
        <v>13692</v>
      </c>
      <c r="F108" s="35" t="s">
        <v>400</v>
      </c>
      <c r="G108" s="36">
        <v>43817</v>
      </c>
      <c r="H108" s="37" t="s">
        <v>374</v>
      </c>
    </row>
    <row r="109" spans="1:11">
      <c r="A109" s="183" t="s">
        <v>386</v>
      </c>
      <c r="B109" s="183" t="s">
        <v>30</v>
      </c>
      <c r="C109" s="183" t="s">
        <v>368</v>
      </c>
      <c r="D109" s="183" t="s">
        <v>367</v>
      </c>
      <c r="E109" s="198" t="s">
        <v>369</v>
      </c>
      <c r="F109" s="35" t="s">
        <v>401</v>
      </c>
      <c r="G109" s="36">
        <v>43832</v>
      </c>
      <c r="H109" s="37" t="s">
        <v>374</v>
      </c>
    </row>
    <row r="110" spans="1:11" s="130" customFormat="1">
      <c r="A110" s="199"/>
      <c r="B110" s="199"/>
      <c r="C110" s="199"/>
      <c r="D110" s="199"/>
      <c r="E110" s="200"/>
      <c r="F110" s="165"/>
      <c r="G110" s="166"/>
      <c r="H110" s="167"/>
      <c r="I110" s="167"/>
      <c r="J110" s="166"/>
      <c r="K110" s="163"/>
    </row>
    <row r="111" spans="1:11" s="177" customFormat="1">
      <c r="A111" s="201" t="s">
        <v>443</v>
      </c>
      <c r="B111" s="201" t="s">
        <v>412</v>
      </c>
      <c r="C111" s="201" t="s">
        <v>414</v>
      </c>
      <c r="D111" s="201" t="s">
        <v>413</v>
      </c>
      <c r="E111" s="202" t="s">
        <v>415</v>
      </c>
      <c r="F111" s="180">
        <v>739.75</v>
      </c>
      <c r="G111" s="181" t="s">
        <v>516</v>
      </c>
      <c r="H111" s="182" t="s">
        <v>447</v>
      </c>
      <c r="I111" s="182"/>
      <c r="J111" s="181" t="s">
        <v>446</v>
      </c>
      <c r="K111" s="178"/>
    </row>
    <row r="112" spans="1:11" s="73" customFormat="1">
      <c r="A112" s="203" t="s">
        <v>444</v>
      </c>
      <c r="B112" s="203" t="s">
        <v>412</v>
      </c>
      <c r="C112" s="203" t="s">
        <v>421</v>
      </c>
      <c r="D112" s="203" t="s">
        <v>404</v>
      </c>
      <c r="E112" s="204" t="s">
        <v>423</v>
      </c>
      <c r="F112" s="76" t="s">
        <v>445</v>
      </c>
      <c r="G112" s="75" t="s">
        <v>459</v>
      </c>
      <c r="H112" s="78" t="s">
        <v>374</v>
      </c>
      <c r="I112" s="78"/>
      <c r="J112" s="77" t="s">
        <v>446</v>
      </c>
      <c r="K112" s="74"/>
    </row>
    <row r="113" spans="1:11" s="73" customFormat="1">
      <c r="A113" s="203" t="s">
        <v>493</v>
      </c>
      <c r="B113" s="203" t="s">
        <v>412</v>
      </c>
      <c r="C113" s="203" t="s">
        <v>422</v>
      </c>
      <c r="D113" s="203" t="s">
        <v>407</v>
      </c>
      <c r="E113" s="204" t="s">
        <v>424</v>
      </c>
      <c r="F113" s="76" t="s">
        <v>498</v>
      </c>
      <c r="G113" s="75" t="s">
        <v>499</v>
      </c>
      <c r="H113" s="78" t="s">
        <v>374</v>
      </c>
      <c r="I113" s="78"/>
      <c r="J113" s="77" t="s">
        <v>500</v>
      </c>
      <c r="K113" s="74"/>
    </row>
    <row r="114" spans="1:11">
      <c r="A114" s="183" t="s">
        <v>451</v>
      </c>
      <c r="B114" s="183" t="s">
        <v>409</v>
      </c>
      <c r="C114" s="183" t="s">
        <v>429</v>
      </c>
      <c r="D114" s="34" t="s">
        <v>407</v>
      </c>
      <c r="E114" s="185" t="s">
        <v>430</v>
      </c>
      <c r="F114" s="35" t="s">
        <v>450</v>
      </c>
      <c r="G114" s="77">
        <v>44071</v>
      </c>
      <c r="H114" s="37" t="s">
        <v>374</v>
      </c>
      <c r="J114" s="36" t="s">
        <v>453</v>
      </c>
    </row>
    <row r="115" spans="1:11" s="73" customFormat="1">
      <c r="A115" s="203" t="s">
        <v>489</v>
      </c>
      <c r="B115" s="203" t="s">
        <v>411</v>
      </c>
      <c r="C115" s="203" t="s">
        <v>496</v>
      </c>
      <c r="D115" s="203" t="s">
        <v>406</v>
      </c>
      <c r="E115" s="204" t="s">
        <v>431</v>
      </c>
      <c r="F115" s="76"/>
      <c r="G115" s="77">
        <v>44085</v>
      </c>
      <c r="H115" s="78" t="s">
        <v>374</v>
      </c>
      <c r="I115" s="78" t="s">
        <v>497</v>
      </c>
      <c r="J115" s="77"/>
      <c r="K115" s="74"/>
    </row>
    <row r="116" spans="1:11" s="73" customFormat="1">
      <c r="A116" s="203" t="s">
        <v>490</v>
      </c>
      <c r="B116" s="203" t="s">
        <v>419</v>
      </c>
      <c r="C116" s="203" t="s">
        <v>435</v>
      </c>
      <c r="D116" s="203" t="s">
        <v>434</v>
      </c>
      <c r="E116" s="204" t="s">
        <v>436</v>
      </c>
      <c r="F116" s="76" t="s">
        <v>494</v>
      </c>
      <c r="G116" s="77">
        <v>44187</v>
      </c>
      <c r="H116" s="78" t="s">
        <v>374</v>
      </c>
      <c r="I116" s="78"/>
      <c r="J116" s="77">
        <v>44176</v>
      </c>
      <c r="K116" s="74"/>
    </row>
    <row r="117" spans="1:11">
      <c r="A117" s="183" t="s">
        <v>491</v>
      </c>
      <c r="B117" s="183" t="s">
        <v>412</v>
      </c>
      <c r="C117" s="183" t="s">
        <v>421</v>
      </c>
      <c r="D117" s="183" t="s">
        <v>404</v>
      </c>
      <c r="E117" s="185" t="s">
        <v>423</v>
      </c>
      <c r="F117" s="205" t="s">
        <v>506</v>
      </c>
      <c r="G117" s="36">
        <v>44221</v>
      </c>
      <c r="H117" s="37" t="s">
        <v>374</v>
      </c>
      <c r="J117" s="36">
        <v>44221</v>
      </c>
    </row>
    <row r="118" spans="1:11">
      <c r="A118" s="183" t="s">
        <v>492</v>
      </c>
      <c r="B118" s="183" t="s">
        <v>412</v>
      </c>
      <c r="C118" s="183" t="s">
        <v>438</v>
      </c>
      <c r="D118" s="183" t="s">
        <v>437</v>
      </c>
      <c r="E118" s="185" t="s">
        <v>439</v>
      </c>
      <c r="F118" s="165"/>
      <c r="G118" s="166"/>
      <c r="H118" s="167"/>
      <c r="I118" s="167"/>
      <c r="J118" s="166"/>
    </row>
    <row r="119" spans="1:11" s="73" customFormat="1">
      <c r="A119" s="203" t="s">
        <v>452</v>
      </c>
      <c r="B119" s="203" t="s">
        <v>419</v>
      </c>
      <c r="C119" s="203" t="s">
        <v>441</v>
      </c>
      <c r="D119" s="75" t="s">
        <v>440</v>
      </c>
      <c r="E119" s="204" t="s">
        <v>442</v>
      </c>
      <c r="F119" s="76" t="s">
        <v>449</v>
      </c>
      <c r="G119" s="77">
        <v>44112</v>
      </c>
      <c r="H119" s="78" t="s">
        <v>374</v>
      </c>
      <c r="I119" s="78"/>
      <c r="J119" s="77" t="s">
        <v>448</v>
      </c>
      <c r="K119" s="74"/>
    </row>
    <row r="120" spans="1:11">
      <c r="A120" s="183" t="s">
        <v>454</v>
      </c>
      <c r="B120" s="183" t="s">
        <v>23</v>
      </c>
      <c r="C120" s="183" t="s">
        <v>456</v>
      </c>
      <c r="D120" s="183" t="s">
        <v>27</v>
      </c>
      <c r="E120" s="198" t="s">
        <v>457</v>
      </c>
      <c r="F120" s="185" t="s">
        <v>455</v>
      </c>
      <c r="G120" s="36">
        <v>44153</v>
      </c>
      <c r="H120" s="37" t="s">
        <v>374</v>
      </c>
      <c r="J120" s="36" t="s">
        <v>458</v>
      </c>
    </row>
    <row r="121" spans="1:11" s="34" customFormat="1">
      <c r="A121" s="34" t="s">
        <v>482</v>
      </c>
      <c r="B121" s="34" t="s">
        <v>461</v>
      </c>
      <c r="C121" s="34" t="s">
        <v>462</v>
      </c>
      <c r="D121" s="34" t="s">
        <v>418</v>
      </c>
      <c r="E121" s="176" t="s">
        <v>463</v>
      </c>
      <c r="F121" s="206">
        <v>605.54999999999995</v>
      </c>
      <c r="G121" s="36" t="s">
        <v>517</v>
      </c>
      <c r="H121" s="37"/>
      <c r="I121" s="37"/>
      <c r="J121" s="207"/>
      <c r="K121" s="208"/>
    </row>
    <row r="122" spans="1:11" s="34" customFormat="1">
      <c r="A122" s="34" t="s">
        <v>483</v>
      </c>
      <c r="B122" s="34" t="s">
        <v>464</v>
      </c>
      <c r="C122" s="34" t="s">
        <v>465</v>
      </c>
      <c r="D122" s="34" t="s">
        <v>466</v>
      </c>
      <c r="E122" s="176" t="s">
        <v>467</v>
      </c>
      <c r="F122" s="209"/>
      <c r="G122" s="166"/>
      <c r="H122" s="167"/>
      <c r="I122" s="167"/>
      <c r="J122" s="166"/>
    </row>
    <row r="123" spans="1:11" s="34" customFormat="1">
      <c r="A123" s="34" t="s">
        <v>484</v>
      </c>
      <c r="B123" s="34" t="s">
        <v>464</v>
      </c>
      <c r="C123" s="34" t="s">
        <v>468</v>
      </c>
      <c r="D123" s="34" t="s">
        <v>417</v>
      </c>
      <c r="E123" s="176" t="s">
        <v>469</v>
      </c>
      <c r="F123" s="205" t="s">
        <v>509</v>
      </c>
      <c r="G123" s="36">
        <v>44208</v>
      </c>
      <c r="H123" s="37" t="s">
        <v>510</v>
      </c>
      <c r="I123" s="37"/>
      <c r="J123" s="36">
        <v>44208</v>
      </c>
    </row>
    <row r="124" spans="1:11" s="34" customFormat="1">
      <c r="A124" s="34" t="s">
        <v>485</v>
      </c>
      <c r="B124" s="34" t="s">
        <v>464</v>
      </c>
      <c r="C124" s="34" t="s">
        <v>470</v>
      </c>
      <c r="D124" s="183" t="s">
        <v>404</v>
      </c>
      <c r="E124" s="176" t="s">
        <v>471</v>
      </c>
      <c r="F124" s="205" t="s">
        <v>506</v>
      </c>
      <c r="G124" s="36">
        <v>44328</v>
      </c>
      <c r="H124" s="37" t="s">
        <v>505</v>
      </c>
      <c r="I124" s="37"/>
      <c r="J124" s="36" t="s">
        <v>508</v>
      </c>
    </row>
    <row r="125" spans="1:11" s="34" customFormat="1">
      <c r="A125" s="34" t="s">
        <v>486</v>
      </c>
      <c r="B125" s="34" t="s">
        <v>464</v>
      </c>
      <c r="C125" s="34" t="s">
        <v>472</v>
      </c>
      <c r="D125" s="34" t="s">
        <v>473</v>
      </c>
      <c r="E125" s="176" t="s">
        <v>474</v>
      </c>
      <c r="F125" s="205" t="s">
        <v>475</v>
      </c>
      <c r="G125" s="36">
        <v>44218</v>
      </c>
      <c r="H125" s="37" t="s">
        <v>511</v>
      </c>
      <c r="I125" s="37"/>
      <c r="J125" s="36" t="s">
        <v>507</v>
      </c>
    </row>
    <row r="126" spans="1:11" s="34" customFormat="1">
      <c r="A126" s="34" t="s">
        <v>487</v>
      </c>
      <c r="B126" s="34" t="s">
        <v>476</v>
      </c>
      <c r="C126" s="34" t="s">
        <v>477</v>
      </c>
      <c r="D126" s="34" t="s">
        <v>478</v>
      </c>
      <c r="E126" s="176" t="s">
        <v>479</v>
      </c>
      <c r="F126" s="205"/>
      <c r="G126" s="36"/>
      <c r="H126" s="37" t="s">
        <v>501</v>
      </c>
      <c r="I126" s="37"/>
      <c r="J126" s="36"/>
    </row>
    <row r="127" spans="1:11" s="34" customFormat="1">
      <c r="A127" s="34" t="s">
        <v>488</v>
      </c>
      <c r="B127" s="34" t="s">
        <v>410</v>
      </c>
      <c r="C127" s="34" t="s">
        <v>480</v>
      </c>
      <c r="D127" s="34" t="s">
        <v>476</v>
      </c>
      <c r="E127" s="176" t="s">
        <v>481</v>
      </c>
      <c r="F127" s="205"/>
      <c r="G127" s="36"/>
      <c r="H127" s="37"/>
      <c r="I127" s="37"/>
      <c r="J127" s="36"/>
    </row>
    <row r="128" spans="1:11" s="34" customFormat="1">
      <c r="A128" s="34" t="s">
        <v>603</v>
      </c>
      <c r="B128" s="34" t="s">
        <v>464</v>
      </c>
      <c r="C128" s="34" t="s">
        <v>604</v>
      </c>
      <c r="D128" s="34" t="s">
        <v>473</v>
      </c>
      <c r="E128" s="176" t="s">
        <v>605</v>
      </c>
      <c r="F128" s="205" t="s">
        <v>606</v>
      </c>
      <c r="G128" s="36">
        <v>44316</v>
      </c>
      <c r="H128" s="37" t="s">
        <v>607</v>
      </c>
      <c r="I128" s="37"/>
      <c r="J128" s="36" t="s">
        <v>608</v>
      </c>
    </row>
    <row r="129" spans="1:10" s="34" customFormat="1">
      <c r="A129" s="34" t="s">
        <v>609</v>
      </c>
      <c r="B129" s="210" t="s">
        <v>461</v>
      </c>
      <c r="C129" s="34" t="s">
        <v>610</v>
      </c>
      <c r="D129" s="34" t="s">
        <v>611</v>
      </c>
      <c r="E129" s="176" t="s">
        <v>612</v>
      </c>
      <c r="F129" s="205" t="s">
        <v>613</v>
      </c>
      <c r="G129" s="36">
        <v>44559</v>
      </c>
      <c r="H129" s="37" t="s">
        <v>607</v>
      </c>
      <c r="I129" s="37"/>
      <c r="J129" s="36">
        <v>44547</v>
      </c>
    </row>
    <row r="130" spans="1:10" s="34" customFormat="1">
      <c r="A130" s="34" t="s">
        <v>614</v>
      </c>
      <c r="B130" s="34" t="s">
        <v>464</v>
      </c>
      <c r="C130" s="183" t="s">
        <v>615</v>
      </c>
      <c r="D130" s="183" t="s">
        <v>616</v>
      </c>
      <c r="E130" s="176" t="s">
        <v>617</v>
      </c>
      <c r="F130" s="205" t="s">
        <v>618</v>
      </c>
      <c r="G130" s="36">
        <v>44368</v>
      </c>
      <c r="H130" s="37" t="s">
        <v>607</v>
      </c>
      <c r="I130" s="37"/>
      <c r="J130" s="36" t="s">
        <v>619</v>
      </c>
    </row>
    <row r="131" spans="1:10">
      <c r="A131" s="34" t="s">
        <v>620</v>
      </c>
      <c r="B131" s="34" t="s">
        <v>464</v>
      </c>
      <c r="C131" s="183" t="s">
        <v>615</v>
      </c>
      <c r="D131" s="183" t="s">
        <v>616</v>
      </c>
      <c r="E131" s="176" t="s">
        <v>617</v>
      </c>
      <c r="F131" s="205" t="s">
        <v>618</v>
      </c>
      <c r="G131" s="36">
        <v>44448</v>
      </c>
      <c r="H131" s="37" t="s">
        <v>607</v>
      </c>
      <c r="I131" s="208"/>
      <c r="J131" s="36" t="s">
        <v>621</v>
      </c>
    </row>
    <row r="132" spans="1:10">
      <c r="A132" s="34" t="s">
        <v>622</v>
      </c>
      <c r="B132" s="34" t="s">
        <v>461</v>
      </c>
      <c r="C132" s="34" t="s">
        <v>623</v>
      </c>
      <c r="D132" s="34" t="s">
        <v>624</v>
      </c>
      <c r="E132" s="176" t="s">
        <v>625</v>
      </c>
      <c r="F132" s="176" t="s">
        <v>626</v>
      </c>
      <c r="G132" s="36">
        <v>44445</v>
      </c>
      <c r="H132" s="37" t="s">
        <v>607</v>
      </c>
      <c r="I132" s="211"/>
      <c r="J132" s="36" t="s">
        <v>621</v>
      </c>
    </row>
    <row r="133" spans="1:10">
      <c r="A133" s="34" t="s">
        <v>627</v>
      </c>
      <c r="B133" s="34" t="s">
        <v>410</v>
      </c>
      <c r="C133" s="34" t="s">
        <v>628</v>
      </c>
      <c r="D133" s="75" t="s">
        <v>629</v>
      </c>
      <c r="E133" s="216" t="s">
        <v>630</v>
      </c>
      <c r="F133" s="216" t="s">
        <v>631</v>
      </c>
      <c r="G133" s="77">
        <v>44715</v>
      </c>
      <c r="H133" s="78" t="s">
        <v>1250</v>
      </c>
      <c r="I133" s="211" t="s">
        <v>1252</v>
      </c>
      <c r="J133" s="183" t="s">
        <v>1251</v>
      </c>
    </row>
    <row r="134" spans="1:10">
      <c r="A134" s="34" t="s">
        <v>632</v>
      </c>
      <c r="B134" s="34" t="s">
        <v>464</v>
      </c>
      <c r="C134" s="34" t="s">
        <v>633</v>
      </c>
      <c r="D134" s="34" t="s">
        <v>634</v>
      </c>
      <c r="E134" s="176" t="s">
        <v>635</v>
      </c>
      <c r="F134" s="205" t="s">
        <v>636</v>
      </c>
      <c r="G134" s="36">
        <v>44414</v>
      </c>
      <c r="H134" s="37" t="s">
        <v>607</v>
      </c>
      <c r="I134" s="211"/>
      <c r="J134" s="36" t="s">
        <v>637</v>
      </c>
    </row>
    <row r="135" spans="1:10">
      <c r="A135" s="34" t="s">
        <v>638</v>
      </c>
      <c r="B135" s="34" t="s">
        <v>464</v>
      </c>
      <c r="C135" s="34" t="s">
        <v>470</v>
      </c>
      <c r="D135" s="183" t="s">
        <v>616</v>
      </c>
      <c r="E135" s="176" t="s">
        <v>639</v>
      </c>
      <c r="F135" s="205" t="s">
        <v>640</v>
      </c>
      <c r="G135" s="36">
        <v>44448</v>
      </c>
      <c r="H135" s="37" t="s">
        <v>607</v>
      </c>
      <c r="I135" s="211"/>
      <c r="J135" s="36" t="s">
        <v>641</v>
      </c>
    </row>
    <row r="136" spans="1:10" s="34" customFormat="1">
      <c r="A136" s="34" t="s">
        <v>642</v>
      </c>
      <c r="B136" s="34" t="s">
        <v>464</v>
      </c>
      <c r="C136" s="34" t="s">
        <v>470</v>
      </c>
      <c r="D136" s="183" t="s">
        <v>616</v>
      </c>
      <c r="E136" s="176" t="s">
        <v>639</v>
      </c>
      <c r="F136" s="205" t="s">
        <v>640</v>
      </c>
      <c r="G136" s="36">
        <v>44567</v>
      </c>
      <c r="H136" s="37" t="s">
        <v>607</v>
      </c>
      <c r="I136" s="211"/>
      <c r="J136" s="36" t="s">
        <v>643</v>
      </c>
    </row>
    <row r="137" spans="1:10" s="34" customFormat="1">
      <c r="A137" s="34" t="s">
        <v>644</v>
      </c>
      <c r="B137" s="34" t="s">
        <v>410</v>
      </c>
      <c r="C137" s="34" t="s">
        <v>645</v>
      </c>
      <c r="D137" s="183" t="s">
        <v>616</v>
      </c>
      <c r="E137" s="176" t="s">
        <v>646</v>
      </c>
      <c r="F137" s="205" t="s">
        <v>647</v>
      </c>
      <c r="G137" s="36">
        <v>44545</v>
      </c>
      <c r="H137" s="37" t="s">
        <v>607</v>
      </c>
      <c r="I137" s="211"/>
      <c r="J137" s="211"/>
    </row>
    <row r="138" spans="1:10">
      <c r="A138" s="34" t="s">
        <v>648</v>
      </c>
      <c r="B138" s="34" t="s">
        <v>410</v>
      </c>
      <c r="C138" s="34" t="s">
        <v>470</v>
      </c>
      <c r="D138" s="183" t="s">
        <v>616</v>
      </c>
      <c r="E138" s="176" t="s">
        <v>649</v>
      </c>
      <c r="F138" s="205" t="s">
        <v>650</v>
      </c>
      <c r="G138" s="36">
        <v>44545</v>
      </c>
      <c r="H138" s="37" t="s">
        <v>607</v>
      </c>
      <c r="J138" s="36" t="s">
        <v>651</v>
      </c>
    </row>
    <row r="139" spans="1:10">
      <c r="A139" s="34" t="s">
        <v>652</v>
      </c>
      <c r="B139" s="34" t="s">
        <v>461</v>
      </c>
      <c r="C139" s="34" t="s">
        <v>653</v>
      </c>
      <c r="D139" s="34" t="s">
        <v>654</v>
      </c>
      <c r="E139" s="176" t="s">
        <v>655</v>
      </c>
      <c r="F139" s="205" t="s">
        <v>656</v>
      </c>
      <c r="G139" s="36">
        <v>44522</v>
      </c>
      <c r="H139" s="37" t="s">
        <v>607</v>
      </c>
      <c r="J139" s="36" t="s">
        <v>657</v>
      </c>
    </row>
    <row r="140" spans="1:10">
      <c r="A140" s="34" t="s">
        <v>668</v>
      </c>
      <c r="B140" s="34" t="s">
        <v>669</v>
      </c>
      <c r="C140" s="34" t="s">
        <v>670</v>
      </c>
      <c r="D140" s="34" t="s">
        <v>671</v>
      </c>
      <c r="E140" s="176" t="s">
        <v>672</v>
      </c>
      <c r="F140" s="205" t="s">
        <v>673</v>
      </c>
      <c r="G140" s="36">
        <v>44574</v>
      </c>
      <c r="H140" s="37" t="s">
        <v>607</v>
      </c>
      <c r="J140" s="36" t="s">
        <v>674</v>
      </c>
    </row>
    <row r="141" spans="1:10">
      <c r="A141" s="34" t="s">
        <v>658</v>
      </c>
      <c r="B141" s="34" t="s">
        <v>410</v>
      </c>
      <c r="C141" s="34" t="s">
        <v>659</v>
      </c>
      <c r="D141" s="34" t="s">
        <v>660</v>
      </c>
      <c r="E141" s="176" t="s">
        <v>661</v>
      </c>
      <c r="F141" s="205" t="s">
        <v>662</v>
      </c>
      <c r="G141" s="36">
        <v>44504</v>
      </c>
      <c r="H141" s="37" t="s">
        <v>607</v>
      </c>
      <c r="I141" s="211"/>
      <c r="J141" s="211"/>
    </row>
    <row r="142" spans="1:10">
      <c r="A142" s="34" t="s">
        <v>1158</v>
      </c>
      <c r="B142" s="34" t="s">
        <v>1159</v>
      </c>
      <c r="C142" s="34" t="s">
        <v>1160</v>
      </c>
      <c r="D142" s="34" t="s">
        <v>1161</v>
      </c>
      <c r="E142" s="176" t="s">
        <v>1162</v>
      </c>
      <c r="F142" s="205" t="s">
        <v>1163</v>
      </c>
      <c r="G142" s="36">
        <v>44692</v>
      </c>
      <c r="H142" s="37" t="s">
        <v>607</v>
      </c>
      <c r="J142" s="36" t="s">
        <v>1164</v>
      </c>
    </row>
    <row r="143" spans="1:10">
      <c r="A143" s="2" t="s">
        <v>1255</v>
      </c>
      <c r="B143" s="1" t="s">
        <v>1254</v>
      </c>
      <c r="C143" s="1" t="s">
        <v>1257</v>
      </c>
      <c r="D143" s="1" t="s">
        <v>1260</v>
      </c>
      <c r="E143" s="215" t="s">
        <v>1261</v>
      </c>
      <c r="F143" s="220" t="s">
        <v>1918</v>
      </c>
      <c r="G143" s="221">
        <v>44876</v>
      </c>
      <c r="H143" s="222" t="s">
        <v>607</v>
      </c>
    </row>
    <row r="144" spans="1:10">
      <c r="A144" s="2" t="s">
        <v>1256</v>
      </c>
      <c r="B144" s="1" t="s">
        <v>1253</v>
      </c>
      <c r="C144" s="1" t="s">
        <v>1258</v>
      </c>
      <c r="D144" s="1" t="s">
        <v>1259</v>
      </c>
      <c r="E144" s="212" t="s">
        <v>1262</v>
      </c>
      <c r="F144" s="220"/>
      <c r="G144" s="221"/>
      <c r="H144" s="222"/>
    </row>
    <row r="145" spans="1:10" ht="20.100000000000001" customHeight="1">
      <c r="A145" s="164" t="s">
        <v>1515</v>
      </c>
      <c r="B145" s="217" t="s">
        <v>412</v>
      </c>
      <c r="C145" s="217" t="s">
        <v>1341</v>
      </c>
      <c r="D145" s="164" t="s">
        <v>1525</v>
      </c>
      <c r="E145" s="218" t="s">
        <v>1516</v>
      </c>
      <c r="F145" s="209" t="s">
        <v>1518</v>
      </c>
      <c r="G145" s="166"/>
      <c r="H145" s="167"/>
      <c r="I145" s="167"/>
      <c r="J145" s="166" t="s">
        <v>1517</v>
      </c>
    </row>
    <row r="146" spans="1:10" ht="20.100000000000001" customHeight="1">
      <c r="A146" s="34" t="s">
        <v>1519</v>
      </c>
      <c r="B146" s="34" t="s">
        <v>1524</v>
      </c>
      <c r="C146" s="1" t="s">
        <v>1172</v>
      </c>
      <c r="D146" s="34" t="s">
        <v>1526</v>
      </c>
      <c r="E146" s="212" t="s">
        <v>1175</v>
      </c>
      <c r="F146" s="220" t="s">
        <v>1527</v>
      </c>
      <c r="G146" s="221" t="s">
        <v>1807</v>
      </c>
      <c r="J146" s="221" t="s">
        <v>1800</v>
      </c>
    </row>
    <row r="147" spans="1:10" ht="20.100000000000001" customHeight="1">
      <c r="A147" s="34" t="s">
        <v>1520</v>
      </c>
      <c r="B147" s="34" t="s">
        <v>1524</v>
      </c>
      <c r="C147" s="1" t="s">
        <v>1173</v>
      </c>
      <c r="D147" s="34" t="s">
        <v>1526</v>
      </c>
      <c r="E147" s="212" t="s">
        <v>1176</v>
      </c>
      <c r="F147" s="220"/>
      <c r="G147" s="221"/>
      <c r="J147" s="221"/>
    </row>
    <row r="148" spans="1:10" ht="20.100000000000001" customHeight="1">
      <c r="A148" s="34" t="s">
        <v>1521</v>
      </c>
      <c r="B148" s="34" t="s">
        <v>1524</v>
      </c>
      <c r="C148" s="1" t="s">
        <v>1273</v>
      </c>
      <c r="D148" s="34" t="s">
        <v>1526</v>
      </c>
      <c r="E148" s="212" t="s">
        <v>1274</v>
      </c>
      <c r="F148" s="220"/>
      <c r="G148" s="221"/>
      <c r="J148" s="221"/>
    </row>
    <row r="149" spans="1:10" ht="20.100000000000001" customHeight="1">
      <c r="A149" s="34" t="s">
        <v>1522</v>
      </c>
      <c r="B149" s="34" t="s">
        <v>1524</v>
      </c>
      <c r="C149" s="1" t="s">
        <v>1354</v>
      </c>
      <c r="D149" s="34" t="s">
        <v>1526</v>
      </c>
      <c r="E149" s="212" t="s">
        <v>1357</v>
      </c>
      <c r="F149" s="220"/>
      <c r="G149" s="221"/>
      <c r="J149" s="221"/>
    </row>
    <row r="150" spans="1:10" ht="20.100000000000001" customHeight="1">
      <c r="A150" s="34" t="s">
        <v>1523</v>
      </c>
      <c r="B150" s="34" t="s">
        <v>1524</v>
      </c>
      <c r="C150" s="1" t="s">
        <v>1449</v>
      </c>
      <c r="D150" s="34" t="s">
        <v>1526</v>
      </c>
      <c r="E150" s="212" t="s">
        <v>1454</v>
      </c>
      <c r="F150" s="220"/>
      <c r="G150" s="221"/>
      <c r="J150" s="221"/>
    </row>
    <row r="151" spans="1:10" ht="20.100000000000001" customHeight="1">
      <c r="A151" s="34" t="s">
        <v>1607</v>
      </c>
      <c r="B151" s="34" t="s">
        <v>1608</v>
      </c>
      <c r="C151" s="34" t="s">
        <v>1606</v>
      </c>
      <c r="D151" s="34" t="s">
        <v>1609</v>
      </c>
      <c r="E151" s="176" t="s">
        <v>1610</v>
      </c>
      <c r="F151" s="205" t="s">
        <v>1611</v>
      </c>
      <c r="G151" s="36">
        <v>44812</v>
      </c>
      <c r="H151" s="37" t="s">
        <v>607</v>
      </c>
      <c r="J151" s="36" t="s">
        <v>1612</v>
      </c>
    </row>
    <row r="152" spans="1:10" ht="20.100000000000001" customHeight="1">
      <c r="A152" s="34" t="s">
        <v>1613</v>
      </c>
      <c r="B152" s="34" t="s">
        <v>1608</v>
      </c>
      <c r="C152" s="34" t="s">
        <v>1614</v>
      </c>
      <c r="D152" s="183" t="s">
        <v>616</v>
      </c>
      <c r="E152" s="176" t="s">
        <v>1615</v>
      </c>
      <c r="F152" s="205" t="s">
        <v>1616</v>
      </c>
      <c r="G152" s="36">
        <v>44841</v>
      </c>
      <c r="H152" s="37" t="s">
        <v>607</v>
      </c>
      <c r="J152" s="36" t="s">
        <v>1617</v>
      </c>
    </row>
    <row r="153" spans="1:10" ht="20.100000000000001" customHeight="1">
      <c r="A153" s="34" t="s">
        <v>1793</v>
      </c>
      <c r="B153" s="34" t="s">
        <v>1794</v>
      </c>
      <c r="C153" s="34" t="s">
        <v>1795</v>
      </c>
      <c r="D153" s="183" t="s">
        <v>1796</v>
      </c>
      <c r="E153" s="176" t="s">
        <v>1797</v>
      </c>
      <c r="F153" s="205" t="s">
        <v>1798</v>
      </c>
      <c r="G153" s="36">
        <v>44827</v>
      </c>
      <c r="H153" s="37" t="s">
        <v>607</v>
      </c>
      <c r="J153" s="36" t="s">
        <v>1799</v>
      </c>
    </row>
    <row r="154" spans="1:10" ht="20.100000000000001" customHeight="1">
      <c r="A154" s="34" t="s">
        <v>1788</v>
      </c>
      <c r="B154" s="34" t="s">
        <v>1608</v>
      </c>
      <c r="C154" s="34" t="s">
        <v>1789</v>
      </c>
      <c r="D154" s="183" t="s">
        <v>616</v>
      </c>
      <c r="E154" s="176" t="s">
        <v>1790</v>
      </c>
      <c r="F154" s="205" t="s">
        <v>1791</v>
      </c>
      <c r="G154" s="36">
        <v>44862</v>
      </c>
      <c r="H154" s="37" t="s">
        <v>607</v>
      </c>
      <c r="J154" s="36" t="s">
        <v>1792</v>
      </c>
    </row>
    <row r="155" spans="1:10" ht="20.100000000000001" customHeight="1">
      <c r="A155" s="34" t="s">
        <v>1808</v>
      </c>
      <c r="B155" s="34" t="s">
        <v>1608</v>
      </c>
      <c r="C155" s="34" t="s">
        <v>1809</v>
      </c>
      <c r="D155" s="34" t="s">
        <v>1810</v>
      </c>
      <c r="E155" s="176" t="s">
        <v>1811</v>
      </c>
      <c r="F155" s="205" t="s">
        <v>1812</v>
      </c>
      <c r="G155" s="166"/>
      <c r="J155" s="36" t="s">
        <v>1792</v>
      </c>
    </row>
    <row r="156" spans="1:10" ht="23.25" customHeight="1">
      <c r="A156" s="34" t="s">
        <v>1900</v>
      </c>
      <c r="B156" s="34" t="s">
        <v>1893</v>
      </c>
      <c r="C156" s="34" t="s">
        <v>1901</v>
      </c>
      <c r="D156" s="34" t="s">
        <v>1897</v>
      </c>
      <c r="E156" s="176" t="s">
        <v>1903</v>
      </c>
      <c r="F156" s="205" t="s">
        <v>1904</v>
      </c>
      <c r="G156" s="36">
        <v>44880</v>
      </c>
      <c r="H156" s="37" t="s">
        <v>607</v>
      </c>
      <c r="J156" s="36">
        <v>44873</v>
      </c>
    </row>
    <row r="157" spans="1:10" ht="23.25" customHeight="1">
      <c r="A157" s="34" t="s">
        <v>1895</v>
      </c>
      <c r="B157" s="34" t="s">
        <v>1894</v>
      </c>
      <c r="C157" s="34" t="s">
        <v>1896</v>
      </c>
      <c r="D157" s="34" t="s">
        <v>1902</v>
      </c>
      <c r="E157" s="176" t="s">
        <v>1898</v>
      </c>
      <c r="F157" s="205" t="s">
        <v>1899</v>
      </c>
      <c r="G157" s="166"/>
      <c r="J157" s="36">
        <v>44874</v>
      </c>
    </row>
    <row r="158" spans="1:10" s="34" customFormat="1" ht="23.1" customHeight="1">
      <c r="A158" s="34" t="s">
        <v>1946</v>
      </c>
      <c r="B158" s="34" t="s">
        <v>1949</v>
      </c>
      <c r="C158" s="34" t="s">
        <v>1947</v>
      </c>
      <c r="D158" s="34" t="s">
        <v>1950</v>
      </c>
      <c r="E158" s="176" t="s">
        <v>1951</v>
      </c>
      <c r="F158" s="205" t="s">
        <v>1952</v>
      </c>
      <c r="G158" s="36"/>
      <c r="H158" s="37"/>
      <c r="I158" s="37"/>
      <c r="J158" s="36">
        <v>44882</v>
      </c>
    </row>
    <row r="159" spans="1:10" s="34" customFormat="1" ht="23.1" customHeight="1">
      <c r="E159" s="176"/>
      <c r="F159" s="205"/>
      <c r="G159" s="36"/>
      <c r="H159" s="37"/>
      <c r="I159" s="37"/>
      <c r="J159" s="36"/>
    </row>
    <row r="160" spans="1:10" s="34" customFormat="1" ht="23.1" customHeight="1">
      <c r="E160" s="176"/>
      <c r="F160" s="205"/>
      <c r="G160" s="36"/>
      <c r="H160" s="37"/>
      <c r="I160" s="37"/>
      <c r="J160" s="36"/>
    </row>
    <row r="161" spans="5:10" s="34" customFormat="1" ht="23.1" customHeight="1">
      <c r="E161" s="176"/>
      <c r="F161" s="205"/>
      <c r="G161" s="36"/>
      <c r="H161" s="37"/>
      <c r="I161" s="37"/>
      <c r="J161" s="36"/>
    </row>
    <row r="162" spans="5:10" s="34" customFormat="1" ht="23.1" customHeight="1">
      <c r="E162" s="176"/>
      <c r="F162" s="205"/>
      <c r="G162" s="36"/>
      <c r="H162" s="37"/>
      <c r="I162" s="37"/>
      <c r="J162" s="36"/>
    </row>
    <row r="163" spans="5:10" s="34" customFormat="1" ht="23.1" customHeight="1">
      <c r="E163" s="176"/>
      <c r="F163" s="205"/>
      <c r="G163" s="36"/>
      <c r="H163" s="37"/>
      <c r="I163" s="37"/>
      <c r="J163" s="36"/>
    </row>
    <row r="164" spans="5:10" s="34" customFormat="1" ht="23.1" customHeight="1">
      <c r="E164" s="176"/>
      <c r="F164" s="205"/>
      <c r="G164" s="36"/>
      <c r="H164" s="37"/>
      <c r="I164" s="37"/>
      <c r="J164" s="36"/>
    </row>
    <row r="165" spans="5:10" s="34" customFormat="1" ht="23.1" customHeight="1">
      <c r="E165" s="176"/>
      <c r="F165" s="205"/>
      <c r="G165" s="36"/>
      <c r="H165" s="37"/>
      <c r="I165" s="37"/>
      <c r="J165" s="36"/>
    </row>
    <row r="166" spans="5:10" s="34" customFormat="1" ht="23.1" customHeight="1">
      <c r="E166" s="176"/>
      <c r="F166" s="205"/>
      <c r="G166" s="36"/>
      <c r="H166" s="37"/>
      <c r="I166" s="37"/>
      <c r="J166" s="36"/>
    </row>
    <row r="167" spans="5:10" s="34" customFormat="1" ht="23.1" customHeight="1">
      <c r="E167" s="176"/>
      <c r="F167" s="205"/>
      <c r="G167" s="36"/>
      <c r="H167" s="37"/>
      <c r="I167" s="37"/>
      <c r="J167" s="36"/>
    </row>
    <row r="168" spans="5:10" s="34" customFormat="1" ht="23.1" customHeight="1">
      <c r="E168" s="176"/>
      <c r="F168" s="205"/>
      <c r="G168" s="36"/>
      <c r="H168" s="37"/>
      <c r="I168" s="37"/>
      <c r="J168" s="36"/>
    </row>
    <row r="169" spans="5:10" s="34" customFormat="1" ht="23.1" customHeight="1">
      <c r="E169" s="176"/>
      <c r="F169" s="205"/>
      <c r="G169" s="36"/>
      <c r="H169" s="37"/>
      <c r="I169" s="37"/>
      <c r="J169" s="36"/>
    </row>
    <row r="170" spans="5:10" s="34" customFormat="1" ht="23.1" customHeight="1">
      <c r="E170" s="176"/>
      <c r="F170" s="205"/>
      <c r="G170" s="36"/>
      <c r="H170" s="37"/>
      <c r="I170" s="37"/>
      <c r="J170" s="36"/>
    </row>
    <row r="171" spans="5:10" s="34" customFormat="1" ht="23.1" customHeight="1">
      <c r="E171" s="176"/>
      <c r="F171" s="205"/>
      <c r="G171" s="36"/>
      <c r="H171" s="37"/>
      <c r="I171" s="37"/>
      <c r="J171" s="36"/>
    </row>
    <row r="172" spans="5:10" s="34" customFormat="1" ht="23.1" customHeight="1">
      <c r="E172" s="176"/>
      <c r="F172" s="205"/>
      <c r="G172" s="36"/>
      <c r="H172" s="37"/>
      <c r="I172" s="37"/>
      <c r="J172" s="36"/>
    </row>
    <row r="173" spans="5:10" s="34" customFormat="1" ht="23.1" customHeight="1">
      <c r="E173" s="176"/>
      <c r="F173" s="205"/>
      <c r="G173" s="36"/>
      <c r="H173" s="37"/>
      <c r="I173" s="37"/>
      <c r="J173" s="36"/>
    </row>
    <row r="174" spans="5:10" s="34" customFormat="1" ht="23.1" customHeight="1">
      <c r="E174" s="176"/>
      <c r="F174" s="205"/>
      <c r="G174" s="36"/>
      <c r="H174" s="37"/>
      <c r="I174" s="37"/>
      <c r="J174" s="36"/>
    </row>
    <row r="175" spans="5:10" s="34" customFormat="1" ht="23.1" customHeight="1">
      <c r="E175" s="176"/>
      <c r="F175" s="205"/>
      <c r="G175" s="36"/>
      <c r="H175" s="37"/>
      <c r="I175" s="37"/>
      <c r="J175" s="36"/>
    </row>
    <row r="176" spans="5:10" ht="23.1" customHeight="1">
      <c r="E176" s="176"/>
      <c r="F176" s="205"/>
    </row>
    <row r="177" spans="5:6" ht="23.1" customHeight="1">
      <c r="E177" s="176"/>
      <c r="F177" s="205"/>
    </row>
    <row r="178" spans="5:6" ht="23.1" customHeight="1">
      <c r="E178" s="176"/>
      <c r="F178" s="205"/>
    </row>
    <row r="179" spans="5:6" ht="23.1" customHeight="1">
      <c r="E179" s="176"/>
      <c r="F179" s="205"/>
    </row>
    <row r="180" spans="5:6" ht="23.1" customHeight="1">
      <c r="E180" s="176"/>
      <c r="F180" s="205"/>
    </row>
    <row r="181" spans="5:6" ht="23.1" customHeight="1">
      <c r="E181" s="176"/>
      <c r="F181" s="205"/>
    </row>
    <row r="182" spans="5:6" ht="23.1" customHeight="1">
      <c r="E182" s="176"/>
      <c r="F182" s="205"/>
    </row>
    <row r="183" spans="5:6" ht="23.1" customHeight="1">
      <c r="E183" s="176"/>
      <c r="F183" s="205"/>
    </row>
    <row r="184" spans="5:6" ht="23.1" customHeight="1">
      <c r="E184" s="176"/>
      <c r="F184" s="205"/>
    </row>
    <row r="185" spans="5:6" ht="23.1" customHeight="1">
      <c r="E185" s="176"/>
      <c r="F185" s="205"/>
    </row>
    <row r="186" spans="5:6" ht="23.1" customHeight="1">
      <c r="E186" s="176"/>
      <c r="F186" s="205"/>
    </row>
    <row r="187" spans="5:6" ht="23.1" customHeight="1">
      <c r="E187" s="176"/>
      <c r="F187" s="205"/>
    </row>
    <row r="188" spans="5:6" ht="23.1" customHeight="1">
      <c r="E188" s="176"/>
      <c r="F188" s="205"/>
    </row>
    <row r="189" spans="5:6" ht="23.1" customHeight="1">
      <c r="E189" s="176"/>
      <c r="F189" s="205"/>
    </row>
    <row r="190" spans="5:6" ht="23.1" customHeight="1">
      <c r="E190" s="176"/>
      <c r="F190" s="205"/>
    </row>
    <row r="191" spans="5:6" ht="23.1" customHeight="1">
      <c r="E191" s="176"/>
      <c r="F191" s="205"/>
    </row>
    <row r="192" spans="5:6" ht="23.1" customHeight="1">
      <c r="E192" s="176"/>
      <c r="F192" s="205"/>
    </row>
    <row r="193" spans="5:6" ht="23.1" customHeight="1">
      <c r="E193" s="176"/>
      <c r="F193" s="205"/>
    </row>
    <row r="194" spans="5:6" ht="23.1" customHeight="1">
      <c r="E194" s="176"/>
      <c r="F194" s="205"/>
    </row>
    <row r="195" spans="5:6" ht="23.1" customHeight="1">
      <c r="E195" s="176"/>
      <c r="F195" s="205"/>
    </row>
    <row r="196" spans="5:6" ht="23.1" customHeight="1">
      <c r="E196" s="176"/>
      <c r="F196" s="205"/>
    </row>
    <row r="197" spans="5:6" ht="23.1" customHeight="1">
      <c r="E197" s="176"/>
      <c r="F197" s="205"/>
    </row>
    <row r="198" spans="5:6" ht="23.1" customHeight="1">
      <c r="E198" s="176"/>
      <c r="F198" s="205"/>
    </row>
    <row r="199" spans="5:6" ht="23.1" customHeight="1">
      <c r="E199" s="176"/>
      <c r="F199" s="205"/>
    </row>
    <row r="200" spans="5:6" ht="23.1" customHeight="1">
      <c r="E200" s="176"/>
      <c r="F200" s="205"/>
    </row>
    <row r="201" spans="5:6" ht="23.1" customHeight="1">
      <c r="E201" s="176"/>
      <c r="F201" s="205"/>
    </row>
    <row r="202" spans="5:6" ht="23.1" customHeight="1">
      <c r="E202" s="176"/>
      <c r="F202" s="205"/>
    </row>
    <row r="203" spans="5:6" ht="23.1" customHeight="1">
      <c r="E203" s="176"/>
      <c r="F203" s="205"/>
    </row>
    <row r="204" spans="5:6" ht="23.1" customHeight="1">
      <c r="E204" s="176"/>
      <c r="F204" s="205"/>
    </row>
    <row r="205" spans="5:6" ht="23.1" customHeight="1">
      <c r="E205" s="176"/>
      <c r="F205" s="205"/>
    </row>
    <row r="206" spans="5:6" ht="23.1" customHeight="1">
      <c r="E206" s="176"/>
      <c r="F206" s="205"/>
    </row>
    <row r="207" spans="5:6" ht="23.1" customHeight="1">
      <c r="E207" s="176"/>
      <c r="F207" s="205"/>
    </row>
    <row r="208" spans="5:6" ht="23.1" customHeight="1">
      <c r="E208" s="176"/>
      <c r="F208" s="205"/>
    </row>
    <row r="209" spans="5:6" ht="23.1" customHeight="1">
      <c r="E209" s="176"/>
      <c r="F209" s="205"/>
    </row>
    <row r="210" spans="5:6" ht="23.1" customHeight="1">
      <c r="E210" s="176"/>
      <c r="F210" s="205"/>
    </row>
    <row r="211" spans="5:6" ht="23.1" customHeight="1">
      <c r="E211" s="176"/>
      <c r="F211" s="205"/>
    </row>
    <row r="212" spans="5:6" ht="23.1" customHeight="1">
      <c r="E212" s="176"/>
      <c r="F212" s="205"/>
    </row>
    <row r="213" spans="5:6" ht="23.1" customHeight="1">
      <c r="E213" s="176"/>
      <c r="F213" s="205"/>
    </row>
    <row r="214" spans="5:6" ht="23.1" customHeight="1">
      <c r="E214" s="176"/>
      <c r="F214" s="205"/>
    </row>
    <row r="215" spans="5:6" ht="23.1" customHeight="1">
      <c r="E215" s="176"/>
      <c r="F215" s="205"/>
    </row>
    <row r="216" spans="5:6" ht="23.1" customHeight="1">
      <c r="E216" s="176"/>
      <c r="F216" s="205"/>
    </row>
    <row r="217" spans="5:6" ht="23.1" customHeight="1">
      <c r="E217" s="176"/>
      <c r="F217" s="205"/>
    </row>
    <row r="218" spans="5:6" ht="23.1" customHeight="1">
      <c r="E218" s="176"/>
      <c r="F218" s="205"/>
    </row>
    <row r="219" spans="5:6" ht="23.1" customHeight="1">
      <c r="E219" s="176"/>
      <c r="F219" s="205"/>
    </row>
    <row r="220" spans="5:6" ht="23.1" customHeight="1">
      <c r="E220" s="176"/>
      <c r="F220" s="205"/>
    </row>
    <row r="221" spans="5:6" ht="23.1" customHeight="1">
      <c r="E221" s="176"/>
      <c r="F221" s="205"/>
    </row>
    <row r="222" spans="5:6" ht="23.1" customHeight="1">
      <c r="E222" s="176"/>
      <c r="F222" s="205"/>
    </row>
    <row r="223" spans="5:6" ht="23.1" customHeight="1">
      <c r="E223" s="176"/>
      <c r="F223" s="205"/>
    </row>
    <row r="224" spans="5:6" ht="23.1" customHeight="1">
      <c r="E224" s="176"/>
      <c r="F224" s="205"/>
    </row>
    <row r="225" spans="5:6" ht="23.1" customHeight="1">
      <c r="E225" s="176"/>
      <c r="F225" s="205"/>
    </row>
    <row r="226" spans="5:6" ht="23.1" customHeight="1">
      <c r="E226" s="176"/>
      <c r="F226" s="205"/>
    </row>
    <row r="227" spans="5:6" ht="23.1" customHeight="1">
      <c r="E227" s="176"/>
      <c r="F227" s="205"/>
    </row>
    <row r="228" spans="5:6" ht="23.1" customHeight="1">
      <c r="E228" s="176"/>
      <c r="F228" s="205"/>
    </row>
    <row r="229" spans="5:6" ht="23.1" customHeight="1">
      <c r="E229" s="176"/>
      <c r="F229" s="205"/>
    </row>
    <row r="230" spans="5:6" ht="23.1" customHeight="1">
      <c r="E230" s="176"/>
      <c r="F230" s="205"/>
    </row>
    <row r="231" spans="5:6" ht="23.1" customHeight="1">
      <c r="E231" s="176"/>
      <c r="F231" s="205"/>
    </row>
    <row r="232" spans="5:6" ht="23.1" customHeight="1">
      <c r="E232" s="176"/>
      <c r="F232" s="205"/>
    </row>
    <row r="233" spans="5:6" ht="23.1" customHeight="1">
      <c r="E233" s="176"/>
      <c r="F233" s="205"/>
    </row>
    <row r="234" spans="5:6" ht="23.1" customHeight="1">
      <c r="E234" s="176"/>
      <c r="F234" s="205"/>
    </row>
    <row r="235" spans="5:6" ht="23.1" customHeight="1">
      <c r="E235" s="176"/>
      <c r="F235" s="205"/>
    </row>
    <row r="236" spans="5:6" ht="23.1" customHeight="1">
      <c r="E236" s="176"/>
      <c r="F236" s="205"/>
    </row>
    <row r="237" spans="5:6" ht="23.1" customHeight="1">
      <c r="E237" s="176"/>
      <c r="F237" s="205"/>
    </row>
    <row r="238" spans="5:6" ht="23.1" customHeight="1">
      <c r="E238" s="176"/>
      <c r="F238" s="205"/>
    </row>
    <row r="239" spans="5:6" ht="23.1" customHeight="1">
      <c r="E239" s="176"/>
      <c r="F239" s="205"/>
    </row>
    <row r="240" spans="5:6" ht="23.1" customHeight="1">
      <c r="E240" s="176"/>
      <c r="F240" s="205"/>
    </row>
    <row r="241" spans="5:6" ht="23.1" customHeight="1">
      <c r="E241" s="176"/>
      <c r="F241" s="205"/>
    </row>
    <row r="242" spans="5:6" ht="23.1" customHeight="1">
      <c r="E242" s="176"/>
      <c r="F242" s="205"/>
    </row>
    <row r="243" spans="5:6" ht="23.1" customHeight="1">
      <c r="E243" s="176"/>
      <c r="F243" s="205"/>
    </row>
    <row r="244" spans="5:6" ht="23.1" customHeight="1">
      <c r="E244" s="176"/>
      <c r="F244" s="205"/>
    </row>
    <row r="245" spans="5:6" ht="23.1" customHeight="1">
      <c r="E245" s="176"/>
      <c r="F245" s="205"/>
    </row>
    <row r="246" spans="5:6" ht="23.1" customHeight="1">
      <c r="E246" s="176"/>
      <c r="F246" s="205"/>
    </row>
    <row r="247" spans="5:6" ht="23.1" customHeight="1">
      <c r="E247" s="176"/>
      <c r="F247" s="205"/>
    </row>
    <row r="248" spans="5:6" ht="23.1" customHeight="1">
      <c r="E248" s="176"/>
      <c r="F248" s="205"/>
    </row>
    <row r="249" spans="5:6" ht="23.1" customHeight="1">
      <c r="E249" s="176"/>
      <c r="F249" s="205"/>
    </row>
    <row r="250" spans="5:6" ht="23.1" customHeight="1">
      <c r="E250" s="176"/>
      <c r="F250" s="205"/>
    </row>
    <row r="251" spans="5:6" ht="23.1" customHeight="1">
      <c r="E251" s="176"/>
      <c r="F251" s="205"/>
    </row>
    <row r="252" spans="5:6" ht="23.1" customHeight="1">
      <c r="E252" s="176"/>
      <c r="F252" s="205"/>
    </row>
    <row r="253" spans="5:6" ht="23.1" customHeight="1">
      <c r="E253" s="176"/>
      <c r="F253" s="205"/>
    </row>
    <row r="254" spans="5:6" ht="23.1" customHeight="1">
      <c r="E254" s="176"/>
      <c r="F254" s="205"/>
    </row>
    <row r="255" spans="5:6" ht="23.1" customHeight="1">
      <c r="E255" s="176"/>
      <c r="F255" s="205"/>
    </row>
    <row r="256" spans="5:6" ht="23.1" customHeight="1">
      <c r="E256" s="176"/>
      <c r="F256" s="205"/>
    </row>
    <row r="257" spans="5:6" ht="23.1" customHeight="1">
      <c r="E257" s="176"/>
      <c r="F257" s="205"/>
    </row>
    <row r="258" spans="5:6" ht="23.1" customHeight="1">
      <c r="E258" s="176"/>
      <c r="F258" s="205"/>
    </row>
    <row r="259" spans="5:6" ht="23.1" customHeight="1"/>
    <row r="260" spans="5:6" ht="23.1" customHeight="1"/>
    <row r="261" spans="5:6" ht="23.1" customHeight="1"/>
    <row r="262" spans="5:6" ht="23.1" customHeight="1"/>
    <row r="263" spans="5:6" ht="23.1" customHeight="1"/>
    <row r="264" spans="5:6" ht="23.1" customHeight="1"/>
  </sheetData>
  <autoFilter ref="A1:Z127" xr:uid="{00000000-0009-0000-0000-000001000000}"/>
  <mergeCells count="6">
    <mergeCell ref="F146:F150"/>
    <mergeCell ref="J146:J150"/>
    <mergeCell ref="G146:G150"/>
    <mergeCell ref="F143:F144"/>
    <mergeCell ref="G143:G144"/>
    <mergeCell ref="H143:H14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계약파일리스트</vt:lpstr>
      <vt:lpstr>커미션</vt:lpstr>
      <vt:lpstr>계약파일리스트!Print_Area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2206-D001</cp:lastModifiedBy>
  <cp:lastPrinted>2022-11-28T08:39:26Z</cp:lastPrinted>
  <dcterms:created xsi:type="dcterms:W3CDTF">2019-01-16T06:46:34Z</dcterms:created>
  <dcterms:modified xsi:type="dcterms:W3CDTF">2023-02-06T02:29:26Z</dcterms:modified>
</cp:coreProperties>
</file>