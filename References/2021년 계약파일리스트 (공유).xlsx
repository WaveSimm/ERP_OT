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defaultThemeVersion="166925"/>
  <mc:AlternateContent xmlns:mc="http://schemas.openxmlformats.org/markup-compatibility/2006">
    <mc:Choice Requires="x15">
      <x15ac:absPath xmlns:x15ac="http://schemas.microsoft.com/office/spreadsheetml/2010/11/ac" url="\\nas\OCEANTECH\10. Project\"/>
    </mc:Choice>
  </mc:AlternateContent>
  <xr:revisionPtr revIDLastSave="0" documentId="13_ncr:1_{C8400CD8-6E2D-4F30-A39D-FBD5E24D78E1}" xr6:coauthVersionLast="47" xr6:coauthVersionMax="47" xr10:uidLastSave="{00000000-0000-0000-0000-000000000000}"/>
  <bookViews>
    <workbookView xWindow="28680" yWindow="-120" windowWidth="29040" windowHeight="15840" xr2:uid="{00000000-000D-0000-FFFF-FFFF00000000}"/>
  </bookViews>
  <sheets>
    <sheet name="계약파일리스트" sheetId="1" r:id="rId1"/>
    <sheet name="커미션" sheetId="2" r:id="rId2"/>
  </sheets>
  <definedNames>
    <definedName name="_xlnm._FilterDatabase" localSheetId="0" hidden="1">계약파일리스트!$A$3:$AD$451</definedName>
    <definedName name="_xlnm._FilterDatabase" localSheetId="1" hidden="1">커미션!$A$1:$Z$140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8" i="1" l="1"/>
  <c r="I370" i="1"/>
  <c r="I341" i="1"/>
  <c r="I300" i="1"/>
  <c r="I253" i="1"/>
  <c r="I194" i="1"/>
  <c r="K104" i="1"/>
  <c r="K103" i="1"/>
  <c r="I6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wonjin Oh</author>
    <author>Temp</author>
    <author>Mirr</author>
    <author>박고은</author>
    <author>Doni Kang</author>
    <author>ocean</author>
    <author>YJHwang</author>
    <author>1701-D001</author>
    <author>Ahleum Hong</author>
    <author>1802-D001</author>
    <author>관리부-1</author>
  </authors>
  <commentList>
    <comment ref="J4" authorId="0" shapeId="0" xr:uid="{00000000-0006-0000-0000-000001000000}">
      <text>
        <r>
          <rPr>
            <sz val="9"/>
            <color indexed="81"/>
            <rFont val="돋움"/>
            <family val="3"/>
            <charset val="129"/>
          </rPr>
          <t>납기지연으로</t>
        </r>
        <r>
          <rPr>
            <sz val="9"/>
            <color indexed="81"/>
            <rFont val="Tahoma"/>
            <family val="2"/>
          </rPr>
          <t xml:space="preserve"> </t>
        </r>
        <r>
          <rPr>
            <sz val="9"/>
            <color indexed="81"/>
            <rFont val="돋움"/>
            <family val="3"/>
            <charset val="129"/>
          </rPr>
          <t>계약일</t>
        </r>
        <r>
          <rPr>
            <sz val="9"/>
            <color indexed="81"/>
            <rFont val="Tahoma"/>
            <family val="2"/>
          </rPr>
          <t xml:space="preserve"> </t>
        </r>
        <r>
          <rPr>
            <sz val="9"/>
            <color indexed="81"/>
            <rFont val="돋움"/>
            <family val="3"/>
            <charset val="129"/>
          </rPr>
          <t>변경</t>
        </r>
        <r>
          <rPr>
            <sz val="9"/>
            <color indexed="81"/>
            <rFont val="Tahoma"/>
            <family val="2"/>
          </rPr>
          <t xml:space="preserve">(1/5 -&gt; 1/21)
</t>
        </r>
      </text>
    </comment>
    <comment ref="K4" authorId="0" shapeId="0" xr:uid="{00000000-0006-0000-0000-000002000000}">
      <text>
        <r>
          <rPr>
            <b/>
            <sz val="9"/>
            <color indexed="81"/>
            <rFont val="돋움"/>
            <family val="3"/>
            <charset val="129"/>
          </rPr>
          <t>납기</t>
        </r>
        <r>
          <rPr>
            <b/>
            <sz val="9"/>
            <color indexed="81"/>
            <rFont val="Tahoma"/>
            <family val="2"/>
          </rPr>
          <t xml:space="preserve"> </t>
        </r>
        <r>
          <rPr>
            <b/>
            <sz val="9"/>
            <color indexed="81"/>
            <rFont val="돋움"/>
            <family val="3"/>
            <charset val="129"/>
          </rPr>
          <t>지연으로</t>
        </r>
        <r>
          <rPr>
            <b/>
            <sz val="9"/>
            <color indexed="81"/>
            <rFont val="Tahoma"/>
            <family val="2"/>
          </rPr>
          <t xml:space="preserve"> </t>
        </r>
        <r>
          <rPr>
            <b/>
            <sz val="9"/>
            <color indexed="81"/>
            <rFont val="돋움"/>
            <family val="3"/>
            <charset val="129"/>
          </rPr>
          <t>계약</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 xml:space="preserve">진행
</t>
        </r>
      </text>
    </comment>
    <comment ref="X5" authorId="1" shapeId="0" xr:uid="{00000000-0006-0000-0000-000003000000}">
      <text>
        <r>
          <rPr>
            <b/>
            <sz val="9"/>
            <color indexed="81"/>
            <rFont val="Tahoma"/>
            <family val="2"/>
          </rPr>
          <t>Temp:</t>
        </r>
        <r>
          <rPr>
            <sz val="9"/>
            <color indexed="81"/>
            <rFont val="Tahoma"/>
            <family val="2"/>
          </rPr>
          <t xml:space="preserve">
</t>
        </r>
        <r>
          <rPr>
            <sz val="9"/>
            <color indexed="81"/>
            <rFont val="돋움"/>
            <family val="3"/>
            <charset val="129"/>
          </rPr>
          <t>심윤송</t>
        </r>
        <r>
          <rPr>
            <sz val="9"/>
            <color indexed="81"/>
            <rFont val="Tahoma"/>
            <family val="2"/>
          </rPr>
          <t xml:space="preserve"> </t>
        </r>
        <r>
          <rPr>
            <sz val="9"/>
            <color indexed="81"/>
            <rFont val="돋움"/>
            <family val="3"/>
            <charset val="129"/>
          </rPr>
          <t>부장님</t>
        </r>
        <r>
          <rPr>
            <sz val="9"/>
            <color indexed="81"/>
            <rFont val="Tahoma"/>
            <family val="2"/>
          </rPr>
          <t xml:space="preserve"> </t>
        </r>
        <r>
          <rPr>
            <sz val="9"/>
            <color indexed="81"/>
            <rFont val="돋움"/>
            <family val="3"/>
            <charset val="129"/>
          </rPr>
          <t xml:space="preserve">제작품
</t>
        </r>
        <r>
          <rPr>
            <sz val="9"/>
            <color indexed="81"/>
            <rFont val="Tahoma"/>
            <family val="2"/>
          </rPr>
          <t xml:space="preserve">(05.24 </t>
        </r>
        <r>
          <rPr>
            <sz val="9"/>
            <color indexed="81"/>
            <rFont val="돋움"/>
            <family val="3"/>
            <charset val="129"/>
          </rPr>
          <t>확인</t>
        </r>
        <r>
          <rPr>
            <sz val="9"/>
            <color indexed="81"/>
            <rFont val="Tahoma"/>
            <family val="2"/>
          </rPr>
          <t>)</t>
        </r>
      </text>
    </comment>
    <comment ref="L8" authorId="1" shapeId="0" xr:uid="{00000000-0006-0000-0000-000004000000}">
      <text>
        <r>
          <rPr>
            <b/>
            <sz val="9"/>
            <color indexed="81"/>
            <rFont val="Tahoma"/>
            <family val="2"/>
          </rPr>
          <t>Temp:</t>
        </r>
        <r>
          <rPr>
            <sz val="9"/>
            <color indexed="81"/>
            <rFont val="Tahoma"/>
            <family val="2"/>
          </rPr>
          <t xml:space="preserve">
#20-2 </t>
        </r>
        <r>
          <rPr>
            <sz val="9"/>
            <color indexed="81"/>
            <rFont val="돋움"/>
            <family val="3"/>
            <charset val="129"/>
          </rPr>
          <t>서울대</t>
        </r>
        <r>
          <rPr>
            <sz val="9"/>
            <color indexed="81"/>
            <rFont val="Tahoma"/>
            <family val="2"/>
          </rPr>
          <t xml:space="preserve"> </t>
        </r>
        <r>
          <rPr>
            <sz val="9"/>
            <color indexed="81"/>
            <rFont val="돋움"/>
            <family val="3"/>
            <charset val="129"/>
          </rPr>
          <t>계약에</t>
        </r>
        <r>
          <rPr>
            <sz val="9"/>
            <color indexed="81"/>
            <rFont val="Tahoma"/>
            <family val="2"/>
          </rPr>
          <t xml:space="preserve"> </t>
        </r>
        <r>
          <rPr>
            <sz val="9"/>
            <color indexed="81"/>
            <rFont val="돋움"/>
            <family val="3"/>
            <charset val="129"/>
          </rPr>
          <t>포함된</t>
        </r>
        <r>
          <rPr>
            <sz val="9"/>
            <color indexed="81"/>
            <rFont val="Tahoma"/>
            <family val="2"/>
          </rPr>
          <t xml:space="preserve"> IR-7300 2</t>
        </r>
        <r>
          <rPr>
            <sz val="9"/>
            <color indexed="81"/>
            <rFont val="돋움"/>
            <family val="3"/>
            <charset val="129"/>
          </rPr>
          <t>개</t>
        </r>
        <r>
          <rPr>
            <sz val="9"/>
            <color indexed="81"/>
            <rFont val="Tahoma"/>
            <family val="2"/>
          </rPr>
          <t xml:space="preserve"> </t>
        </r>
        <r>
          <rPr>
            <sz val="9"/>
            <color indexed="81"/>
            <rFont val="돋움"/>
            <family val="3"/>
            <charset val="129"/>
          </rPr>
          <t xml:space="preserve">청구
</t>
        </r>
        <r>
          <rPr>
            <sz val="9"/>
            <color indexed="81"/>
            <rFont val="Tahoma"/>
            <family val="2"/>
          </rPr>
          <t xml:space="preserve">#20-2 </t>
        </r>
        <r>
          <rPr>
            <sz val="9"/>
            <color indexed="81"/>
            <rFont val="돋움"/>
            <family val="3"/>
            <charset val="129"/>
          </rPr>
          <t>서울대</t>
        </r>
        <r>
          <rPr>
            <sz val="9"/>
            <color indexed="81"/>
            <rFont val="Tahoma"/>
            <family val="2"/>
          </rPr>
          <t xml:space="preserve"> </t>
        </r>
        <r>
          <rPr>
            <sz val="9"/>
            <color indexed="81"/>
            <rFont val="돋움"/>
            <family val="3"/>
            <charset val="129"/>
          </rPr>
          <t>계약건은</t>
        </r>
        <r>
          <rPr>
            <sz val="9"/>
            <color indexed="81"/>
            <rFont val="Tahoma"/>
            <family val="2"/>
          </rPr>
          <t xml:space="preserve"> </t>
        </r>
        <r>
          <rPr>
            <sz val="9"/>
            <color indexed="81"/>
            <rFont val="돋움"/>
            <family val="3"/>
            <charset val="129"/>
          </rPr>
          <t>이로써</t>
        </r>
        <r>
          <rPr>
            <sz val="9"/>
            <color indexed="81"/>
            <rFont val="Tahoma"/>
            <family val="2"/>
          </rPr>
          <t xml:space="preserve"> </t>
        </r>
        <r>
          <rPr>
            <sz val="9"/>
            <color indexed="81"/>
            <rFont val="돋움"/>
            <family val="3"/>
            <charset val="129"/>
          </rPr>
          <t>완료됨</t>
        </r>
      </text>
    </comment>
    <comment ref="H9" authorId="2" shapeId="0" xr:uid="{00000000-0006-0000-0000-000005000000}">
      <text>
        <r>
          <rPr>
            <b/>
            <sz val="9"/>
            <color indexed="81"/>
            <rFont val="돋움"/>
            <family val="3"/>
            <charset val="129"/>
          </rPr>
          <t>계약</t>
        </r>
        <r>
          <rPr>
            <b/>
            <sz val="9"/>
            <color indexed="81"/>
            <rFont val="Tahoma"/>
            <family val="2"/>
          </rPr>
          <t xml:space="preserve"> </t>
        </r>
        <r>
          <rPr>
            <b/>
            <sz val="9"/>
            <color indexed="81"/>
            <rFont val="돋움"/>
            <family val="3"/>
            <charset val="129"/>
          </rPr>
          <t>통화는</t>
        </r>
        <r>
          <rPr>
            <b/>
            <sz val="9"/>
            <color indexed="81"/>
            <rFont val="Tahoma"/>
            <family val="2"/>
          </rPr>
          <t xml:space="preserve"> USD</t>
        </r>
        <r>
          <rPr>
            <b/>
            <sz val="9"/>
            <color indexed="81"/>
            <rFont val="돋움"/>
            <family val="3"/>
            <charset val="129"/>
          </rPr>
          <t>이나</t>
        </r>
        <r>
          <rPr>
            <b/>
            <sz val="9"/>
            <color indexed="81"/>
            <rFont val="Tahoma"/>
            <family val="2"/>
          </rPr>
          <t xml:space="preserve"> </t>
        </r>
        <r>
          <rPr>
            <b/>
            <sz val="9"/>
            <color indexed="81"/>
            <rFont val="돋움"/>
            <family val="3"/>
            <charset val="129"/>
          </rPr>
          <t>실제로</t>
        </r>
        <r>
          <rPr>
            <b/>
            <sz val="9"/>
            <color indexed="81"/>
            <rFont val="Tahoma"/>
            <family val="2"/>
          </rPr>
          <t xml:space="preserve"> </t>
        </r>
        <r>
          <rPr>
            <b/>
            <sz val="9"/>
            <color indexed="81"/>
            <rFont val="돋움"/>
            <family val="3"/>
            <charset val="129"/>
          </rPr>
          <t>진행되는</t>
        </r>
        <r>
          <rPr>
            <b/>
            <sz val="9"/>
            <color indexed="81"/>
            <rFont val="Tahoma"/>
            <family val="2"/>
          </rPr>
          <t xml:space="preserve"> </t>
        </r>
        <r>
          <rPr>
            <b/>
            <sz val="9"/>
            <color indexed="81"/>
            <rFont val="돋움"/>
            <family val="3"/>
            <charset val="129"/>
          </rPr>
          <t>계약</t>
        </r>
        <r>
          <rPr>
            <b/>
            <sz val="9"/>
            <color indexed="81"/>
            <rFont val="Tahoma"/>
            <family val="2"/>
          </rPr>
          <t xml:space="preserve"> </t>
        </r>
        <r>
          <rPr>
            <b/>
            <sz val="9"/>
            <color indexed="81"/>
            <rFont val="돋움"/>
            <family val="3"/>
            <charset val="129"/>
          </rPr>
          <t>종류는</t>
        </r>
        <r>
          <rPr>
            <b/>
            <sz val="9"/>
            <color indexed="81"/>
            <rFont val="Tahoma"/>
            <family val="2"/>
          </rPr>
          <t xml:space="preserve"> </t>
        </r>
        <r>
          <rPr>
            <b/>
            <sz val="9"/>
            <color indexed="81"/>
            <rFont val="돋움"/>
            <family val="3"/>
            <charset val="129"/>
          </rPr>
          <t xml:space="preserve">내자임
</t>
        </r>
        <r>
          <rPr>
            <b/>
            <sz val="9"/>
            <color indexed="81"/>
            <rFont val="Tahoma"/>
            <family val="2"/>
          </rPr>
          <t>(</t>
        </r>
        <r>
          <rPr>
            <b/>
            <sz val="9"/>
            <color indexed="81"/>
            <rFont val="돋움"/>
            <family val="3"/>
            <charset val="129"/>
          </rPr>
          <t>수입시</t>
        </r>
        <r>
          <rPr>
            <b/>
            <sz val="9"/>
            <color indexed="81"/>
            <rFont val="Tahoma"/>
            <family val="2"/>
          </rPr>
          <t xml:space="preserve"> Consignee : </t>
        </r>
        <r>
          <rPr>
            <b/>
            <sz val="9"/>
            <color indexed="81"/>
            <rFont val="돋움"/>
            <family val="3"/>
            <charset val="129"/>
          </rPr>
          <t>오션테크</t>
        </r>
        <r>
          <rPr>
            <b/>
            <sz val="9"/>
            <color indexed="81"/>
            <rFont val="Tahoma"/>
            <family val="2"/>
          </rPr>
          <t>)</t>
        </r>
      </text>
    </comment>
    <comment ref="L9" authorId="1" shapeId="0" xr:uid="{00000000-0006-0000-0000-000006000000}">
      <text>
        <r>
          <rPr>
            <b/>
            <sz val="9"/>
            <color indexed="81"/>
            <rFont val="Tahoma"/>
            <family val="2"/>
          </rPr>
          <t>Temp:</t>
        </r>
        <r>
          <rPr>
            <sz val="9"/>
            <color indexed="81"/>
            <rFont val="Tahoma"/>
            <family val="2"/>
          </rPr>
          <t xml:space="preserve">
</t>
        </r>
        <r>
          <rPr>
            <sz val="9"/>
            <color indexed="81"/>
            <rFont val="돋움"/>
            <family val="3"/>
            <charset val="129"/>
          </rPr>
          <t>원화로</t>
        </r>
        <r>
          <rPr>
            <sz val="9"/>
            <color indexed="81"/>
            <rFont val="Tahoma"/>
            <family val="2"/>
          </rPr>
          <t xml:space="preserve"> </t>
        </r>
        <r>
          <rPr>
            <sz val="9"/>
            <color indexed="81"/>
            <rFont val="돋움"/>
            <family val="3"/>
            <charset val="129"/>
          </rPr>
          <t>환산하여</t>
        </r>
        <r>
          <rPr>
            <sz val="9"/>
            <color indexed="81"/>
            <rFont val="Tahoma"/>
            <family val="2"/>
          </rPr>
          <t xml:space="preserve"> </t>
        </r>
        <r>
          <rPr>
            <sz val="9"/>
            <color indexed="81"/>
            <rFont val="돋움"/>
            <family val="3"/>
            <charset val="129"/>
          </rPr>
          <t>매출</t>
        </r>
        <r>
          <rPr>
            <sz val="9"/>
            <color indexed="81"/>
            <rFont val="Tahoma"/>
            <family val="2"/>
          </rPr>
          <t xml:space="preserve"> </t>
        </r>
        <r>
          <rPr>
            <sz val="9"/>
            <color indexed="81"/>
            <rFont val="돋움"/>
            <family val="3"/>
            <charset val="129"/>
          </rPr>
          <t xml:space="preserve">청구
</t>
        </r>
        <r>
          <rPr>
            <sz val="9"/>
            <color indexed="81"/>
            <rFont val="Tahoma"/>
            <family val="2"/>
          </rPr>
          <t>$ 80,300*1,095
=\87,928,500</t>
        </r>
      </text>
    </comment>
    <comment ref="L10" authorId="1" shapeId="0" xr:uid="{00000000-0006-0000-0000-000007000000}">
      <text>
        <r>
          <rPr>
            <b/>
            <sz val="9"/>
            <color indexed="81"/>
            <rFont val="Tahoma"/>
            <family val="2"/>
          </rPr>
          <t>Temp:</t>
        </r>
        <r>
          <rPr>
            <sz val="9"/>
            <color indexed="81"/>
            <rFont val="Tahoma"/>
            <family val="2"/>
          </rPr>
          <t xml:space="preserve">
2</t>
        </r>
        <r>
          <rPr>
            <sz val="9"/>
            <color indexed="81"/>
            <rFont val="돋움"/>
            <family val="3"/>
            <charset val="129"/>
          </rPr>
          <t>건으로</t>
        </r>
        <r>
          <rPr>
            <sz val="9"/>
            <color indexed="81"/>
            <rFont val="Tahoma"/>
            <family val="2"/>
          </rPr>
          <t xml:space="preserve"> </t>
        </r>
        <r>
          <rPr>
            <sz val="9"/>
            <color indexed="81"/>
            <rFont val="돋움"/>
            <family val="3"/>
            <charset val="129"/>
          </rPr>
          <t>나눠</t>
        </r>
        <r>
          <rPr>
            <sz val="9"/>
            <color indexed="81"/>
            <rFont val="Tahoma"/>
            <family val="2"/>
          </rPr>
          <t xml:space="preserve"> </t>
        </r>
        <r>
          <rPr>
            <sz val="9"/>
            <color indexed="81"/>
            <rFont val="돋움"/>
            <family val="3"/>
            <charset val="129"/>
          </rPr>
          <t>발급
회수</t>
        </r>
        <r>
          <rPr>
            <sz val="9"/>
            <color indexed="81"/>
            <rFont val="Tahoma"/>
            <family val="2"/>
          </rPr>
          <t xml:space="preserve"> </t>
        </r>
        <r>
          <rPr>
            <sz val="9"/>
            <color indexed="81"/>
            <rFont val="돋움"/>
            <family val="3"/>
            <charset val="129"/>
          </rPr>
          <t>용역</t>
        </r>
        <r>
          <rPr>
            <sz val="9"/>
            <color indexed="81"/>
            <rFont val="Tahoma"/>
            <family val="2"/>
          </rPr>
          <t xml:space="preserve">, </t>
        </r>
        <r>
          <rPr>
            <sz val="9"/>
            <color indexed="81"/>
            <rFont val="돋움"/>
            <family val="3"/>
            <charset val="129"/>
          </rPr>
          <t>운반비</t>
        </r>
      </text>
    </comment>
    <comment ref="H11" authorId="0" shapeId="0" xr:uid="{00000000-0006-0000-0000-000008000000}">
      <text>
        <r>
          <rPr>
            <b/>
            <sz val="9"/>
            <color indexed="81"/>
            <rFont val="Tahoma"/>
            <family val="2"/>
          </rPr>
          <t xml:space="preserve">2021.12-2022.11 </t>
        </r>
        <r>
          <rPr>
            <b/>
            <sz val="9"/>
            <color indexed="81"/>
            <rFont val="돋움"/>
            <family val="3"/>
            <charset val="129"/>
          </rPr>
          <t>월까지를</t>
        </r>
        <r>
          <rPr>
            <b/>
            <sz val="9"/>
            <color indexed="81"/>
            <rFont val="Tahoma"/>
            <family val="2"/>
          </rPr>
          <t xml:space="preserve"> </t>
        </r>
        <r>
          <rPr>
            <b/>
            <sz val="9"/>
            <color indexed="81"/>
            <rFont val="돋움"/>
            <family val="3"/>
            <charset val="129"/>
          </rPr>
          <t>미리</t>
        </r>
        <r>
          <rPr>
            <b/>
            <sz val="9"/>
            <color indexed="81"/>
            <rFont val="Tahoma"/>
            <family val="2"/>
          </rPr>
          <t xml:space="preserve"> </t>
        </r>
        <r>
          <rPr>
            <b/>
            <sz val="9"/>
            <color indexed="81"/>
            <rFont val="돋움"/>
            <family val="3"/>
            <charset val="129"/>
          </rPr>
          <t>결재한</t>
        </r>
        <r>
          <rPr>
            <b/>
            <sz val="9"/>
            <color indexed="81"/>
            <rFont val="Tahoma"/>
            <family val="2"/>
          </rPr>
          <t xml:space="preserve"> </t>
        </r>
        <r>
          <rPr>
            <b/>
            <sz val="9"/>
            <color indexed="81"/>
            <rFont val="돋움"/>
            <family val="3"/>
            <charset val="129"/>
          </rPr>
          <t>것</t>
        </r>
      </text>
    </comment>
    <comment ref="H15" authorId="2" shapeId="0" xr:uid="{00000000-0006-0000-0000-000009000000}">
      <text>
        <r>
          <rPr>
            <b/>
            <sz val="9"/>
            <color indexed="81"/>
            <rFont val="돋움"/>
            <family val="3"/>
            <charset val="129"/>
          </rPr>
          <t>계약</t>
        </r>
        <r>
          <rPr>
            <b/>
            <sz val="9"/>
            <color indexed="81"/>
            <rFont val="Tahoma"/>
            <family val="2"/>
          </rPr>
          <t xml:space="preserve"> </t>
        </r>
        <r>
          <rPr>
            <b/>
            <sz val="9"/>
            <color indexed="81"/>
            <rFont val="돋움"/>
            <family val="3"/>
            <charset val="129"/>
          </rPr>
          <t>통화는</t>
        </r>
        <r>
          <rPr>
            <b/>
            <sz val="9"/>
            <color indexed="81"/>
            <rFont val="Tahoma"/>
            <family val="2"/>
          </rPr>
          <t xml:space="preserve"> USD</t>
        </r>
        <r>
          <rPr>
            <b/>
            <sz val="9"/>
            <color indexed="81"/>
            <rFont val="돋움"/>
            <family val="3"/>
            <charset val="129"/>
          </rPr>
          <t>이나</t>
        </r>
        <r>
          <rPr>
            <b/>
            <sz val="9"/>
            <color indexed="81"/>
            <rFont val="Tahoma"/>
            <family val="2"/>
          </rPr>
          <t xml:space="preserve"> </t>
        </r>
        <r>
          <rPr>
            <b/>
            <sz val="9"/>
            <color indexed="81"/>
            <rFont val="돋움"/>
            <family val="3"/>
            <charset val="129"/>
          </rPr>
          <t>실제로</t>
        </r>
        <r>
          <rPr>
            <b/>
            <sz val="9"/>
            <color indexed="81"/>
            <rFont val="Tahoma"/>
            <family val="2"/>
          </rPr>
          <t xml:space="preserve"> </t>
        </r>
        <r>
          <rPr>
            <b/>
            <sz val="9"/>
            <color indexed="81"/>
            <rFont val="돋움"/>
            <family val="3"/>
            <charset val="129"/>
          </rPr>
          <t>진행되는</t>
        </r>
        <r>
          <rPr>
            <b/>
            <sz val="9"/>
            <color indexed="81"/>
            <rFont val="Tahoma"/>
            <family val="2"/>
          </rPr>
          <t xml:space="preserve"> </t>
        </r>
        <r>
          <rPr>
            <b/>
            <sz val="9"/>
            <color indexed="81"/>
            <rFont val="돋움"/>
            <family val="3"/>
            <charset val="129"/>
          </rPr>
          <t>계약</t>
        </r>
        <r>
          <rPr>
            <b/>
            <sz val="9"/>
            <color indexed="81"/>
            <rFont val="Tahoma"/>
            <family val="2"/>
          </rPr>
          <t xml:space="preserve"> </t>
        </r>
        <r>
          <rPr>
            <b/>
            <sz val="9"/>
            <color indexed="81"/>
            <rFont val="돋움"/>
            <family val="3"/>
            <charset val="129"/>
          </rPr>
          <t>종류는</t>
        </r>
        <r>
          <rPr>
            <b/>
            <sz val="9"/>
            <color indexed="81"/>
            <rFont val="Tahoma"/>
            <family val="2"/>
          </rPr>
          <t xml:space="preserve"> </t>
        </r>
        <r>
          <rPr>
            <b/>
            <sz val="9"/>
            <color indexed="81"/>
            <rFont val="돋움"/>
            <family val="3"/>
            <charset val="129"/>
          </rPr>
          <t xml:space="preserve">내자임
</t>
        </r>
        <r>
          <rPr>
            <b/>
            <sz val="9"/>
            <color indexed="81"/>
            <rFont val="Tahoma"/>
            <family val="2"/>
          </rPr>
          <t>(</t>
        </r>
        <r>
          <rPr>
            <b/>
            <sz val="9"/>
            <color indexed="81"/>
            <rFont val="돋움"/>
            <family val="3"/>
            <charset val="129"/>
          </rPr>
          <t>수입시</t>
        </r>
        <r>
          <rPr>
            <b/>
            <sz val="9"/>
            <color indexed="81"/>
            <rFont val="Tahoma"/>
            <family val="2"/>
          </rPr>
          <t xml:space="preserve"> Consignee : </t>
        </r>
        <r>
          <rPr>
            <b/>
            <sz val="9"/>
            <color indexed="81"/>
            <rFont val="돋움"/>
            <family val="3"/>
            <charset val="129"/>
          </rPr>
          <t>오션테크</t>
        </r>
        <r>
          <rPr>
            <b/>
            <sz val="9"/>
            <color indexed="81"/>
            <rFont val="Tahoma"/>
            <family val="2"/>
          </rPr>
          <t>)</t>
        </r>
      </text>
    </comment>
    <comment ref="L15" authorId="1" shapeId="0" xr:uid="{00000000-0006-0000-0000-00000A000000}">
      <text>
        <r>
          <rPr>
            <b/>
            <sz val="9"/>
            <color indexed="81"/>
            <rFont val="Tahoma"/>
            <family val="2"/>
          </rPr>
          <t>Temp:</t>
        </r>
        <r>
          <rPr>
            <sz val="9"/>
            <color indexed="81"/>
            <rFont val="Tahoma"/>
            <family val="2"/>
          </rPr>
          <t xml:space="preserve">
1/22 </t>
        </r>
        <r>
          <rPr>
            <sz val="9"/>
            <color indexed="81"/>
            <rFont val="돋움"/>
            <family val="3"/>
            <charset val="129"/>
          </rPr>
          <t>선금</t>
        </r>
        <r>
          <rPr>
            <sz val="9"/>
            <color indexed="81"/>
            <rFont val="Tahoma"/>
            <family val="2"/>
          </rPr>
          <t xml:space="preserve"> 30% </t>
        </r>
        <r>
          <rPr>
            <sz val="9"/>
            <color indexed="81"/>
            <rFont val="돋움"/>
            <family val="3"/>
            <charset val="129"/>
          </rPr>
          <t xml:space="preserve">발급
</t>
        </r>
        <r>
          <rPr>
            <sz val="9"/>
            <color indexed="81"/>
            <rFont val="Tahoma"/>
            <family val="2"/>
          </rPr>
          <t>$ 120,000*1,099.2
=131,904,000</t>
        </r>
        <r>
          <rPr>
            <sz val="9"/>
            <color indexed="81"/>
            <rFont val="돋움"/>
            <family val="3"/>
            <charset val="129"/>
          </rPr>
          <t xml:space="preserve">원
</t>
        </r>
        <r>
          <rPr>
            <sz val="9"/>
            <color indexed="81"/>
            <rFont val="Tahoma"/>
            <family val="2"/>
          </rPr>
          <t xml:space="preserve">5/6 </t>
        </r>
        <r>
          <rPr>
            <sz val="9"/>
            <color indexed="81"/>
            <rFont val="돋움"/>
            <family val="3"/>
            <charset val="129"/>
          </rPr>
          <t>잔금</t>
        </r>
        <r>
          <rPr>
            <sz val="9"/>
            <color indexed="81"/>
            <rFont val="Tahoma"/>
            <family val="2"/>
          </rPr>
          <t xml:space="preserve"> 70% </t>
        </r>
        <r>
          <rPr>
            <sz val="9"/>
            <color indexed="81"/>
            <rFont val="돋움"/>
            <family val="3"/>
            <charset val="129"/>
          </rPr>
          <t xml:space="preserve">청구
</t>
        </r>
        <r>
          <rPr>
            <sz val="9"/>
            <color indexed="81"/>
            <rFont val="Tahoma"/>
            <family val="2"/>
          </rPr>
          <t>$ 280,000*1,121.1=313,908,000</t>
        </r>
        <r>
          <rPr>
            <sz val="9"/>
            <color indexed="81"/>
            <rFont val="돋움"/>
            <family val="3"/>
            <charset val="129"/>
          </rPr>
          <t>원</t>
        </r>
      </text>
    </comment>
    <comment ref="M15" authorId="1" shapeId="0" xr:uid="{00000000-0006-0000-0000-00000B000000}">
      <text>
        <r>
          <rPr>
            <b/>
            <sz val="9"/>
            <color indexed="81"/>
            <rFont val="Tahoma"/>
            <family val="2"/>
          </rPr>
          <t>Temp:</t>
        </r>
        <r>
          <rPr>
            <sz val="9"/>
            <color indexed="81"/>
            <rFont val="Tahoma"/>
            <family val="2"/>
          </rPr>
          <t xml:space="preserve">
1/22 </t>
        </r>
        <r>
          <rPr>
            <sz val="9"/>
            <color indexed="81"/>
            <rFont val="돋움"/>
            <family val="3"/>
            <charset val="129"/>
          </rPr>
          <t>외화금액으로</t>
        </r>
        <r>
          <rPr>
            <sz val="9"/>
            <color indexed="81"/>
            <rFont val="Tahoma"/>
            <family val="2"/>
          </rPr>
          <t xml:space="preserve"> </t>
        </r>
        <r>
          <rPr>
            <sz val="9"/>
            <color indexed="81"/>
            <rFont val="돋움"/>
            <family val="3"/>
            <charset val="129"/>
          </rPr>
          <t xml:space="preserve">입금
</t>
        </r>
        <r>
          <rPr>
            <sz val="9"/>
            <color indexed="81"/>
            <rFont val="Tahoma"/>
            <family val="2"/>
          </rPr>
          <t xml:space="preserve">$ 120,000
5/7 </t>
        </r>
        <r>
          <rPr>
            <sz val="9"/>
            <color indexed="81"/>
            <rFont val="돋움"/>
            <family val="3"/>
            <charset val="129"/>
          </rPr>
          <t>외화금액으로</t>
        </r>
        <r>
          <rPr>
            <sz val="9"/>
            <color indexed="81"/>
            <rFont val="Tahoma"/>
            <family val="2"/>
          </rPr>
          <t xml:space="preserve"> </t>
        </r>
        <r>
          <rPr>
            <sz val="9"/>
            <color indexed="81"/>
            <rFont val="돋움"/>
            <family val="3"/>
            <charset val="129"/>
          </rPr>
          <t xml:space="preserve">입금
</t>
        </r>
        <r>
          <rPr>
            <sz val="9"/>
            <color indexed="81"/>
            <rFont val="Tahoma"/>
            <family val="2"/>
          </rPr>
          <t>$ 280,000</t>
        </r>
      </text>
    </comment>
    <comment ref="H16" authorId="2" shapeId="0" xr:uid="{00000000-0006-0000-0000-00000C000000}">
      <text>
        <r>
          <rPr>
            <b/>
            <sz val="9"/>
            <color indexed="81"/>
            <rFont val="돋움"/>
            <family val="3"/>
            <charset val="129"/>
          </rPr>
          <t>계약</t>
        </r>
        <r>
          <rPr>
            <b/>
            <sz val="9"/>
            <color indexed="81"/>
            <rFont val="Tahoma"/>
            <family val="2"/>
          </rPr>
          <t xml:space="preserve"> </t>
        </r>
        <r>
          <rPr>
            <b/>
            <sz val="9"/>
            <color indexed="81"/>
            <rFont val="돋움"/>
            <family val="3"/>
            <charset val="129"/>
          </rPr>
          <t>통화는</t>
        </r>
        <r>
          <rPr>
            <b/>
            <sz val="9"/>
            <color indexed="81"/>
            <rFont val="Tahoma"/>
            <family val="2"/>
          </rPr>
          <t xml:space="preserve"> EUR</t>
        </r>
        <r>
          <rPr>
            <b/>
            <sz val="9"/>
            <color indexed="81"/>
            <rFont val="돋움"/>
            <family val="3"/>
            <charset val="129"/>
          </rPr>
          <t>이나</t>
        </r>
        <r>
          <rPr>
            <b/>
            <sz val="9"/>
            <color indexed="81"/>
            <rFont val="Tahoma"/>
            <family val="2"/>
          </rPr>
          <t xml:space="preserve"> </t>
        </r>
        <r>
          <rPr>
            <b/>
            <sz val="9"/>
            <color indexed="81"/>
            <rFont val="돋움"/>
            <family val="3"/>
            <charset val="129"/>
          </rPr>
          <t>실제로</t>
        </r>
        <r>
          <rPr>
            <b/>
            <sz val="9"/>
            <color indexed="81"/>
            <rFont val="Tahoma"/>
            <family val="2"/>
          </rPr>
          <t xml:space="preserve"> </t>
        </r>
        <r>
          <rPr>
            <b/>
            <sz val="9"/>
            <color indexed="81"/>
            <rFont val="돋움"/>
            <family val="3"/>
            <charset val="129"/>
          </rPr>
          <t>진행되는</t>
        </r>
        <r>
          <rPr>
            <b/>
            <sz val="9"/>
            <color indexed="81"/>
            <rFont val="Tahoma"/>
            <family val="2"/>
          </rPr>
          <t xml:space="preserve"> </t>
        </r>
        <r>
          <rPr>
            <b/>
            <sz val="9"/>
            <color indexed="81"/>
            <rFont val="돋움"/>
            <family val="3"/>
            <charset val="129"/>
          </rPr>
          <t>계약</t>
        </r>
        <r>
          <rPr>
            <b/>
            <sz val="9"/>
            <color indexed="81"/>
            <rFont val="Tahoma"/>
            <family val="2"/>
          </rPr>
          <t xml:space="preserve"> </t>
        </r>
        <r>
          <rPr>
            <b/>
            <sz val="9"/>
            <color indexed="81"/>
            <rFont val="돋움"/>
            <family val="3"/>
            <charset val="129"/>
          </rPr>
          <t>종류는</t>
        </r>
        <r>
          <rPr>
            <b/>
            <sz val="9"/>
            <color indexed="81"/>
            <rFont val="Tahoma"/>
            <family val="2"/>
          </rPr>
          <t xml:space="preserve"> </t>
        </r>
        <r>
          <rPr>
            <b/>
            <sz val="9"/>
            <color indexed="81"/>
            <rFont val="돋움"/>
            <family val="3"/>
            <charset val="129"/>
          </rPr>
          <t xml:space="preserve">내자임
</t>
        </r>
        <r>
          <rPr>
            <b/>
            <sz val="9"/>
            <color indexed="81"/>
            <rFont val="Tahoma"/>
            <family val="2"/>
          </rPr>
          <t>(</t>
        </r>
        <r>
          <rPr>
            <b/>
            <sz val="9"/>
            <color indexed="81"/>
            <rFont val="돋움"/>
            <family val="3"/>
            <charset val="129"/>
          </rPr>
          <t>수입시</t>
        </r>
        <r>
          <rPr>
            <b/>
            <sz val="9"/>
            <color indexed="81"/>
            <rFont val="Tahoma"/>
            <family val="2"/>
          </rPr>
          <t xml:space="preserve"> Consignee : </t>
        </r>
        <r>
          <rPr>
            <b/>
            <sz val="9"/>
            <color indexed="81"/>
            <rFont val="돋움"/>
            <family val="3"/>
            <charset val="129"/>
          </rPr>
          <t>오션테크</t>
        </r>
        <r>
          <rPr>
            <b/>
            <sz val="9"/>
            <color indexed="81"/>
            <rFont val="Tahoma"/>
            <family val="2"/>
          </rPr>
          <t>)</t>
        </r>
      </text>
    </comment>
    <comment ref="L16" authorId="1" shapeId="0" xr:uid="{00000000-0006-0000-0000-00000D000000}">
      <text>
        <r>
          <rPr>
            <b/>
            <sz val="9"/>
            <color indexed="81"/>
            <rFont val="Tahoma"/>
            <family val="2"/>
          </rPr>
          <t>Temp:</t>
        </r>
        <r>
          <rPr>
            <sz val="9"/>
            <color indexed="81"/>
            <rFont val="Tahoma"/>
            <family val="2"/>
          </rPr>
          <t xml:space="preserve">
EUR 84,035*1,364.4
=114,657,354</t>
        </r>
        <r>
          <rPr>
            <sz val="9"/>
            <color indexed="81"/>
            <rFont val="돋움"/>
            <family val="3"/>
            <charset val="129"/>
          </rPr>
          <t>원</t>
        </r>
      </text>
    </comment>
    <comment ref="L19" authorId="1" shapeId="0" xr:uid="{00000000-0006-0000-0000-00000E000000}">
      <text>
        <r>
          <rPr>
            <b/>
            <sz val="9"/>
            <color indexed="81"/>
            <rFont val="Tahoma"/>
            <family val="2"/>
          </rPr>
          <t>Temp:</t>
        </r>
        <r>
          <rPr>
            <sz val="9"/>
            <color indexed="81"/>
            <rFont val="Tahoma"/>
            <family val="2"/>
          </rPr>
          <t xml:space="preserve">
1/22 </t>
        </r>
        <r>
          <rPr>
            <sz val="9"/>
            <color indexed="81"/>
            <rFont val="돋움"/>
            <family val="3"/>
            <charset val="129"/>
          </rPr>
          <t>자부담금</t>
        </r>
        <r>
          <rPr>
            <sz val="9"/>
            <color indexed="81"/>
            <rFont val="Tahoma"/>
            <family val="2"/>
          </rPr>
          <t xml:space="preserve"> 
1,000</t>
        </r>
        <r>
          <rPr>
            <sz val="9"/>
            <color indexed="81"/>
            <rFont val="돋움"/>
            <family val="3"/>
            <charset val="129"/>
          </rPr>
          <t>만원</t>
        </r>
        <r>
          <rPr>
            <sz val="9"/>
            <color indexed="81"/>
            <rFont val="Tahoma"/>
            <family val="2"/>
          </rPr>
          <t xml:space="preserve"> </t>
        </r>
        <r>
          <rPr>
            <sz val="9"/>
            <color indexed="81"/>
            <rFont val="돋움"/>
            <family val="3"/>
            <charset val="129"/>
          </rPr>
          <t xml:space="preserve">발급
</t>
        </r>
        <r>
          <rPr>
            <sz val="9"/>
            <color indexed="81"/>
            <rFont val="Tahoma"/>
            <family val="2"/>
          </rPr>
          <t xml:space="preserve">1/26 </t>
        </r>
        <r>
          <rPr>
            <sz val="9"/>
            <color indexed="81"/>
            <rFont val="돋움"/>
            <family val="3"/>
            <charset val="129"/>
          </rPr>
          <t>보험사분</t>
        </r>
        <r>
          <rPr>
            <sz val="9"/>
            <color indexed="81"/>
            <rFont val="Tahoma"/>
            <family val="2"/>
          </rPr>
          <t xml:space="preserve"> </t>
        </r>
        <r>
          <rPr>
            <sz val="9"/>
            <color indexed="81"/>
            <rFont val="돋움"/>
            <family val="3"/>
            <charset val="129"/>
          </rPr>
          <t xml:space="preserve">발급
</t>
        </r>
        <r>
          <rPr>
            <sz val="9"/>
            <color indexed="81"/>
            <rFont val="Tahoma"/>
            <family val="2"/>
          </rPr>
          <t>32,150,757</t>
        </r>
        <r>
          <rPr>
            <sz val="9"/>
            <color indexed="81"/>
            <rFont val="돋움"/>
            <family val="3"/>
            <charset val="129"/>
          </rPr>
          <t>원</t>
        </r>
      </text>
    </comment>
    <comment ref="M19" authorId="1" shapeId="0" xr:uid="{00000000-0006-0000-0000-00000F000000}">
      <text>
        <r>
          <rPr>
            <b/>
            <sz val="9"/>
            <color indexed="81"/>
            <rFont val="Tahoma"/>
            <family val="2"/>
          </rPr>
          <t>Temp:</t>
        </r>
        <r>
          <rPr>
            <sz val="9"/>
            <color indexed="81"/>
            <rFont val="Tahoma"/>
            <family val="2"/>
          </rPr>
          <t xml:space="preserve">
1/26 </t>
        </r>
        <r>
          <rPr>
            <sz val="9"/>
            <color indexed="81"/>
            <rFont val="돋움"/>
            <family val="3"/>
            <charset val="129"/>
          </rPr>
          <t>자부담금</t>
        </r>
        <r>
          <rPr>
            <sz val="9"/>
            <color indexed="81"/>
            <rFont val="Tahoma"/>
            <family val="2"/>
          </rPr>
          <t xml:space="preserve"> </t>
        </r>
        <r>
          <rPr>
            <sz val="9"/>
            <color indexed="81"/>
            <rFont val="돋움"/>
            <family val="3"/>
            <charset val="129"/>
          </rPr>
          <t xml:space="preserve">입금
</t>
        </r>
        <r>
          <rPr>
            <sz val="9"/>
            <color indexed="81"/>
            <rFont val="Tahoma"/>
            <family val="2"/>
          </rPr>
          <t xml:space="preserve">1/27 </t>
        </r>
        <r>
          <rPr>
            <sz val="9"/>
            <color indexed="81"/>
            <rFont val="돋움"/>
            <family val="3"/>
            <charset val="129"/>
          </rPr>
          <t>보험사분</t>
        </r>
        <r>
          <rPr>
            <sz val="9"/>
            <color indexed="81"/>
            <rFont val="Tahoma"/>
            <family val="2"/>
          </rPr>
          <t xml:space="preserve"> </t>
        </r>
        <r>
          <rPr>
            <sz val="9"/>
            <color indexed="81"/>
            <rFont val="돋움"/>
            <family val="3"/>
            <charset val="129"/>
          </rPr>
          <t>입금</t>
        </r>
      </text>
    </comment>
    <comment ref="L20" authorId="1" shapeId="0" xr:uid="{00000000-0006-0000-0000-000010000000}">
      <text>
        <r>
          <rPr>
            <b/>
            <sz val="9"/>
            <color indexed="81"/>
            <rFont val="Tahoma"/>
            <family val="2"/>
          </rPr>
          <t>Temp:</t>
        </r>
        <r>
          <rPr>
            <sz val="9"/>
            <color indexed="81"/>
            <rFont val="Tahoma"/>
            <family val="2"/>
          </rPr>
          <t xml:space="preserve">
1/22 </t>
        </r>
        <r>
          <rPr>
            <sz val="9"/>
            <color indexed="81"/>
            <rFont val="돋움"/>
            <family val="3"/>
            <charset val="129"/>
          </rPr>
          <t>자부담금</t>
        </r>
        <r>
          <rPr>
            <sz val="9"/>
            <color indexed="81"/>
            <rFont val="Tahoma"/>
            <family val="2"/>
          </rPr>
          <t xml:space="preserve"> 
1,000</t>
        </r>
        <r>
          <rPr>
            <sz val="9"/>
            <color indexed="81"/>
            <rFont val="돋움"/>
            <family val="3"/>
            <charset val="129"/>
          </rPr>
          <t>만원</t>
        </r>
        <r>
          <rPr>
            <sz val="9"/>
            <color indexed="81"/>
            <rFont val="Tahoma"/>
            <family val="2"/>
          </rPr>
          <t xml:space="preserve"> </t>
        </r>
        <r>
          <rPr>
            <sz val="9"/>
            <color indexed="81"/>
            <rFont val="돋움"/>
            <family val="3"/>
            <charset val="129"/>
          </rPr>
          <t xml:space="preserve">발급
</t>
        </r>
        <r>
          <rPr>
            <sz val="9"/>
            <color indexed="81"/>
            <rFont val="Tahoma"/>
            <family val="2"/>
          </rPr>
          <t xml:space="preserve">1/27 </t>
        </r>
        <r>
          <rPr>
            <sz val="9"/>
            <color indexed="81"/>
            <rFont val="돋움"/>
            <family val="3"/>
            <charset val="129"/>
          </rPr>
          <t xml:space="preserve">보험사분
</t>
        </r>
        <r>
          <rPr>
            <sz val="9"/>
            <color indexed="81"/>
            <rFont val="Tahoma"/>
            <family val="2"/>
          </rPr>
          <t>118,912,880</t>
        </r>
        <r>
          <rPr>
            <sz val="9"/>
            <color indexed="81"/>
            <rFont val="돋움"/>
            <family val="3"/>
            <charset val="129"/>
          </rPr>
          <t>원</t>
        </r>
        <r>
          <rPr>
            <sz val="9"/>
            <color indexed="81"/>
            <rFont val="Tahoma"/>
            <family val="2"/>
          </rPr>
          <t xml:space="preserve"> </t>
        </r>
        <r>
          <rPr>
            <sz val="9"/>
            <color indexed="81"/>
            <rFont val="돋움"/>
            <family val="3"/>
            <charset val="129"/>
          </rPr>
          <t>발급</t>
        </r>
      </text>
    </comment>
    <comment ref="M20" authorId="1" shapeId="0" xr:uid="{00000000-0006-0000-0000-000011000000}">
      <text>
        <r>
          <rPr>
            <b/>
            <sz val="9"/>
            <color indexed="81"/>
            <rFont val="Tahoma"/>
            <family val="2"/>
          </rPr>
          <t>Temp:</t>
        </r>
        <r>
          <rPr>
            <sz val="9"/>
            <color indexed="81"/>
            <rFont val="Tahoma"/>
            <family val="2"/>
          </rPr>
          <t xml:space="preserve">
1/26 </t>
        </r>
        <r>
          <rPr>
            <sz val="9"/>
            <color indexed="81"/>
            <rFont val="돋움"/>
            <family val="3"/>
            <charset val="129"/>
          </rPr>
          <t>자부담금</t>
        </r>
        <r>
          <rPr>
            <sz val="9"/>
            <color indexed="81"/>
            <rFont val="Tahoma"/>
            <family val="2"/>
          </rPr>
          <t xml:space="preserve"> </t>
        </r>
        <r>
          <rPr>
            <sz val="9"/>
            <color indexed="81"/>
            <rFont val="돋움"/>
            <family val="3"/>
            <charset val="129"/>
          </rPr>
          <t xml:space="preserve">입금
</t>
        </r>
        <r>
          <rPr>
            <sz val="9"/>
            <color indexed="81"/>
            <rFont val="Tahoma"/>
            <family val="2"/>
          </rPr>
          <t xml:space="preserve">1/27 </t>
        </r>
        <r>
          <rPr>
            <sz val="9"/>
            <color indexed="81"/>
            <rFont val="돋움"/>
            <family val="3"/>
            <charset val="129"/>
          </rPr>
          <t>보험사분</t>
        </r>
        <r>
          <rPr>
            <sz val="9"/>
            <color indexed="81"/>
            <rFont val="Tahoma"/>
            <family val="2"/>
          </rPr>
          <t xml:space="preserve"> </t>
        </r>
        <r>
          <rPr>
            <sz val="9"/>
            <color indexed="81"/>
            <rFont val="돋움"/>
            <family val="3"/>
            <charset val="129"/>
          </rPr>
          <t>입금</t>
        </r>
      </text>
    </comment>
    <comment ref="L21" authorId="1" shapeId="0" xr:uid="{00000000-0006-0000-0000-000012000000}">
      <text>
        <r>
          <rPr>
            <b/>
            <sz val="9"/>
            <color indexed="81"/>
            <rFont val="Tahoma"/>
            <family val="2"/>
          </rPr>
          <t>Temp:</t>
        </r>
        <r>
          <rPr>
            <sz val="9"/>
            <color indexed="81"/>
            <rFont val="Tahoma"/>
            <family val="2"/>
          </rPr>
          <t xml:space="preserve">
1/22 </t>
        </r>
        <r>
          <rPr>
            <sz val="9"/>
            <color indexed="81"/>
            <rFont val="돋움"/>
            <family val="3"/>
            <charset val="129"/>
          </rPr>
          <t>자부담금</t>
        </r>
        <r>
          <rPr>
            <sz val="9"/>
            <color indexed="81"/>
            <rFont val="Tahoma"/>
            <family val="2"/>
          </rPr>
          <t xml:space="preserve"> 
1,000</t>
        </r>
        <r>
          <rPr>
            <sz val="9"/>
            <color indexed="81"/>
            <rFont val="돋움"/>
            <family val="3"/>
            <charset val="129"/>
          </rPr>
          <t>만원</t>
        </r>
        <r>
          <rPr>
            <sz val="9"/>
            <color indexed="81"/>
            <rFont val="Tahoma"/>
            <family val="2"/>
          </rPr>
          <t xml:space="preserve"> </t>
        </r>
        <r>
          <rPr>
            <sz val="9"/>
            <color indexed="81"/>
            <rFont val="돋움"/>
            <family val="3"/>
            <charset val="129"/>
          </rPr>
          <t xml:space="preserve">발급
</t>
        </r>
        <r>
          <rPr>
            <sz val="9"/>
            <color indexed="81"/>
            <rFont val="Tahoma"/>
            <family val="2"/>
          </rPr>
          <t xml:space="preserve">1/26 </t>
        </r>
        <r>
          <rPr>
            <sz val="9"/>
            <color indexed="81"/>
            <rFont val="돋움"/>
            <family val="3"/>
            <charset val="129"/>
          </rPr>
          <t xml:space="preserve">보험사분
</t>
        </r>
        <r>
          <rPr>
            <sz val="9"/>
            <color indexed="81"/>
            <rFont val="Tahoma"/>
            <family val="2"/>
          </rPr>
          <t>12,861,650</t>
        </r>
        <r>
          <rPr>
            <sz val="9"/>
            <color indexed="81"/>
            <rFont val="돋움"/>
            <family val="3"/>
            <charset val="129"/>
          </rPr>
          <t>원</t>
        </r>
        <r>
          <rPr>
            <sz val="9"/>
            <color indexed="81"/>
            <rFont val="Tahoma"/>
            <family val="2"/>
          </rPr>
          <t xml:space="preserve"> </t>
        </r>
        <r>
          <rPr>
            <sz val="9"/>
            <color indexed="81"/>
            <rFont val="돋움"/>
            <family val="3"/>
            <charset val="129"/>
          </rPr>
          <t>발급</t>
        </r>
      </text>
    </comment>
    <comment ref="M21" authorId="1" shapeId="0" xr:uid="{00000000-0006-0000-0000-000013000000}">
      <text>
        <r>
          <rPr>
            <b/>
            <sz val="9"/>
            <color indexed="81"/>
            <rFont val="Tahoma"/>
            <family val="2"/>
          </rPr>
          <t>Temp:</t>
        </r>
        <r>
          <rPr>
            <sz val="9"/>
            <color indexed="81"/>
            <rFont val="Tahoma"/>
            <family val="2"/>
          </rPr>
          <t xml:space="preserve">
1/26 </t>
        </r>
        <r>
          <rPr>
            <sz val="9"/>
            <color indexed="81"/>
            <rFont val="돋움"/>
            <family val="3"/>
            <charset val="129"/>
          </rPr>
          <t>자부담금
보험사분</t>
        </r>
        <r>
          <rPr>
            <sz val="9"/>
            <color indexed="81"/>
            <rFont val="Tahoma"/>
            <family val="2"/>
          </rPr>
          <t xml:space="preserve"> </t>
        </r>
        <r>
          <rPr>
            <sz val="9"/>
            <color indexed="81"/>
            <rFont val="돋움"/>
            <family val="3"/>
            <charset val="129"/>
          </rPr>
          <t>입금</t>
        </r>
      </text>
    </comment>
    <comment ref="L26" authorId="1" shapeId="0" xr:uid="{00000000-0006-0000-0000-000014000000}">
      <text>
        <r>
          <rPr>
            <b/>
            <sz val="9"/>
            <color indexed="81"/>
            <rFont val="Tahoma"/>
            <family val="2"/>
          </rPr>
          <t>Temp:</t>
        </r>
        <r>
          <rPr>
            <sz val="9"/>
            <color indexed="81"/>
            <rFont val="Tahoma"/>
            <family val="2"/>
          </rPr>
          <t xml:space="preserve">
12/6 </t>
        </r>
        <r>
          <rPr>
            <sz val="9"/>
            <color indexed="81"/>
            <rFont val="돋움"/>
            <family val="3"/>
            <charset val="129"/>
          </rPr>
          <t xml:space="preserve">청구
</t>
        </r>
        <r>
          <rPr>
            <sz val="9"/>
            <color indexed="81"/>
            <rFont val="Tahoma"/>
            <family val="2"/>
          </rPr>
          <t xml:space="preserve">12/10 </t>
        </r>
        <r>
          <rPr>
            <sz val="9"/>
            <color indexed="81"/>
            <rFont val="돋움"/>
            <family val="3"/>
            <charset val="129"/>
          </rPr>
          <t xml:space="preserve">취소발급
</t>
        </r>
        <r>
          <rPr>
            <sz val="9"/>
            <color indexed="81"/>
            <rFont val="Tahoma"/>
            <family val="2"/>
          </rPr>
          <t xml:space="preserve">KIOST </t>
        </r>
        <r>
          <rPr>
            <sz val="9"/>
            <color indexed="81"/>
            <rFont val="돋움"/>
            <family val="3"/>
            <charset val="129"/>
          </rPr>
          <t xml:space="preserve">계정문제
</t>
        </r>
        <r>
          <rPr>
            <sz val="9"/>
            <color indexed="81"/>
            <rFont val="Tahoma"/>
            <family val="2"/>
          </rPr>
          <t xml:space="preserve">12/15 </t>
        </r>
        <r>
          <rPr>
            <sz val="9"/>
            <color indexed="81"/>
            <rFont val="돋움"/>
            <family val="3"/>
            <charset val="129"/>
          </rPr>
          <t>재발급</t>
        </r>
      </text>
    </comment>
    <comment ref="L28" authorId="1" shapeId="0" xr:uid="{00000000-0006-0000-0000-000015000000}">
      <text>
        <r>
          <rPr>
            <b/>
            <sz val="9"/>
            <color indexed="81"/>
            <rFont val="Tahoma"/>
            <family val="2"/>
          </rPr>
          <t>Temp:</t>
        </r>
        <r>
          <rPr>
            <sz val="9"/>
            <color indexed="81"/>
            <rFont val="Tahoma"/>
            <family val="2"/>
          </rPr>
          <t xml:space="preserve">
3/29 </t>
        </r>
        <r>
          <rPr>
            <sz val="9"/>
            <color indexed="81"/>
            <rFont val="돋움"/>
            <family val="3"/>
            <charset val="129"/>
          </rPr>
          <t>선금</t>
        </r>
        <r>
          <rPr>
            <sz val="9"/>
            <color indexed="81"/>
            <rFont val="Tahoma"/>
            <family val="2"/>
          </rPr>
          <t xml:space="preserve"> </t>
        </r>
        <r>
          <rPr>
            <sz val="9"/>
            <color indexed="81"/>
            <rFont val="돋움"/>
            <family val="3"/>
            <charset val="129"/>
          </rPr>
          <t xml:space="preserve">발급
</t>
        </r>
        <r>
          <rPr>
            <sz val="9"/>
            <color indexed="81"/>
            <rFont val="Tahoma"/>
            <family val="2"/>
          </rPr>
          <t xml:space="preserve">\50,000,000
4/29 </t>
        </r>
        <r>
          <rPr>
            <sz val="9"/>
            <color indexed="81"/>
            <rFont val="돋움"/>
            <family val="3"/>
            <charset val="129"/>
          </rPr>
          <t>잔금</t>
        </r>
        <r>
          <rPr>
            <sz val="9"/>
            <color indexed="81"/>
            <rFont val="Tahoma"/>
            <family val="2"/>
          </rPr>
          <t xml:space="preserve"> </t>
        </r>
        <r>
          <rPr>
            <sz val="9"/>
            <color indexed="81"/>
            <rFont val="돋움"/>
            <family val="3"/>
            <charset val="129"/>
          </rPr>
          <t xml:space="preserve">발급
</t>
        </r>
        <r>
          <rPr>
            <sz val="9"/>
            <color indexed="81"/>
            <rFont val="Tahoma"/>
            <family val="2"/>
          </rPr>
          <t>\327,454,000</t>
        </r>
      </text>
    </comment>
    <comment ref="M28" authorId="1" shapeId="0" xr:uid="{00000000-0006-0000-0000-000016000000}">
      <text>
        <r>
          <rPr>
            <b/>
            <sz val="9"/>
            <color indexed="81"/>
            <rFont val="Tahoma"/>
            <family val="2"/>
          </rPr>
          <t>Temp:</t>
        </r>
        <r>
          <rPr>
            <sz val="9"/>
            <color indexed="81"/>
            <rFont val="Tahoma"/>
            <family val="2"/>
          </rPr>
          <t xml:space="preserve">
3/29 </t>
        </r>
        <r>
          <rPr>
            <sz val="9"/>
            <color indexed="81"/>
            <rFont val="돋움"/>
            <family val="3"/>
            <charset val="129"/>
          </rPr>
          <t>선금</t>
        </r>
        <r>
          <rPr>
            <sz val="9"/>
            <color indexed="81"/>
            <rFont val="Tahoma"/>
            <family val="2"/>
          </rPr>
          <t xml:space="preserve"> </t>
        </r>
        <r>
          <rPr>
            <sz val="9"/>
            <color indexed="81"/>
            <rFont val="돋움"/>
            <family val="3"/>
            <charset val="129"/>
          </rPr>
          <t xml:space="preserve">입금
</t>
        </r>
        <r>
          <rPr>
            <sz val="9"/>
            <color indexed="81"/>
            <rFont val="Tahoma"/>
            <family val="2"/>
          </rPr>
          <t xml:space="preserve">\50,000,000
5/3 </t>
        </r>
        <r>
          <rPr>
            <sz val="9"/>
            <color indexed="81"/>
            <rFont val="돋움"/>
            <family val="3"/>
            <charset val="129"/>
          </rPr>
          <t>잔금</t>
        </r>
        <r>
          <rPr>
            <sz val="9"/>
            <color indexed="81"/>
            <rFont val="Tahoma"/>
            <family val="2"/>
          </rPr>
          <t xml:space="preserve"> </t>
        </r>
        <r>
          <rPr>
            <sz val="9"/>
            <color indexed="81"/>
            <rFont val="돋움"/>
            <family val="3"/>
            <charset val="129"/>
          </rPr>
          <t xml:space="preserve">입금
</t>
        </r>
        <r>
          <rPr>
            <sz val="9"/>
            <color indexed="81"/>
            <rFont val="Tahoma"/>
            <family val="2"/>
          </rPr>
          <t>\325,454,000</t>
        </r>
      </text>
    </comment>
    <comment ref="L29" authorId="1" shapeId="0" xr:uid="{00000000-0006-0000-0000-000017000000}">
      <text>
        <r>
          <rPr>
            <b/>
            <sz val="9"/>
            <color indexed="81"/>
            <rFont val="Tahoma"/>
            <family val="2"/>
          </rPr>
          <t>Temp:</t>
        </r>
        <r>
          <rPr>
            <sz val="9"/>
            <color indexed="81"/>
            <rFont val="Tahoma"/>
            <family val="2"/>
          </rPr>
          <t xml:space="preserve">
1/27 1</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\2,893,000
2/24 2</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3/29 3</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4/19 4</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5/26 5</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6/15 6</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7/22 7</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8/11 8</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9/26 9</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10/25 10</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11/18 11</t>
        </r>
        <r>
          <rPr>
            <sz val="9"/>
            <color indexed="81"/>
            <rFont val="돋움"/>
            <family val="3"/>
            <charset val="129"/>
          </rPr>
          <t>월분</t>
        </r>
        <r>
          <rPr>
            <sz val="9"/>
            <color indexed="81"/>
            <rFont val="Tahoma"/>
            <family val="2"/>
          </rPr>
          <t xml:space="preserve"> </t>
        </r>
        <r>
          <rPr>
            <sz val="9"/>
            <color indexed="81"/>
            <rFont val="돋움"/>
            <family val="3"/>
            <charset val="129"/>
          </rPr>
          <t xml:space="preserve">청구
</t>
        </r>
        <r>
          <rPr>
            <sz val="9"/>
            <color indexed="81"/>
            <rFont val="Tahoma"/>
            <family val="2"/>
          </rPr>
          <t>12/9 12</t>
        </r>
        <r>
          <rPr>
            <sz val="9"/>
            <color indexed="81"/>
            <rFont val="돋움"/>
            <family val="3"/>
            <charset val="129"/>
          </rPr>
          <t>월</t>
        </r>
        <r>
          <rPr>
            <sz val="9"/>
            <color indexed="81"/>
            <rFont val="Tahoma"/>
            <family val="2"/>
          </rPr>
          <t xml:space="preserve"> </t>
        </r>
        <r>
          <rPr>
            <sz val="9"/>
            <color indexed="81"/>
            <rFont val="돋움"/>
            <family val="3"/>
            <charset val="129"/>
          </rPr>
          <t>청구</t>
        </r>
      </text>
    </comment>
    <comment ref="M29" authorId="1" shapeId="0" xr:uid="{00000000-0006-0000-0000-000018000000}">
      <text>
        <r>
          <rPr>
            <b/>
            <sz val="9"/>
            <color indexed="81"/>
            <rFont val="Tahoma"/>
            <family val="2"/>
          </rPr>
          <t>Temp:</t>
        </r>
        <r>
          <rPr>
            <sz val="9"/>
            <color indexed="81"/>
            <rFont val="Tahoma"/>
            <family val="2"/>
          </rPr>
          <t xml:space="preserve">
2/6 1</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3/2 2</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3/10 3</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4/21 4</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6/8 5</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7/22 6</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9/15 7</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9/17 8</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10/29 9,10</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11/25 11</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22</t>
        </r>
        <r>
          <rPr>
            <sz val="9"/>
            <color indexed="81"/>
            <rFont val="돋움"/>
            <family val="3"/>
            <charset val="129"/>
          </rPr>
          <t>년</t>
        </r>
        <r>
          <rPr>
            <sz val="9"/>
            <color indexed="81"/>
            <rFont val="Tahoma"/>
            <family val="2"/>
          </rPr>
          <t xml:space="preserve"> 1/14 12</t>
        </r>
        <r>
          <rPr>
            <sz val="9"/>
            <color indexed="81"/>
            <rFont val="돋움"/>
            <family val="3"/>
            <charset val="129"/>
          </rPr>
          <t>월분</t>
        </r>
        <r>
          <rPr>
            <sz val="9"/>
            <color indexed="81"/>
            <rFont val="Tahoma"/>
            <family val="2"/>
          </rPr>
          <t xml:space="preserve"> </t>
        </r>
        <r>
          <rPr>
            <sz val="9"/>
            <color indexed="81"/>
            <rFont val="돋움"/>
            <family val="3"/>
            <charset val="129"/>
          </rPr>
          <t>입금</t>
        </r>
      </text>
    </comment>
    <comment ref="L30" authorId="3" shapeId="0" xr:uid="{00000000-0006-0000-0000-000019000000}">
      <text>
        <r>
          <rPr>
            <b/>
            <sz val="9"/>
            <color indexed="81"/>
            <rFont val="돋움"/>
            <family val="3"/>
            <charset val="129"/>
          </rPr>
          <t>박고은</t>
        </r>
        <r>
          <rPr>
            <b/>
            <sz val="9"/>
            <color indexed="81"/>
            <rFont val="Tahoma"/>
            <family val="2"/>
          </rPr>
          <t>:</t>
        </r>
        <r>
          <rPr>
            <sz val="9"/>
            <color indexed="81"/>
            <rFont val="Tahoma"/>
            <family val="2"/>
          </rPr>
          <t xml:space="preserve">
5/6 </t>
        </r>
        <r>
          <rPr>
            <sz val="9"/>
            <color indexed="81"/>
            <rFont val="돋움"/>
            <family val="3"/>
            <charset val="129"/>
          </rPr>
          <t>발급분</t>
        </r>
        <r>
          <rPr>
            <sz val="9"/>
            <color indexed="81"/>
            <rFont val="Tahoma"/>
            <family val="2"/>
          </rPr>
          <t xml:space="preserve"> </t>
        </r>
        <r>
          <rPr>
            <sz val="9"/>
            <color indexed="81"/>
            <rFont val="돋움"/>
            <family val="3"/>
            <charset val="129"/>
          </rPr>
          <t xml:space="preserve">취소
</t>
        </r>
        <r>
          <rPr>
            <sz val="9"/>
            <color indexed="81"/>
            <rFont val="Tahoma"/>
            <family val="2"/>
          </rPr>
          <t xml:space="preserve">-&gt;6/8 
#21-179 </t>
        </r>
        <r>
          <rPr>
            <sz val="9"/>
            <color indexed="81"/>
            <rFont val="돋움"/>
            <family val="3"/>
            <charset val="129"/>
          </rPr>
          <t>미래해양과</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발급</t>
        </r>
        <r>
          <rPr>
            <sz val="9"/>
            <color indexed="81"/>
            <rFont val="Tahoma"/>
            <family val="2"/>
          </rPr>
          <t xml:space="preserve"> \35,992,000</t>
        </r>
        <r>
          <rPr>
            <sz val="9"/>
            <color indexed="81"/>
            <rFont val="돋움"/>
            <family val="3"/>
            <charset val="129"/>
          </rPr>
          <t xml:space="preserve">
</t>
        </r>
      </text>
    </comment>
    <comment ref="L37" authorId="1" shapeId="0" xr:uid="{00000000-0006-0000-0000-00001A000000}">
      <text>
        <r>
          <rPr>
            <b/>
            <sz val="9"/>
            <color indexed="81"/>
            <rFont val="Tahoma"/>
            <family val="2"/>
          </rPr>
          <t>Temp:</t>
        </r>
        <r>
          <rPr>
            <sz val="9"/>
            <color indexed="81"/>
            <rFont val="Tahoma"/>
            <family val="2"/>
          </rPr>
          <t xml:space="preserve">
3/4 </t>
        </r>
        <r>
          <rPr>
            <sz val="9"/>
            <color indexed="81"/>
            <rFont val="돋움"/>
            <family val="3"/>
            <charset val="129"/>
          </rPr>
          <t xml:space="preserve">청구
</t>
        </r>
        <r>
          <rPr>
            <sz val="9"/>
            <color indexed="81"/>
            <rFont val="Tahoma"/>
            <family val="2"/>
          </rPr>
          <t xml:space="preserve">5/11 </t>
        </r>
        <r>
          <rPr>
            <sz val="9"/>
            <color indexed="81"/>
            <rFont val="돋움"/>
            <family val="3"/>
            <charset val="129"/>
          </rPr>
          <t xml:space="preserve">취소발급
</t>
        </r>
        <r>
          <rPr>
            <sz val="9"/>
            <color indexed="81"/>
            <rFont val="Tahoma"/>
            <family val="2"/>
          </rPr>
          <t>-&gt;5</t>
        </r>
        <r>
          <rPr>
            <sz val="9"/>
            <color indexed="81"/>
            <rFont val="돋움"/>
            <family val="3"/>
            <charset val="129"/>
          </rPr>
          <t>월말</t>
        </r>
        <r>
          <rPr>
            <sz val="9"/>
            <color indexed="81"/>
            <rFont val="Tahoma"/>
            <family val="2"/>
          </rPr>
          <t>~6</t>
        </r>
        <r>
          <rPr>
            <sz val="9"/>
            <color indexed="81"/>
            <rFont val="돋움"/>
            <family val="3"/>
            <charset val="129"/>
          </rPr>
          <t>월중</t>
        </r>
        <r>
          <rPr>
            <sz val="9"/>
            <color indexed="81"/>
            <rFont val="Tahoma"/>
            <family val="2"/>
          </rPr>
          <t xml:space="preserve"> </t>
        </r>
        <r>
          <rPr>
            <sz val="9"/>
            <color indexed="81"/>
            <rFont val="돋움"/>
            <family val="3"/>
            <charset val="129"/>
          </rPr>
          <t xml:space="preserve">청구예정
</t>
        </r>
        <r>
          <rPr>
            <sz val="9"/>
            <color indexed="81"/>
            <rFont val="Tahoma"/>
            <family val="2"/>
          </rPr>
          <t>(</t>
        </r>
        <r>
          <rPr>
            <sz val="9"/>
            <color indexed="81"/>
            <rFont val="돋움"/>
            <family val="3"/>
            <charset val="129"/>
          </rPr>
          <t>나눠서</t>
        </r>
        <r>
          <rPr>
            <sz val="9"/>
            <color indexed="81"/>
            <rFont val="Tahoma"/>
            <family val="2"/>
          </rPr>
          <t xml:space="preserve"> </t>
        </r>
        <r>
          <rPr>
            <sz val="9"/>
            <color indexed="81"/>
            <rFont val="돋움"/>
            <family val="3"/>
            <charset val="129"/>
          </rPr>
          <t>청구될수도</t>
        </r>
        <r>
          <rPr>
            <sz val="9"/>
            <color indexed="81"/>
            <rFont val="Tahoma"/>
            <family val="2"/>
          </rPr>
          <t xml:space="preserve"> </t>
        </r>
        <r>
          <rPr>
            <sz val="9"/>
            <color indexed="81"/>
            <rFont val="돋움"/>
            <family val="3"/>
            <charset val="129"/>
          </rPr>
          <t>있음</t>
        </r>
        <r>
          <rPr>
            <sz val="9"/>
            <color indexed="81"/>
            <rFont val="Tahoma"/>
            <family val="2"/>
          </rPr>
          <t>)
-&gt;300</t>
        </r>
        <r>
          <rPr>
            <sz val="9"/>
            <color indexed="81"/>
            <rFont val="돋움"/>
            <family val="3"/>
            <charset val="129"/>
          </rPr>
          <t>만원</t>
        </r>
        <r>
          <rPr>
            <sz val="9"/>
            <color indexed="81"/>
            <rFont val="Tahoma"/>
            <family val="2"/>
          </rPr>
          <t xml:space="preserve"> </t>
        </r>
        <r>
          <rPr>
            <sz val="9"/>
            <color indexed="81"/>
            <rFont val="돋움"/>
            <family val="3"/>
            <charset val="129"/>
          </rPr>
          <t>이상으로</t>
        </r>
        <r>
          <rPr>
            <sz val="9"/>
            <color indexed="81"/>
            <rFont val="Tahoma"/>
            <family val="2"/>
          </rPr>
          <t xml:space="preserve"> </t>
        </r>
        <r>
          <rPr>
            <sz val="9"/>
            <color indexed="81"/>
            <rFont val="돋움"/>
            <family val="3"/>
            <charset val="129"/>
          </rPr>
          <t>진행시
입찰방식으로</t>
        </r>
        <r>
          <rPr>
            <sz val="9"/>
            <color indexed="81"/>
            <rFont val="Tahoma"/>
            <family val="2"/>
          </rPr>
          <t xml:space="preserve"> </t>
        </r>
        <r>
          <rPr>
            <sz val="9"/>
            <color indexed="81"/>
            <rFont val="돋움"/>
            <family val="3"/>
            <charset val="129"/>
          </rPr>
          <t>진행해야</t>
        </r>
        <r>
          <rPr>
            <sz val="9"/>
            <color indexed="81"/>
            <rFont val="Tahoma"/>
            <family val="2"/>
          </rPr>
          <t xml:space="preserve"> </t>
        </r>
        <r>
          <rPr>
            <sz val="9"/>
            <color indexed="81"/>
            <rFont val="돋움"/>
            <family val="3"/>
            <charset val="129"/>
          </rPr>
          <t>해서</t>
        </r>
        <r>
          <rPr>
            <sz val="9"/>
            <color indexed="81"/>
            <rFont val="Tahoma"/>
            <family val="2"/>
          </rPr>
          <t xml:space="preserve"> 
</t>
        </r>
        <r>
          <rPr>
            <sz val="9"/>
            <color indexed="81"/>
            <rFont val="돋움"/>
            <family val="3"/>
            <charset val="129"/>
          </rPr>
          <t>금액을</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발급</t>
        </r>
        <r>
          <rPr>
            <sz val="9"/>
            <color indexed="81"/>
            <rFont val="Tahoma"/>
            <family val="2"/>
          </rPr>
          <t>(3</t>
        </r>
        <r>
          <rPr>
            <sz val="9"/>
            <color indexed="81"/>
            <rFont val="돋움"/>
            <family val="3"/>
            <charset val="129"/>
          </rPr>
          <t>건으로</t>
        </r>
        <r>
          <rPr>
            <sz val="9"/>
            <color indexed="81"/>
            <rFont val="Tahoma"/>
            <family val="2"/>
          </rPr>
          <t>..)
5/3 286</t>
        </r>
        <r>
          <rPr>
            <sz val="9"/>
            <color indexed="81"/>
            <rFont val="돋움"/>
            <family val="3"/>
            <charset val="129"/>
          </rPr>
          <t>만원</t>
        </r>
        <r>
          <rPr>
            <sz val="9"/>
            <color indexed="81"/>
            <rFont val="Tahoma"/>
            <family val="2"/>
          </rPr>
          <t>/</t>
        </r>
        <r>
          <rPr>
            <sz val="9"/>
            <color indexed="81"/>
            <rFont val="돋움"/>
            <family val="3"/>
            <charset val="129"/>
          </rPr>
          <t>제주대</t>
        </r>
        <r>
          <rPr>
            <sz val="9"/>
            <color indexed="81"/>
            <rFont val="Tahoma"/>
            <family val="2"/>
          </rPr>
          <t xml:space="preserve"> </t>
        </r>
        <r>
          <rPr>
            <sz val="9"/>
            <color indexed="81"/>
            <rFont val="돋움"/>
            <family val="3"/>
            <charset val="129"/>
          </rPr>
          <t>산협으로</t>
        </r>
        <r>
          <rPr>
            <sz val="9"/>
            <color indexed="81"/>
            <rFont val="Tahoma"/>
            <family val="2"/>
          </rPr>
          <t xml:space="preserve"> </t>
        </r>
        <r>
          <rPr>
            <sz val="9"/>
            <color indexed="81"/>
            <rFont val="돋움"/>
            <family val="3"/>
            <charset val="129"/>
          </rPr>
          <t>발급</t>
        </r>
      </text>
    </comment>
    <comment ref="L44" authorId="1" shapeId="0" xr:uid="{00000000-0006-0000-0000-00001B000000}">
      <text>
        <r>
          <rPr>
            <b/>
            <sz val="9"/>
            <color indexed="81"/>
            <rFont val="Tahoma"/>
            <family val="2"/>
          </rPr>
          <t>Temp:</t>
        </r>
        <r>
          <rPr>
            <sz val="9"/>
            <color indexed="81"/>
            <rFont val="Tahoma"/>
            <family val="2"/>
          </rPr>
          <t xml:space="preserve">
4/23 1</t>
        </r>
        <r>
          <rPr>
            <sz val="9"/>
            <color indexed="81"/>
            <rFont val="돋움"/>
            <family val="3"/>
            <charset val="129"/>
          </rPr>
          <t>차분</t>
        </r>
        <r>
          <rPr>
            <sz val="9"/>
            <color indexed="81"/>
            <rFont val="Tahoma"/>
            <family val="2"/>
          </rPr>
          <t xml:space="preserve"> </t>
        </r>
        <r>
          <rPr>
            <sz val="9"/>
            <color indexed="81"/>
            <rFont val="돋움"/>
            <family val="3"/>
            <charset val="129"/>
          </rPr>
          <t xml:space="preserve">청구
</t>
        </r>
        <r>
          <rPr>
            <sz val="9"/>
            <color indexed="81"/>
            <rFont val="Tahoma"/>
            <family val="2"/>
          </rPr>
          <t>\9,130,000
4/26 2</t>
        </r>
        <r>
          <rPr>
            <sz val="9"/>
            <color indexed="81"/>
            <rFont val="돋움"/>
            <family val="3"/>
            <charset val="129"/>
          </rPr>
          <t>차분</t>
        </r>
        <r>
          <rPr>
            <sz val="9"/>
            <color indexed="81"/>
            <rFont val="Tahoma"/>
            <family val="2"/>
          </rPr>
          <t xml:space="preserve"> </t>
        </r>
        <r>
          <rPr>
            <sz val="9"/>
            <color indexed="81"/>
            <rFont val="돋움"/>
            <family val="3"/>
            <charset val="129"/>
          </rPr>
          <t xml:space="preserve">청구
</t>
        </r>
        <r>
          <rPr>
            <sz val="9"/>
            <color indexed="81"/>
            <rFont val="Tahoma"/>
            <family val="2"/>
          </rPr>
          <t>\6,490,000</t>
        </r>
      </text>
    </comment>
    <comment ref="M44" authorId="1" shapeId="0" xr:uid="{00000000-0006-0000-0000-00001C000000}">
      <text>
        <r>
          <rPr>
            <b/>
            <sz val="9"/>
            <color indexed="81"/>
            <rFont val="Tahoma"/>
            <family val="2"/>
          </rPr>
          <t>Temp:</t>
        </r>
        <r>
          <rPr>
            <sz val="9"/>
            <color indexed="81"/>
            <rFont val="Tahoma"/>
            <family val="2"/>
          </rPr>
          <t xml:space="preserve">
5/7 1</t>
        </r>
        <r>
          <rPr>
            <sz val="9"/>
            <color indexed="81"/>
            <rFont val="돋움"/>
            <family val="3"/>
            <charset val="129"/>
          </rPr>
          <t xml:space="preserve">차분입금
</t>
        </r>
        <r>
          <rPr>
            <sz val="9"/>
            <color indexed="81"/>
            <rFont val="Tahoma"/>
            <family val="2"/>
          </rPr>
          <t>\9,130,000
5/7 2</t>
        </r>
        <r>
          <rPr>
            <sz val="9"/>
            <color indexed="81"/>
            <rFont val="돋움"/>
            <family val="3"/>
            <charset val="129"/>
          </rPr>
          <t xml:space="preserve">차분입금
</t>
        </r>
        <r>
          <rPr>
            <sz val="9"/>
            <color indexed="81"/>
            <rFont val="Tahoma"/>
            <family val="2"/>
          </rPr>
          <t>\6,490,000</t>
        </r>
      </text>
    </comment>
    <comment ref="E46" authorId="2" shapeId="0" xr:uid="{00000000-0006-0000-0000-00001D000000}">
      <text>
        <r>
          <rPr>
            <sz val="9"/>
            <color indexed="81"/>
            <rFont val="돋움"/>
            <family val="3"/>
            <charset val="129"/>
          </rPr>
          <t>실제 센서 및 물품은 '조사협회'에 2020년 10월 납품 완료하였으나, 보험복구로 진행되면서 실제 계산서 청구는  KHOA로 청구됨. 따라서 거래처를 KOHA로 표기함</t>
        </r>
        <r>
          <rPr>
            <sz val="9"/>
            <color indexed="81"/>
            <rFont val="Tahoma"/>
            <family val="2"/>
          </rPr>
          <t xml:space="preserve">
</t>
        </r>
      </text>
    </comment>
    <comment ref="L48" authorId="1" shapeId="0" xr:uid="{00000000-0006-0000-0000-00001E000000}">
      <text>
        <r>
          <rPr>
            <b/>
            <sz val="9"/>
            <color indexed="81"/>
            <rFont val="Tahoma"/>
            <family val="2"/>
          </rPr>
          <t>Temp:</t>
        </r>
        <r>
          <rPr>
            <sz val="9"/>
            <color indexed="81"/>
            <rFont val="Tahoma"/>
            <family val="2"/>
          </rPr>
          <t xml:space="preserve">
2/25 </t>
        </r>
        <r>
          <rPr>
            <sz val="9"/>
            <color indexed="81"/>
            <rFont val="돋움"/>
            <family val="3"/>
            <charset val="129"/>
          </rPr>
          <t>선금</t>
        </r>
        <r>
          <rPr>
            <sz val="9"/>
            <color indexed="81"/>
            <rFont val="Tahoma"/>
            <family val="2"/>
          </rPr>
          <t xml:space="preserve">80% </t>
        </r>
        <r>
          <rPr>
            <sz val="9"/>
            <color indexed="81"/>
            <rFont val="돋움"/>
            <family val="3"/>
            <charset val="129"/>
          </rPr>
          <t xml:space="preserve">발급
</t>
        </r>
        <r>
          <rPr>
            <sz val="9"/>
            <color indexed="81"/>
            <rFont val="Tahoma"/>
            <family val="2"/>
          </rPr>
          <t xml:space="preserve">\343,252,800
12/13 </t>
        </r>
        <r>
          <rPr>
            <sz val="9"/>
            <color indexed="81"/>
            <rFont val="돋움"/>
            <family val="3"/>
            <charset val="129"/>
          </rPr>
          <t>잔금</t>
        </r>
        <r>
          <rPr>
            <sz val="9"/>
            <color indexed="81"/>
            <rFont val="Tahoma"/>
            <family val="2"/>
          </rPr>
          <t xml:space="preserve">20% </t>
        </r>
        <r>
          <rPr>
            <sz val="9"/>
            <color indexed="81"/>
            <rFont val="돋움"/>
            <family val="3"/>
            <charset val="129"/>
          </rPr>
          <t xml:space="preserve">발급
</t>
        </r>
        <r>
          <rPr>
            <sz val="9"/>
            <color indexed="81"/>
            <rFont val="Tahoma"/>
            <family val="2"/>
          </rPr>
          <t>\85,813,200</t>
        </r>
      </text>
    </comment>
    <comment ref="M48" authorId="1" shapeId="0" xr:uid="{00000000-0006-0000-0000-00001F000000}">
      <text>
        <r>
          <rPr>
            <b/>
            <sz val="9"/>
            <color indexed="81"/>
            <rFont val="Tahoma"/>
            <family val="2"/>
          </rPr>
          <t>Temp:</t>
        </r>
        <r>
          <rPr>
            <sz val="9"/>
            <color indexed="81"/>
            <rFont val="Tahoma"/>
            <family val="2"/>
          </rPr>
          <t xml:space="preserve">
2/25 </t>
        </r>
        <r>
          <rPr>
            <sz val="9"/>
            <color indexed="81"/>
            <rFont val="돋움"/>
            <family val="3"/>
            <charset val="129"/>
          </rPr>
          <t>선금</t>
        </r>
        <r>
          <rPr>
            <sz val="9"/>
            <color indexed="81"/>
            <rFont val="Tahoma"/>
            <family val="2"/>
          </rPr>
          <t xml:space="preserve">80% </t>
        </r>
        <r>
          <rPr>
            <sz val="9"/>
            <color indexed="81"/>
            <rFont val="돋움"/>
            <family val="3"/>
            <charset val="129"/>
          </rPr>
          <t xml:space="preserve">입금
</t>
        </r>
        <r>
          <rPr>
            <sz val="9"/>
            <color indexed="81"/>
            <rFont val="Tahoma"/>
            <family val="2"/>
          </rPr>
          <t xml:space="preserve">\343,252,800
12/15 </t>
        </r>
        <r>
          <rPr>
            <sz val="9"/>
            <color indexed="81"/>
            <rFont val="돋움"/>
            <family val="3"/>
            <charset val="129"/>
          </rPr>
          <t>잔금</t>
        </r>
        <r>
          <rPr>
            <sz val="9"/>
            <color indexed="81"/>
            <rFont val="Tahoma"/>
            <family val="2"/>
          </rPr>
          <t xml:space="preserve">20% </t>
        </r>
        <r>
          <rPr>
            <sz val="9"/>
            <color indexed="81"/>
            <rFont val="돋움"/>
            <family val="3"/>
            <charset val="129"/>
          </rPr>
          <t xml:space="preserve">입금
</t>
        </r>
        <r>
          <rPr>
            <sz val="9"/>
            <color indexed="81"/>
            <rFont val="Tahoma"/>
            <family val="2"/>
          </rPr>
          <t>\85,813,200</t>
        </r>
      </text>
    </comment>
    <comment ref="L50" authorId="1" shapeId="0" xr:uid="{00000000-0006-0000-0000-000020000000}">
      <text>
        <r>
          <rPr>
            <b/>
            <sz val="9"/>
            <color indexed="81"/>
            <rFont val="Tahoma"/>
            <family val="2"/>
          </rPr>
          <t>Temp:</t>
        </r>
        <r>
          <rPr>
            <sz val="9"/>
            <color indexed="81"/>
            <rFont val="Tahoma"/>
            <family val="2"/>
          </rPr>
          <t xml:space="preserve">
</t>
        </r>
        <r>
          <rPr>
            <sz val="9"/>
            <color indexed="81"/>
            <rFont val="돋움"/>
            <family val="3"/>
            <charset val="129"/>
          </rPr>
          <t>자부담금</t>
        </r>
        <r>
          <rPr>
            <sz val="9"/>
            <color indexed="81"/>
            <rFont val="Tahoma"/>
            <family val="2"/>
          </rPr>
          <t xml:space="preserve"> \3,000,000
</t>
        </r>
        <r>
          <rPr>
            <sz val="9"/>
            <color indexed="81"/>
            <rFont val="돋움"/>
            <family val="3"/>
            <charset val="129"/>
          </rPr>
          <t>보험사분</t>
        </r>
        <r>
          <rPr>
            <sz val="9"/>
            <color indexed="81"/>
            <rFont val="Tahoma"/>
            <family val="2"/>
          </rPr>
          <t xml:space="preserve"> \21,750,000</t>
        </r>
      </text>
    </comment>
    <comment ref="M50" authorId="1" shapeId="0" xr:uid="{00000000-0006-0000-0000-000021000000}">
      <text>
        <r>
          <rPr>
            <b/>
            <sz val="9"/>
            <color indexed="81"/>
            <rFont val="Tahoma"/>
            <family val="2"/>
          </rPr>
          <t>Temp:</t>
        </r>
        <r>
          <rPr>
            <sz val="9"/>
            <color indexed="81"/>
            <rFont val="Tahoma"/>
            <family val="2"/>
          </rPr>
          <t xml:space="preserve">
3/8 </t>
        </r>
        <r>
          <rPr>
            <sz val="9"/>
            <color indexed="81"/>
            <rFont val="돋움"/>
            <family val="3"/>
            <charset val="129"/>
          </rPr>
          <t>자부담금</t>
        </r>
        <r>
          <rPr>
            <sz val="9"/>
            <color indexed="81"/>
            <rFont val="Tahoma"/>
            <family val="2"/>
          </rPr>
          <t xml:space="preserve"> 300</t>
        </r>
        <r>
          <rPr>
            <sz val="9"/>
            <color indexed="81"/>
            <rFont val="돋움"/>
            <family val="3"/>
            <charset val="129"/>
          </rPr>
          <t>만원</t>
        </r>
        <r>
          <rPr>
            <sz val="9"/>
            <color indexed="81"/>
            <rFont val="Tahoma"/>
            <family val="2"/>
          </rPr>
          <t xml:space="preserve"> </t>
        </r>
        <r>
          <rPr>
            <sz val="9"/>
            <color indexed="81"/>
            <rFont val="돋움"/>
            <family val="3"/>
            <charset val="129"/>
          </rPr>
          <t xml:space="preserve">입금
</t>
        </r>
        <r>
          <rPr>
            <sz val="9"/>
            <color indexed="81"/>
            <rFont val="Tahoma"/>
            <family val="2"/>
          </rPr>
          <t xml:space="preserve">3/12 </t>
        </r>
        <r>
          <rPr>
            <sz val="9"/>
            <color indexed="81"/>
            <rFont val="돋움"/>
            <family val="3"/>
            <charset val="129"/>
          </rPr>
          <t>보험사분</t>
        </r>
        <r>
          <rPr>
            <sz val="9"/>
            <color indexed="81"/>
            <rFont val="Tahoma"/>
            <family val="2"/>
          </rPr>
          <t xml:space="preserve"> 2,175</t>
        </r>
        <r>
          <rPr>
            <sz val="9"/>
            <color indexed="81"/>
            <rFont val="돋움"/>
            <family val="3"/>
            <charset val="129"/>
          </rPr>
          <t>만원</t>
        </r>
        <r>
          <rPr>
            <sz val="9"/>
            <color indexed="81"/>
            <rFont val="Tahoma"/>
            <family val="2"/>
          </rPr>
          <t xml:space="preserve"> </t>
        </r>
        <r>
          <rPr>
            <sz val="9"/>
            <color indexed="81"/>
            <rFont val="돋움"/>
            <family val="3"/>
            <charset val="129"/>
          </rPr>
          <t>입금</t>
        </r>
      </text>
    </comment>
    <comment ref="L51" authorId="1" shapeId="0" xr:uid="{00000000-0006-0000-0000-000022000000}">
      <text>
        <r>
          <rPr>
            <b/>
            <sz val="9"/>
            <color indexed="81"/>
            <rFont val="Tahoma"/>
            <family val="2"/>
          </rPr>
          <t>Temp:</t>
        </r>
        <r>
          <rPr>
            <sz val="9"/>
            <color indexed="81"/>
            <rFont val="Tahoma"/>
            <family val="2"/>
          </rPr>
          <t xml:space="preserve">
2/25 2</t>
        </r>
        <r>
          <rPr>
            <sz val="9"/>
            <color indexed="81"/>
            <rFont val="돋움"/>
            <family val="3"/>
            <charset val="129"/>
          </rPr>
          <t>월분</t>
        </r>
        <r>
          <rPr>
            <sz val="9"/>
            <color indexed="81"/>
            <rFont val="Tahoma"/>
            <family val="2"/>
          </rPr>
          <t xml:space="preserve"> </t>
        </r>
        <r>
          <rPr>
            <sz val="9"/>
            <color indexed="81"/>
            <rFont val="돋움"/>
            <family val="3"/>
            <charset val="129"/>
          </rPr>
          <t xml:space="preserve">발급
</t>
        </r>
        <r>
          <rPr>
            <sz val="9"/>
            <color indexed="81"/>
            <rFont val="Tahoma"/>
            <family val="2"/>
          </rPr>
          <t>\1,699,500
3/30 3</t>
        </r>
        <r>
          <rPr>
            <sz val="9"/>
            <color indexed="81"/>
            <rFont val="돋움"/>
            <family val="3"/>
            <charset val="129"/>
          </rPr>
          <t>월분</t>
        </r>
        <r>
          <rPr>
            <sz val="9"/>
            <color indexed="81"/>
            <rFont val="Tahoma"/>
            <family val="2"/>
          </rPr>
          <t xml:space="preserve"> </t>
        </r>
        <r>
          <rPr>
            <sz val="9"/>
            <color indexed="81"/>
            <rFont val="돋움"/>
            <family val="3"/>
            <charset val="129"/>
          </rPr>
          <t xml:space="preserve">발급
</t>
        </r>
        <r>
          <rPr>
            <sz val="9"/>
            <color indexed="81"/>
            <rFont val="Tahoma"/>
            <family val="2"/>
          </rPr>
          <t>4/20 4</t>
        </r>
        <r>
          <rPr>
            <sz val="9"/>
            <color indexed="81"/>
            <rFont val="돋움"/>
            <family val="3"/>
            <charset val="129"/>
          </rPr>
          <t>월분</t>
        </r>
        <r>
          <rPr>
            <sz val="9"/>
            <color indexed="81"/>
            <rFont val="Tahoma"/>
            <family val="2"/>
          </rPr>
          <t xml:space="preserve"> </t>
        </r>
        <r>
          <rPr>
            <sz val="9"/>
            <color indexed="81"/>
            <rFont val="돋움"/>
            <family val="3"/>
            <charset val="129"/>
          </rPr>
          <t xml:space="preserve">발급
</t>
        </r>
        <r>
          <rPr>
            <sz val="9"/>
            <color indexed="81"/>
            <rFont val="Tahoma"/>
            <family val="2"/>
          </rPr>
          <t>5/31 5</t>
        </r>
        <r>
          <rPr>
            <sz val="9"/>
            <color indexed="81"/>
            <rFont val="돋움"/>
            <family val="3"/>
            <charset val="129"/>
          </rPr>
          <t>월분</t>
        </r>
        <r>
          <rPr>
            <sz val="9"/>
            <color indexed="81"/>
            <rFont val="Tahoma"/>
            <family val="2"/>
          </rPr>
          <t xml:space="preserve"> </t>
        </r>
        <r>
          <rPr>
            <sz val="9"/>
            <color indexed="81"/>
            <rFont val="돋움"/>
            <family val="3"/>
            <charset val="129"/>
          </rPr>
          <t xml:space="preserve">발급
</t>
        </r>
        <r>
          <rPr>
            <sz val="9"/>
            <color indexed="81"/>
            <rFont val="Tahoma"/>
            <family val="2"/>
          </rPr>
          <t>6/16 6</t>
        </r>
        <r>
          <rPr>
            <sz val="9"/>
            <color indexed="81"/>
            <rFont val="돋움"/>
            <family val="3"/>
            <charset val="129"/>
          </rPr>
          <t>월분</t>
        </r>
        <r>
          <rPr>
            <sz val="9"/>
            <color indexed="81"/>
            <rFont val="Tahoma"/>
            <family val="2"/>
          </rPr>
          <t xml:space="preserve"> </t>
        </r>
        <r>
          <rPr>
            <sz val="9"/>
            <color indexed="81"/>
            <rFont val="돋움"/>
            <family val="3"/>
            <charset val="129"/>
          </rPr>
          <t xml:space="preserve">발급
</t>
        </r>
        <r>
          <rPr>
            <sz val="9"/>
            <color indexed="81"/>
            <rFont val="Tahoma"/>
            <family val="2"/>
          </rPr>
          <t>7/16 7</t>
        </r>
        <r>
          <rPr>
            <sz val="9"/>
            <color indexed="81"/>
            <rFont val="돋움"/>
            <family val="3"/>
            <charset val="129"/>
          </rPr>
          <t>월분</t>
        </r>
        <r>
          <rPr>
            <sz val="9"/>
            <color indexed="81"/>
            <rFont val="Tahoma"/>
            <family val="2"/>
          </rPr>
          <t xml:space="preserve"> </t>
        </r>
        <r>
          <rPr>
            <sz val="9"/>
            <color indexed="81"/>
            <rFont val="돋움"/>
            <family val="3"/>
            <charset val="129"/>
          </rPr>
          <t xml:space="preserve">발급
</t>
        </r>
        <r>
          <rPr>
            <sz val="9"/>
            <color indexed="81"/>
            <rFont val="Tahoma"/>
            <family val="2"/>
          </rPr>
          <t>8/9 8</t>
        </r>
        <r>
          <rPr>
            <sz val="9"/>
            <color indexed="81"/>
            <rFont val="돋움"/>
            <family val="3"/>
            <charset val="129"/>
          </rPr>
          <t>월분</t>
        </r>
        <r>
          <rPr>
            <sz val="9"/>
            <color indexed="81"/>
            <rFont val="Tahoma"/>
            <family val="2"/>
          </rPr>
          <t xml:space="preserve"> </t>
        </r>
        <r>
          <rPr>
            <sz val="9"/>
            <color indexed="81"/>
            <rFont val="돋움"/>
            <family val="3"/>
            <charset val="129"/>
          </rPr>
          <t xml:space="preserve">발급
</t>
        </r>
        <r>
          <rPr>
            <sz val="9"/>
            <color indexed="81"/>
            <rFont val="Tahoma"/>
            <family val="2"/>
          </rPr>
          <t>9/10 9</t>
        </r>
        <r>
          <rPr>
            <sz val="9"/>
            <color indexed="81"/>
            <rFont val="돋움"/>
            <family val="3"/>
            <charset val="129"/>
          </rPr>
          <t>월분</t>
        </r>
        <r>
          <rPr>
            <sz val="9"/>
            <color indexed="81"/>
            <rFont val="Tahoma"/>
            <family val="2"/>
          </rPr>
          <t xml:space="preserve"> </t>
        </r>
        <r>
          <rPr>
            <sz val="9"/>
            <color indexed="81"/>
            <rFont val="돋움"/>
            <family val="3"/>
            <charset val="129"/>
          </rPr>
          <t>발급</t>
        </r>
        <r>
          <rPr>
            <sz val="9"/>
            <color indexed="81"/>
            <rFont val="Tahoma"/>
            <family val="2"/>
          </rPr>
          <t xml:space="preserve">
10/26 10</t>
        </r>
        <r>
          <rPr>
            <sz val="9"/>
            <color indexed="81"/>
            <rFont val="돋움"/>
            <family val="3"/>
            <charset val="129"/>
          </rPr>
          <t>월분</t>
        </r>
        <r>
          <rPr>
            <sz val="9"/>
            <color indexed="81"/>
            <rFont val="Tahoma"/>
            <family val="2"/>
          </rPr>
          <t xml:space="preserve"> </t>
        </r>
        <r>
          <rPr>
            <sz val="9"/>
            <color indexed="81"/>
            <rFont val="돋움"/>
            <family val="3"/>
            <charset val="129"/>
          </rPr>
          <t xml:space="preserve">발급
</t>
        </r>
        <r>
          <rPr>
            <sz val="9"/>
            <color indexed="81"/>
            <rFont val="Tahoma"/>
            <family val="2"/>
          </rPr>
          <t>11/17 11</t>
        </r>
        <r>
          <rPr>
            <sz val="9"/>
            <color indexed="81"/>
            <rFont val="돋움"/>
            <family val="3"/>
            <charset val="129"/>
          </rPr>
          <t>월분</t>
        </r>
        <r>
          <rPr>
            <sz val="9"/>
            <color indexed="81"/>
            <rFont val="Tahoma"/>
            <family val="2"/>
          </rPr>
          <t xml:space="preserve"> </t>
        </r>
        <r>
          <rPr>
            <sz val="9"/>
            <color indexed="81"/>
            <rFont val="돋움"/>
            <family val="3"/>
            <charset val="129"/>
          </rPr>
          <t xml:space="preserve">발급
</t>
        </r>
        <r>
          <rPr>
            <sz val="9"/>
            <color indexed="81"/>
            <rFont val="Tahoma"/>
            <family val="2"/>
          </rPr>
          <t>12/10 12</t>
        </r>
        <r>
          <rPr>
            <sz val="9"/>
            <color indexed="81"/>
            <rFont val="돋움"/>
            <family val="3"/>
            <charset val="129"/>
          </rPr>
          <t>월분</t>
        </r>
        <r>
          <rPr>
            <sz val="9"/>
            <color indexed="81"/>
            <rFont val="Tahoma"/>
            <family val="2"/>
          </rPr>
          <t xml:space="preserve"> </t>
        </r>
        <r>
          <rPr>
            <sz val="9"/>
            <color indexed="81"/>
            <rFont val="돋움"/>
            <family val="3"/>
            <charset val="129"/>
          </rPr>
          <t>발급</t>
        </r>
      </text>
    </comment>
    <comment ref="M51" authorId="1" shapeId="0" xr:uid="{00000000-0006-0000-0000-000023000000}">
      <text>
        <r>
          <rPr>
            <b/>
            <sz val="9"/>
            <color indexed="81"/>
            <rFont val="Tahoma"/>
            <family val="2"/>
          </rPr>
          <t>Temp:</t>
        </r>
        <r>
          <rPr>
            <sz val="9"/>
            <color indexed="81"/>
            <rFont val="Tahoma"/>
            <family val="2"/>
          </rPr>
          <t xml:space="preserve">
3/2 2</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3/10 3</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4/21 4</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6/8 5</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7/22 6</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9/15 7</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9/17 8</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10/29 9,10</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11/25 11</t>
        </r>
        <r>
          <rPr>
            <sz val="9"/>
            <color indexed="81"/>
            <rFont val="돋움"/>
            <family val="3"/>
            <charset val="129"/>
          </rPr>
          <t>월분</t>
        </r>
        <r>
          <rPr>
            <sz val="9"/>
            <color indexed="81"/>
            <rFont val="Tahoma"/>
            <family val="2"/>
          </rPr>
          <t xml:space="preserve"> </t>
        </r>
        <r>
          <rPr>
            <sz val="9"/>
            <color indexed="81"/>
            <rFont val="돋움"/>
            <family val="3"/>
            <charset val="129"/>
          </rPr>
          <t xml:space="preserve">입금
</t>
        </r>
        <r>
          <rPr>
            <sz val="9"/>
            <color indexed="81"/>
            <rFont val="Tahoma"/>
            <family val="2"/>
          </rPr>
          <t>22</t>
        </r>
        <r>
          <rPr>
            <sz val="9"/>
            <color indexed="81"/>
            <rFont val="돋움"/>
            <family val="3"/>
            <charset val="129"/>
          </rPr>
          <t>년</t>
        </r>
        <r>
          <rPr>
            <sz val="9"/>
            <color indexed="81"/>
            <rFont val="Tahoma"/>
            <family val="2"/>
          </rPr>
          <t xml:space="preserve"> 1/14 12</t>
        </r>
        <r>
          <rPr>
            <sz val="9"/>
            <color indexed="81"/>
            <rFont val="돋움"/>
            <family val="3"/>
            <charset val="129"/>
          </rPr>
          <t>월분</t>
        </r>
        <r>
          <rPr>
            <sz val="9"/>
            <color indexed="81"/>
            <rFont val="Tahoma"/>
            <family val="2"/>
          </rPr>
          <t xml:space="preserve"> </t>
        </r>
        <r>
          <rPr>
            <sz val="9"/>
            <color indexed="81"/>
            <rFont val="돋움"/>
            <family val="3"/>
            <charset val="129"/>
          </rPr>
          <t>입금</t>
        </r>
      </text>
    </comment>
    <comment ref="I58" authorId="0" shapeId="0" xr:uid="{00000000-0006-0000-0000-000024000000}">
      <text>
        <r>
          <rPr>
            <sz val="9"/>
            <color indexed="81"/>
            <rFont val="돋움"/>
            <family val="3"/>
            <charset val="129"/>
          </rPr>
          <t>기존</t>
        </r>
        <r>
          <rPr>
            <sz val="9"/>
            <color indexed="81"/>
            <rFont val="Tahoma"/>
            <family val="2"/>
          </rPr>
          <t xml:space="preserve"> 2,395,800,000
</t>
        </r>
        <r>
          <rPr>
            <sz val="9"/>
            <color indexed="81"/>
            <rFont val="돋움"/>
            <family val="3"/>
            <charset val="129"/>
          </rPr>
          <t>변경</t>
        </r>
        <r>
          <rPr>
            <sz val="9"/>
            <color indexed="81"/>
            <rFont val="Tahoma"/>
            <family val="2"/>
          </rPr>
          <t xml:space="preserve"> 2,381,346,000 </t>
        </r>
      </text>
    </comment>
    <comment ref="L58" authorId="1" shapeId="0" xr:uid="{00000000-0006-0000-0000-000025000000}">
      <text>
        <r>
          <rPr>
            <b/>
            <sz val="9"/>
            <color indexed="81"/>
            <rFont val="Tahoma"/>
            <family val="2"/>
          </rPr>
          <t>Temp:</t>
        </r>
        <r>
          <rPr>
            <sz val="9"/>
            <color indexed="81"/>
            <rFont val="Tahoma"/>
            <family val="2"/>
          </rPr>
          <t xml:space="preserve">
3/4 </t>
        </r>
        <r>
          <rPr>
            <sz val="9"/>
            <color indexed="81"/>
            <rFont val="돋움"/>
            <family val="3"/>
            <charset val="129"/>
          </rPr>
          <t>선금</t>
        </r>
        <r>
          <rPr>
            <sz val="9"/>
            <color indexed="81"/>
            <rFont val="Tahoma"/>
            <family val="2"/>
          </rPr>
          <t xml:space="preserve"> 80% </t>
        </r>
        <r>
          <rPr>
            <sz val="9"/>
            <color indexed="81"/>
            <rFont val="돋움"/>
            <family val="3"/>
            <charset val="129"/>
          </rPr>
          <t xml:space="preserve">발급
</t>
        </r>
        <r>
          <rPr>
            <sz val="9"/>
            <color indexed="81"/>
            <rFont val="Tahoma"/>
            <family val="2"/>
          </rPr>
          <t xml:space="preserve">\1,916,640,000
12/13 </t>
        </r>
        <r>
          <rPr>
            <sz val="9"/>
            <color indexed="81"/>
            <rFont val="돋움"/>
            <family val="3"/>
            <charset val="129"/>
          </rPr>
          <t>잔금</t>
        </r>
        <r>
          <rPr>
            <sz val="9"/>
            <color indexed="81"/>
            <rFont val="Tahoma"/>
            <family val="2"/>
          </rPr>
          <t xml:space="preserve"> 20% </t>
        </r>
        <r>
          <rPr>
            <sz val="9"/>
            <color indexed="81"/>
            <rFont val="돋움"/>
            <family val="3"/>
            <charset val="129"/>
          </rPr>
          <t xml:space="preserve">발급
</t>
        </r>
        <r>
          <rPr>
            <sz val="9"/>
            <color indexed="81"/>
            <rFont val="Tahoma"/>
            <family val="2"/>
          </rPr>
          <t>\464,706,000</t>
        </r>
      </text>
    </comment>
    <comment ref="M58" authorId="1" shapeId="0" xr:uid="{00000000-0006-0000-0000-000026000000}">
      <text>
        <r>
          <rPr>
            <b/>
            <sz val="9"/>
            <color indexed="81"/>
            <rFont val="Tahoma"/>
            <family val="2"/>
          </rPr>
          <t>Temp:</t>
        </r>
        <r>
          <rPr>
            <sz val="9"/>
            <color indexed="81"/>
            <rFont val="Tahoma"/>
            <family val="2"/>
          </rPr>
          <t xml:space="preserve">
3/5 </t>
        </r>
        <r>
          <rPr>
            <sz val="9"/>
            <color indexed="81"/>
            <rFont val="돋움"/>
            <family val="3"/>
            <charset val="129"/>
          </rPr>
          <t>선금</t>
        </r>
        <r>
          <rPr>
            <sz val="9"/>
            <color indexed="81"/>
            <rFont val="Tahoma"/>
            <family val="2"/>
          </rPr>
          <t xml:space="preserve"> 80% </t>
        </r>
        <r>
          <rPr>
            <sz val="9"/>
            <color indexed="81"/>
            <rFont val="돋움"/>
            <family val="3"/>
            <charset val="129"/>
          </rPr>
          <t xml:space="preserve">입금
</t>
        </r>
        <r>
          <rPr>
            <sz val="9"/>
            <color indexed="81"/>
            <rFont val="Tahoma"/>
            <family val="2"/>
          </rPr>
          <t xml:space="preserve">\1,916,640,000
12/15 </t>
        </r>
        <r>
          <rPr>
            <sz val="9"/>
            <color indexed="81"/>
            <rFont val="돋움"/>
            <family val="3"/>
            <charset val="129"/>
          </rPr>
          <t>잔금</t>
        </r>
        <r>
          <rPr>
            <sz val="9"/>
            <color indexed="81"/>
            <rFont val="Tahoma"/>
            <family val="2"/>
          </rPr>
          <t xml:space="preserve"> 20% </t>
        </r>
        <r>
          <rPr>
            <sz val="9"/>
            <color indexed="81"/>
            <rFont val="돋움"/>
            <family val="3"/>
            <charset val="129"/>
          </rPr>
          <t xml:space="preserve">입금
</t>
        </r>
        <r>
          <rPr>
            <sz val="9"/>
            <color indexed="81"/>
            <rFont val="Tahoma"/>
            <family val="2"/>
          </rPr>
          <t>\464,706,000</t>
        </r>
      </text>
    </comment>
    <comment ref="L59" authorId="1" shapeId="0" xr:uid="{00000000-0006-0000-0000-000027000000}">
      <text>
        <r>
          <rPr>
            <b/>
            <sz val="9"/>
            <color indexed="81"/>
            <rFont val="Tahoma"/>
            <family val="2"/>
          </rPr>
          <t>Temp:</t>
        </r>
        <r>
          <rPr>
            <sz val="9"/>
            <color indexed="81"/>
            <rFont val="Tahoma"/>
            <family val="2"/>
          </rPr>
          <t xml:space="preserve">
5/17 1</t>
        </r>
        <r>
          <rPr>
            <sz val="9"/>
            <color indexed="81"/>
            <rFont val="돋움"/>
            <family val="3"/>
            <charset val="129"/>
          </rPr>
          <t>분기</t>
        </r>
        <r>
          <rPr>
            <sz val="9"/>
            <color indexed="81"/>
            <rFont val="Tahoma"/>
            <family val="2"/>
          </rPr>
          <t xml:space="preserve"> </t>
        </r>
        <r>
          <rPr>
            <sz val="9"/>
            <color indexed="81"/>
            <rFont val="돋움"/>
            <family val="3"/>
            <charset val="129"/>
          </rPr>
          <t xml:space="preserve">청구
</t>
        </r>
        <r>
          <rPr>
            <sz val="9"/>
            <color indexed="81"/>
            <rFont val="Tahoma"/>
            <family val="2"/>
          </rPr>
          <t>\22,946,410
8/4 2</t>
        </r>
        <r>
          <rPr>
            <sz val="9"/>
            <color indexed="81"/>
            <rFont val="돋움"/>
            <family val="3"/>
            <charset val="129"/>
          </rPr>
          <t>분기</t>
        </r>
        <r>
          <rPr>
            <sz val="9"/>
            <color indexed="81"/>
            <rFont val="Tahoma"/>
            <family val="2"/>
          </rPr>
          <t xml:space="preserve"> </t>
        </r>
        <r>
          <rPr>
            <sz val="9"/>
            <color indexed="81"/>
            <rFont val="돋움"/>
            <family val="3"/>
            <charset val="129"/>
          </rPr>
          <t xml:space="preserve">청구
</t>
        </r>
        <r>
          <rPr>
            <sz val="9"/>
            <color indexed="81"/>
            <rFont val="Tahoma"/>
            <family val="2"/>
          </rPr>
          <t>\100,701,980
11/1 3</t>
        </r>
        <r>
          <rPr>
            <sz val="9"/>
            <color indexed="81"/>
            <rFont val="돋움"/>
            <family val="3"/>
            <charset val="129"/>
          </rPr>
          <t>분기</t>
        </r>
        <r>
          <rPr>
            <sz val="9"/>
            <color indexed="81"/>
            <rFont val="Tahoma"/>
            <family val="2"/>
          </rPr>
          <t xml:space="preserve"> </t>
        </r>
        <r>
          <rPr>
            <sz val="9"/>
            <color indexed="81"/>
            <rFont val="돋움"/>
            <family val="3"/>
            <charset val="129"/>
          </rPr>
          <t xml:space="preserve">청구
</t>
        </r>
        <r>
          <rPr>
            <sz val="9"/>
            <color indexed="81"/>
            <rFont val="Tahoma"/>
            <family val="2"/>
          </rPr>
          <t>\99,916,160
12/28 4</t>
        </r>
        <r>
          <rPr>
            <sz val="9"/>
            <color indexed="81"/>
            <rFont val="돋움"/>
            <family val="3"/>
            <charset val="129"/>
          </rPr>
          <t>분기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수리비</t>
        </r>
        <r>
          <rPr>
            <sz val="9"/>
            <color indexed="81"/>
            <rFont val="Tahoma"/>
            <family val="2"/>
          </rPr>
          <t xml:space="preserve"> </t>
        </r>
        <r>
          <rPr>
            <sz val="9"/>
            <color indexed="81"/>
            <rFont val="돋움"/>
            <family val="3"/>
            <charset val="129"/>
          </rPr>
          <t xml:space="preserve">청구
</t>
        </r>
        <r>
          <rPr>
            <sz val="9"/>
            <color indexed="81"/>
            <rFont val="Tahoma"/>
            <family val="2"/>
          </rPr>
          <t>\104,785,390
\3,410,000
22</t>
        </r>
        <r>
          <rPr>
            <sz val="9"/>
            <color indexed="81"/>
            <rFont val="돋움"/>
            <family val="3"/>
            <charset val="129"/>
          </rPr>
          <t>년</t>
        </r>
        <r>
          <rPr>
            <sz val="9"/>
            <color indexed="81"/>
            <rFont val="Tahoma"/>
            <family val="2"/>
          </rPr>
          <t xml:space="preserve"> 4/20 </t>
        </r>
        <r>
          <rPr>
            <sz val="9"/>
            <color indexed="81"/>
            <rFont val="돋움"/>
            <family val="3"/>
            <charset val="129"/>
          </rPr>
          <t>연장계약</t>
        </r>
        <r>
          <rPr>
            <sz val="9"/>
            <color indexed="81"/>
            <rFont val="Tahoma"/>
            <family val="2"/>
          </rPr>
          <t xml:space="preserve"> 1</t>
        </r>
        <r>
          <rPr>
            <sz val="9"/>
            <color indexed="81"/>
            <rFont val="돋움"/>
            <family val="3"/>
            <charset val="129"/>
          </rPr>
          <t>분기</t>
        </r>
        <r>
          <rPr>
            <sz val="9"/>
            <color indexed="81"/>
            <rFont val="Tahoma"/>
            <family val="2"/>
          </rPr>
          <t xml:space="preserve"> </t>
        </r>
        <r>
          <rPr>
            <sz val="9"/>
            <color indexed="81"/>
            <rFont val="돋움"/>
            <family val="3"/>
            <charset val="129"/>
          </rPr>
          <t xml:space="preserve">청구
</t>
        </r>
        <r>
          <rPr>
            <sz val="9"/>
            <color indexed="81"/>
            <rFont val="Tahoma"/>
            <family val="2"/>
          </rPr>
          <t>\82,611,160</t>
        </r>
      </text>
    </comment>
    <comment ref="M59" authorId="1" shapeId="0" xr:uid="{00000000-0006-0000-0000-000028000000}">
      <text>
        <r>
          <rPr>
            <b/>
            <sz val="9"/>
            <color indexed="81"/>
            <rFont val="Tahoma"/>
            <family val="2"/>
          </rPr>
          <t>Temp:</t>
        </r>
        <r>
          <rPr>
            <sz val="9"/>
            <color indexed="81"/>
            <rFont val="Tahoma"/>
            <family val="2"/>
          </rPr>
          <t xml:space="preserve">
5/25 1</t>
        </r>
        <r>
          <rPr>
            <sz val="9"/>
            <color indexed="81"/>
            <rFont val="돋움"/>
            <family val="3"/>
            <charset val="129"/>
          </rPr>
          <t>분기</t>
        </r>
        <r>
          <rPr>
            <sz val="9"/>
            <color indexed="81"/>
            <rFont val="Tahoma"/>
            <family val="2"/>
          </rPr>
          <t xml:space="preserve"> </t>
        </r>
        <r>
          <rPr>
            <sz val="9"/>
            <color indexed="81"/>
            <rFont val="돋움"/>
            <family val="3"/>
            <charset val="129"/>
          </rPr>
          <t xml:space="preserve">입금
</t>
        </r>
        <r>
          <rPr>
            <sz val="9"/>
            <color indexed="81"/>
            <rFont val="Tahoma"/>
            <family val="2"/>
          </rPr>
          <t>\22,946,410
8/10 2</t>
        </r>
        <r>
          <rPr>
            <sz val="9"/>
            <color indexed="81"/>
            <rFont val="돋움"/>
            <family val="3"/>
            <charset val="129"/>
          </rPr>
          <t>분기</t>
        </r>
        <r>
          <rPr>
            <sz val="9"/>
            <color indexed="81"/>
            <rFont val="Tahoma"/>
            <family val="2"/>
          </rPr>
          <t xml:space="preserve"> </t>
        </r>
        <r>
          <rPr>
            <sz val="9"/>
            <color indexed="81"/>
            <rFont val="돋움"/>
            <family val="3"/>
            <charset val="129"/>
          </rPr>
          <t xml:space="preserve">입금
</t>
        </r>
        <r>
          <rPr>
            <sz val="9"/>
            <color indexed="81"/>
            <rFont val="Tahoma"/>
            <family val="2"/>
          </rPr>
          <t>\100,701,980
11/9 3</t>
        </r>
        <r>
          <rPr>
            <sz val="9"/>
            <color indexed="81"/>
            <rFont val="돋움"/>
            <family val="3"/>
            <charset val="129"/>
          </rPr>
          <t>분기</t>
        </r>
        <r>
          <rPr>
            <sz val="9"/>
            <color indexed="81"/>
            <rFont val="Tahoma"/>
            <family val="2"/>
          </rPr>
          <t xml:space="preserve"> </t>
        </r>
        <r>
          <rPr>
            <sz val="9"/>
            <color indexed="81"/>
            <rFont val="돋움"/>
            <family val="3"/>
            <charset val="129"/>
          </rPr>
          <t xml:space="preserve">입금
</t>
        </r>
        <r>
          <rPr>
            <sz val="9"/>
            <color indexed="81"/>
            <rFont val="Tahoma"/>
            <family val="2"/>
          </rPr>
          <t>\99,916,160
12/29 4</t>
        </r>
        <r>
          <rPr>
            <sz val="9"/>
            <color indexed="81"/>
            <rFont val="돋움"/>
            <family val="3"/>
            <charset val="129"/>
          </rPr>
          <t>분기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수리비</t>
        </r>
        <r>
          <rPr>
            <sz val="9"/>
            <color indexed="81"/>
            <rFont val="Tahoma"/>
            <family val="2"/>
          </rPr>
          <t xml:space="preserve"> </t>
        </r>
        <r>
          <rPr>
            <sz val="9"/>
            <color indexed="81"/>
            <rFont val="돋움"/>
            <family val="3"/>
            <charset val="129"/>
          </rPr>
          <t xml:space="preserve">입금
</t>
        </r>
        <r>
          <rPr>
            <sz val="9"/>
            <color indexed="81"/>
            <rFont val="Tahoma"/>
            <family val="2"/>
          </rPr>
          <t>\104,785,390
\3,410,000</t>
        </r>
      </text>
    </comment>
    <comment ref="L60" authorId="1" shapeId="0" xr:uid="{00000000-0006-0000-0000-000029000000}">
      <text>
        <r>
          <rPr>
            <b/>
            <sz val="9"/>
            <color indexed="81"/>
            <rFont val="Tahoma"/>
            <family val="2"/>
          </rPr>
          <t>Temp:</t>
        </r>
        <r>
          <rPr>
            <sz val="9"/>
            <color indexed="81"/>
            <rFont val="Tahoma"/>
            <family val="2"/>
          </rPr>
          <t xml:space="preserve">
</t>
        </r>
        <r>
          <rPr>
            <sz val="9"/>
            <color indexed="81"/>
            <rFont val="돋움"/>
            <family val="3"/>
            <charset val="129"/>
          </rPr>
          <t>자부담금</t>
        </r>
        <r>
          <rPr>
            <sz val="9"/>
            <color indexed="81"/>
            <rFont val="Tahoma"/>
            <family val="2"/>
          </rPr>
          <t xml:space="preserve"> \3,000,000
</t>
        </r>
        <r>
          <rPr>
            <sz val="9"/>
            <color indexed="81"/>
            <rFont val="돋움"/>
            <family val="3"/>
            <charset val="129"/>
          </rPr>
          <t>보험사분</t>
        </r>
        <r>
          <rPr>
            <sz val="9"/>
            <color indexed="81"/>
            <rFont val="Tahoma"/>
            <family val="2"/>
          </rPr>
          <t xml:space="preserve"> \15,800,000</t>
        </r>
      </text>
    </comment>
    <comment ref="M60" authorId="1" shapeId="0" xr:uid="{00000000-0006-0000-0000-00002A000000}">
      <text>
        <r>
          <rPr>
            <b/>
            <sz val="9"/>
            <color indexed="81"/>
            <rFont val="Tahoma"/>
            <family val="2"/>
          </rPr>
          <t>Temp:</t>
        </r>
        <r>
          <rPr>
            <sz val="9"/>
            <color indexed="81"/>
            <rFont val="Tahoma"/>
            <family val="2"/>
          </rPr>
          <t xml:space="preserve">
3/8 </t>
        </r>
        <r>
          <rPr>
            <sz val="9"/>
            <color indexed="81"/>
            <rFont val="돋움"/>
            <family val="3"/>
            <charset val="129"/>
          </rPr>
          <t>자부담금</t>
        </r>
        <r>
          <rPr>
            <sz val="9"/>
            <color indexed="81"/>
            <rFont val="Tahoma"/>
            <family val="2"/>
          </rPr>
          <t xml:space="preserve"> 300</t>
        </r>
        <r>
          <rPr>
            <sz val="9"/>
            <color indexed="81"/>
            <rFont val="돋움"/>
            <family val="3"/>
            <charset val="129"/>
          </rPr>
          <t>만원</t>
        </r>
        <r>
          <rPr>
            <sz val="9"/>
            <color indexed="81"/>
            <rFont val="Tahoma"/>
            <family val="2"/>
          </rPr>
          <t xml:space="preserve"> </t>
        </r>
        <r>
          <rPr>
            <sz val="9"/>
            <color indexed="81"/>
            <rFont val="돋움"/>
            <family val="3"/>
            <charset val="129"/>
          </rPr>
          <t xml:space="preserve">입금
</t>
        </r>
        <r>
          <rPr>
            <sz val="9"/>
            <color indexed="81"/>
            <rFont val="Tahoma"/>
            <family val="2"/>
          </rPr>
          <t xml:space="preserve">3/12 </t>
        </r>
        <r>
          <rPr>
            <sz val="9"/>
            <color indexed="81"/>
            <rFont val="돋움"/>
            <family val="3"/>
            <charset val="129"/>
          </rPr>
          <t>보험사분</t>
        </r>
        <r>
          <rPr>
            <sz val="9"/>
            <color indexed="81"/>
            <rFont val="Tahoma"/>
            <family val="2"/>
          </rPr>
          <t xml:space="preserve"> 1,580 </t>
        </r>
        <r>
          <rPr>
            <sz val="9"/>
            <color indexed="81"/>
            <rFont val="돋움"/>
            <family val="3"/>
            <charset val="129"/>
          </rPr>
          <t>만원</t>
        </r>
        <r>
          <rPr>
            <sz val="9"/>
            <color indexed="81"/>
            <rFont val="Tahoma"/>
            <family val="2"/>
          </rPr>
          <t xml:space="preserve"> </t>
        </r>
        <r>
          <rPr>
            <sz val="9"/>
            <color indexed="81"/>
            <rFont val="돋움"/>
            <family val="3"/>
            <charset val="129"/>
          </rPr>
          <t>입금</t>
        </r>
      </text>
    </comment>
    <comment ref="L62" authorId="4" shapeId="0" xr:uid="{00000000-0006-0000-0000-00002B000000}">
      <text>
        <r>
          <rPr>
            <sz val="9"/>
            <color indexed="81"/>
            <rFont val="Tahoma"/>
            <family val="2"/>
          </rPr>
          <t>4, 5</t>
        </r>
        <r>
          <rPr>
            <sz val="9"/>
            <color indexed="81"/>
            <rFont val="돋움"/>
            <family val="3"/>
            <charset val="129"/>
          </rPr>
          <t>월</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청구</t>
        </r>
      </text>
    </comment>
    <comment ref="M62" authorId="1" shapeId="0" xr:uid="{00000000-0006-0000-0000-00002C000000}">
      <text>
        <r>
          <rPr>
            <b/>
            <sz val="9"/>
            <color indexed="81"/>
            <rFont val="Tahoma"/>
            <family val="2"/>
          </rPr>
          <t>Temp:</t>
        </r>
        <r>
          <rPr>
            <sz val="9"/>
            <color indexed="81"/>
            <rFont val="Tahoma"/>
            <family val="2"/>
          </rPr>
          <t xml:space="preserve">
2</t>
        </r>
        <r>
          <rPr>
            <sz val="9"/>
            <color indexed="81"/>
            <rFont val="돋움"/>
            <family val="3"/>
            <charset val="129"/>
          </rPr>
          <t>번에</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청구</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입금</t>
        </r>
      </text>
    </comment>
    <comment ref="E67" authorId="2" shapeId="0" xr:uid="{00000000-0006-0000-0000-00002D000000}">
      <text>
        <r>
          <rPr>
            <b/>
            <sz val="9"/>
            <color indexed="81"/>
            <rFont val="Tahoma"/>
            <family val="2"/>
          </rPr>
          <t xml:space="preserve">Mirr:
</t>
        </r>
        <r>
          <rPr>
            <b/>
            <sz val="9"/>
            <color indexed="81"/>
            <rFont val="돋움"/>
            <family val="3"/>
            <charset val="129"/>
          </rPr>
          <t>계약</t>
        </r>
        <r>
          <rPr>
            <b/>
            <sz val="9"/>
            <color indexed="81"/>
            <rFont val="Tahoma"/>
            <family val="2"/>
          </rPr>
          <t xml:space="preserve"> </t>
        </r>
        <r>
          <rPr>
            <b/>
            <sz val="9"/>
            <color indexed="81"/>
            <rFont val="돋움"/>
            <family val="3"/>
            <charset val="129"/>
          </rPr>
          <t>수량</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계약</t>
        </r>
        <r>
          <rPr>
            <b/>
            <sz val="9"/>
            <color indexed="81"/>
            <rFont val="Tahoma"/>
            <family val="2"/>
          </rPr>
          <t xml:space="preserve"> </t>
        </r>
        <r>
          <rPr>
            <b/>
            <sz val="9"/>
            <color indexed="81"/>
            <rFont val="돋움"/>
            <family val="3"/>
            <charset val="129"/>
          </rPr>
          <t>금액</t>
        </r>
        <r>
          <rPr>
            <b/>
            <sz val="9"/>
            <color indexed="81"/>
            <rFont val="Tahoma"/>
            <family val="2"/>
          </rPr>
          <t xml:space="preserve"> </t>
        </r>
        <r>
          <rPr>
            <b/>
            <sz val="9"/>
            <color indexed="81"/>
            <rFont val="돋움"/>
            <family val="3"/>
            <charset val="129"/>
          </rPr>
          <t xml:space="preserve">변경됨
</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 xml:space="preserve">전
</t>
        </r>
        <r>
          <rPr>
            <sz val="9"/>
            <color indexed="81"/>
            <rFont val="Tahoma"/>
            <family val="2"/>
          </rPr>
          <t xml:space="preserve">- </t>
        </r>
        <r>
          <rPr>
            <sz val="9"/>
            <color indexed="81"/>
            <rFont val="돋움"/>
            <family val="3"/>
            <charset val="129"/>
          </rPr>
          <t>수량</t>
        </r>
        <r>
          <rPr>
            <sz val="9"/>
            <color indexed="81"/>
            <rFont val="Tahoma"/>
            <family val="2"/>
          </rPr>
          <t xml:space="preserve"> :  Wave Unit, 7</t>
        </r>
        <r>
          <rPr>
            <sz val="9"/>
            <color indexed="81"/>
            <rFont val="돋움"/>
            <family val="3"/>
            <charset val="129"/>
          </rPr>
          <t xml:space="preserve">식
</t>
        </r>
        <r>
          <rPr>
            <sz val="9"/>
            <color indexed="81"/>
            <rFont val="Tahoma"/>
            <family val="2"/>
          </rPr>
          <t xml:space="preserve">- </t>
        </r>
        <r>
          <rPr>
            <sz val="9"/>
            <color indexed="81"/>
            <rFont val="돋움"/>
            <family val="3"/>
            <charset val="129"/>
          </rPr>
          <t>계약금액</t>
        </r>
        <r>
          <rPr>
            <sz val="9"/>
            <color indexed="81"/>
            <rFont val="Tahoma"/>
            <family val="2"/>
          </rPr>
          <t xml:space="preserve"> : 292,600,000</t>
        </r>
        <r>
          <rPr>
            <sz val="9"/>
            <color indexed="81"/>
            <rFont val="돋움"/>
            <family val="3"/>
            <charset val="129"/>
          </rPr>
          <t>원
변경</t>
        </r>
        <r>
          <rPr>
            <sz val="9"/>
            <color indexed="81"/>
            <rFont val="Tahoma"/>
            <family val="2"/>
          </rPr>
          <t xml:space="preserve"> </t>
        </r>
        <r>
          <rPr>
            <sz val="9"/>
            <color indexed="81"/>
            <rFont val="돋움"/>
            <family val="3"/>
            <charset val="129"/>
          </rPr>
          <t>후</t>
        </r>
        <r>
          <rPr>
            <sz val="9"/>
            <color indexed="81"/>
            <rFont val="Tahoma"/>
            <family val="2"/>
          </rPr>
          <t xml:space="preserve"> :
- </t>
        </r>
        <r>
          <rPr>
            <sz val="9"/>
            <color indexed="81"/>
            <rFont val="돋움"/>
            <family val="3"/>
            <charset val="129"/>
          </rPr>
          <t>수량</t>
        </r>
        <r>
          <rPr>
            <sz val="9"/>
            <color indexed="81"/>
            <rFont val="Tahoma"/>
            <family val="2"/>
          </rPr>
          <t xml:space="preserve"> :  Wave Unit, 4</t>
        </r>
        <r>
          <rPr>
            <sz val="9"/>
            <color indexed="81"/>
            <rFont val="돋움"/>
            <family val="3"/>
            <charset val="129"/>
          </rPr>
          <t xml:space="preserve">식
</t>
        </r>
        <r>
          <rPr>
            <sz val="9"/>
            <color indexed="81"/>
            <rFont val="Tahoma"/>
            <family val="2"/>
          </rPr>
          <t xml:space="preserve">- </t>
        </r>
        <r>
          <rPr>
            <sz val="9"/>
            <color indexed="81"/>
            <rFont val="돋움"/>
            <family val="3"/>
            <charset val="129"/>
          </rPr>
          <t>계약금액</t>
        </r>
        <r>
          <rPr>
            <sz val="9"/>
            <color indexed="81"/>
            <rFont val="Tahoma"/>
            <family val="2"/>
          </rPr>
          <t xml:space="preserve"> : 167,200,000</t>
        </r>
        <r>
          <rPr>
            <sz val="9"/>
            <color indexed="81"/>
            <rFont val="돋움"/>
            <family val="3"/>
            <charset val="129"/>
          </rPr>
          <t xml:space="preserve">원
</t>
        </r>
      </text>
    </comment>
    <comment ref="E78" authorId="5" shapeId="0" xr:uid="{00000000-0006-0000-0000-00002E000000}">
      <text>
        <r>
          <rPr>
            <b/>
            <sz val="9"/>
            <color indexed="81"/>
            <rFont val="Tahoma"/>
            <family val="2"/>
          </rPr>
          <t>ocean:</t>
        </r>
        <r>
          <rPr>
            <sz val="9"/>
            <color indexed="81"/>
            <rFont val="Tahoma"/>
            <family val="2"/>
          </rPr>
          <t xml:space="preserve">
</t>
        </r>
        <r>
          <rPr>
            <sz val="9"/>
            <color indexed="81"/>
            <rFont val="돋움"/>
            <family val="3"/>
            <charset val="129"/>
          </rPr>
          <t>초기</t>
        </r>
        <r>
          <rPr>
            <sz val="9"/>
            <color indexed="81"/>
            <rFont val="Tahoma"/>
            <family val="2"/>
          </rPr>
          <t xml:space="preserve"> 6</t>
        </r>
        <r>
          <rPr>
            <sz val="9"/>
            <color indexed="81"/>
            <rFont val="돋움"/>
            <family val="3"/>
            <charset val="129"/>
          </rPr>
          <t>대</t>
        </r>
        <r>
          <rPr>
            <sz val="9"/>
            <color indexed="81"/>
            <rFont val="Tahoma"/>
            <family val="2"/>
          </rPr>
          <t xml:space="preserve"> </t>
        </r>
        <r>
          <rPr>
            <sz val="9"/>
            <color indexed="81"/>
            <rFont val="돋움"/>
            <family val="3"/>
            <charset val="129"/>
          </rPr>
          <t>계약이었지만</t>
        </r>
        <r>
          <rPr>
            <sz val="9"/>
            <color indexed="81"/>
            <rFont val="Tahoma"/>
            <family val="2"/>
          </rPr>
          <t>, 8/9</t>
        </r>
        <r>
          <rPr>
            <sz val="9"/>
            <color indexed="81"/>
            <rFont val="돋움"/>
            <family val="3"/>
            <charset val="129"/>
          </rPr>
          <t>에</t>
        </r>
        <r>
          <rPr>
            <sz val="9"/>
            <color indexed="81"/>
            <rFont val="Tahoma"/>
            <family val="2"/>
          </rPr>
          <t xml:space="preserve"> 3</t>
        </r>
        <r>
          <rPr>
            <sz val="9"/>
            <color indexed="81"/>
            <rFont val="돋움"/>
            <family val="3"/>
            <charset val="129"/>
          </rPr>
          <t>식씩</t>
        </r>
        <r>
          <rPr>
            <sz val="9"/>
            <color indexed="81"/>
            <rFont val="Tahoma"/>
            <family val="2"/>
          </rPr>
          <t xml:space="preserve"> </t>
        </r>
        <r>
          <rPr>
            <sz val="9"/>
            <color indexed="81"/>
            <rFont val="돋움"/>
            <family val="3"/>
            <charset val="129"/>
          </rPr>
          <t>계약번호</t>
        </r>
        <r>
          <rPr>
            <sz val="9"/>
            <color indexed="81"/>
            <rFont val="Tahoma"/>
            <family val="2"/>
          </rPr>
          <t xml:space="preserve"> </t>
        </r>
        <r>
          <rPr>
            <sz val="9"/>
            <color indexed="81"/>
            <rFont val="돋움"/>
            <family val="3"/>
            <charset val="129"/>
          </rPr>
          <t>나누었습니다</t>
        </r>
        <r>
          <rPr>
            <sz val="9"/>
            <color indexed="81"/>
            <rFont val="Tahoma"/>
            <family val="2"/>
          </rPr>
          <t>.</t>
        </r>
      </text>
    </comment>
    <comment ref="K78" authorId="0" shapeId="0" xr:uid="{00000000-0006-0000-0000-00002F000000}">
      <text>
        <r>
          <rPr>
            <b/>
            <sz val="9"/>
            <color indexed="81"/>
            <rFont val="Tahoma"/>
            <family val="2"/>
          </rPr>
          <t>2021</t>
        </r>
        <r>
          <rPr>
            <b/>
            <sz val="9"/>
            <color indexed="81"/>
            <rFont val="돋움"/>
            <family val="3"/>
            <charset val="129"/>
          </rPr>
          <t>년</t>
        </r>
        <r>
          <rPr>
            <b/>
            <sz val="9"/>
            <color indexed="81"/>
            <rFont val="Tahoma"/>
            <family val="2"/>
          </rPr>
          <t xml:space="preserve"> 7</t>
        </r>
        <r>
          <rPr>
            <b/>
            <sz val="9"/>
            <color indexed="81"/>
            <rFont val="돋움"/>
            <family val="3"/>
            <charset val="129"/>
          </rPr>
          <t>월</t>
        </r>
        <r>
          <rPr>
            <b/>
            <sz val="9"/>
            <color indexed="81"/>
            <rFont val="Tahoma"/>
            <family val="2"/>
          </rPr>
          <t xml:space="preserve"> 15</t>
        </r>
        <r>
          <rPr>
            <b/>
            <sz val="9"/>
            <color indexed="81"/>
            <rFont val="돋움"/>
            <family val="3"/>
            <charset val="129"/>
          </rPr>
          <t>일까지</t>
        </r>
        <r>
          <rPr>
            <b/>
            <sz val="9"/>
            <color indexed="81"/>
            <rFont val="Tahoma"/>
            <family val="2"/>
          </rPr>
          <t>(3</t>
        </r>
        <r>
          <rPr>
            <b/>
            <sz val="9"/>
            <color indexed="81"/>
            <rFont val="돋움"/>
            <family val="3"/>
            <charset val="129"/>
          </rPr>
          <t>식</t>
        </r>
        <r>
          <rPr>
            <b/>
            <sz val="9"/>
            <color indexed="81"/>
            <rFont val="Tahoma"/>
            <family val="2"/>
          </rPr>
          <t>) 
2021</t>
        </r>
        <r>
          <rPr>
            <b/>
            <sz val="9"/>
            <color indexed="81"/>
            <rFont val="돋움"/>
            <family val="3"/>
            <charset val="129"/>
          </rPr>
          <t>년</t>
        </r>
        <r>
          <rPr>
            <b/>
            <sz val="9"/>
            <color indexed="81"/>
            <rFont val="Tahoma"/>
            <family val="2"/>
          </rPr>
          <t xml:space="preserve"> 8</t>
        </r>
        <r>
          <rPr>
            <b/>
            <sz val="9"/>
            <color indexed="81"/>
            <rFont val="돋움"/>
            <family val="3"/>
            <charset val="129"/>
          </rPr>
          <t>월</t>
        </r>
        <r>
          <rPr>
            <b/>
            <sz val="9"/>
            <color indexed="81"/>
            <rFont val="Tahoma"/>
            <family val="2"/>
          </rPr>
          <t xml:space="preserve"> 31</t>
        </r>
        <r>
          <rPr>
            <b/>
            <sz val="9"/>
            <color indexed="81"/>
            <rFont val="돋움"/>
            <family val="3"/>
            <charset val="129"/>
          </rPr>
          <t>일까지</t>
        </r>
        <r>
          <rPr>
            <b/>
            <sz val="9"/>
            <color indexed="81"/>
            <rFont val="Tahoma"/>
            <family val="2"/>
          </rPr>
          <t>(3</t>
        </r>
        <r>
          <rPr>
            <b/>
            <sz val="9"/>
            <color indexed="81"/>
            <rFont val="돋움"/>
            <family val="3"/>
            <charset val="129"/>
          </rPr>
          <t>식</t>
        </r>
        <r>
          <rPr>
            <b/>
            <sz val="9"/>
            <color indexed="81"/>
            <rFont val="Tahoma"/>
            <family val="2"/>
          </rPr>
          <t>)</t>
        </r>
      </text>
    </comment>
    <comment ref="I79" authorId="4" shapeId="0" xr:uid="{00000000-0006-0000-0000-000030000000}">
      <text>
        <r>
          <rPr>
            <b/>
            <sz val="9"/>
            <color indexed="81"/>
            <rFont val="돋움"/>
            <family val="3"/>
            <charset val="129"/>
          </rPr>
          <t>총계약금액</t>
        </r>
        <r>
          <rPr>
            <b/>
            <sz val="9"/>
            <color indexed="81"/>
            <rFont val="Tahoma"/>
            <family val="2"/>
          </rPr>
          <t xml:space="preserve">: 1,103,630,000
</t>
        </r>
        <r>
          <rPr>
            <b/>
            <sz val="9"/>
            <color indexed="81"/>
            <rFont val="돋움"/>
            <family val="3"/>
            <charset val="129"/>
          </rPr>
          <t>오션테크</t>
        </r>
        <r>
          <rPr>
            <b/>
            <sz val="9"/>
            <color indexed="81"/>
            <rFont val="Tahoma"/>
            <family val="2"/>
          </rPr>
          <t xml:space="preserve"> 65%
</t>
        </r>
        <r>
          <rPr>
            <b/>
            <sz val="9"/>
            <color indexed="81"/>
            <rFont val="돋움"/>
            <family val="3"/>
            <charset val="129"/>
          </rPr>
          <t>마린리서치</t>
        </r>
        <r>
          <rPr>
            <b/>
            <sz val="9"/>
            <color indexed="81"/>
            <rFont val="Tahoma"/>
            <family val="2"/>
          </rPr>
          <t xml:space="preserve"> 35%</t>
        </r>
      </text>
    </comment>
    <comment ref="K79" authorId="0" shapeId="0" xr:uid="{00000000-0006-0000-0000-000031000000}">
      <text>
        <r>
          <rPr>
            <b/>
            <sz val="9"/>
            <color indexed="81"/>
            <rFont val="돋움"/>
            <family val="3"/>
            <charset val="129"/>
          </rPr>
          <t>계약기간</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 xml:space="preserve">완료
</t>
        </r>
      </text>
    </comment>
    <comment ref="L79" authorId="3" shapeId="0" xr:uid="{00000000-0006-0000-0000-000032000000}">
      <text>
        <r>
          <rPr>
            <b/>
            <sz val="9"/>
            <color indexed="81"/>
            <rFont val="돋움"/>
            <family val="3"/>
            <charset val="129"/>
          </rPr>
          <t>박고은</t>
        </r>
        <r>
          <rPr>
            <b/>
            <sz val="9"/>
            <color indexed="81"/>
            <rFont val="Tahoma"/>
            <family val="2"/>
          </rPr>
          <t>:</t>
        </r>
        <r>
          <rPr>
            <sz val="9"/>
            <color indexed="81"/>
            <rFont val="Tahoma"/>
            <family val="2"/>
          </rPr>
          <t xml:space="preserve">
4/7 </t>
        </r>
        <r>
          <rPr>
            <sz val="9"/>
            <color indexed="81"/>
            <rFont val="돋움"/>
            <family val="3"/>
            <charset val="129"/>
          </rPr>
          <t>선금</t>
        </r>
        <r>
          <rPr>
            <sz val="9"/>
            <color indexed="81"/>
            <rFont val="Tahoma"/>
            <family val="2"/>
          </rPr>
          <t xml:space="preserve"> 80% </t>
        </r>
        <r>
          <rPr>
            <sz val="9"/>
            <color indexed="81"/>
            <rFont val="돋움"/>
            <family val="3"/>
            <charset val="129"/>
          </rPr>
          <t xml:space="preserve">청구
</t>
        </r>
        <r>
          <rPr>
            <sz val="9"/>
            <color indexed="81"/>
            <rFont val="Tahoma"/>
            <family val="2"/>
          </rPr>
          <t xml:space="preserve">\573,887,600
12/23 </t>
        </r>
        <r>
          <rPr>
            <sz val="9"/>
            <color indexed="81"/>
            <rFont val="돋움"/>
            <family val="3"/>
            <charset val="129"/>
          </rPr>
          <t>잔금</t>
        </r>
        <r>
          <rPr>
            <sz val="9"/>
            <color indexed="81"/>
            <rFont val="Tahoma"/>
            <family val="2"/>
          </rPr>
          <t xml:space="preserve">20% </t>
        </r>
        <r>
          <rPr>
            <sz val="9"/>
            <color indexed="81"/>
            <rFont val="돋움"/>
            <family val="3"/>
            <charset val="129"/>
          </rPr>
          <t xml:space="preserve">청구
</t>
        </r>
        <r>
          <rPr>
            <sz val="9"/>
            <color indexed="81"/>
            <rFont val="Tahoma"/>
            <family val="2"/>
          </rPr>
          <t>\143,471,900</t>
        </r>
      </text>
    </comment>
    <comment ref="M79" authorId="3" shapeId="0" xr:uid="{00000000-0006-0000-0000-000033000000}">
      <text>
        <r>
          <rPr>
            <b/>
            <sz val="9"/>
            <color indexed="81"/>
            <rFont val="돋움"/>
            <family val="3"/>
            <charset val="129"/>
          </rPr>
          <t>박고은</t>
        </r>
        <r>
          <rPr>
            <b/>
            <sz val="9"/>
            <color indexed="81"/>
            <rFont val="Tahoma"/>
            <family val="2"/>
          </rPr>
          <t>:</t>
        </r>
        <r>
          <rPr>
            <sz val="9"/>
            <color indexed="81"/>
            <rFont val="Tahoma"/>
            <family val="2"/>
          </rPr>
          <t xml:space="preserve">
4/9 </t>
        </r>
        <r>
          <rPr>
            <sz val="9"/>
            <color indexed="81"/>
            <rFont val="돋움"/>
            <family val="3"/>
            <charset val="129"/>
          </rPr>
          <t>선금</t>
        </r>
        <r>
          <rPr>
            <sz val="9"/>
            <color indexed="81"/>
            <rFont val="Tahoma"/>
            <family val="2"/>
          </rPr>
          <t xml:space="preserve"> 80% </t>
        </r>
        <r>
          <rPr>
            <sz val="9"/>
            <color indexed="81"/>
            <rFont val="돋움"/>
            <family val="3"/>
            <charset val="129"/>
          </rPr>
          <t xml:space="preserve">입금
</t>
        </r>
        <r>
          <rPr>
            <sz val="9"/>
            <color indexed="81"/>
            <rFont val="Tahoma"/>
            <family val="2"/>
          </rPr>
          <t xml:space="preserve">\573,887,600
12/23 </t>
        </r>
        <r>
          <rPr>
            <sz val="9"/>
            <color indexed="81"/>
            <rFont val="돋움"/>
            <family val="3"/>
            <charset val="129"/>
          </rPr>
          <t>잔금</t>
        </r>
        <r>
          <rPr>
            <sz val="9"/>
            <color indexed="81"/>
            <rFont val="Tahoma"/>
            <family val="2"/>
          </rPr>
          <t xml:space="preserve">20% </t>
        </r>
        <r>
          <rPr>
            <sz val="9"/>
            <color indexed="81"/>
            <rFont val="돋움"/>
            <family val="3"/>
            <charset val="129"/>
          </rPr>
          <t xml:space="preserve">입금
</t>
        </r>
        <r>
          <rPr>
            <sz val="9"/>
            <color indexed="81"/>
            <rFont val="Tahoma"/>
            <family val="2"/>
          </rPr>
          <t>\143,471,900</t>
        </r>
      </text>
    </comment>
    <comment ref="E80" authorId="5" shapeId="0" xr:uid="{00000000-0006-0000-0000-000034000000}">
      <text>
        <r>
          <rPr>
            <b/>
            <sz val="9"/>
            <color indexed="81"/>
            <rFont val="Tahoma"/>
            <family val="2"/>
          </rPr>
          <t>ocean:</t>
        </r>
        <r>
          <rPr>
            <sz val="9"/>
            <color indexed="81"/>
            <rFont val="Tahoma"/>
            <family val="2"/>
          </rPr>
          <t xml:space="preserve">
</t>
        </r>
        <r>
          <rPr>
            <sz val="9"/>
            <color indexed="81"/>
            <rFont val="돋움"/>
            <family val="3"/>
            <charset val="129"/>
          </rPr>
          <t>기존</t>
        </r>
        <r>
          <rPr>
            <sz val="9"/>
            <color indexed="81"/>
            <rFont val="Tahoma"/>
            <family val="2"/>
          </rPr>
          <t xml:space="preserve"> 2</t>
        </r>
        <r>
          <rPr>
            <sz val="9"/>
            <color indexed="81"/>
            <rFont val="돋움"/>
            <family val="3"/>
            <charset val="129"/>
          </rPr>
          <t>개로</t>
        </r>
        <r>
          <rPr>
            <sz val="9"/>
            <color indexed="81"/>
            <rFont val="Tahoma"/>
            <family val="2"/>
          </rPr>
          <t xml:space="preserve"> </t>
        </r>
        <r>
          <rPr>
            <sz val="9"/>
            <color indexed="81"/>
            <rFont val="돋움"/>
            <family val="3"/>
            <charset val="129"/>
          </rPr>
          <t>작성되어있었는데</t>
        </r>
        <r>
          <rPr>
            <sz val="9"/>
            <color indexed="81"/>
            <rFont val="Tahoma"/>
            <family val="2"/>
          </rPr>
          <t>, 1</t>
        </r>
        <r>
          <rPr>
            <sz val="9"/>
            <color indexed="81"/>
            <rFont val="돋움"/>
            <family val="3"/>
            <charset val="129"/>
          </rPr>
          <t>개</t>
        </r>
        <r>
          <rPr>
            <sz val="9"/>
            <color indexed="81"/>
            <rFont val="Tahoma"/>
            <family val="2"/>
          </rPr>
          <t xml:space="preserve"> </t>
        </r>
        <r>
          <rPr>
            <sz val="9"/>
            <color indexed="81"/>
            <rFont val="돋움"/>
            <family val="3"/>
            <charset val="129"/>
          </rPr>
          <t>계약
나머지</t>
        </r>
        <r>
          <rPr>
            <sz val="9"/>
            <color indexed="81"/>
            <rFont val="Tahoma"/>
            <family val="2"/>
          </rPr>
          <t xml:space="preserve"> 1</t>
        </r>
        <r>
          <rPr>
            <sz val="9"/>
            <color indexed="81"/>
            <rFont val="돋움"/>
            <family val="3"/>
            <charset val="129"/>
          </rPr>
          <t>개는</t>
        </r>
        <r>
          <rPr>
            <sz val="9"/>
            <color indexed="81"/>
            <rFont val="Tahoma"/>
            <family val="2"/>
          </rPr>
          <t xml:space="preserve"> </t>
        </r>
        <r>
          <rPr>
            <sz val="9"/>
            <color indexed="81"/>
            <rFont val="돋움"/>
            <family val="3"/>
            <charset val="129"/>
          </rPr>
          <t>추후</t>
        </r>
        <r>
          <rPr>
            <sz val="9"/>
            <color indexed="81"/>
            <rFont val="Tahoma"/>
            <family val="2"/>
          </rPr>
          <t xml:space="preserve"> </t>
        </r>
        <r>
          <rPr>
            <sz val="9"/>
            <color indexed="81"/>
            <rFont val="돋움"/>
            <family val="3"/>
            <charset val="129"/>
          </rPr>
          <t>계약</t>
        </r>
        <r>
          <rPr>
            <sz val="9"/>
            <color indexed="81"/>
            <rFont val="Tahoma"/>
            <family val="2"/>
          </rPr>
          <t xml:space="preserve"> </t>
        </r>
        <r>
          <rPr>
            <sz val="9"/>
            <color indexed="81"/>
            <rFont val="돋움"/>
            <family val="3"/>
            <charset val="129"/>
          </rPr>
          <t>예정</t>
        </r>
        <r>
          <rPr>
            <sz val="9"/>
            <color indexed="81"/>
            <rFont val="돋움"/>
            <family val="3"/>
            <charset val="129"/>
          </rPr>
          <t xml:space="preserve">
</t>
        </r>
      </text>
    </comment>
    <comment ref="I81" authorId="4" shapeId="0" xr:uid="{00000000-0006-0000-0000-000035000000}">
      <text>
        <r>
          <rPr>
            <b/>
            <sz val="9"/>
            <color indexed="81"/>
            <rFont val="돋움"/>
            <family val="3"/>
            <charset val="129"/>
          </rPr>
          <t>총계약금액</t>
        </r>
        <r>
          <rPr>
            <b/>
            <sz val="9"/>
            <color indexed="81"/>
            <rFont val="Tahoma"/>
            <family val="2"/>
          </rPr>
          <t xml:space="preserve"> : 1,531,530,000
</t>
        </r>
        <r>
          <rPr>
            <b/>
            <sz val="9"/>
            <color indexed="81"/>
            <rFont val="돋움"/>
            <family val="3"/>
            <charset val="129"/>
          </rPr>
          <t>오션테크</t>
        </r>
        <r>
          <rPr>
            <b/>
            <sz val="9"/>
            <color indexed="81"/>
            <rFont val="Tahoma"/>
            <family val="2"/>
          </rPr>
          <t xml:space="preserve">66.4%
</t>
        </r>
        <r>
          <rPr>
            <b/>
            <sz val="9"/>
            <color indexed="81"/>
            <rFont val="돋움"/>
            <family val="3"/>
            <charset val="129"/>
          </rPr>
          <t>한국종합기술</t>
        </r>
        <r>
          <rPr>
            <b/>
            <sz val="9"/>
            <color indexed="81"/>
            <rFont val="Tahoma"/>
            <family val="2"/>
          </rPr>
          <t xml:space="preserve"> 33.6%
</t>
        </r>
        <r>
          <rPr>
            <b/>
            <sz val="9"/>
            <color indexed="81"/>
            <rFont val="돋움"/>
            <family val="3"/>
            <charset val="129"/>
          </rPr>
          <t>계약금액</t>
        </r>
        <r>
          <rPr>
            <b/>
            <sz val="9"/>
            <color indexed="81"/>
            <rFont val="Tahoma"/>
            <family val="2"/>
          </rPr>
          <t xml:space="preserve"> </t>
        </r>
        <r>
          <rPr>
            <b/>
            <sz val="9"/>
            <color indexed="81"/>
            <rFont val="돋움"/>
            <family val="3"/>
            <charset val="129"/>
          </rPr>
          <t>변경</t>
        </r>
        <r>
          <rPr>
            <b/>
            <sz val="9"/>
            <color indexed="81"/>
            <rFont val="Tahoma"/>
            <family val="2"/>
          </rPr>
          <t xml:space="preserve"> 1,642,633,080
</t>
        </r>
        <r>
          <rPr>
            <b/>
            <sz val="9"/>
            <color indexed="81"/>
            <rFont val="돋움"/>
            <family val="3"/>
            <charset val="129"/>
          </rPr>
          <t>오션테크</t>
        </r>
        <r>
          <rPr>
            <b/>
            <sz val="9"/>
            <color indexed="81"/>
            <rFont val="Tahoma"/>
            <family val="2"/>
          </rPr>
          <t xml:space="preserve"> 1,101,620,960
</t>
        </r>
        <r>
          <rPr>
            <b/>
            <sz val="9"/>
            <color indexed="81"/>
            <rFont val="돋움"/>
            <family val="3"/>
            <charset val="129"/>
          </rPr>
          <t>한국종합기술</t>
        </r>
        <r>
          <rPr>
            <b/>
            <sz val="9"/>
            <color indexed="81"/>
            <rFont val="Tahoma"/>
            <family val="2"/>
          </rPr>
          <t xml:space="preserve"> 541,012,120</t>
        </r>
      </text>
    </comment>
    <comment ref="L81" authorId="1" shapeId="0" xr:uid="{00000000-0006-0000-0000-000036000000}">
      <text>
        <r>
          <rPr>
            <b/>
            <sz val="9"/>
            <color indexed="81"/>
            <rFont val="Tahoma"/>
            <family val="2"/>
          </rPr>
          <t>Temp:</t>
        </r>
        <r>
          <rPr>
            <sz val="9"/>
            <color indexed="81"/>
            <rFont val="Tahoma"/>
            <family val="2"/>
          </rPr>
          <t xml:space="preserve">
3/31 </t>
        </r>
        <r>
          <rPr>
            <sz val="9"/>
            <color indexed="81"/>
            <rFont val="돋움"/>
            <family val="3"/>
            <charset val="129"/>
          </rPr>
          <t>선금</t>
        </r>
        <r>
          <rPr>
            <sz val="9"/>
            <color indexed="81"/>
            <rFont val="Tahoma"/>
            <family val="2"/>
          </rPr>
          <t xml:space="preserve">80% </t>
        </r>
        <r>
          <rPr>
            <sz val="9"/>
            <color indexed="81"/>
            <rFont val="돋움"/>
            <family val="3"/>
            <charset val="129"/>
          </rPr>
          <t xml:space="preserve">발급
</t>
        </r>
        <r>
          <rPr>
            <sz val="9"/>
            <color indexed="81"/>
            <rFont val="Tahoma"/>
            <family val="2"/>
          </rPr>
          <t xml:space="preserve">\813,548,620
12/17 </t>
        </r>
        <r>
          <rPr>
            <sz val="9"/>
            <color indexed="81"/>
            <rFont val="돋움"/>
            <family val="3"/>
            <charset val="129"/>
          </rPr>
          <t>잔금</t>
        </r>
        <r>
          <rPr>
            <sz val="9"/>
            <color indexed="81"/>
            <rFont val="Tahoma"/>
            <family val="2"/>
          </rPr>
          <t xml:space="preserve">20% </t>
        </r>
        <r>
          <rPr>
            <sz val="9"/>
            <color indexed="81"/>
            <rFont val="돋움"/>
            <family val="3"/>
            <charset val="129"/>
          </rPr>
          <t xml:space="preserve">발급
</t>
        </r>
        <r>
          <rPr>
            <sz val="9"/>
            <color indexed="81"/>
            <rFont val="Tahoma"/>
            <family val="2"/>
          </rPr>
          <t>\288,072,340</t>
        </r>
      </text>
    </comment>
    <comment ref="M81" authorId="1" shapeId="0" xr:uid="{00000000-0006-0000-0000-000037000000}">
      <text>
        <r>
          <rPr>
            <b/>
            <sz val="9"/>
            <color indexed="81"/>
            <rFont val="Tahoma"/>
            <family val="2"/>
          </rPr>
          <t>Temp:</t>
        </r>
        <r>
          <rPr>
            <sz val="9"/>
            <color indexed="81"/>
            <rFont val="Tahoma"/>
            <family val="2"/>
          </rPr>
          <t xml:space="preserve">
4/1 </t>
        </r>
        <r>
          <rPr>
            <sz val="9"/>
            <color indexed="81"/>
            <rFont val="돋움"/>
            <family val="3"/>
            <charset val="129"/>
          </rPr>
          <t>선금</t>
        </r>
        <r>
          <rPr>
            <sz val="9"/>
            <color indexed="81"/>
            <rFont val="Tahoma"/>
            <family val="2"/>
          </rPr>
          <t xml:space="preserve">80% </t>
        </r>
        <r>
          <rPr>
            <sz val="9"/>
            <color indexed="81"/>
            <rFont val="돋움"/>
            <family val="3"/>
            <charset val="129"/>
          </rPr>
          <t xml:space="preserve">입금
</t>
        </r>
        <r>
          <rPr>
            <sz val="9"/>
            <color indexed="81"/>
            <rFont val="Tahoma"/>
            <family val="2"/>
          </rPr>
          <t xml:space="preserve">\813,548,620
12/21 </t>
        </r>
        <r>
          <rPr>
            <sz val="9"/>
            <color indexed="81"/>
            <rFont val="돋움"/>
            <family val="3"/>
            <charset val="129"/>
          </rPr>
          <t>잔금</t>
        </r>
        <r>
          <rPr>
            <sz val="9"/>
            <color indexed="81"/>
            <rFont val="Tahoma"/>
            <family val="2"/>
          </rPr>
          <t xml:space="preserve">20% </t>
        </r>
        <r>
          <rPr>
            <sz val="9"/>
            <color indexed="81"/>
            <rFont val="돋움"/>
            <family val="3"/>
            <charset val="129"/>
          </rPr>
          <t xml:space="preserve">입금
</t>
        </r>
        <r>
          <rPr>
            <sz val="9"/>
            <color indexed="81"/>
            <rFont val="Tahoma"/>
            <family val="2"/>
          </rPr>
          <t>\288,072,340</t>
        </r>
      </text>
    </comment>
    <comment ref="K82" authorId="4" shapeId="0" xr:uid="{00000000-0006-0000-0000-000038000000}">
      <text>
        <r>
          <rPr>
            <b/>
            <sz val="9"/>
            <color indexed="81"/>
            <rFont val="Tahoma"/>
            <family val="2"/>
          </rPr>
          <t xml:space="preserve">6/30 </t>
        </r>
        <r>
          <rPr>
            <b/>
            <sz val="9"/>
            <color indexed="81"/>
            <rFont val="돋움"/>
            <family val="3"/>
            <charset val="129"/>
          </rPr>
          <t>에서</t>
        </r>
        <r>
          <rPr>
            <b/>
            <sz val="9"/>
            <color indexed="81"/>
            <rFont val="Tahoma"/>
            <family val="2"/>
          </rPr>
          <t xml:space="preserve"> </t>
        </r>
        <r>
          <rPr>
            <b/>
            <sz val="9"/>
            <color indexed="81"/>
            <rFont val="돋움"/>
            <family val="3"/>
            <charset val="129"/>
          </rPr>
          <t>연장됨</t>
        </r>
      </text>
    </comment>
    <comment ref="L82" authorId="1" shapeId="0" xr:uid="{00000000-0006-0000-0000-000039000000}">
      <text>
        <r>
          <rPr>
            <b/>
            <sz val="9"/>
            <color indexed="81"/>
            <rFont val="Tahoma"/>
            <family val="2"/>
          </rPr>
          <t>Temp:</t>
        </r>
        <r>
          <rPr>
            <sz val="9"/>
            <color indexed="81"/>
            <rFont val="Tahoma"/>
            <family val="2"/>
          </rPr>
          <t xml:space="preserve">
7/7 </t>
        </r>
        <r>
          <rPr>
            <sz val="9"/>
            <color indexed="81"/>
            <rFont val="돋움"/>
            <family val="3"/>
            <charset val="129"/>
          </rPr>
          <t>직접재료비</t>
        </r>
        <r>
          <rPr>
            <sz val="9"/>
            <color indexed="81"/>
            <rFont val="Tahoma"/>
            <family val="2"/>
          </rPr>
          <t xml:space="preserve"> </t>
        </r>
        <r>
          <rPr>
            <sz val="9"/>
            <color indexed="81"/>
            <rFont val="돋움"/>
            <family val="3"/>
            <charset val="129"/>
          </rPr>
          <t>부분</t>
        </r>
        <r>
          <rPr>
            <sz val="9"/>
            <color indexed="81"/>
            <rFont val="Tahoma"/>
            <family val="2"/>
          </rPr>
          <t xml:space="preserve"> </t>
        </r>
        <r>
          <rPr>
            <sz val="9"/>
            <color indexed="81"/>
            <rFont val="돋움"/>
            <family val="3"/>
            <charset val="129"/>
          </rPr>
          <t xml:space="preserve">청구
</t>
        </r>
        <r>
          <rPr>
            <sz val="9"/>
            <color indexed="81"/>
            <rFont val="Tahoma"/>
            <family val="2"/>
          </rPr>
          <t xml:space="preserve">\26,273,425
</t>
        </r>
        <r>
          <rPr>
            <sz val="9"/>
            <color indexed="81"/>
            <rFont val="돋움"/>
            <family val="3"/>
            <charset val="129"/>
          </rPr>
          <t>했다가</t>
        </r>
        <r>
          <rPr>
            <sz val="9"/>
            <color indexed="81"/>
            <rFont val="Tahoma"/>
            <family val="2"/>
          </rPr>
          <t xml:space="preserve"> </t>
        </r>
        <r>
          <rPr>
            <sz val="9"/>
            <color indexed="81"/>
            <rFont val="돋움"/>
            <family val="3"/>
            <charset val="129"/>
          </rPr>
          <t>취소발급</t>
        </r>
      </text>
    </comment>
    <comment ref="L85" authorId="1" shapeId="0" xr:uid="{00000000-0006-0000-0000-00003A000000}">
      <text>
        <r>
          <rPr>
            <b/>
            <sz val="9"/>
            <color indexed="81"/>
            <rFont val="Tahoma"/>
            <family val="2"/>
          </rPr>
          <t>Temp:</t>
        </r>
        <r>
          <rPr>
            <sz val="9"/>
            <color indexed="81"/>
            <rFont val="Tahoma"/>
            <family val="2"/>
          </rPr>
          <t xml:space="preserve">
3/22 </t>
        </r>
        <r>
          <rPr>
            <sz val="9"/>
            <color indexed="81"/>
            <rFont val="돋움"/>
            <family val="3"/>
            <charset val="129"/>
          </rPr>
          <t>발급</t>
        </r>
        <r>
          <rPr>
            <sz val="9"/>
            <color indexed="81"/>
            <rFont val="Tahoma"/>
            <family val="2"/>
          </rPr>
          <t xml:space="preserve"> </t>
        </r>
        <r>
          <rPr>
            <sz val="9"/>
            <color indexed="81"/>
            <rFont val="돋움"/>
            <family val="3"/>
            <charset val="129"/>
          </rPr>
          <t>후</t>
        </r>
        <r>
          <rPr>
            <sz val="9"/>
            <color indexed="81"/>
            <rFont val="Tahoma"/>
            <family val="2"/>
          </rPr>
          <t xml:space="preserve"> 
3/29 </t>
        </r>
        <r>
          <rPr>
            <sz val="9"/>
            <color indexed="81"/>
            <rFont val="돋움"/>
            <family val="3"/>
            <charset val="129"/>
          </rPr>
          <t>수정후</t>
        </r>
        <r>
          <rPr>
            <sz val="9"/>
            <color indexed="81"/>
            <rFont val="Tahoma"/>
            <family val="2"/>
          </rPr>
          <t xml:space="preserve"> </t>
        </r>
        <r>
          <rPr>
            <sz val="9"/>
            <color indexed="81"/>
            <rFont val="돋움"/>
            <family val="3"/>
            <charset val="129"/>
          </rPr>
          <t>재발급</t>
        </r>
      </text>
    </comment>
    <comment ref="L88" authorId="1" shapeId="0" xr:uid="{00000000-0006-0000-0000-00003B000000}">
      <text>
        <r>
          <rPr>
            <b/>
            <sz val="9"/>
            <color indexed="81"/>
            <rFont val="Tahoma"/>
            <family val="2"/>
          </rPr>
          <t>Temp:</t>
        </r>
        <r>
          <rPr>
            <sz val="9"/>
            <color indexed="81"/>
            <rFont val="Tahoma"/>
            <family val="2"/>
          </rPr>
          <t xml:space="preserve">
3/23 </t>
        </r>
        <r>
          <rPr>
            <sz val="9"/>
            <color indexed="81"/>
            <rFont val="돋움"/>
            <family val="3"/>
            <charset val="129"/>
          </rPr>
          <t>선금</t>
        </r>
        <r>
          <rPr>
            <sz val="9"/>
            <color indexed="81"/>
            <rFont val="Tahoma"/>
            <family val="2"/>
          </rPr>
          <t xml:space="preserve">50% </t>
        </r>
        <r>
          <rPr>
            <sz val="9"/>
            <color indexed="81"/>
            <rFont val="돋움"/>
            <family val="3"/>
            <charset val="129"/>
          </rPr>
          <t xml:space="preserve">발급
</t>
        </r>
        <r>
          <rPr>
            <sz val="9"/>
            <color indexed="81"/>
            <rFont val="Tahoma"/>
            <family val="2"/>
          </rPr>
          <t xml:space="preserve">\4,950,000
5/11 </t>
        </r>
        <r>
          <rPr>
            <sz val="9"/>
            <color indexed="81"/>
            <rFont val="돋움"/>
            <family val="3"/>
            <charset val="129"/>
          </rPr>
          <t>잔금</t>
        </r>
        <r>
          <rPr>
            <sz val="9"/>
            <color indexed="81"/>
            <rFont val="Tahoma"/>
            <family val="2"/>
          </rPr>
          <t xml:space="preserve">50% </t>
        </r>
        <r>
          <rPr>
            <sz val="9"/>
            <color indexed="81"/>
            <rFont val="돋움"/>
            <family val="3"/>
            <charset val="129"/>
          </rPr>
          <t xml:space="preserve">발급
</t>
        </r>
        <r>
          <rPr>
            <sz val="9"/>
            <color indexed="81"/>
            <rFont val="Tahoma"/>
            <family val="2"/>
          </rPr>
          <t>\4,950,000</t>
        </r>
      </text>
    </comment>
    <comment ref="M88" authorId="1" shapeId="0" xr:uid="{00000000-0006-0000-0000-00003C000000}">
      <text>
        <r>
          <rPr>
            <b/>
            <sz val="9"/>
            <color indexed="81"/>
            <rFont val="Tahoma"/>
            <family val="2"/>
          </rPr>
          <t>Temp:</t>
        </r>
        <r>
          <rPr>
            <sz val="9"/>
            <color indexed="81"/>
            <rFont val="Tahoma"/>
            <family val="2"/>
          </rPr>
          <t xml:space="preserve">
3/23 </t>
        </r>
        <r>
          <rPr>
            <sz val="9"/>
            <color indexed="81"/>
            <rFont val="돋움"/>
            <family val="3"/>
            <charset val="129"/>
          </rPr>
          <t>선금</t>
        </r>
        <r>
          <rPr>
            <sz val="9"/>
            <color indexed="81"/>
            <rFont val="Tahoma"/>
            <family val="2"/>
          </rPr>
          <t xml:space="preserve">50% </t>
        </r>
        <r>
          <rPr>
            <sz val="9"/>
            <color indexed="81"/>
            <rFont val="돋움"/>
            <family val="3"/>
            <charset val="129"/>
          </rPr>
          <t xml:space="preserve">입금
</t>
        </r>
        <r>
          <rPr>
            <sz val="9"/>
            <color indexed="81"/>
            <rFont val="Tahoma"/>
            <family val="2"/>
          </rPr>
          <t xml:space="preserve">\4,950,000
5/12 </t>
        </r>
        <r>
          <rPr>
            <sz val="9"/>
            <color indexed="81"/>
            <rFont val="돋움"/>
            <family val="3"/>
            <charset val="129"/>
          </rPr>
          <t>잔금</t>
        </r>
        <r>
          <rPr>
            <sz val="9"/>
            <color indexed="81"/>
            <rFont val="Tahoma"/>
            <family val="2"/>
          </rPr>
          <t xml:space="preserve">50% </t>
        </r>
        <r>
          <rPr>
            <sz val="9"/>
            <color indexed="81"/>
            <rFont val="돋움"/>
            <family val="3"/>
            <charset val="129"/>
          </rPr>
          <t xml:space="preserve">입금
</t>
        </r>
        <r>
          <rPr>
            <sz val="9"/>
            <color indexed="81"/>
            <rFont val="Tahoma"/>
            <family val="2"/>
          </rPr>
          <t>\4,950,000</t>
        </r>
      </text>
    </comment>
    <comment ref="L90" authorId="1" shapeId="0" xr:uid="{00000000-0006-0000-0000-00003D000000}">
      <text>
        <r>
          <rPr>
            <b/>
            <sz val="9"/>
            <color indexed="81"/>
            <rFont val="Tahoma"/>
            <family val="2"/>
          </rPr>
          <t>Temp:</t>
        </r>
        <r>
          <rPr>
            <sz val="9"/>
            <color indexed="81"/>
            <rFont val="Tahoma"/>
            <family val="2"/>
          </rPr>
          <t xml:space="preserve">
4/21 </t>
        </r>
        <r>
          <rPr>
            <sz val="9"/>
            <color indexed="81"/>
            <rFont val="돋움"/>
            <family val="3"/>
            <charset val="129"/>
          </rPr>
          <t>선금</t>
        </r>
        <r>
          <rPr>
            <sz val="9"/>
            <color indexed="81"/>
            <rFont val="Tahoma"/>
            <family val="2"/>
          </rPr>
          <t xml:space="preserve"> 79.33% </t>
        </r>
        <r>
          <rPr>
            <sz val="9"/>
            <color indexed="81"/>
            <rFont val="돋움"/>
            <family val="3"/>
            <charset val="129"/>
          </rPr>
          <t xml:space="preserve">청구
</t>
        </r>
        <r>
          <rPr>
            <sz val="9"/>
            <color indexed="81"/>
            <rFont val="Tahoma"/>
            <family val="2"/>
          </rPr>
          <t xml:space="preserve">\710,025,360
12/23 </t>
        </r>
        <r>
          <rPr>
            <sz val="9"/>
            <color indexed="81"/>
            <rFont val="돋움"/>
            <family val="3"/>
            <charset val="129"/>
          </rPr>
          <t>잔금</t>
        </r>
        <r>
          <rPr>
            <sz val="9"/>
            <color indexed="81"/>
            <rFont val="Tahoma"/>
            <family val="2"/>
          </rPr>
          <t xml:space="preserve"> 20.67% </t>
        </r>
        <r>
          <rPr>
            <sz val="9"/>
            <color indexed="81"/>
            <rFont val="돋움"/>
            <family val="3"/>
            <charset val="129"/>
          </rPr>
          <t xml:space="preserve">청구
</t>
        </r>
        <r>
          <rPr>
            <sz val="9"/>
            <color indexed="81"/>
            <rFont val="Tahoma"/>
            <family val="2"/>
          </rPr>
          <t>\185,000,640</t>
        </r>
      </text>
    </comment>
    <comment ref="M90" authorId="1" shapeId="0" xr:uid="{00000000-0006-0000-0000-00003E000000}">
      <text>
        <r>
          <rPr>
            <b/>
            <sz val="9"/>
            <color indexed="81"/>
            <rFont val="Tahoma"/>
            <family val="2"/>
          </rPr>
          <t>Temp:</t>
        </r>
        <r>
          <rPr>
            <sz val="9"/>
            <color indexed="81"/>
            <rFont val="Tahoma"/>
            <family val="2"/>
          </rPr>
          <t xml:space="preserve">
4/21 </t>
        </r>
        <r>
          <rPr>
            <sz val="9"/>
            <color indexed="81"/>
            <rFont val="돋움"/>
            <family val="3"/>
            <charset val="129"/>
          </rPr>
          <t>선금</t>
        </r>
        <r>
          <rPr>
            <sz val="9"/>
            <color indexed="81"/>
            <rFont val="Tahoma"/>
            <family val="2"/>
          </rPr>
          <t xml:space="preserve"> 79.33% </t>
        </r>
        <r>
          <rPr>
            <sz val="9"/>
            <color indexed="81"/>
            <rFont val="돋움"/>
            <family val="3"/>
            <charset val="129"/>
          </rPr>
          <t xml:space="preserve">입금
</t>
        </r>
        <r>
          <rPr>
            <sz val="9"/>
            <color indexed="81"/>
            <rFont val="Tahoma"/>
            <family val="2"/>
          </rPr>
          <t xml:space="preserve">\710,025,360
12/23 </t>
        </r>
        <r>
          <rPr>
            <sz val="9"/>
            <color indexed="81"/>
            <rFont val="돋움"/>
            <family val="3"/>
            <charset val="129"/>
          </rPr>
          <t>잔금</t>
        </r>
        <r>
          <rPr>
            <sz val="9"/>
            <color indexed="81"/>
            <rFont val="Tahoma"/>
            <family val="2"/>
          </rPr>
          <t xml:space="preserve"> </t>
        </r>
        <r>
          <rPr>
            <sz val="9"/>
            <color indexed="81"/>
            <rFont val="돋움"/>
            <family val="3"/>
            <charset val="129"/>
          </rPr>
          <t xml:space="preserve">입금
</t>
        </r>
        <r>
          <rPr>
            <sz val="9"/>
            <color indexed="81"/>
            <rFont val="Tahoma"/>
            <family val="2"/>
          </rPr>
          <t>\185,000,640</t>
        </r>
      </text>
    </comment>
    <comment ref="L93" authorId="1" shapeId="0" xr:uid="{00000000-0006-0000-0000-00003F000000}">
      <text>
        <r>
          <rPr>
            <b/>
            <sz val="9"/>
            <color indexed="81"/>
            <rFont val="Tahoma"/>
            <family val="2"/>
          </rPr>
          <t>Temp:</t>
        </r>
        <r>
          <rPr>
            <sz val="9"/>
            <color indexed="81"/>
            <rFont val="Tahoma"/>
            <family val="2"/>
          </rPr>
          <t xml:space="preserve">
3/29 </t>
        </r>
        <r>
          <rPr>
            <sz val="9"/>
            <color indexed="81"/>
            <rFont val="돋움"/>
            <family val="3"/>
            <charset val="129"/>
          </rPr>
          <t>선금</t>
        </r>
        <r>
          <rPr>
            <sz val="9"/>
            <color indexed="81"/>
            <rFont val="Tahoma"/>
            <family val="2"/>
          </rPr>
          <t xml:space="preserve">30% </t>
        </r>
        <r>
          <rPr>
            <sz val="9"/>
            <color indexed="81"/>
            <rFont val="돋움"/>
            <family val="3"/>
            <charset val="129"/>
          </rPr>
          <t xml:space="preserve">발급
</t>
        </r>
        <r>
          <rPr>
            <sz val="9"/>
            <color indexed="81"/>
            <rFont val="Tahoma"/>
            <family val="2"/>
          </rPr>
          <t xml:space="preserve">\53,790,000
5/20 </t>
        </r>
        <r>
          <rPr>
            <sz val="9"/>
            <color indexed="81"/>
            <rFont val="돋움"/>
            <family val="3"/>
            <charset val="129"/>
          </rPr>
          <t>잔금</t>
        </r>
        <r>
          <rPr>
            <sz val="9"/>
            <color indexed="81"/>
            <rFont val="Tahoma"/>
            <family val="2"/>
          </rPr>
          <t xml:space="preserve">70% </t>
        </r>
        <r>
          <rPr>
            <sz val="9"/>
            <color indexed="81"/>
            <rFont val="돋움"/>
            <family val="3"/>
            <charset val="129"/>
          </rPr>
          <t xml:space="preserve">발급
</t>
        </r>
        <r>
          <rPr>
            <sz val="9"/>
            <color indexed="81"/>
            <rFont val="Tahoma"/>
            <family val="2"/>
          </rPr>
          <t>\125,510,000</t>
        </r>
      </text>
    </comment>
    <comment ref="M93" authorId="1" shapeId="0" xr:uid="{00000000-0006-0000-0000-000040000000}">
      <text>
        <r>
          <rPr>
            <b/>
            <sz val="9"/>
            <color indexed="81"/>
            <rFont val="Tahoma"/>
            <family val="2"/>
          </rPr>
          <t>Temp:</t>
        </r>
        <r>
          <rPr>
            <sz val="9"/>
            <color indexed="81"/>
            <rFont val="Tahoma"/>
            <family val="2"/>
          </rPr>
          <t xml:space="preserve">
4/2 </t>
        </r>
        <r>
          <rPr>
            <sz val="9"/>
            <color indexed="81"/>
            <rFont val="돋움"/>
            <family val="3"/>
            <charset val="129"/>
          </rPr>
          <t>선금</t>
        </r>
        <r>
          <rPr>
            <sz val="9"/>
            <color indexed="81"/>
            <rFont val="Tahoma"/>
            <family val="2"/>
          </rPr>
          <t xml:space="preserve">30% </t>
        </r>
        <r>
          <rPr>
            <sz val="9"/>
            <color indexed="81"/>
            <rFont val="돋움"/>
            <family val="3"/>
            <charset val="129"/>
          </rPr>
          <t xml:space="preserve">입금
</t>
        </r>
        <r>
          <rPr>
            <sz val="9"/>
            <color indexed="81"/>
            <rFont val="Tahoma"/>
            <family val="2"/>
          </rPr>
          <t xml:space="preserve">\53,790,000
5/28 </t>
        </r>
        <r>
          <rPr>
            <sz val="9"/>
            <color indexed="81"/>
            <rFont val="돋움"/>
            <family val="3"/>
            <charset val="129"/>
          </rPr>
          <t>잔금</t>
        </r>
        <r>
          <rPr>
            <sz val="9"/>
            <color indexed="81"/>
            <rFont val="Tahoma"/>
            <family val="2"/>
          </rPr>
          <t xml:space="preserve">70% </t>
        </r>
        <r>
          <rPr>
            <sz val="9"/>
            <color indexed="81"/>
            <rFont val="돋움"/>
            <family val="3"/>
            <charset val="129"/>
          </rPr>
          <t xml:space="preserve">입금
</t>
        </r>
        <r>
          <rPr>
            <sz val="9"/>
            <color indexed="81"/>
            <rFont val="Tahoma"/>
            <family val="2"/>
          </rPr>
          <t>\125,510,000</t>
        </r>
      </text>
    </comment>
    <comment ref="I95" authorId="4" shapeId="0" xr:uid="{00000000-0006-0000-0000-000041000000}">
      <text>
        <r>
          <rPr>
            <b/>
            <sz val="9"/>
            <color indexed="81"/>
            <rFont val="돋움"/>
            <family val="3"/>
            <charset val="129"/>
          </rPr>
          <t>총계약금액</t>
        </r>
        <r>
          <rPr>
            <b/>
            <sz val="9"/>
            <color indexed="81"/>
            <rFont val="Tahoma"/>
            <family val="2"/>
          </rPr>
          <t xml:space="preserve">: 391,350,000
UST21 51%
</t>
        </r>
        <r>
          <rPr>
            <b/>
            <sz val="9"/>
            <color indexed="81"/>
            <rFont val="돋움"/>
            <family val="3"/>
            <charset val="129"/>
          </rPr>
          <t>오션테크</t>
        </r>
        <r>
          <rPr>
            <b/>
            <sz val="9"/>
            <color indexed="81"/>
            <rFont val="Tahoma"/>
            <family val="2"/>
          </rPr>
          <t xml:space="preserve"> 49%</t>
        </r>
      </text>
    </comment>
    <comment ref="L95" authorId="3" shapeId="0" xr:uid="{00000000-0006-0000-0000-000042000000}">
      <text>
        <r>
          <rPr>
            <b/>
            <sz val="9"/>
            <color indexed="81"/>
            <rFont val="돋움"/>
            <family val="3"/>
            <charset val="129"/>
          </rPr>
          <t>박고은</t>
        </r>
        <r>
          <rPr>
            <b/>
            <sz val="9"/>
            <color indexed="81"/>
            <rFont val="Tahoma"/>
            <family val="2"/>
          </rPr>
          <t>:</t>
        </r>
        <r>
          <rPr>
            <sz val="9"/>
            <color indexed="81"/>
            <rFont val="Tahoma"/>
            <family val="2"/>
          </rPr>
          <t xml:space="preserve">
4/5 </t>
        </r>
        <r>
          <rPr>
            <sz val="9"/>
            <color indexed="81"/>
            <rFont val="돋움"/>
            <family val="3"/>
            <charset val="129"/>
          </rPr>
          <t>선금</t>
        </r>
        <r>
          <rPr>
            <sz val="9"/>
            <color indexed="81"/>
            <rFont val="Tahoma"/>
            <family val="2"/>
          </rPr>
          <t xml:space="preserve"> 80% </t>
        </r>
        <r>
          <rPr>
            <sz val="9"/>
            <color indexed="81"/>
            <rFont val="돋움"/>
            <family val="3"/>
            <charset val="129"/>
          </rPr>
          <t xml:space="preserve">청구
</t>
        </r>
        <r>
          <rPr>
            <sz val="9"/>
            <color indexed="81"/>
            <rFont val="Tahoma"/>
            <family val="2"/>
          </rPr>
          <t xml:space="preserve">\153,409,200
11/4 </t>
        </r>
        <r>
          <rPr>
            <sz val="9"/>
            <color indexed="81"/>
            <rFont val="돋움"/>
            <family val="3"/>
            <charset val="129"/>
          </rPr>
          <t>잔금</t>
        </r>
        <r>
          <rPr>
            <sz val="9"/>
            <color indexed="81"/>
            <rFont val="Tahoma"/>
            <family val="2"/>
          </rPr>
          <t xml:space="preserve">20% </t>
        </r>
        <r>
          <rPr>
            <sz val="9"/>
            <color indexed="81"/>
            <rFont val="돋움"/>
            <family val="3"/>
            <charset val="129"/>
          </rPr>
          <t xml:space="preserve">청구
</t>
        </r>
        <r>
          <rPr>
            <sz val="9"/>
            <color indexed="81"/>
            <rFont val="Tahoma"/>
            <family val="2"/>
          </rPr>
          <t>\38,352,300</t>
        </r>
      </text>
    </comment>
    <comment ref="M95" authorId="3" shapeId="0" xr:uid="{00000000-0006-0000-0000-000043000000}">
      <text>
        <r>
          <rPr>
            <b/>
            <sz val="9"/>
            <color indexed="81"/>
            <rFont val="돋움"/>
            <family val="3"/>
            <charset val="129"/>
          </rPr>
          <t>박고은</t>
        </r>
        <r>
          <rPr>
            <b/>
            <sz val="9"/>
            <color indexed="81"/>
            <rFont val="Tahoma"/>
            <family val="2"/>
          </rPr>
          <t>:</t>
        </r>
        <r>
          <rPr>
            <sz val="9"/>
            <color indexed="81"/>
            <rFont val="Tahoma"/>
            <family val="2"/>
          </rPr>
          <t xml:space="preserve">
4/12 </t>
        </r>
        <r>
          <rPr>
            <sz val="9"/>
            <color indexed="81"/>
            <rFont val="돋움"/>
            <family val="3"/>
            <charset val="129"/>
          </rPr>
          <t>선금</t>
        </r>
        <r>
          <rPr>
            <sz val="9"/>
            <color indexed="81"/>
            <rFont val="Tahoma"/>
            <family val="2"/>
          </rPr>
          <t xml:space="preserve"> 80% </t>
        </r>
        <r>
          <rPr>
            <sz val="9"/>
            <color indexed="81"/>
            <rFont val="돋움"/>
            <family val="3"/>
            <charset val="129"/>
          </rPr>
          <t xml:space="preserve">입금
</t>
        </r>
        <r>
          <rPr>
            <sz val="9"/>
            <color indexed="81"/>
            <rFont val="Tahoma"/>
            <family val="2"/>
          </rPr>
          <t xml:space="preserve">\153,409,200
11/9 </t>
        </r>
        <r>
          <rPr>
            <sz val="9"/>
            <color indexed="81"/>
            <rFont val="돋움"/>
            <family val="3"/>
            <charset val="129"/>
          </rPr>
          <t>잔금</t>
        </r>
        <r>
          <rPr>
            <sz val="9"/>
            <color indexed="81"/>
            <rFont val="Tahoma"/>
            <family val="2"/>
          </rPr>
          <t xml:space="preserve">20% </t>
        </r>
        <r>
          <rPr>
            <sz val="9"/>
            <color indexed="81"/>
            <rFont val="돋움"/>
            <family val="3"/>
            <charset val="129"/>
          </rPr>
          <t xml:space="preserve">입금
</t>
        </r>
        <r>
          <rPr>
            <sz val="9"/>
            <color indexed="81"/>
            <rFont val="Tahoma"/>
            <family val="2"/>
          </rPr>
          <t>\38,352,300</t>
        </r>
      </text>
    </comment>
    <comment ref="L96" authorId="1" shapeId="0" xr:uid="{00000000-0006-0000-0000-000044000000}">
      <text>
        <r>
          <rPr>
            <b/>
            <sz val="9"/>
            <color indexed="81"/>
            <rFont val="Tahoma"/>
            <family val="2"/>
          </rPr>
          <t>Temp:</t>
        </r>
        <r>
          <rPr>
            <sz val="9"/>
            <color indexed="81"/>
            <rFont val="Tahoma"/>
            <family val="2"/>
          </rPr>
          <t xml:space="preserve">
</t>
        </r>
        <r>
          <rPr>
            <sz val="9"/>
            <color indexed="81"/>
            <rFont val="돋움"/>
            <family val="3"/>
            <charset val="129"/>
          </rPr>
          <t>수출</t>
        </r>
      </text>
    </comment>
    <comment ref="L97" authorId="1" shapeId="0" xr:uid="{00000000-0006-0000-0000-000045000000}">
      <text>
        <r>
          <rPr>
            <b/>
            <sz val="9"/>
            <color indexed="81"/>
            <rFont val="Tahoma"/>
            <family val="2"/>
          </rPr>
          <t>Temp:</t>
        </r>
        <r>
          <rPr>
            <sz val="9"/>
            <color indexed="81"/>
            <rFont val="Tahoma"/>
            <family val="2"/>
          </rPr>
          <t xml:space="preserve">
4/5 </t>
        </r>
        <r>
          <rPr>
            <sz val="9"/>
            <color indexed="81"/>
            <rFont val="돋움"/>
            <family val="3"/>
            <charset val="129"/>
          </rPr>
          <t>발급분</t>
        </r>
        <r>
          <rPr>
            <sz val="9"/>
            <color indexed="81"/>
            <rFont val="Tahoma"/>
            <family val="2"/>
          </rPr>
          <t xml:space="preserve"> </t>
        </r>
        <r>
          <rPr>
            <sz val="9"/>
            <color indexed="81"/>
            <rFont val="돋움"/>
            <family val="3"/>
            <charset val="129"/>
          </rPr>
          <t>취소</t>
        </r>
        <r>
          <rPr>
            <sz val="9"/>
            <color indexed="81"/>
            <rFont val="Tahoma"/>
            <family val="2"/>
          </rPr>
          <t xml:space="preserve"> </t>
        </r>
        <r>
          <rPr>
            <sz val="9"/>
            <color indexed="81"/>
            <rFont val="돋움"/>
            <family val="3"/>
            <charset val="129"/>
          </rPr>
          <t>후</t>
        </r>
        <r>
          <rPr>
            <sz val="9"/>
            <color indexed="81"/>
            <rFont val="Tahoma"/>
            <family val="2"/>
          </rPr>
          <t xml:space="preserve"> 
4/12 </t>
        </r>
        <r>
          <rPr>
            <sz val="9"/>
            <color indexed="81"/>
            <rFont val="돋움"/>
            <family val="3"/>
            <charset val="129"/>
          </rPr>
          <t>재발급
기존</t>
        </r>
        <r>
          <rPr>
            <sz val="9"/>
            <color indexed="81"/>
            <rFont val="Tahoma"/>
            <family val="2"/>
          </rPr>
          <t xml:space="preserve"> </t>
        </r>
        <r>
          <rPr>
            <sz val="9"/>
            <color indexed="81"/>
            <rFont val="돋움"/>
            <family val="3"/>
            <charset val="129"/>
          </rPr>
          <t>금액</t>
        </r>
        <r>
          <rPr>
            <sz val="9"/>
            <color indexed="81"/>
            <rFont val="Tahoma"/>
            <family val="2"/>
          </rPr>
          <t xml:space="preserve"> 5,643,000</t>
        </r>
        <r>
          <rPr>
            <sz val="9"/>
            <color indexed="81"/>
            <rFont val="돋움"/>
            <family val="3"/>
            <charset val="129"/>
          </rPr>
          <t xml:space="preserve">원
</t>
        </r>
        <r>
          <rPr>
            <sz val="9"/>
            <color indexed="81"/>
            <rFont val="Tahoma"/>
            <family val="2"/>
          </rPr>
          <t>-&gt; 3,839,000</t>
        </r>
        <r>
          <rPr>
            <sz val="9"/>
            <color indexed="81"/>
            <rFont val="돋움"/>
            <family val="3"/>
            <charset val="129"/>
          </rPr>
          <t>원
예산부족으로</t>
        </r>
        <r>
          <rPr>
            <sz val="9"/>
            <color indexed="81"/>
            <rFont val="Tahoma"/>
            <family val="2"/>
          </rPr>
          <t xml:space="preserve"> </t>
        </r>
        <r>
          <rPr>
            <sz val="9"/>
            <color indexed="81"/>
            <rFont val="돋움"/>
            <family val="3"/>
            <charset val="129"/>
          </rPr>
          <t>취소</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감가된</t>
        </r>
        <r>
          <rPr>
            <sz val="9"/>
            <color indexed="81"/>
            <rFont val="Tahoma"/>
            <family val="2"/>
          </rPr>
          <t xml:space="preserve"> </t>
        </r>
        <r>
          <rPr>
            <sz val="9"/>
            <color indexed="81"/>
            <rFont val="돋움"/>
            <family val="3"/>
            <charset val="129"/>
          </rPr>
          <t>금액으로</t>
        </r>
        <r>
          <rPr>
            <sz val="9"/>
            <color indexed="81"/>
            <rFont val="Tahoma"/>
            <family val="2"/>
          </rPr>
          <t xml:space="preserve"> </t>
        </r>
        <r>
          <rPr>
            <sz val="9"/>
            <color indexed="81"/>
            <rFont val="돋움"/>
            <family val="3"/>
            <charset val="129"/>
          </rPr>
          <t>재발급
다음</t>
        </r>
        <r>
          <rPr>
            <sz val="9"/>
            <color indexed="81"/>
            <rFont val="Tahoma"/>
            <family val="2"/>
          </rPr>
          <t xml:space="preserve"> </t>
        </r>
        <r>
          <rPr>
            <sz val="9"/>
            <color indexed="81"/>
            <rFont val="돋움"/>
            <family val="3"/>
            <charset val="129"/>
          </rPr>
          <t>계약시</t>
        </r>
        <r>
          <rPr>
            <sz val="9"/>
            <color indexed="81"/>
            <rFont val="Tahoma"/>
            <family val="2"/>
          </rPr>
          <t xml:space="preserve"> </t>
        </r>
        <r>
          <rPr>
            <sz val="9"/>
            <color indexed="81"/>
            <rFont val="돋움"/>
            <family val="3"/>
            <charset val="129"/>
          </rPr>
          <t>차액</t>
        </r>
        <r>
          <rPr>
            <sz val="9"/>
            <color indexed="81"/>
            <rFont val="Tahoma"/>
            <family val="2"/>
          </rPr>
          <t xml:space="preserve"> </t>
        </r>
        <r>
          <rPr>
            <sz val="9"/>
            <color indexed="81"/>
            <rFont val="돋움"/>
            <family val="3"/>
            <charset val="129"/>
          </rPr>
          <t>보존해준다고</t>
        </r>
        <r>
          <rPr>
            <sz val="9"/>
            <color indexed="81"/>
            <rFont val="Tahoma"/>
            <family val="2"/>
          </rPr>
          <t xml:space="preserve"> </t>
        </r>
        <r>
          <rPr>
            <sz val="9"/>
            <color indexed="81"/>
            <rFont val="돋움"/>
            <family val="3"/>
            <charset val="129"/>
          </rPr>
          <t>했는데</t>
        </r>
        <r>
          <rPr>
            <sz val="9"/>
            <color indexed="81"/>
            <rFont val="Tahoma"/>
            <family val="2"/>
          </rPr>
          <t xml:space="preserve">, </t>
        </r>
        <r>
          <rPr>
            <sz val="9"/>
            <color indexed="81"/>
            <rFont val="돋움"/>
            <family val="3"/>
            <charset val="129"/>
          </rPr>
          <t>담당자가</t>
        </r>
        <r>
          <rPr>
            <sz val="9"/>
            <color indexed="81"/>
            <rFont val="Tahoma"/>
            <family val="2"/>
          </rPr>
          <t xml:space="preserve"> </t>
        </r>
        <r>
          <rPr>
            <sz val="9"/>
            <color indexed="81"/>
            <rFont val="돋움"/>
            <family val="3"/>
            <charset val="129"/>
          </rPr>
          <t>바뀌면</t>
        </r>
        <r>
          <rPr>
            <sz val="9"/>
            <color indexed="81"/>
            <rFont val="Tahoma"/>
            <family val="2"/>
          </rPr>
          <t xml:space="preserve"> </t>
        </r>
        <r>
          <rPr>
            <sz val="9"/>
            <color indexed="81"/>
            <rFont val="돋움"/>
            <family val="3"/>
            <charset val="129"/>
          </rPr>
          <t>못</t>
        </r>
        <r>
          <rPr>
            <sz val="9"/>
            <color indexed="81"/>
            <rFont val="Tahoma"/>
            <family val="2"/>
          </rPr>
          <t xml:space="preserve"> </t>
        </r>
        <r>
          <rPr>
            <sz val="9"/>
            <color indexed="81"/>
            <rFont val="돋움"/>
            <family val="3"/>
            <charset val="129"/>
          </rPr>
          <t>받을</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 xml:space="preserve">있음
</t>
        </r>
        <r>
          <rPr>
            <sz val="9"/>
            <color indexed="81"/>
            <rFont val="Tahoma"/>
            <family val="2"/>
          </rPr>
          <t>(</t>
        </r>
        <r>
          <rPr>
            <sz val="9"/>
            <color indexed="81"/>
            <rFont val="돋움"/>
            <family val="3"/>
            <charset val="129"/>
          </rPr>
          <t>하선종</t>
        </r>
        <r>
          <rPr>
            <sz val="9"/>
            <color indexed="81"/>
            <rFont val="Tahoma"/>
            <family val="2"/>
          </rPr>
          <t xml:space="preserve"> </t>
        </r>
        <r>
          <rPr>
            <sz val="9"/>
            <color indexed="81"/>
            <rFont val="돋움"/>
            <family val="3"/>
            <charset val="129"/>
          </rPr>
          <t>차장님</t>
        </r>
        <r>
          <rPr>
            <sz val="9"/>
            <color indexed="81"/>
            <rFont val="Tahoma"/>
            <family val="2"/>
          </rPr>
          <t>)</t>
        </r>
      </text>
    </comment>
    <comment ref="I101" authorId="6" shapeId="0" xr:uid="{00000000-0006-0000-0000-000046000000}">
      <text>
        <r>
          <rPr>
            <b/>
            <sz val="9"/>
            <color indexed="81"/>
            <rFont val="돋움"/>
            <family val="3"/>
            <charset val="129"/>
          </rPr>
          <t>총계약금액</t>
        </r>
        <r>
          <rPr>
            <b/>
            <sz val="9"/>
            <color indexed="81"/>
            <rFont val="Tahoma"/>
            <family val="2"/>
          </rPr>
          <t xml:space="preserve">: 1,770,000,000
</t>
        </r>
        <r>
          <rPr>
            <b/>
            <sz val="9"/>
            <color indexed="81"/>
            <rFont val="돋움"/>
            <family val="3"/>
            <charset val="129"/>
          </rPr>
          <t>전략해양</t>
        </r>
        <r>
          <rPr>
            <b/>
            <sz val="9"/>
            <color indexed="81"/>
            <rFont val="Tahoma"/>
            <family val="2"/>
          </rPr>
          <t xml:space="preserve"> 41.2%
</t>
        </r>
        <r>
          <rPr>
            <b/>
            <sz val="9"/>
            <color indexed="81"/>
            <rFont val="돋움"/>
            <family val="3"/>
            <charset val="129"/>
          </rPr>
          <t>일렉오션</t>
        </r>
        <r>
          <rPr>
            <b/>
            <sz val="9"/>
            <color indexed="81"/>
            <rFont val="Tahoma"/>
            <family val="2"/>
          </rPr>
          <t xml:space="preserve"> 21.9%
UST21 19.4%
</t>
        </r>
        <r>
          <rPr>
            <b/>
            <sz val="9"/>
            <color indexed="81"/>
            <rFont val="돋움"/>
            <family val="3"/>
            <charset val="129"/>
          </rPr>
          <t>오션테크</t>
        </r>
        <r>
          <rPr>
            <b/>
            <sz val="9"/>
            <color indexed="81"/>
            <rFont val="Tahoma"/>
            <family val="2"/>
          </rPr>
          <t xml:space="preserve"> 17.5%</t>
        </r>
      </text>
    </comment>
    <comment ref="L101" authorId="1" shapeId="0" xr:uid="{00000000-0006-0000-0000-000047000000}">
      <text>
        <r>
          <rPr>
            <b/>
            <sz val="9"/>
            <color indexed="81"/>
            <rFont val="Tahoma"/>
            <family val="2"/>
          </rPr>
          <t>Temp:</t>
        </r>
        <r>
          <rPr>
            <sz val="9"/>
            <color indexed="81"/>
            <rFont val="Tahoma"/>
            <family val="2"/>
          </rPr>
          <t xml:space="preserve">
4/1 </t>
        </r>
        <r>
          <rPr>
            <sz val="9"/>
            <color indexed="81"/>
            <rFont val="돋움"/>
            <family val="3"/>
            <charset val="129"/>
          </rPr>
          <t>선금</t>
        </r>
        <r>
          <rPr>
            <sz val="9"/>
            <color indexed="81"/>
            <rFont val="Tahoma"/>
            <family val="2"/>
          </rPr>
          <t xml:space="preserve">80% </t>
        </r>
        <r>
          <rPr>
            <sz val="9"/>
            <color indexed="81"/>
            <rFont val="돋움"/>
            <family val="3"/>
            <charset val="129"/>
          </rPr>
          <t>발급</t>
        </r>
        <r>
          <rPr>
            <sz val="9"/>
            <color indexed="81"/>
            <rFont val="Tahoma"/>
            <family val="2"/>
          </rPr>
          <t xml:space="preserve">
\247,800,000
12/21 </t>
        </r>
        <r>
          <rPr>
            <sz val="9"/>
            <color indexed="81"/>
            <rFont val="돋움"/>
            <family val="3"/>
            <charset val="129"/>
          </rPr>
          <t>잔금</t>
        </r>
        <r>
          <rPr>
            <sz val="9"/>
            <color indexed="81"/>
            <rFont val="Tahoma"/>
            <family val="2"/>
          </rPr>
          <t xml:space="preserve">20% </t>
        </r>
        <r>
          <rPr>
            <sz val="9"/>
            <color indexed="81"/>
            <rFont val="돋움"/>
            <family val="3"/>
            <charset val="129"/>
          </rPr>
          <t xml:space="preserve">발급
</t>
        </r>
        <r>
          <rPr>
            <sz val="9"/>
            <color indexed="81"/>
            <rFont val="Tahoma"/>
            <family val="2"/>
          </rPr>
          <t>\61,950,000</t>
        </r>
      </text>
    </comment>
    <comment ref="M101" authorId="1" shapeId="0" xr:uid="{00000000-0006-0000-0000-000048000000}">
      <text>
        <r>
          <rPr>
            <b/>
            <sz val="9"/>
            <color indexed="81"/>
            <rFont val="Tahoma"/>
            <family val="2"/>
          </rPr>
          <t>Temp:</t>
        </r>
        <r>
          <rPr>
            <sz val="9"/>
            <color indexed="81"/>
            <rFont val="Tahoma"/>
            <family val="2"/>
          </rPr>
          <t xml:space="preserve">
4/2
 </t>
        </r>
        <r>
          <rPr>
            <sz val="9"/>
            <color indexed="81"/>
            <rFont val="돋움"/>
            <family val="3"/>
            <charset val="129"/>
          </rPr>
          <t>선금</t>
        </r>
        <r>
          <rPr>
            <sz val="9"/>
            <color indexed="81"/>
            <rFont val="Tahoma"/>
            <family val="2"/>
          </rPr>
          <t xml:space="preserve">80% </t>
        </r>
        <r>
          <rPr>
            <sz val="9"/>
            <color indexed="81"/>
            <rFont val="돋움"/>
            <family val="3"/>
            <charset val="129"/>
          </rPr>
          <t>입금</t>
        </r>
        <r>
          <rPr>
            <sz val="9"/>
            <color indexed="81"/>
            <rFont val="Tahoma"/>
            <family val="2"/>
          </rPr>
          <t xml:space="preserve">
\247,800,000
12/22 </t>
        </r>
        <r>
          <rPr>
            <sz val="9"/>
            <color indexed="81"/>
            <rFont val="돋움"/>
            <family val="3"/>
            <charset val="129"/>
          </rPr>
          <t>잔금</t>
        </r>
        <r>
          <rPr>
            <sz val="9"/>
            <color indexed="81"/>
            <rFont val="Tahoma"/>
            <family val="2"/>
          </rPr>
          <t xml:space="preserve">20% </t>
        </r>
        <r>
          <rPr>
            <sz val="9"/>
            <color indexed="81"/>
            <rFont val="돋움"/>
            <family val="3"/>
            <charset val="129"/>
          </rPr>
          <t xml:space="preserve">입금
</t>
        </r>
        <r>
          <rPr>
            <sz val="9"/>
            <color indexed="81"/>
            <rFont val="Tahoma"/>
            <family val="2"/>
          </rPr>
          <t>\61,950,000</t>
        </r>
      </text>
    </comment>
    <comment ref="L102" authorId="1" shapeId="0" xr:uid="{00000000-0006-0000-0000-000049000000}">
      <text>
        <r>
          <rPr>
            <b/>
            <sz val="9"/>
            <color indexed="81"/>
            <rFont val="Tahoma"/>
            <family val="2"/>
          </rPr>
          <t>Temp:</t>
        </r>
        <r>
          <rPr>
            <sz val="9"/>
            <color indexed="81"/>
            <rFont val="Tahoma"/>
            <family val="2"/>
          </rPr>
          <t xml:space="preserve">
6/1 </t>
        </r>
        <r>
          <rPr>
            <sz val="9"/>
            <color indexed="81"/>
            <rFont val="돋움"/>
            <family val="3"/>
            <charset val="129"/>
          </rPr>
          <t>선금</t>
        </r>
        <r>
          <rPr>
            <sz val="9"/>
            <color indexed="81"/>
            <rFont val="Tahoma"/>
            <family val="2"/>
          </rPr>
          <t xml:space="preserve">20% </t>
        </r>
        <r>
          <rPr>
            <sz val="9"/>
            <color indexed="81"/>
            <rFont val="돋움"/>
            <family val="3"/>
            <charset val="129"/>
          </rPr>
          <t xml:space="preserve">발급
</t>
        </r>
        <r>
          <rPr>
            <sz val="9"/>
            <color indexed="81"/>
            <rFont val="Tahoma"/>
            <family val="2"/>
          </rPr>
          <t xml:space="preserve">\11,748,000
7/5 </t>
        </r>
        <r>
          <rPr>
            <sz val="9"/>
            <color indexed="81"/>
            <rFont val="돋움"/>
            <family val="3"/>
            <charset val="129"/>
          </rPr>
          <t xml:space="preserve">취소발급
</t>
        </r>
        <r>
          <rPr>
            <sz val="9"/>
            <color indexed="81"/>
            <rFont val="Tahoma"/>
            <family val="2"/>
          </rPr>
          <t xml:space="preserve">7/19 </t>
        </r>
        <r>
          <rPr>
            <sz val="9"/>
            <color indexed="81"/>
            <rFont val="돋움"/>
            <family val="3"/>
            <charset val="129"/>
          </rPr>
          <t>선금</t>
        </r>
        <r>
          <rPr>
            <sz val="9"/>
            <color indexed="81"/>
            <rFont val="Tahoma"/>
            <family val="2"/>
          </rPr>
          <t xml:space="preserve">20% </t>
        </r>
        <r>
          <rPr>
            <sz val="9"/>
            <color indexed="81"/>
            <rFont val="돋움"/>
            <family val="3"/>
            <charset val="129"/>
          </rPr>
          <t xml:space="preserve">발급
</t>
        </r>
        <r>
          <rPr>
            <sz val="9"/>
            <color indexed="81"/>
            <rFont val="Tahoma"/>
            <family val="2"/>
          </rPr>
          <t xml:space="preserve">8/3 </t>
        </r>
        <r>
          <rPr>
            <sz val="9"/>
            <color indexed="81"/>
            <rFont val="돋움"/>
            <family val="3"/>
            <charset val="129"/>
          </rPr>
          <t>선금</t>
        </r>
        <r>
          <rPr>
            <sz val="9"/>
            <color indexed="81"/>
            <rFont val="Tahoma"/>
            <family val="2"/>
          </rPr>
          <t xml:space="preserve">20% </t>
        </r>
        <r>
          <rPr>
            <sz val="9"/>
            <color indexed="81"/>
            <rFont val="돋움"/>
            <family val="3"/>
            <charset val="129"/>
          </rPr>
          <t xml:space="preserve">취소발급
</t>
        </r>
        <r>
          <rPr>
            <sz val="9"/>
            <color indexed="81"/>
            <rFont val="Tahoma"/>
            <family val="2"/>
          </rPr>
          <t xml:space="preserve">12/1 </t>
        </r>
        <r>
          <rPr>
            <sz val="9"/>
            <color indexed="81"/>
            <rFont val="돋움"/>
            <family val="3"/>
            <charset val="129"/>
          </rPr>
          <t>전체</t>
        </r>
        <r>
          <rPr>
            <sz val="9"/>
            <color indexed="81"/>
            <rFont val="Tahoma"/>
            <family val="2"/>
          </rPr>
          <t xml:space="preserve"> </t>
        </r>
        <r>
          <rPr>
            <sz val="9"/>
            <color indexed="81"/>
            <rFont val="돋움"/>
            <family val="3"/>
            <charset val="129"/>
          </rPr>
          <t>금액으로</t>
        </r>
        <r>
          <rPr>
            <sz val="9"/>
            <color indexed="81"/>
            <rFont val="Tahoma"/>
            <family val="2"/>
          </rPr>
          <t xml:space="preserve"> </t>
        </r>
        <r>
          <rPr>
            <sz val="9"/>
            <color indexed="81"/>
            <rFont val="돋움"/>
            <family val="3"/>
            <charset val="129"/>
          </rPr>
          <t>발급</t>
        </r>
      </text>
    </comment>
    <comment ref="L105" authorId="1" shapeId="0" xr:uid="{00000000-0006-0000-0000-00004A000000}">
      <text>
        <r>
          <rPr>
            <b/>
            <sz val="9"/>
            <color indexed="81"/>
            <rFont val="Tahoma"/>
            <family val="2"/>
          </rPr>
          <t>Temp:</t>
        </r>
        <r>
          <rPr>
            <sz val="9"/>
            <color indexed="81"/>
            <rFont val="Tahoma"/>
            <family val="2"/>
          </rPr>
          <t xml:space="preserve">
4/2 </t>
        </r>
        <r>
          <rPr>
            <sz val="9"/>
            <color indexed="81"/>
            <rFont val="돋움"/>
            <family val="3"/>
            <charset val="129"/>
          </rPr>
          <t>선금</t>
        </r>
        <r>
          <rPr>
            <sz val="9"/>
            <color indexed="81"/>
            <rFont val="Tahoma"/>
            <family val="2"/>
          </rPr>
          <t xml:space="preserve"> 50% </t>
        </r>
        <r>
          <rPr>
            <sz val="9"/>
            <color indexed="81"/>
            <rFont val="돋움"/>
            <family val="3"/>
            <charset val="129"/>
          </rPr>
          <t xml:space="preserve">청구
</t>
        </r>
        <r>
          <rPr>
            <sz val="9"/>
            <color indexed="81"/>
            <rFont val="Tahoma"/>
            <family val="2"/>
          </rPr>
          <t>\19,250,000
7/14 2</t>
        </r>
        <r>
          <rPr>
            <sz val="9"/>
            <color indexed="81"/>
            <rFont val="돋움"/>
            <family val="3"/>
            <charset val="129"/>
          </rPr>
          <t>건으로</t>
        </r>
        <r>
          <rPr>
            <sz val="9"/>
            <color indexed="81"/>
            <rFont val="Tahoma"/>
            <family val="2"/>
          </rPr>
          <t xml:space="preserve"> </t>
        </r>
        <r>
          <rPr>
            <sz val="9"/>
            <color indexed="81"/>
            <rFont val="돋움"/>
            <family val="3"/>
            <charset val="129"/>
          </rPr>
          <t>나눠</t>
        </r>
        <r>
          <rPr>
            <sz val="9"/>
            <color indexed="81"/>
            <rFont val="Tahoma"/>
            <family val="2"/>
          </rPr>
          <t xml:space="preserve"> </t>
        </r>
        <r>
          <rPr>
            <sz val="9"/>
            <color indexed="81"/>
            <rFont val="돋움"/>
            <family val="3"/>
            <charset val="129"/>
          </rPr>
          <t xml:space="preserve">잔금청구
</t>
        </r>
        <r>
          <rPr>
            <sz val="9"/>
            <color indexed="81"/>
            <rFont val="Tahoma"/>
            <family val="2"/>
          </rPr>
          <t>\6,600,000
\12,650,000</t>
        </r>
      </text>
    </comment>
    <comment ref="M105" authorId="1" shapeId="0" xr:uid="{00000000-0006-0000-0000-00004B000000}">
      <text>
        <r>
          <rPr>
            <b/>
            <sz val="9"/>
            <color indexed="81"/>
            <rFont val="Tahoma"/>
            <family val="2"/>
          </rPr>
          <t>Temp:</t>
        </r>
        <r>
          <rPr>
            <sz val="9"/>
            <color indexed="81"/>
            <rFont val="Tahoma"/>
            <family val="2"/>
          </rPr>
          <t xml:space="preserve">
4/9 </t>
        </r>
        <r>
          <rPr>
            <sz val="9"/>
            <color indexed="81"/>
            <rFont val="돋움"/>
            <family val="3"/>
            <charset val="129"/>
          </rPr>
          <t>선금</t>
        </r>
        <r>
          <rPr>
            <sz val="9"/>
            <color indexed="81"/>
            <rFont val="Tahoma"/>
            <family val="2"/>
          </rPr>
          <t xml:space="preserve">50% </t>
        </r>
        <r>
          <rPr>
            <sz val="9"/>
            <color indexed="81"/>
            <rFont val="돋움"/>
            <family val="3"/>
            <charset val="129"/>
          </rPr>
          <t>입금</t>
        </r>
        <r>
          <rPr>
            <sz val="9"/>
            <color indexed="81"/>
            <rFont val="Tahoma"/>
            <family val="2"/>
          </rPr>
          <t xml:space="preserve">\19,250,000
7/17 IP Multi Seacam </t>
        </r>
        <r>
          <rPr>
            <sz val="9"/>
            <color indexed="81"/>
            <rFont val="돋움"/>
            <family val="3"/>
            <charset val="129"/>
          </rPr>
          <t>잔금</t>
        </r>
        <r>
          <rPr>
            <sz val="9"/>
            <color indexed="81"/>
            <rFont val="Tahoma"/>
            <family val="2"/>
          </rPr>
          <t xml:space="preserve"> </t>
        </r>
        <r>
          <rPr>
            <sz val="9"/>
            <color indexed="81"/>
            <rFont val="돋움"/>
            <family val="3"/>
            <charset val="129"/>
          </rPr>
          <t>입금</t>
        </r>
        <r>
          <rPr>
            <sz val="9"/>
            <color indexed="81"/>
            <rFont val="Tahoma"/>
            <family val="2"/>
          </rPr>
          <t xml:space="preserve"> 
\12,650,000
7/19 LED Sealite </t>
        </r>
        <r>
          <rPr>
            <sz val="9"/>
            <color indexed="81"/>
            <rFont val="돋움"/>
            <family val="3"/>
            <charset val="129"/>
          </rPr>
          <t xml:space="preserve">입금
</t>
        </r>
        <r>
          <rPr>
            <sz val="9"/>
            <color indexed="81"/>
            <rFont val="Tahoma"/>
            <family val="2"/>
          </rPr>
          <t>\6,600,000</t>
        </r>
      </text>
    </comment>
    <comment ref="E118" authorId="0" shapeId="0" xr:uid="{00000000-0006-0000-0000-00004C000000}">
      <text>
        <r>
          <rPr>
            <b/>
            <sz val="9"/>
            <color indexed="81"/>
            <rFont val="돋움"/>
            <family val="3"/>
            <charset val="129"/>
          </rPr>
          <t>과제계획</t>
        </r>
        <r>
          <rPr>
            <b/>
            <sz val="9"/>
            <color indexed="81"/>
            <rFont val="Tahoma"/>
            <family val="2"/>
          </rPr>
          <t xml:space="preserve"> </t>
        </r>
        <r>
          <rPr>
            <b/>
            <sz val="9"/>
            <color indexed="81"/>
            <rFont val="돋움"/>
            <family val="3"/>
            <charset val="129"/>
          </rPr>
          <t>변경으로</t>
        </r>
        <r>
          <rPr>
            <b/>
            <sz val="9"/>
            <color indexed="81"/>
            <rFont val="Tahoma"/>
            <family val="2"/>
          </rPr>
          <t xml:space="preserve"> </t>
        </r>
        <r>
          <rPr>
            <b/>
            <sz val="9"/>
            <color indexed="81"/>
            <rFont val="돋움"/>
            <family val="3"/>
            <charset val="129"/>
          </rPr>
          <t>구매</t>
        </r>
        <r>
          <rPr>
            <b/>
            <sz val="9"/>
            <color indexed="81"/>
            <rFont val="Tahoma"/>
            <family val="2"/>
          </rPr>
          <t xml:space="preserve"> </t>
        </r>
        <r>
          <rPr>
            <b/>
            <sz val="9"/>
            <color indexed="81"/>
            <rFont val="돋움"/>
            <family val="3"/>
            <charset val="129"/>
          </rPr>
          <t>취소</t>
        </r>
        <r>
          <rPr>
            <b/>
            <sz val="9"/>
            <color indexed="81"/>
            <rFont val="Tahoma"/>
            <family val="2"/>
          </rPr>
          <t xml:space="preserve"> </t>
        </r>
        <r>
          <rPr>
            <b/>
            <sz val="9"/>
            <color indexed="81"/>
            <rFont val="돋움"/>
            <family val="3"/>
            <charset val="129"/>
          </rPr>
          <t>됨</t>
        </r>
        <r>
          <rPr>
            <b/>
            <sz val="9"/>
            <color indexed="81"/>
            <rFont val="Tahoma"/>
            <family val="2"/>
          </rPr>
          <t xml:space="preserve"> (21.05.03.)</t>
        </r>
      </text>
    </comment>
    <comment ref="L119" authorId="1" shapeId="0" xr:uid="{00000000-0006-0000-0000-00004D000000}">
      <text>
        <r>
          <rPr>
            <b/>
            <sz val="9"/>
            <color indexed="81"/>
            <rFont val="Tahoma"/>
            <family val="2"/>
          </rPr>
          <t>Temp:</t>
        </r>
        <r>
          <rPr>
            <sz val="9"/>
            <color indexed="81"/>
            <rFont val="Tahoma"/>
            <family val="2"/>
          </rPr>
          <t xml:space="preserve">
4/9 </t>
        </r>
        <r>
          <rPr>
            <sz val="9"/>
            <color indexed="81"/>
            <rFont val="돋움"/>
            <family val="3"/>
            <charset val="129"/>
          </rPr>
          <t>선금</t>
        </r>
        <r>
          <rPr>
            <sz val="9"/>
            <color indexed="81"/>
            <rFont val="Tahoma"/>
            <family val="2"/>
          </rPr>
          <t xml:space="preserve">10% </t>
        </r>
        <r>
          <rPr>
            <sz val="9"/>
            <color indexed="81"/>
            <rFont val="돋움"/>
            <family val="3"/>
            <charset val="129"/>
          </rPr>
          <t xml:space="preserve">발급
</t>
        </r>
        <r>
          <rPr>
            <sz val="9"/>
            <color indexed="81"/>
            <rFont val="Tahoma"/>
            <family val="2"/>
          </rPr>
          <t xml:space="preserve">\3,102,000
7/5 </t>
        </r>
        <r>
          <rPr>
            <sz val="9"/>
            <color indexed="81"/>
            <rFont val="돋움"/>
            <family val="3"/>
            <charset val="129"/>
          </rPr>
          <t>중도금</t>
        </r>
        <r>
          <rPr>
            <sz val="9"/>
            <color indexed="81"/>
            <rFont val="Tahoma"/>
            <family val="2"/>
          </rPr>
          <t xml:space="preserve"> 40% </t>
        </r>
        <r>
          <rPr>
            <sz val="9"/>
            <color indexed="81"/>
            <rFont val="돋움"/>
            <family val="3"/>
            <charset val="129"/>
          </rPr>
          <t xml:space="preserve">발급
</t>
        </r>
        <r>
          <rPr>
            <sz val="9"/>
            <color indexed="81"/>
            <rFont val="Tahoma"/>
            <family val="2"/>
          </rPr>
          <t xml:space="preserve">\12,408,000
7/8 </t>
        </r>
        <r>
          <rPr>
            <sz val="9"/>
            <color indexed="81"/>
            <rFont val="돋움"/>
            <family val="3"/>
            <charset val="129"/>
          </rPr>
          <t>잔금</t>
        </r>
        <r>
          <rPr>
            <sz val="9"/>
            <color indexed="81"/>
            <rFont val="Tahoma"/>
            <family val="2"/>
          </rPr>
          <t xml:space="preserve">50% </t>
        </r>
        <r>
          <rPr>
            <sz val="9"/>
            <color indexed="81"/>
            <rFont val="돋움"/>
            <family val="3"/>
            <charset val="129"/>
          </rPr>
          <t xml:space="preserve">발급
</t>
        </r>
        <r>
          <rPr>
            <sz val="9"/>
            <color indexed="81"/>
            <rFont val="Tahoma"/>
            <family val="2"/>
          </rPr>
          <t>\15,510,000</t>
        </r>
      </text>
    </comment>
    <comment ref="M119" authorId="1" shapeId="0" xr:uid="{00000000-0006-0000-0000-00004E000000}">
      <text>
        <r>
          <rPr>
            <b/>
            <sz val="9"/>
            <color indexed="81"/>
            <rFont val="Tahoma"/>
            <family val="2"/>
          </rPr>
          <t>Temp:</t>
        </r>
        <r>
          <rPr>
            <sz val="9"/>
            <color indexed="81"/>
            <rFont val="Tahoma"/>
            <family val="2"/>
          </rPr>
          <t xml:space="preserve">
4/9 </t>
        </r>
        <r>
          <rPr>
            <sz val="9"/>
            <color indexed="81"/>
            <rFont val="돋움"/>
            <family val="3"/>
            <charset val="129"/>
          </rPr>
          <t>선금</t>
        </r>
        <r>
          <rPr>
            <sz val="9"/>
            <color indexed="81"/>
            <rFont val="Tahoma"/>
            <family val="2"/>
          </rPr>
          <t xml:space="preserve">10% </t>
        </r>
        <r>
          <rPr>
            <sz val="9"/>
            <color indexed="81"/>
            <rFont val="돋움"/>
            <family val="3"/>
            <charset val="129"/>
          </rPr>
          <t xml:space="preserve">입금
</t>
        </r>
        <r>
          <rPr>
            <sz val="9"/>
            <color indexed="81"/>
            <rFont val="Tahoma"/>
            <family val="2"/>
          </rPr>
          <t xml:space="preserve">\3,102,000
7/5 </t>
        </r>
        <r>
          <rPr>
            <sz val="9"/>
            <color indexed="81"/>
            <rFont val="돋움"/>
            <family val="3"/>
            <charset val="129"/>
          </rPr>
          <t>중도금</t>
        </r>
        <r>
          <rPr>
            <sz val="9"/>
            <color indexed="81"/>
            <rFont val="Tahoma"/>
            <family val="2"/>
          </rPr>
          <t xml:space="preserve"> 40% </t>
        </r>
        <r>
          <rPr>
            <sz val="9"/>
            <color indexed="81"/>
            <rFont val="돋움"/>
            <family val="3"/>
            <charset val="129"/>
          </rPr>
          <t xml:space="preserve">입금
</t>
        </r>
        <r>
          <rPr>
            <sz val="9"/>
            <color indexed="81"/>
            <rFont val="Tahoma"/>
            <family val="2"/>
          </rPr>
          <t xml:space="preserve">\12,408,000
7/16 </t>
        </r>
        <r>
          <rPr>
            <sz val="9"/>
            <color indexed="81"/>
            <rFont val="돋움"/>
            <family val="3"/>
            <charset val="129"/>
          </rPr>
          <t>잔금</t>
        </r>
        <r>
          <rPr>
            <sz val="9"/>
            <color indexed="81"/>
            <rFont val="Tahoma"/>
            <family val="2"/>
          </rPr>
          <t xml:space="preserve"> 50% </t>
        </r>
        <r>
          <rPr>
            <sz val="9"/>
            <color indexed="81"/>
            <rFont val="돋움"/>
            <family val="3"/>
            <charset val="129"/>
          </rPr>
          <t xml:space="preserve">입금
</t>
        </r>
        <r>
          <rPr>
            <sz val="9"/>
            <color indexed="81"/>
            <rFont val="Tahoma"/>
            <family val="2"/>
          </rPr>
          <t>\15,510,000</t>
        </r>
      </text>
    </comment>
    <comment ref="L121" authorId="1" shapeId="0" xr:uid="{00000000-0006-0000-0000-00004F000000}">
      <text>
        <r>
          <rPr>
            <b/>
            <sz val="9"/>
            <color indexed="81"/>
            <rFont val="Tahoma"/>
            <family val="2"/>
          </rPr>
          <t>Temp:</t>
        </r>
        <r>
          <rPr>
            <sz val="9"/>
            <color indexed="81"/>
            <rFont val="Tahoma"/>
            <family val="2"/>
          </rPr>
          <t xml:space="preserve">
4/26 </t>
        </r>
        <r>
          <rPr>
            <sz val="9"/>
            <color indexed="81"/>
            <rFont val="돋움"/>
            <family val="3"/>
            <charset val="129"/>
          </rPr>
          <t>선금</t>
        </r>
        <r>
          <rPr>
            <sz val="9"/>
            <color indexed="81"/>
            <rFont val="Tahoma"/>
            <family val="2"/>
          </rPr>
          <t xml:space="preserve"> </t>
        </r>
        <r>
          <rPr>
            <sz val="9"/>
            <color indexed="81"/>
            <rFont val="돋움"/>
            <family val="3"/>
            <charset val="129"/>
          </rPr>
          <t xml:space="preserve">발급
</t>
        </r>
        <r>
          <rPr>
            <sz val="9"/>
            <color indexed="81"/>
            <rFont val="Tahoma"/>
            <family val="2"/>
          </rPr>
          <t xml:space="preserve">\535,936,720
11/3 </t>
        </r>
        <r>
          <rPr>
            <sz val="9"/>
            <color indexed="81"/>
            <rFont val="돋움"/>
            <family val="3"/>
            <charset val="129"/>
          </rPr>
          <t>기성금</t>
        </r>
        <r>
          <rPr>
            <sz val="9"/>
            <color indexed="81"/>
            <rFont val="Tahoma"/>
            <family val="2"/>
          </rPr>
          <t xml:space="preserve"> </t>
        </r>
        <r>
          <rPr>
            <sz val="9"/>
            <color indexed="81"/>
            <rFont val="돋움"/>
            <family val="3"/>
            <charset val="129"/>
          </rPr>
          <t xml:space="preserve">발급
</t>
        </r>
        <r>
          <rPr>
            <sz val="9"/>
            <color indexed="81"/>
            <rFont val="Tahoma"/>
            <family val="2"/>
          </rPr>
          <t xml:space="preserve">\477,698,270
12/29 </t>
        </r>
        <r>
          <rPr>
            <sz val="9"/>
            <color indexed="81"/>
            <rFont val="돋움"/>
            <family val="3"/>
            <charset val="129"/>
          </rPr>
          <t>잔금</t>
        </r>
        <r>
          <rPr>
            <sz val="9"/>
            <color indexed="81"/>
            <rFont val="Tahoma"/>
            <family val="2"/>
          </rPr>
          <t xml:space="preserve"> </t>
        </r>
        <r>
          <rPr>
            <sz val="9"/>
            <color indexed="81"/>
            <rFont val="돋움"/>
            <family val="3"/>
            <charset val="129"/>
          </rPr>
          <t xml:space="preserve">발급
</t>
        </r>
        <r>
          <rPr>
            <sz val="9"/>
            <color indexed="81"/>
            <rFont val="Tahoma"/>
            <family val="2"/>
          </rPr>
          <t>\112,925,630</t>
        </r>
      </text>
    </comment>
    <comment ref="M121" authorId="1" shapeId="0" xr:uid="{00000000-0006-0000-0000-000050000000}">
      <text>
        <r>
          <rPr>
            <b/>
            <sz val="9"/>
            <color indexed="81"/>
            <rFont val="Tahoma"/>
            <family val="2"/>
          </rPr>
          <t>Temp:</t>
        </r>
        <r>
          <rPr>
            <sz val="9"/>
            <color indexed="81"/>
            <rFont val="Tahoma"/>
            <family val="2"/>
          </rPr>
          <t xml:space="preserve">
4/27 </t>
        </r>
        <r>
          <rPr>
            <sz val="9"/>
            <color indexed="81"/>
            <rFont val="돋움"/>
            <family val="3"/>
            <charset val="129"/>
          </rPr>
          <t>선금</t>
        </r>
        <r>
          <rPr>
            <sz val="9"/>
            <color indexed="81"/>
            <rFont val="Tahoma"/>
            <family val="2"/>
          </rPr>
          <t xml:space="preserve"> </t>
        </r>
        <r>
          <rPr>
            <sz val="9"/>
            <color indexed="81"/>
            <rFont val="돋움"/>
            <family val="3"/>
            <charset val="129"/>
          </rPr>
          <t xml:space="preserve">입금
</t>
        </r>
        <r>
          <rPr>
            <sz val="9"/>
            <color indexed="81"/>
            <rFont val="Tahoma"/>
            <family val="2"/>
          </rPr>
          <t xml:space="preserve">\535,936,720
11/5 </t>
        </r>
        <r>
          <rPr>
            <sz val="9"/>
            <color indexed="81"/>
            <rFont val="돋움"/>
            <family val="3"/>
            <charset val="129"/>
          </rPr>
          <t>기성금</t>
        </r>
        <r>
          <rPr>
            <sz val="9"/>
            <color indexed="81"/>
            <rFont val="Tahoma"/>
            <family val="2"/>
          </rPr>
          <t xml:space="preserve"> </t>
        </r>
        <r>
          <rPr>
            <sz val="9"/>
            <color indexed="81"/>
            <rFont val="돋움"/>
            <family val="3"/>
            <charset val="129"/>
          </rPr>
          <t xml:space="preserve">입금
</t>
        </r>
        <r>
          <rPr>
            <sz val="9"/>
            <color indexed="81"/>
            <rFont val="Tahoma"/>
            <family val="2"/>
          </rPr>
          <t xml:space="preserve">\477,698,270
12/29 </t>
        </r>
        <r>
          <rPr>
            <sz val="9"/>
            <color indexed="81"/>
            <rFont val="돋움"/>
            <family val="3"/>
            <charset val="129"/>
          </rPr>
          <t>잔금</t>
        </r>
        <r>
          <rPr>
            <sz val="9"/>
            <color indexed="81"/>
            <rFont val="Tahoma"/>
            <family val="2"/>
          </rPr>
          <t xml:space="preserve"> </t>
        </r>
        <r>
          <rPr>
            <sz val="9"/>
            <color indexed="81"/>
            <rFont val="돋움"/>
            <family val="3"/>
            <charset val="129"/>
          </rPr>
          <t xml:space="preserve">입금
</t>
        </r>
        <r>
          <rPr>
            <sz val="9"/>
            <color indexed="81"/>
            <rFont val="Tahoma"/>
            <family val="2"/>
          </rPr>
          <t>\112,925,630</t>
        </r>
      </text>
    </comment>
    <comment ref="X121" authorId="6" shapeId="0" xr:uid="{00000000-0006-0000-0000-000051000000}">
      <text>
        <r>
          <rPr>
            <b/>
            <sz val="9"/>
            <color indexed="81"/>
            <rFont val="Tahoma"/>
            <family val="2"/>
          </rPr>
          <t>62498
62499
62500
62501
62502
62503
62504
62505
62506
62507
62508
62509
62099
62102
62100
62104
62103
62101
61298
61299
61300
61301
61302
61303
62182
62183
62184
62185
62186
62187
62798
62799
62800
62801
62802
62803
63908
63907
63906
63905
63904
63903
63902
63901
63900
63899
63898
62641
63749
63748
63747
63746
63745
63744
63743
63742
63741
63740
63739
63738
61058
61059
61060
61061
61062
61063
63761
63760
63759
63758
63757
63756
63755
63754
63753
63752
63751
63750
61599
61600
61601
61602
61603
61604
63480
63481
63482
63483
61203
61204
63914
63913
63912
63911
63910
63909</t>
        </r>
      </text>
    </comment>
    <comment ref="K123" authorId="0" shapeId="0" xr:uid="{00000000-0006-0000-0000-000052000000}">
      <text>
        <r>
          <rPr>
            <b/>
            <sz val="9"/>
            <color indexed="81"/>
            <rFont val="돋움"/>
            <family val="3"/>
            <charset val="129"/>
          </rPr>
          <t>계약기간</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 xml:space="preserve">완료
</t>
        </r>
      </text>
    </comment>
    <comment ref="L123" authorId="3" shapeId="0" xr:uid="{00000000-0006-0000-0000-000053000000}">
      <text>
        <r>
          <rPr>
            <b/>
            <sz val="9"/>
            <color indexed="81"/>
            <rFont val="돋움"/>
            <family val="3"/>
            <charset val="129"/>
          </rPr>
          <t>박고은</t>
        </r>
        <r>
          <rPr>
            <b/>
            <sz val="9"/>
            <color indexed="81"/>
            <rFont val="Tahoma"/>
            <family val="2"/>
          </rPr>
          <t>:</t>
        </r>
        <r>
          <rPr>
            <sz val="9"/>
            <color indexed="81"/>
            <rFont val="Tahoma"/>
            <family val="2"/>
          </rPr>
          <t xml:space="preserve">
5/7 </t>
        </r>
        <r>
          <rPr>
            <sz val="9"/>
            <color indexed="81"/>
            <rFont val="돋움"/>
            <family val="3"/>
            <charset val="129"/>
          </rPr>
          <t>선금</t>
        </r>
        <r>
          <rPr>
            <sz val="9"/>
            <color indexed="81"/>
            <rFont val="Tahoma"/>
            <family val="2"/>
          </rPr>
          <t xml:space="preserve"> </t>
        </r>
        <r>
          <rPr>
            <sz val="9"/>
            <color indexed="81"/>
            <rFont val="돋움"/>
            <family val="3"/>
            <charset val="129"/>
          </rPr>
          <t xml:space="preserve">청구
</t>
        </r>
        <r>
          <rPr>
            <sz val="9"/>
            <color indexed="81"/>
            <rFont val="Tahoma"/>
            <family val="2"/>
          </rPr>
          <t xml:space="preserve">\391,391,000
12/24 </t>
        </r>
        <r>
          <rPr>
            <sz val="9"/>
            <color indexed="81"/>
            <rFont val="돋움"/>
            <family val="3"/>
            <charset val="129"/>
          </rPr>
          <t>잔금</t>
        </r>
        <r>
          <rPr>
            <sz val="9"/>
            <color indexed="81"/>
            <rFont val="Tahoma"/>
            <family val="2"/>
          </rPr>
          <t xml:space="preserve"> </t>
        </r>
        <r>
          <rPr>
            <sz val="9"/>
            <color indexed="81"/>
            <rFont val="돋움"/>
            <family val="3"/>
            <charset val="129"/>
          </rPr>
          <t xml:space="preserve">청구
</t>
        </r>
        <r>
          <rPr>
            <sz val="9"/>
            <color indexed="81"/>
            <rFont val="Tahoma"/>
            <family val="2"/>
          </rPr>
          <t>\371,899,000</t>
        </r>
      </text>
    </comment>
    <comment ref="M123" authorId="3" shapeId="0" xr:uid="{00000000-0006-0000-0000-000054000000}">
      <text>
        <r>
          <rPr>
            <b/>
            <sz val="9"/>
            <color indexed="81"/>
            <rFont val="돋움"/>
            <family val="3"/>
            <charset val="129"/>
          </rPr>
          <t>박고은</t>
        </r>
        <r>
          <rPr>
            <b/>
            <sz val="9"/>
            <color indexed="81"/>
            <rFont val="Tahoma"/>
            <family val="2"/>
          </rPr>
          <t>:</t>
        </r>
        <r>
          <rPr>
            <sz val="9"/>
            <color indexed="81"/>
            <rFont val="Tahoma"/>
            <family val="2"/>
          </rPr>
          <t xml:space="preserve">
5/10 </t>
        </r>
        <r>
          <rPr>
            <sz val="9"/>
            <color indexed="81"/>
            <rFont val="돋움"/>
            <family val="3"/>
            <charset val="129"/>
          </rPr>
          <t>선금</t>
        </r>
        <r>
          <rPr>
            <sz val="9"/>
            <color indexed="81"/>
            <rFont val="Tahoma"/>
            <family val="2"/>
          </rPr>
          <t xml:space="preserve"> </t>
        </r>
        <r>
          <rPr>
            <sz val="9"/>
            <color indexed="81"/>
            <rFont val="돋움"/>
            <family val="3"/>
            <charset val="129"/>
          </rPr>
          <t xml:space="preserve">입금
</t>
        </r>
        <r>
          <rPr>
            <sz val="9"/>
            <color indexed="81"/>
            <rFont val="Tahoma"/>
            <family val="2"/>
          </rPr>
          <t xml:space="preserve">\391,391,000
12/24 </t>
        </r>
        <r>
          <rPr>
            <sz val="9"/>
            <color indexed="81"/>
            <rFont val="돋움"/>
            <family val="3"/>
            <charset val="129"/>
          </rPr>
          <t>잔금</t>
        </r>
        <r>
          <rPr>
            <sz val="9"/>
            <color indexed="81"/>
            <rFont val="Tahoma"/>
            <family val="2"/>
          </rPr>
          <t xml:space="preserve"> </t>
        </r>
        <r>
          <rPr>
            <sz val="9"/>
            <color indexed="81"/>
            <rFont val="돋움"/>
            <family val="3"/>
            <charset val="129"/>
          </rPr>
          <t xml:space="preserve">입금
</t>
        </r>
        <r>
          <rPr>
            <sz val="9"/>
            <color indexed="81"/>
            <rFont val="Tahoma"/>
            <family val="2"/>
          </rPr>
          <t>\371,899,000</t>
        </r>
      </text>
    </comment>
    <comment ref="X123" authorId="0" shapeId="0" xr:uid="{00000000-0006-0000-0000-000055000000}">
      <text>
        <r>
          <rPr>
            <b/>
            <sz val="9"/>
            <color indexed="81"/>
            <rFont val="Tahoma"/>
            <family val="2"/>
          </rPr>
          <t>#60162, 60499, 61006,  61007,61008,61009,61010, 61011, 61012, 61778, 61898,  61899,  61900 ,61901,61902,61903, 62038, 62039,  62301, 62318, 62319,  62320, 62398 , 62400</t>
        </r>
      </text>
    </comment>
    <comment ref="L133" authorId="1" shapeId="0" xr:uid="{00000000-0006-0000-0000-000056000000}">
      <text>
        <r>
          <rPr>
            <b/>
            <sz val="9"/>
            <color indexed="81"/>
            <rFont val="Tahoma"/>
            <family val="2"/>
          </rPr>
          <t>Temp:</t>
        </r>
        <r>
          <rPr>
            <sz val="9"/>
            <color indexed="81"/>
            <rFont val="Tahoma"/>
            <family val="2"/>
          </rPr>
          <t xml:space="preserve">
5/14 </t>
        </r>
        <r>
          <rPr>
            <sz val="9"/>
            <color indexed="81"/>
            <rFont val="돋움"/>
            <family val="3"/>
            <charset val="129"/>
          </rPr>
          <t>선금</t>
        </r>
        <r>
          <rPr>
            <sz val="9"/>
            <color indexed="81"/>
            <rFont val="Tahoma"/>
            <family val="2"/>
          </rPr>
          <t xml:space="preserve">60% </t>
        </r>
        <r>
          <rPr>
            <sz val="9"/>
            <color indexed="81"/>
            <rFont val="돋움"/>
            <family val="3"/>
            <charset val="129"/>
          </rPr>
          <t xml:space="preserve">발급
</t>
        </r>
        <r>
          <rPr>
            <sz val="9"/>
            <color indexed="81"/>
            <rFont val="Tahoma"/>
            <family val="2"/>
          </rPr>
          <t xml:space="preserve">\16,038,000
6/25 </t>
        </r>
        <r>
          <rPr>
            <sz val="9"/>
            <color indexed="81"/>
            <rFont val="돋움"/>
            <family val="3"/>
            <charset val="129"/>
          </rPr>
          <t>잔금</t>
        </r>
        <r>
          <rPr>
            <sz val="9"/>
            <color indexed="81"/>
            <rFont val="Tahoma"/>
            <family val="2"/>
          </rPr>
          <t xml:space="preserve">40% </t>
        </r>
        <r>
          <rPr>
            <sz val="9"/>
            <color indexed="81"/>
            <rFont val="돋움"/>
            <family val="3"/>
            <charset val="129"/>
          </rPr>
          <t xml:space="preserve">발급
</t>
        </r>
        <r>
          <rPr>
            <sz val="9"/>
            <color indexed="81"/>
            <rFont val="Tahoma"/>
            <family val="2"/>
          </rPr>
          <t>\10,692,000</t>
        </r>
      </text>
    </comment>
    <comment ref="M133" authorId="1" shapeId="0" xr:uid="{00000000-0006-0000-0000-000057000000}">
      <text>
        <r>
          <rPr>
            <b/>
            <sz val="9"/>
            <color indexed="81"/>
            <rFont val="Tahoma"/>
            <family val="2"/>
          </rPr>
          <t>Temp:</t>
        </r>
        <r>
          <rPr>
            <sz val="9"/>
            <color indexed="81"/>
            <rFont val="Tahoma"/>
            <family val="2"/>
          </rPr>
          <t xml:space="preserve">
5/14 </t>
        </r>
        <r>
          <rPr>
            <sz val="9"/>
            <color indexed="81"/>
            <rFont val="돋움"/>
            <family val="3"/>
            <charset val="129"/>
          </rPr>
          <t>선금</t>
        </r>
        <r>
          <rPr>
            <sz val="9"/>
            <color indexed="81"/>
            <rFont val="Tahoma"/>
            <family val="2"/>
          </rPr>
          <t xml:space="preserve">60% </t>
        </r>
        <r>
          <rPr>
            <sz val="9"/>
            <color indexed="81"/>
            <rFont val="돋움"/>
            <family val="3"/>
            <charset val="129"/>
          </rPr>
          <t xml:space="preserve">입금
</t>
        </r>
        <r>
          <rPr>
            <sz val="9"/>
            <color indexed="81"/>
            <rFont val="Tahoma"/>
            <family val="2"/>
          </rPr>
          <t xml:space="preserve">\16,038,000
6/25 </t>
        </r>
        <r>
          <rPr>
            <sz val="9"/>
            <color indexed="81"/>
            <rFont val="돋움"/>
            <family val="3"/>
            <charset val="129"/>
          </rPr>
          <t>잔금</t>
        </r>
        <r>
          <rPr>
            <sz val="9"/>
            <color indexed="81"/>
            <rFont val="Tahoma"/>
            <family val="2"/>
          </rPr>
          <t xml:space="preserve">40% </t>
        </r>
        <r>
          <rPr>
            <sz val="9"/>
            <color indexed="81"/>
            <rFont val="돋움"/>
            <family val="3"/>
            <charset val="129"/>
          </rPr>
          <t xml:space="preserve">입금
</t>
        </r>
        <r>
          <rPr>
            <sz val="9"/>
            <color indexed="81"/>
            <rFont val="Tahoma"/>
            <family val="2"/>
          </rPr>
          <t xml:space="preserve">\10,692,000
</t>
        </r>
      </text>
    </comment>
    <comment ref="L134" authorId="1" shapeId="0" xr:uid="{00000000-0006-0000-0000-000058000000}">
      <text>
        <r>
          <rPr>
            <b/>
            <sz val="9"/>
            <color indexed="81"/>
            <rFont val="Tahoma"/>
            <family val="2"/>
          </rPr>
          <t>Temp:</t>
        </r>
        <r>
          <rPr>
            <sz val="9"/>
            <color indexed="81"/>
            <rFont val="Tahoma"/>
            <family val="2"/>
          </rPr>
          <t xml:space="preserve">
5/4 </t>
        </r>
        <r>
          <rPr>
            <sz val="9"/>
            <color indexed="81"/>
            <rFont val="돋움"/>
            <family val="3"/>
            <charset val="129"/>
          </rPr>
          <t>선금</t>
        </r>
        <r>
          <rPr>
            <sz val="9"/>
            <color indexed="81"/>
            <rFont val="Tahoma"/>
            <family val="2"/>
          </rPr>
          <t xml:space="preserve">50% </t>
        </r>
        <r>
          <rPr>
            <sz val="9"/>
            <color indexed="81"/>
            <rFont val="돋움"/>
            <family val="3"/>
            <charset val="129"/>
          </rPr>
          <t xml:space="preserve">발급
</t>
        </r>
        <r>
          <rPr>
            <sz val="9"/>
            <color indexed="81"/>
            <rFont val="Tahoma"/>
            <family val="2"/>
          </rPr>
          <t xml:space="preserve">\12,100,000
-&gt;5/21 </t>
        </r>
        <r>
          <rPr>
            <sz val="9"/>
            <color indexed="81"/>
            <rFont val="돋움"/>
            <family val="3"/>
            <charset val="129"/>
          </rPr>
          <t xml:space="preserve">수정발급
</t>
        </r>
        <r>
          <rPr>
            <sz val="9"/>
            <color indexed="81"/>
            <rFont val="Tahoma"/>
            <family val="2"/>
          </rPr>
          <t xml:space="preserve">6/16 </t>
        </r>
        <r>
          <rPr>
            <sz val="9"/>
            <color indexed="81"/>
            <rFont val="돋움"/>
            <family val="3"/>
            <charset val="129"/>
          </rPr>
          <t>잔금</t>
        </r>
        <r>
          <rPr>
            <sz val="9"/>
            <color indexed="81"/>
            <rFont val="Tahoma"/>
            <family val="2"/>
          </rPr>
          <t xml:space="preserve">50% </t>
        </r>
        <r>
          <rPr>
            <sz val="9"/>
            <color indexed="81"/>
            <rFont val="돋움"/>
            <family val="3"/>
            <charset val="129"/>
          </rPr>
          <t xml:space="preserve">발급
</t>
        </r>
        <r>
          <rPr>
            <sz val="9"/>
            <color indexed="81"/>
            <rFont val="Tahoma"/>
            <family val="2"/>
          </rPr>
          <t>\12,100,000</t>
        </r>
      </text>
    </comment>
    <comment ref="M134" authorId="1" shapeId="0" xr:uid="{00000000-0006-0000-0000-000059000000}">
      <text>
        <r>
          <rPr>
            <b/>
            <sz val="9"/>
            <color indexed="81"/>
            <rFont val="Tahoma"/>
            <family val="2"/>
          </rPr>
          <t>Temp:</t>
        </r>
        <r>
          <rPr>
            <sz val="9"/>
            <color indexed="81"/>
            <rFont val="Tahoma"/>
            <family val="2"/>
          </rPr>
          <t xml:space="preserve">
5/24 </t>
        </r>
        <r>
          <rPr>
            <sz val="9"/>
            <color indexed="81"/>
            <rFont val="돋움"/>
            <family val="3"/>
            <charset val="129"/>
          </rPr>
          <t>선금</t>
        </r>
        <r>
          <rPr>
            <sz val="9"/>
            <color indexed="81"/>
            <rFont val="Tahoma"/>
            <family val="2"/>
          </rPr>
          <t xml:space="preserve"> 50% </t>
        </r>
        <r>
          <rPr>
            <sz val="9"/>
            <color indexed="81"/>
            <rFont val="돋움"/>
            <family val="3"/>
            <charset val="129"/>
          </rPr>
          <t xml:space="preserve">입금
</t>
        </r>
        <r>
          <rPr>
            <sz val="9"/>
            <color indexed="81"/>
            <rFont val="Tahoma"/>
            <family val="2"/>
          </rPr>
          <t xml:space="preserve">\12,100,000
6/29 </t>
        </r>
        <r>
          <rPr>
            <sz val="9"/>
            <color indexed="81"/>
            <rFont val="돋움"/>
            <family val="3"/>
            <charset val="129"/>
          </rPr>
          <t>잔금</t>
        </r>
        <r>
          <rPr>
            <sz val="9"/>
            <color indexed="81"/>
            <rFont val="Tahoma"/>
            <family val="2"/>
          </rPr>
          <t xml:space="preserve">50% </t>
        </r>
        <r>
          <rPr>
            <sz val="9"/>
            <color indexed="81"/>
            <rFont val="돋움"/>
            <family val="3"/>
            <charset val="129"/>
          </rPr>
          <t xml:space="preserve">입금
</t>
        </r>
        <r>
          <rPr>
            <sz val="9"/>
            <color indexed="81"/>
            <rFont val="Tahoma"/>
            <family val="2"/>
          </rPr>
          <t>\12,100,000</t>
        </r>
      </text>
    </comment>
    <comment ref="L139" authorId="1" shapeId="0" xr:uid="{00000000-0006-0000-0000-00005A000000}">
      <text>
        <r>
          <rPr>
            <b/>
            <sz val="9"/>
            <color indexed="81"/>
            <rFont val="Tahoma"/>
            <family val="2"/>
          </rPr>
          <t xml:space="preserve">Temp:
</t>
        </r>
        <r>
          <rPr>
            <sz val="9"/>
            <color indexed="81"/>
            <rFont val="돋움"/>
            <family val="3"/>
            <charset val="129"/>
          </rPr>
          <t>역발행</t>
        </r>
      </text>
    </comment>
    <comment ref="I151" authorId="6" shapeId="0" xr:uid="{00000000-0006-0000-0000-00005B000000}">
      <text>
        <r>
          <rPr>
            <sz val="9"/>
            <color indexed="81"/>
            <rFont val="돋움"/>
            <family val="3"/>
            <charset val="129"/>
          </rPr>
          <t>계약금액</t>
        </r>
        <r>
          <rPr>
            <sz val="9"/>
            <color indexed="81"/>
            <rFont val="Tahoma"/>
            <family val="2"/>
          </rPr>
          <t xml:space="preserve"> : 78,800,000
</t>
        </r>
        <r>
          <rPr>
            <sz val="9"/>
            <color indexed="81"/>
            <rFont val="돋움"/>
            <family val="3"/>
            <charset val="129"/>
          </rPr>
          <t>청구금액</t>
        </r>
        <r>
          <rPr>
            <sz val="9"/>
            <color indexed="81"/>
            <rFont val="Tahoma"/>
            <family val="2"/>
          </rPr>
          <t xml:space="preserve"> : 66,293,670
 - </t>
        </r>
        <r>
          <rPr>
            <sz val="9"/>
            <color indexed="81"/>
            <rFont val="돋움"/>
            <family val="3"/>
            <charset val="129"/>
          </rPr>
          <t>정산</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불인정</t>
        </r>
        <r>
          <rPr>
            <sz val="9"/>
            <color indexed="81"/>
            <rFont val="Tahoma"/>
            <family val="2"/>
          </rPr>
          <t xml:space="preserve"> </t>
        </r>
        <r>
          <rPr>
            <sz val="9"/>
            <color indexed="81"/>
            <rFont val="돋움"/>
            <family val="3"/>
            <charset val="129"/>
          </rPr>
          <t xml:space="preserve">금엑
</t>
        </r>
        <r>
          <rPr>
            <sz val="9"/>
            <color indexed="81"/>
            <rFont val="Tahoma"/>
            <family val="2"/>
          </rPr>
          <t xml:space="preserve">    : 12,506,330</t>
        </r>
      </text>
    </comment>
    <comment ref="L151" authorId="1" shapeId="0" xr:uid="{00000000-0006-0000-0000-00005C000000}">
      <text>
        <r>
          <rPr>
            <b/>
            <sz val="9"/>
            <color indexed="81"/>
            <rFont val="Tahoma"/>
            <family val="2"/>
          </rPr>
          <t>Temp:</t>
        </r>
        <r>
          <rPr>
            <sz val="9"/>
            <color indexed="81"/>
            <rFont val="Tahoma"/>
            <family val="2"/>
          </rPr>
          <t xml:space="preserve">
6/28 </t>
        </r>
        <r>
          <rPr>
            <sz val="9"/>
            <color indexed="81"/>
            <rFont val="돋움"/>
            <family val="3"/>
            <charset val="129"/>
          </rPr>
          <t>선금</t>
        </r>
        <r>
          <rPr>
            <sz val="9"/>
            <color indexed="81"/>
            <rFont val="Tahoma"/>
            <family val="2"/>
          </rPr>
          <t xml:space="preserve">80% </t>
        </r>
        <r>
          <rPr>
            <sz val="9"/>
            <color indexed="81"/>
            <rFont val="돋움"/>
            <family val="3"/>
            <charset val="129"/>
          </rPr>
          <t xml:space="preserve">발급
</t>
        </r>
        <r>
          <rPr>
            <sz val="9"/>
            <color indexed="81"/>
            <rFont val="Tahoma"/>
            <family val="2"/>
          </rPr>
          <t xml:space="preserve">\63,040,000
10/8 </t>
        </r>
        <r>
          <rPr>
            <sz val="9"/>
            <color indexed="81"/>
            <rFont val="돋움"/>
            <family val="3"/>
            <charset val="129"/>
          </rPr>
          <t>잔금</t>
        </r>
        <r>
          <rPr>
            <sz val="9"/>
            <color indexed="81"/>
            <rFont val="Tahoma"/>
            <family val="2"/>
          </rPr>
          <t xml:space="preserve"> </t>
        </r>
        <r>
          <rPr>
            <sz val="9"/>
            <color indexed="81"/>
            <rFont val="돋움"/>
            <family val="3"/>
            <charset val="129"/>
          </rPr>
          <t xml:space="preserve">발급
</t>
        </r>
        <r>
          <rPr>
            <sz val="9"/>
            <color indexed="81"/>
            <rFont val="Tahoma"/>
            <family val="2"/>
          </rPr>
          <t>\3,253,670</t>
        </r>
      </text>
    </comment>
    <comment ref="M151" authorId="1" shapeId="0" xr:uid="{00000000-0006-0000-0000-00005D000000}">
      <text>
        <r>
          <rPr>
            <b/>
            <sz val="9"/>
            <color indexed="81"/>
            <rFont val="Tahoma"/>
            <family val="2"/>
          </rPr>
          <t>Temp:</t>
        </r>
        <r>
          <rPr>
            <sz val="9"/>
            <color indexed="81"/>
            <rFont val="Tahoma"/>
            <family val="2"/>
          </rPr>
          <t xml:space="preserve">
6/29 </t>
        </r>
        <r>
          <rPr>
            <sz val="9"/>
            <color indexed="81"/>
            <rFont val="돋움"/>
            <family val="3"/>
            <charset val="129"/>
          </rPr>
          <t>선금</t>
        </r>
        <r>
          <rPr>
            <sz val="9"/>
            <color indexed="81"/>
            <rFont val="Tahoma"/>
            <family val="2"/>
          </rPr>
          <t xml:space="preserve">80% </t>
        </r>
        <r>
          <rPr>
            <sz val="9"/>
            <color indexed="81"/>
            <rFont val="돋움"/>
            <family val="3"/>
            <charset val="129"/>
          </rPr>
          <t xml:space="preserve">입금
</t>
        </r>
        <r>
          <rPr>
            <sz val="9"/>
            <color indexed="81"/>
            <rFont val="Tahoma"/>
            <family val="2"/>
          </rPr>
          <t xml:space="preserve">\63,040,000
10/13 </t>
        </r>
        <r>
          <rPr>
            <sz val="9"/>
            <color indexed="81"/>
            <rFont val="돋움"/>
            <family val="3"/>
            <charset val="129"/>
          </rPr>
          <t>잔금</t>
        </r>
        <r>
          <rPr>
            <sz val="9"/>
            <color indexed="81"/>
            <rFont val="Tahoma"/>
            <family val="2"/>
          </rPr>
          <t xml:space="preserve"> </t>
        </r>
        <r>
          <rPr>
            <sz val="9"/>
            <color indexed="81"/>
            <rFont val="돋움"/>
            <family val="3"/>
            <charset val="129"/>
          </rPr>
          <t xml:space="preserve">입금
</t>
        </r>
        <r>
          <rPr>
            <sz val="9"/>
            <color indexed="81"/>
            <rFont val="Tahoma"/>
            <family val="2"/>
          </rPr>
          <t>\3,253,670</t>
        </r>
      </text>
    </comment>
    <comment ref="F156" authorId="7" shapeId="0" xr:uid="{00000000-0006-0000-0000-00005E000000}">
      <text>
        <r>
          <rPr>
            <b/>
            <sz val="9"/>
            <color indexed="81"/>
            <rFont val="Tahoma"/>
            <family val="2"/>
          </rPr>
          <t>1701-D001:</t>
        </r>
        <r>
          <rPr>
            <sz val="9"/>
            <color indexed="81"/>
            <rFont val="Tahoma"/>
            <family val="2"/>
          </rPr>
          <t xml:space="preserve">
</t>
        </r>
        <r>
          <rPr>
            <sz val="9"/>
            <color indexed="81"/>
            <rFont val="돋움"/>
            <family val="3"/>
            <charset val="129"/>
          </rPr>
          <t>더모스트</t>
        </r>
        <r>
          <rPr>
            <sz val="9"/>
            <color indexed="81"/>
            <rFont val="Tahoma"/>
            <family val="2"/>
          </rPr>
          <t xml:space="preserve">, </t>
        </r>
        <r>
          <rPr>
            <sz val="9"/>
            <color indexed="81"/>
            <rFont val="돋움"/>
            <family val="3"/>
            <charset val="129"/>
          </rPr>
          <t>해양기상기술과</t>
        </r>
        <r>
          <rPr>
            <sz val="9"/>
            <color indexed="81"/>
            <rFont val="Tahoma"/>
            <family val="2"/>
          </rPr>
          <t xml:space="preserve"> </t>
        </r>
        <r>
          <rPr>
            <sz val="9"/>
            <color indexed="81"/>
            <rFont val="돋움"/>
            <family val="3"/>
            <charset val="129"/>
          </rPr>
          <t>컨소시엄과제임</t>
        </r>
      </text>
    </comment>
    <comment ref="I156" authorId="8" shapeId="0" xr:uid="{00000000-0006-0000-0000-00005F000000}">
      <text>
        <r>
          <rPr>
            <b/>
            <sz val="9"/>
            <color indexed="81"/>
            <rFont val="Tahoma"/>
            <family val="2"/>
          </rPr>
          <t>Ahleum Hong:</t>
        </r>
        <r>
          <rPr>
            <sz val="9"/>
            <color indexed="81"/>
            <rFont val="Tahoma"/>
            <family val="2"/>
          </rPr>
          <t xml:space="preserve">
</t>
        </r>
        <r>
          <rPr>
            <sz val="9"/>
            <color indexed="81"/>
            <rFont val="돋움"/>
            <family val="3"/>
            <charset val="129"/>
          </rPr>
          <t>정부출연금</t>
        </r>
        <r>
          <rPr>
            <sz val="9"/>
            <color indexed="81"/>
            <rFont val="Tahoma"/>
            <family val="2"/>
          </rPr>
          <t xml:space="preserve"> : 440,000,000</t>
        </r>
        <r>
          <rPr>
            <sz val="9"/>
            <color indexed="81"/>
            <rFont val="돋움"/>
            <family val="3"/>
            <charset val="129"/>
          </rPr>
          <t>원
민간부담금</t>
        </r>
        <r>
          <rPr>
            <sz val="9"/>
            <color indexed="81"/>
            <rFont val="Tahoma"/>
            <family val="2"/>
          </rPr>
          <t xml:space="preserve"> : 
</t>
        </r>
        <r>
          <rPr>
            <sz val="9"/>
            <color indexed="81"/>
            <rFont val="돋움"/>
            <family val="3"/>
            <charset val="129"/>
          </rPr>
          <t>총액</t>
        </r>
        <r>
          <rPr>
            <sz val="9"/>
            <color indexed="81"/>
            <rFont val="Tahoma"/>
            <family val="2"/>
          </rPr>
          <t xml:space="preserve"> : 146,667,000</t>
        </r>
        <r>
          <rPr>
            <sz val="9"/>
            <color indexed="81"/>
            <rFont val="돋움"/>
            <family val="3"/>
            <charset val="129"/>
          </rPr>
          <t xml:space="preserve">원
</t>
        </r>
        <r>
          <rPr>
            <sz val="9"/>
            <color indexed="81"/>
            <rFont val="Tahoma"/>
            <family val="2"/>
          </rPr>
          <t>-14,667,000</t>
        </r>
        <r>
          <rPr>
            <sz val="9"/>
            <color indexed="81"/>
            <rFont val="돋움"/>
            <family val="3"/>
            <charset val="129"/>
          </rPr>
          <t>원</t>
        </r>
        <r>
          <rPr>
            <sz val="9"/>
            <color indexed="81"/>
            <rFont val="Tahoma"/>
            <family val="2"/>
          </rPr>
          <t>(</t>
        </r>
        <r>
          <rPr>
            <sz val="9"/>
            <color indexed="81"/>
            <rFont val="돋움"/>
            <family val="3"/>
            <charset val="129"/>
          </rPr>
          <t>현금</t>
        </r>
        <r>
          <rPr>
            <sz val="9"/>
            <color indexed="81"/>
            <rFont val="Tahoma"/>
            <family val="2"/>
          </rPr>
          <t>)
-132,000,000</t>
        </r>
        <r>
          <rPr>
            <sz val="9"/>
            <color indexed="81"/>
            <rFont val="돋움"/>
            <family val="3"/>
            <charset val="129"/>
          </rPr>
          <t>원</t>
        </r>
        <r>
          <rPr>
            <sz val="9"/>
            <color indexed="81"/>
            <rFont val="Tahoma"/>
            <family val="2"/>
          </rPr>
          <t>(</t>
        </r>
        <r>
          <rPr>
            <sz val="9"/>
            <color indexed="81"/>
            <rFont val="돋움"/>
            <family val="3"/>
            <charset val="129"/>
          </rPr>
          <t>현물</t>
        </r>
        <r>
          <rPr>
            <sz val="9"/>
            <color indexed="81"/>
            <rFont val="Tahoma"/>
            <family val="2"/>
          </rPr>
          <t xml:space="preserve">) </t>
        </r>
      </text>
    </comment>
    <comment ref="I158" authorId="4" shapeId="0" xr:uid="{00000000-0006-0000-0000-000060000000}">
      <text>
        <r>
          <rPr>
            <b/>
            <sz val="9"/>
            <color indexed="81"/>
            <rFont val="Tahoma"/>
            <family val="2"/>
          </rPr>
          <t xml:space="preserve">L/C </t>
        </r>
        <r>
          <rPr>
            <b/>
            <sz val="9"/>
            <color indexed="81"/>
            <rFont val="돋움"/>
            <family val="3"/>
            <charset val="129"/>
          </rPr>
          <t xml:space="preserve">진행
</t>
        </r>
      </text>
    </comment>
    <comment ref="E164" authorId="2" shapeId="0" xr:uid="{00000000-0006-0000-0000-000061000000}">
      <text>
        <r>
          <rPr>
            <b/>
            <sz val="9"/>
            <color indexed="81"/>
            <rFont val="Tahoma"/>
            <family val="2"/>
          </rPr>
          <t>Mirr:</t>
        </r>
        <r>
          <rPr>
            <sz val="9"/>
            <color indexed="81"/>
            <rFont val="Tahoma"/>
            <family val="2"/>
          </rPr>
          <t xml:space="preserve">
</t>
        </r>
        <r>
          <rPr>
            <sz val="9"/>
            <color indexed="81"/>
            <rFont val="돋움"/>
            <family val="3"/>
            <charset val="129"/>
          </rPr>
          <t>오션테크</t>
        </r>
        <r>
          <rPr>
            <sz val="9"/>
            <color indexed="81"/>
            <rFont val="Tahoma"/>
            <family val="2"/>
          </rPr>
          <t>-</t>
        </r>
        <r>
          <rPr>
            <sz val="9"/>
            <color indexed="81"/>
            <rFont val="돋움"/>
            <family val="3"/>
            <charset val="129"/>
          </rPr>
          <t>마린리서치</t>
        </r>
        <r>
          <rPr>
            <sz val="9"/>
            <color indexed="81"/>
            <rFont val="Tahoma"/>
            <family val="2"/>
          </rPr>
          <t xml:space="preserve"> </t>
        </r>
        <r>
          <rPr>
            <sz val="9"/>
            <color indexed="81"/>
            <rFont val="돋움"/>
            <family val="3"/>
            <charset val="129"/>
          </rPr>
          <t>間</t>
        </r>
        <r>
          <rPr>
            <sz val="9"/>
            <color indexed="81"/>
            <rFont val="Tahoma"/>
            <family val="2"/>
          </rPr>
          <t xml:space="preserve"> </t>
        </r>
        <r>
          <rPr>
            <sz val="9"/>
            <color indexed="81"/>
            <rFont val="돋움"/>
            <family val="3"/>
            <charset val="129"/>
          </rPr>
          <t>금액</t>
        </r>
        <r>
          <rPr>
            <sz val="9"/>
            <color indexed="81"/>
            <rFont val="Tahoma"/>
            <family val="2"/>
          </rPr>
          <t xml:space="preserve"> </t>
        </r>
        <r>
          <rPr>
            <sz val="9"/>
            <color indexed="81"/>
            <rFont val="돋움"/>
            <family val="3"/>
            <charset val="129"/>
          </rPr>
          <t>정산</t>
        </r>
      </text>
    </comment>
    <comment ref="L168" authorId="1" shapeId="0" xr:uid="{00000000-0006-0000-0000-000062000000}">
      <text>
        <r>
          <rPr>
            <b/>
            <sz val="9"/>
            <color indexed="81"/>
            <rFont val="Tahoma"/>
            <family val="2"/>
          </rPr>
          <t>Temp:</t>
        </r>
        <r>
          <rPr>
            <sz val="9"/>
            <color indexed="81"/>
            <rFont val="Tahoma"/>
            <family val="2"/>
          </rPr>
          <t xml:space="preserve">
2</t>
        </r>
        <r>
          <rPr>
            <sz val="9"/>
            <color indexed="81"/>
            <rFont val="돋움"/>
            <family val="3"/>
            <charset val="129"/>
          </rPr>
          <t>건으로</t>
        </r>
        <r>
          <rPr>
            <sz val="9"/>
            <color indexed="81"/>
            <rFont val="Tahoma"/>
            <family val="2"/>
          </rPr>
          <t xml:space="preserve"> </t>
        </r>
        <r>
          <rPr>
            <sz val="9"/>
            <color indexed="81"/>
            <rFont val="돋움"/>
            <family val="3"/>
            <charset val="129"/>
          </rPr>
          <t>나눠</t>
        </r>
        <r>
          <rPr>
            <sz val="9"/>
            <color indexed="81"/>
            <rFont val="Tahoma"/>
            <family val="2"/>
          </rPr>
          <t xml:space="preserve"> </t>
        </r>
        <r>
          <rPr>
            <sz val="9"/>
            <color indexed="81"/>
            <rFont val="돋움"/>
            <family val="3"/>
            <charset val="129"/>
          </rPr>
          <t>발급</t>
        </r>
      </text>
    </comment>
    <comment ref="M168" authorId="1" shapeId="0" xr:uid="{00000000-0006-0000-0000-000063000000}">
      <text>
        <r>
          <rPr>
            <b/>
            <sz val="9"/>
            <color indexed="81"/>
            <rFont val="Tahoma"/>
            <family val="2"/>
          </rPr>
          <t>Temp:</t>
        </r>
        <r>
          <rPr>
            <sz val="9"/>
            <color indexed="81"/>
            <rFont val="Tahoma"/>
            <family val="2"/>
          </rPr>
          <t xml:space="preserve">
7/9 1</t>
        </r>
        <r>
          <rPr>
            <sz val="9"/>
            <color indexed="81"/>
            <rFont val="돋움"/>
            <family val="3"/>
            <charset val="129"/>
          </rPr>
          <t>건만</t>
        </r>
        <r>
          <rPr>
            <sz val="9"/>
            <color indexed="81"/>
            <rFont val="Tahoma"/>
            <family val="2"/>
          </rPr>
          <t xml:space="preserve"> </t>
        </r>
        <r>
          <rPr>
            <sz val="9"/>
            <color indexed="81"/>
            <rFont val="돋움"/>
            <family val="3"/>
            <charset val="129"/>
          </rPr>
          <t xml:space="preserve">입금
</t>
        </r>
        <r>
          <rPr>
            <sz val="9"/>
            <color indexed="81"/>
            <rFont val="Tahoma"/>
            <family val="2"/>
          </rPr>
          <t xml:space="preserve">\1,760,000
(Teflon)
7/13 </t>
        </r>
        <r>
          <rPr>
            <sz val="9"/>
            <color indexed="81"/>
            <rFont val="돋움"/>
            <family val="3"/>
            <charset val="129"/>
          </rPr>
          <t xml:space="preserve">입금
</t>
        </r>
        <r>
          <rPr>
            <sz val="9"/>
            <color indexed="81"/>
            <rFont val="Tahoma"/>
            <family val="2"/>
          </rPr>
          <t>\1,155,000</t>
        </r>
      </text>
    </comment>
    <comment ref="E170" authorId="2" shapeId="0" xr:uid="{00000000-0006-0000-0000-000064000000}">
      <text>
        <r>
          <rPr>
            <b/>
            <sz val="9"/>
            <color indexed="81"/>
            <rFont val="Tahoma"/>
            <family val="2"/>
          </rPr>
          <t>Mirr:</t>
        </r>
        <r>
          <rPr>
            <sz val="9"/>
            <color indexed="81"/>
            <rFont val="Tahoma"/>
            <family val="2"/>
          </rPr>
          <t xml:space="preserve">
</t>
        </r>
        <r>
          <rPr>
            <sz val="9"/>
            <color indexed="81"/>
            <rFont val="돋움"/>
            <family val="3"/>
            <charset val="129"/>
          </rPr>
          <t>오션테크</t>
        </r>
        <r>
          <rPr>
            <sz val="9"/>
            <color indexed="81"/>
            <rFont val="Tahoma"/>
            <family val="2"/>
          </rPr>
          <t>-</t>
        </r>
        <r>
          <rPr>
            <sz val="9"/>
            <color indexed="81"/>
            <rFont val="돋움"/>
            <family val="3"/>
            <charset val="129"/>
          </rPr>
          <t>마린리서치</t>
        </r>
        <r>
          <rPr>
            <sz val="9"/>
            <color indexed="81"/>
            <rFont val="Tahoma"/>
            <family val="2"/>
          </rPr>
          <t xml:space="preserve"> </t>
        </r>
        <r>
          <rPr>
            <sz val="9"/>
            <color indexed="81"/>
            <rFont val="돋움"/>
            <family val="3"/>
            <charset val="129"/>
          </rPr>
          <t>間</t>
        </r>
        <r>
          <rPr>
            <sz val="9"/>
            <color indexed="81"/>
            <rFont val="Tahoma"/>
            <family val="2"/>
          </rPr>
          <t xml:space="preserve"> </t>
        </r>
        <r>
          <rPr>
            <sz val="9"/>
            <color indexed="81"/>
            <rFont val="돋움"/>
            <family val="3"/>
            <charset val="129"/>
          </rPr>
          <t>금액</t>
        </r>
        <r>
          <rPr>
            <sz val="9"/>
            <color indexed="81"/>
            <rFont val="Tahoma"/>
            <family val="2"/>
          </rPr>
          <t xml:space="preserve"> </t>
        </r>
        <r>
          <rPr>
            <sz val="9"/>
            <color indexed="81"/>
            <rFont val="돋움"/>
            <family val="3"/>
            <charset val="129"/>
          </rPr>
          <t>정산</t>
        </r>
      </text>
    </comment>
    <comment ref="L179" authorId="3" shapeId="0" xr:uid="{00000000-0006-0000-0000-000065000000}">
      <text>
        <r>
          <rPr>
            <b/>
            <sz val="9"/>
            <color indexed="81"/>
            <rFont val="돋움"/>
            <family val="3"/>
            <charset val="129"/>
          </rPr>
          <t>박고은</t>
        </r>
        <r>
          <rPr>
            <b/>
            <sz val="9"/>
            <color indexed="81"/>
            <rFont val="Tahoma"/>
            <family val="2"/>
          </rPr>
          <t>:</t>
        </r>
        <r>
          <rPr>
            <sz val="9"/>
            <color indexed="81"/>
            <rFont val="Tahoma"/>
            <family val="2"/>
          </rPr>
          <t xml:space="preserve">
6/7 3</t>
        </r>
        <r>
          <rPr>
            <sz val="9"/>
            <color indexed="81"/>
            <rFont val="돋움"/>
            <family val="3"/>
            <charset val="129"/>
          </rPr>
          <t>건으로</t>
        </r>
        <r>
          <rPr>
            <sz val="9"/>
            <color indexed="81"/>
            <rFont val="Tahoma"/>
            <family val="2"/>
          </rPr>
          <t xml:space="preserve"> </t>
        </r>
        <r>
          <rPr>
            <sz val="9"/>
            <color indexed="81"/>
            <rFont val="돋움"/>
            <family val="3"/>
            <charset val="129"/>
          </rPr>
          <t>나눠</t>
        </r>
        <r>
          <rPr>
            <sz val="9"/>
            <color indexed="81"/>
            <rFont val="Tahoma"/>
            <family val="2"/>
          </rPr>
          <t xml:space="preserve"> </t>
        </r>
        <r>
          <rPr>
            <sz val="9"/>
            <color indexed="81"/>
            <rFont val="돋움"/>
            <family val="3"/>
            <charset val="129"/>
          </rPr>
          <t>발급
보험사분</t>
        </r>
        <r>
          <rPr>
            <sz val="9"/>
            <color indexed="81"/>
            <rFont val="Tahoma"/>
            <family val="2"/>
          </rPr>
          <t xml:space="preserve"> \13,636,455
</t>
        </r>
        <r>
          <rPr>
            <sz val="9"/>
            <color indexed="81"/>
            <rFont val="돋움"/>
            <family val="3"/>
            <charset val="129"/>
          </rPr>
          <t>자부담금</t>
        </r>
        <r>
          <rPr>
            <sz val="9"/>
            <color indexed="81"/>
            <rFont val="Tahoma"/>
            <family val="2"/>
          </rPr>
          <t xml:space="preserve"> \3,000,000
</t>
        </r>
        <r>
          <rPr>
            <sz val="9"/>
            <color indexed="81"/>
            <rFont val="돋움"/>
            <family val="3"/>
            <charset val="129"/>
          </rPr>
          <t>차액분</t>
        </r>
        <r>
          <rPr>
            <sz val="9"/>
            <color indexed="81"/>
            <rFont val="Tahoma"/>
            <family val="2"/>
          </rPr>
          <t xml:space="preserve"> \1,638,430</t>
        </r>
      </text>
    </comment>
    <comment ref="M179" authorId="3" shapeId="0" xr:uid="{00000000-0006-0000-0000-000066000000}">
      <text>
        <r>
          <rPr>
            <b/>
            <sz val="9"/>
            <color indexed="81"/>
            <rFont val="돋움"/>
            <family val="3"/>
            <charset val="129"/>
          </rPr>
          <t>박고은</t>
        </r>
        <r>
          <rPr>
            <b/>
            <sz val="9"/>
            <color indexed="81"/>
            <rFont val="Tahoma"/>
            <family val="2"/>
          </rPr>
          <t>:</t>
        </r>
        <r>
          <rPr>
            <sz val="9"/>
            <color indexed="81"/>
            <rFont val="Tahoma"/>
            <family val="2"/>
          </rPr>
          <t xml:space="preserve">
6/7 </t>
        </r>
        <r>
          <rPr>
            <sz val="9"/>
            <color indexed="81"/>
            <rFont val="돋움"/>
            <family val="3"/>
            <charset val="129"/>
          </rPr>
          <t>입금
자부담금</t>
        </r>
        <r>
          <rPr>
            <sz val="9"/>
            <color indexed="81"/>
            <rFont val="Tahoma"/>
            <family val="2"/>
          </rPr>
          <t xml:space="preserve">, </t>
        </r>
        <r>
          <rPr>
            <sz val="9"/>
            <color indexed="81"/>
            <rFont val="돋움"/>
            <family val="3"/>
            <charset val="129"/>
          </rPr>
          <t xml:space="preserve">차액분
</t>
        </r>
        <r>
          <rPr>
            <sz val="9"/>
            <color indexed="81"/>
            <rFont val="Tahoma"/>
            <family val="2"/>
          </rPr>
          <t xml:space="preserve">6/8 </t>
        </r>
        <r>
          <rPr>
            <sz val="9"/>
            <color indexed="81"/>
            <rFont val="돋움"/>
            <family val="3"/>
            <charset val="129"/>
          </rPr>
          <t>입금
보험사분</t>
        </r>
      </text>
    </comment>
    <comment ref="L180" authorId="3" shapeId="0" xr:uid="{00000000-0006-0000-0000-000067000000}">
      <text>
        <r>
          <rPr>
            <b/>
            <sz val="9"/>
            <color indexed="81"/>
            <rFont val="돋움"/>
            <family val="3"/>
            <charset val="129"/>
          </rPr>
          <t>박고은</t>
        </r>
        <r>
          <rPr>
            <b/>
            <sz val="9"/>
            <color indexed="81"/>
            <rFont val="Tahoma"/>
            <family val="2"/>
          </rPr>
          <t>:</t>
        </r>
        <r>
          <rPr>
            <sz val="9"/>
            <color indexed="81"/>
            <rFont val="Tahoma"/>
            <family val="2"/>
          </rPr>
          <t xml:space="preserve">
</t>
        </r>
        <r>
          <rPr>
            <sz val="9"/>
            <color indexed="81"/>
            <rFont val="돋움"/>
            <family val="3"/>
            <charset val="129"/>
          </rPr>
          <t>자부담금</t>
        </r>
        <r>
          <rPr>
            <sz val="9"/>
            <color indexed="81"/>
            <rFont val="Tahoma"/>
            <family val="2"/>
          </rPr>
          <t xml:space="preserve"> \3,000,000
</t>
        </r>
        <r>
          <rPr>
            <sz val="9"/>
            <color indexed="81"/>
            <rFont val="돋움"/>
            <family val="3"/>
            <charset val="129"/>
          </rPr>
          <t>보험사분</t>
        </r>
        <r>
          <rPr>
            <sz val="9"/>
            <color indexed="81"/>
            <rFont val="Tahoma"/>
            <family val="2"/>
          </rPr>
          <t xml:space="preserve"> \12,187,535
</t>
        </r>
      </text>
    </comment>
    <comment ref="M180" authorId="3" shapeId="0" xr:uid="{00000000-0006-0000-0000-000068000000}">
      <text>
        <r>
          <rPr>
            <b/>
            <sz val="9"/>
            <color indexed="81"/>
            <rFont val="돋움"/>
            <family val="3"/>
            <charset val="129"/>
          </rPr>
          <t>박고은</t>
        </r>
        <r>
          <rPr>
            <b/>
            <sz val="9"/>
            <color indexed="81"/>
            <rFont val="Tahoma"/>
            <family val="2"/>
          </rPr>
          <t>:</t>
        </r>
        <r>
          <rPr>
            <sz val="9"/>
            <color indexed="81"/>
            <rFont val="Tahoma"/>
            <family val="2"/>
          </rPr>
          <t xml:space="preserve">
6/7 </t>
        </r>
        <r>
          <rPr>
            <sz val="9"/>
            <color indexed="81"/>
            <rFont val="돋움"/>
            <family val="3"/>
            <charset val="129"/>
          </rPr>
          <t>자부담금</t>
        </r>
        <r>
          <rPr>
            <sz val="9"/>
            <color indexed="81"/>
            <rFont val="Tahoma"/>
            <family val="2"/>
          </rPr>
          <t xml:space="preserve"> </t>
        </r>
        <r>
          <rPr>
            <sz val="9"/>
            <color indexed="81"/>
            <rFont val="돋움"/>
            <family val="3"/>
            <charset val="129"/>
          </rPr>
          <t xml:space="preserve">입금
</t>
        </r>
        <r>
          <rPr>
            <sz val="9"/>
            <color indexed="81"/>
            <rFont val="Tahoma"/>
            <family val="2"/>
          </rPr>
          <t xml:space="preserve">6/8 </t>
        </r>
        <r>
          <rPr>
            <sz val="9"/>
            <color indexed="81"/>
            <rFont val="돋움"/>
            <family val="3"/>
            <charset val="129"/>
          </rPr>
          <t>보험사분</t>
        </r>
        <r>
          <rPr>
            <sz val="9"/>
            <color indexed="81"/>
            <rFont val="Tahoma"/>
            <family val="2"/>
          </rPr>
          <t xml:space="preserve"> </t>
        </r>
        <r>
          <rPr>
            <sz val="9"/>
            <color indexed="81"/>
            <rFont val="돋움"/>
            <family val="3"/>
            <charset val="129"/>
          </rPr>
          <t>입금</t>
        </r>
      </text>
    </comment>
    <comment ref="L182" authorId="3" shapeId="0" xr:uid="{00000000-0006-0000-0000-000069000000}">
      <text>
        <r>
          <rPr>
            <b/>
            <sz val="9"/>
            <color indexed="81"/>
            <rFont val="돋움"/>
            <family val="3"/>
            <charset val="129"/>
          </rPr>
          <t>박고은</t>
        </r>
        <r>
          <rPr>
            <b/>
            <sz val="9"/>
            <color indexed="81"/>
            <rFont val="Tahoma"/>
            <family val="2"/>
          </rPr>
          <t>:</t>
        </r>
        <r>
          <rPr>
            <sz val="9"/>
            <color indexed="81"/>
            <rFont val="Tahoma"/>
            <family val="2"/>
          </rPr>
          <t xml:space="preserve">
3</t>
        </r>
        <r>
          <rPr>
            <sz val="9"/>
            <color indexed="81"/>
            <rFont val="돋움"/>
            <family val="3"/>
            <charset val="129"/>
          </rPr>
          <t>건으로</t>
        </r>
        <r>
          <rPr>
            <sz val="9"/>
            <color indexed="81"/>
            <rFont val="Tahoma"/>
            <family val="2"/>
          </rPr>
          <t xml:space="preserve"> </t>
        </r>
        <r>
          <rPr>
            <sz val="9"/>
            <color indexed="81"/>
            <rFont val="돋움"/>
            <family val="3"/>
            <charset val="129"/>
          </rPr>
          <t>나눠발급
보험사분</t>
        </r>
        <r>
          <rPr>
            <sz val="9"/>
            <color indexed="81"/>
            <rFont val="Tahoma"/>
            <family val="2"/>
          </rPr>
          <t xml:space="preserve"> \97,578,104
</t>
        </r>
        <r>
          <rPr>
            <sz val="9"/>
            <color indexed="81"/>
            <rFont val="돋움"/>
            <family val="3"/>
            <charset val="129"/>
          </rPr>
          <t>자부담금</t>
        </r>
        <r>
          <rPr>
            <sz val="9"/>
            <color indexed="81"/>
            <rFont val="Tahoma"/>
            <family val="2"/>
          </rPr>
          <t xml:space="preserve"> \3,000,000
</t>
        </r>
        <r>
          <rPr>
            <sz val="9"/>
            <color indexed="81"/>
            <rFont val="돋움"/>
            <family val="3"/>
            <charset val="129"/>
          </rPr>
          <t>차액분</t>
        </r>
        <r>
          <rPr>
            <sz val="9"/>
            <color indexed="81"/>
            <rFont val="Tahoma"/>
            <family val="2"/>
          </rPr>
          <t xml:space="preserve"> \2,717,543
</t>
        </r>
      </text>
    </comment>
    <comment ref="M182" authorId="3" shapeId="0" xr:uid="{00000000-0006-0000-0000-00006A000000}">
      <text>
        <r>
          <rPr>
            <b/>
            <sz val="9"/>
            <color indexed="81"/>
            <rFont val="돋움"/>
            <family val="3"/>
            <charset val="129"/>
          </rPr>
          <t>박고은</t>
        </r>
        <r>
          <rPr>
            <b/>
            <sz val="9"/>
            <color indexed="81"/>
            <rFont val="Tahoma"/>
            <family val="2"/>
          </rPr>
          <t>:</t>
        </r>
        <r>
          <rPr>
            <sz val="9"/>
            <color indexed="81"/>
            <rFont val="Tahoma"/>
            <family val="2"/>
          </rPr>
          <t xml:space="preserve">
6/7 </t>
        </r>
        <r>
          <rPr>
            <sz val="9"/>
            <color indexed="81"/>
            <rFont val="돋움"/>
            <family val="3"/>
            <charset val="129"/>
          </rPr>
          <t>입금
자부담금</t>
        </r>
        <r>
          <rPr>
            <sz val="9"/>
            <color indexed="81"/>
            <rFont val="Tahoma"/>
            <family val="2"/>
          </rPr>
          <t xml:space="preserve">, </t>
        </r>
        <r>
          <rPr>
            <sz val="9"/>
            <color indexed="81"/>
            <rFont val="돋움"/>
            <family val="3"/>
            <charset val="129"/>
          </rPr>
          <t xml:space="preserve">차액분
</t>
        </r>
        <r>
          <rPr>
            <sz val="9"/>
            <color indexed="81"/>
            <rFont val="Tahoma"/>
            <family val="2"/>
          </rPr>
          <t xml:space="preserve">6/10 </t>
        </r>
        <r>
          <rPr>
            <sz val="9"/>
            <color indexed="81"/>
            <rFont val="돋움"/>
            <family val="3"/>
            <charset val="129"/>
          </rPr>
          <t>입금
보험사분</t>
        </r>
      </text>
    </comment>
    <comment ref="L187" authorId="1" shapeId="0" xr:uid="{00000000-0006-0000-0000-00006B000000}">
      <text>
        <r>
          <rPr>
            <b/>
            <sz val="9"/>
            <color indexed="81"/>
            <rFont val="Tahoma"/>
            <family val="2"/>
          </rPr>
          <t>Temp:</t>
        </r>
        <r>
          <rPr>
            <sz val="9"/>
            <color indexed="81"/>
            <rFont val="Tahoma"/>
            <family val="2"/>
          </rPr>
          <t xml:space="preserve">
6/23 </t>
        </r>
        <r>
          <rPr>
            <sz val="9"/>
            <color indexed="81"/>
            <rFont val="돋움"/>
            <family val="3"/>
            <charset val="129"/>
          </rPr>
          <t>선금</t>
        </r>
        <r>
          <rPr>
            <sz val="9"/>
            <color indexed="81"/>
            <rFont val="Tahoma"/>
            <family val="2"/>
          </rPr>
          <t xml:space="preserve">80% </t>
        </r>
        <r>
          <rPr>
            <sz val="9"/>
            <color indexed="81"/>
            <rFont val="돋움"/>
            <family val="3"/>
            <charset val="129"/>
          </rPr>
          <t xml:space="preserve">발급
</t>
        </r>
        <r>
          <rPr>
            <sz val="9"/>
            <color indexed="81"/>
            <rFont val="Tahoma"/>
            <family val="2"/>
          </rPr>
          <t xml:space="preserve">\54,800,000
11/8 </t>
        </r>
        <r>
          <rPr>
            <sz val="9"/>
            <color indexed="81"/>
            <rFont val="돋움"/>
            <family val="3"/>
            <charset val="129"/>
          </rPr>
          <t>잔금</t>
        </r>
        <r>
          <rPr>
            <sz val="9"/>
            <color indexed="81"/>
            <rFont val="Tahoma"/>
            <family val="2"/>
          </rPr>
          <t xml:space="preserve"> 20% </t>
        </r>
        <r>
          <rPr>
            <sz val="9"/>
            <color indexed="81"/>
            <rFont val="돋움"/>
            <family val="3"/>
            <charset val="129"/>
          </rPr>
          <t xml:space="preserve">발급
</t>
        </r>
        <r>
          <rPr>
            <sz val="9"/>
            <color indexed="81"/>
            <rFont val="Tahoma"/>
            <family val="2"/>
          </rPr>
          <t>\13,700,000</t>
        </r>
      </text>
    </comment>
    <comment ref="M187" authorId="1" shapeId="0" xr:uid="{00000000-0006-0000-0000-00006C000000}">
      <text>
        <r>
          <rPr>
            <b/>
            <sz val="9"/>
            <color indexed="81"/>
            <rFont val="Tahoma"/>
            <family val="2"/>
          </rPr>
          <t>Temp:</t>
        </r>
        <r>
          <rPr>
            <sz val="9"/>
            <color indexed="81"/>
            <rFont val="Tahoma"/>
            <family val="2"/>
          </rPr>
          <t xml:space="preserve">
6/25 </t>
        </r>
        <r>
          <rPr>
            <sz val="9"/>
            <color indexed="81"/>
            <rFont val="돋움"/>
            <family val="3"/>
            <charset val="129"/>
          </rPr>
          <t>선금</t>
        </r>
        <r>
          <rPr>
            <sz val="9"/>
            <color indexed="81"/>
            <rFont val="Tahoma"/>
            <family val="2"/>
          </rPr>
          <t xml:space="preserve">80% </t>
        </r>
        <r>
          <rPr>
            <sz val="9"/>
            <color indexed="81"/>
            <rFont val="돋움"/>
            <family val="3"/>
            <charset val="129"/>
          </rPr>
          <t xml:space="preserve">입금
</t>
        </r>
        <r>
          <rPr>
            <sz val="9"/>
            <color indexed="81"/>
            <rFont val="Tahoma"/>
            <family val="2"/>
          </rPr>
          <t xml:space="preserve">\54,800,000
11/10 </t>
        </r>
        <r>
          <rPr>
            <sz val="9"/>
            <color indexed="81"/>
            <rFont val="돋움"/>
            <family val="3"/>
            <charset val="129"/>
          </rPr>
          <t>잔금</t>
        </r>
        <r>
          <rPr>
            <sz val="9"/>
            <color indexed="81"/>
            <rFont val="Tahoma"/>
            <family val="2"/>
          </rPr>
          <t xml:space="preserve"> 20% </t>
        </r>
        <r>
          <rPr>
            <sz val="9"/>
            <color indexed="81"/>
            <rFont val="돋움"/>
            <family val="3"/>
            <charset val="129"/>
          </rPr>
          <t xml:space="preserve">입금
</t>
        </r>
        <r>
          <rPr>
            <sz val="9"/>
            <color indexed="81"/>
            <rFont val="Tahoma"/>
            <family val="2"/>
          </rPr>
          <t>\13,700,000</t>
        </r>
      </text>
    </comment>
    <comment ref="K190" authorId="9" shapeId="0" xr:uid="{00000000-0006-0000-0000-00006D000000}">
      <text>
        <r>
          <rPr>
            <b/>
            <sz val="9"/>
            <color indexed="81"/>
            <rFont val="Tahoma"/>
            <family val="2"/>
          </rPr>
          <t>1802-D001:</t>
        </r>
        <r>
          <rPr>
            <b/>
            <sz val="9"/>
            <color indexed="81"/>
            <rFont val="돋움"/>
            <family val="3"/>
            <charset val="129"/>
          </rPr>
          <t>이부장
계약번호방</t>
        </r>
        <r>
          <rPr>
            <b/>
            <sz val="9"/>
            <color indexed="81"/>
            <rFont val="Tahoma"/>
            <family val="2"/>
          </rPr>
          <t xml:space="preserve">  </t>
        </r>
        <r>
          <rPr>
            <b/>
            <sz val="9"/>
            <color indexed="81"/>
            <rFont val="돋움"/>
            <family val="3"/>
            <charset val="129"/>
          </rPr>
          <t>변경계약서</t>
        </r>
        <r>
          <rPr>
            <b/>
            <sz val="9"/>
            <color indexed="81"/>
            <rFont val="Tahoma"/>
            <family val="2"/>
          </rPr>
          <t xml:space="preserve"> </t>
        </r>
        <r>
          <rPr>
            <b/>
            <sz val="9"/>
            <color indexed="81"/>
            <rFont val="돋움"/>
            <family val="3"/>
            <charset val="129"/>
          </rPr>
          <t>확인후</t>
        </r>
        <r>
          <rPr>
            <b/>
            <sz val="9"/>
            <color indexed="81"/>
            <rFont val="Tahoma"/>
            <family val="2"/>
          </rPr>
          <t xml:space="preserve"> </t>
        </r>
        <r>
          <rPr>
            <b/>
            <sz val="9"/>
            <color indexed="81"/>
            <rFont val="돋움"/>
            <family val="3"/>
            <charset val="129"/>
          </rPr>
          <t xml:space="preserve">수정하였음
</t>
        </r>
      </text>
    </comment>
    <comment ref="L190" authorId="1" shapeId="0" xr:uid="{00000000-0006-0000-0000-00006E000000}">
      <text>
        <r>
          <rPr>
            <b/>
            <sz val="9"/>
            <color indexed="81"/>
            <rFont val="Tahoma"/>
            <family val="2"/>
          </rPr>
          <t>Temp:</t>
        </r>
        <r>
          <rPr>
            <sz val="9"/>
            <color indexed="81"/>
            <rFont val="Tahoma"/>
            <family val="2"/>
          </rPr>
          <t xml:space="preserve">
6/22 </t>
        </r>
        <r>
          <rPr>
            <sz val="9"/>
            <color indexed="81"/>
            <rFont val="돋움"/>
            <family val="3"/>
            <charset val="129"/>
          </rPr>
          <t>선금</t>
        </r>
        <r>
          <rPr>
            <sz val="9"/>
            <color indexed="81"/>
            <rFont val="Tahoma"/>
            <family val="2"/>
          </rPr>
          <t xml:space="preserve">80% </t>
        </r>
        <r>
          <rPr>
            <sz val="9"/>
            <color indexed="81"/>
            <rFont val="돋움"/>
            <family val="3"/>
            <charset val="129"/>
          </rPr>
          <t xml:space="preserve">발급
</t>
        </r>
        <r>
          <rPr>
            <sz val="9"/>
            <color indexed="81"/>
            <rFont val="Tahoma"/>
            <family val="2"/>
          </rPr>
          <t>\143,105,600
22</t>
        </r>
        <r>
          <rPr>
            <sz val="9"/>
            <color indexed="81"/>
            <rFont val="돋움"/>
            <family val="3"/>
            <charset val="129"/>
          </rPr>
          <t>년</t>
        </r>
        <r>
          <rPr>
            <sz val="9"/>
            <color indexed="81"/>
            <rFont val="Tahoma"/>
            <family val="2"/>
          </rPr>
          <t xml:space="preserve"> 9/14 </t>
        </r>
        <r>
          <rPr>
            <sz val="9"/>
            <color indexed="81"/>
            <rFont val="돋움"/>
            <family val="3"/>
            <charset val="129"/>
          </rPr>
          <t>잔금</t>
        </r>
        <r>
          <rPr>
            <sz val="9"/>
            <color indexed="81"/>
            <rFont val="Tahoma"/>
            <family val="2"/>
          </rPr>
          <t xml:space="preserve">20% </t>
        </r>
        <r>
          <rPr>
            <sz val="9"/>
            <color indexed="81"/>
            <rFont val="돋움"/>
            <family val="3"/>
            <charset val="129"/>
          </rPr>
          <t xml:space="preserve">발급
</t>
        </r>
        <r>
          <rPr>
            <sz val="9"/>
            <color indexed="81"/>
            <rFont val="Tahoma"/>
            <family val="2"/>
          </rPr>
          <t>\35,776,400</t>
        </r>
      </text>
    </comment>
    <comment ref="M190" authorId="1" shapeId="0" xr:uid="{00000000-0006-0000-0000-00006F000000}">
      <text>
        <r>
          <rPr>
            <b/>
            <sz val="9"/>
            <color indexed="81"/>
            <rFont val="Tahoma"/>
            <family val="2"/>
          </rPr>
          <t>Temp:</t>
        </r>
        <r>
          <rPr>
            <sz val="9"/>
            <color indexed="81"/>
            <rFont val="Tahoma"/>
            <family val="2"/>
          </rPr>
          <t xml:space="preserve">
6/28 </t>
        </r>
        <r>
          <rPr>
            <sz val="9"/>
            <color indexed="81"/>
            <rFont val="돋움"/>
            <family val="3"/>
            <charset val="129"/>
          </rPr>
          <t>선금</t>
        </r>
        <r>
          <rPr>
            <sz val="9"/>
            <color indexed="81"/>
            <rFont val="Tahoma"/>
            <family val="2"/>
          </rPr>
          <t xml:space="preserve">80% </t>
        </r>
        <r>
          <rPr>
            <sz val="9"/>
            <color indexed="81"/>
            <rFont val="돋움"/>
            <family val="3"/>
            <charset val="129"/>
          </rPr>
          <t xml:space="preserve">입금
</t>
        </r>
        <r>
          <rPr>
            <sz val="9"/>
            <color indexed="81"/>
            <rFont val="Tahoma"/>
            <family val="2"/>
          </rPr>
          <t>\143,105,600</t>
        </r>
      </text>
    </comment>
    <comment ref="I191" authorId="1" shapeId="0" xr:uid="{00000000-0006-0000-0000-000070000000}">
      <text>
        <r>
          <rPr>
            <b/>
            <sz val="9"/>
            <color indexed="81"/>
            <rFont val="Tahoma"/>
            <family val="2"/>
          </rPr>
          <t>Temp:</t>
        </r>
        <r>
          <rPr>
            <sz val="9"/>
            <color indexed="81"/>
            <rFont val="Tahoma"/>
            <family val="2"/>
          </rPr>
          <t xml:space="preserve">
118,800,000</t>
        </r>
        <r>
          <rPr>
            <sz val="9"/>
            <color indexed="81"/>
            <rFont val="돋움"/>
            <family val="3"/>
            <charset val="129"/>
          </rPr>
          <t xml:space="preserve">원
</t>
        </r>
        <r>
          <rPr>
            <sz val="9"/>
            <color indexed="81"/>
            <rFont val="Tahoma"/>
            <family val="2"/>
          </rPr>
          <t xml:space="preserve">-&gt; </t>
        </r>
        <r>
          <rPr>
            <sz val="9"/>
            <color indexed="81"/>
            <rFont val="돋움"/>
            <family val="3"/>
            <charset val="129"/>
          </rPr>
          <t>추가</t>
        </r>
        <r>
          <rPr>
            <sz val="9"/>
            <color indexed="81"/>
            <rFont val="Tahoma"/>
            <family val="2"/>
          </rPr>
          <t xml:space="preserve"> </t>
        </r>
        <r>
          <rPr>
            <sz val="9"/>
            <color indexed="81"/>
            <rFont val="돋움"/>
            <family val="3"/>
            <charset val="129"/>
          </rPr>
          <t>감가</t>
        </r>
        <r>
          <rPr>
            <sz val="9"/>
            <color indexed="81"/>
            <rFont val="Tahoma"/>
            <family val="2"/>
          </rPr>
          <t xml:space="preserve"> 116,600,000</t>
        </r>
        <r>
          <rPr>
            <sz val="9"/>
            <color indexed="81"/>
            <rFont val="돋움"/>
            <family val="3"/>
            <charset val="129"/>
          </rPr>
          <t>원</t>
        </r>
      </text>
    </comment>
    <comment ref="K191" authorId="4" shapeId="0" xr:uid="{00000000-0006-0000-0000-000071000000}">
      <text>
        <r>
          <rPr>
            <sz val="9"/>
            <color indexed="81"/>
            <rFont val="Tahoma"/>
            <family val="2"/>
          </rPr>
          <t xml:space="preserve">7/30 </t>
        </r>
        <r>
          <rPr>
            <sz val="9"/>
            <color indexed="81"/>
            <rFont val="돋움"/>
            <family val="3"/>
            <charset val="129"/>
          </rPr>
          <t>에서</t>
        </r>
        <r>
          <rPr>
            <sz val="9"/>
            <color indexed="81"/>
            <rFont val="Tahoma"/>
            <family val="2"/>
          </rPr>
          <t xml:space="preserve"> </t>
        </r>
        <r>
          <rPr>
            <sz val="9"/>
            <color indexed="81"/>
            <rFont val="돋움"/>
            <family val="3"/>
            <charset val="129"/>
          </rPr>
          <t>지연됨</t>
        </r>
        <r>
          <rPr>
            <sz val="9"/>
            <color indexed="81"/>
            <rFont val="Tahoma"/>
            <family val="2"/>
          </rPr>
          <t xml:space="preserve">
</t>
        </r>
      </text>
    </comment>
    <comment ref="K196" authorId="6" shapeId="0" xr:uid="{00000000-0006-0000-0000-000072000000}">
      <text>
        <r>
          <rPr>
            <sz val="9"/>
            <color indexed="81"/>
            <rFont val="돋움"/>
            <family val="3"/>
            <charset val="129"/>
          </rPr>
          <t>계약</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 xml:space="preserve">완료
</t>
        </r>
        <r>
          <rPr>
            <sz val="9"/>
            <color indexed="81"/>
            <rFont val="Tahoma"/>
            <family val="2"/>
          </rPr>
          <t>9/17</t>
        </r>
        <r>
          <rPr>
            <sz val="9"/>
            <color indexed="81"/>
            <rFont val="돋움"/>
            <family val="3"/>
            <charset val="129"/>
          </rPr>
          <t>에서</t>
        </r>
        <r>
          <rPr>
            <sz val="9"/>
            <color indexed="81"/>
            <rFont val="Tahoma"/>
            <family val="2"/>
          </rPr>
          <t xml:space="preserve"> 10/31</t>
        </r>
        <r>
          <rPr>
            <sz val="9"/>
            <color indexed="81"/>
            <rFont val="돋움"/>
            <family val="3"/>
            <charset val="129"/>
          </rPr>
          <t>로</t>
        </r>
      </text>
    </comment>
    <comment ref="F198" authorId="1" shapeId="0" xr:uid="{00000000-0006-0000-0000-000073000000}">
      <text>
        <r>
          <rPr>
            <b/>
            <sz val="9"/>
            <color indexed="81"/>
            <rFont val="Tahoma"/>
            <family val="2"/>
          </rPr>
          <t>Temp:</t>
        </r>
        <r>
          <rPr>
            <sz val="9"/>
            <color indexed="81"/>
            <rFont val="Tahoma"/>
            <family val="2"/>
          </rPr>
          <t xml:space="preserve">
</t>
        </r>
        <r>
          <rPr>
            <sz val="9"/>
            <color indexed="81"/>
            <rFont val="돋움"/>
            <family val="3"/>
            <charset val="129"/>
          </rPr>
          <t>산출내역서</t>
        </r>
        <r>
          <rPr>
            <sz val="9"/>
            <color indexed="81"/>
            <rFont val="Tahoma"/>
            <family val="2"/>
          </rPr>
          <t xml:space="preserve"> </t>
        </r>
        <r>
          <rPr>
            <sz val="9"/>
            <color indexed="81"/>
            <rFont val="돋움"/>
            <family val="3"/>
            <charset val="129"/>
          </rPr>
          <t>상에는</t>
        </r>
        <r>
          <rPr>
            <sz val="9"/>
            <color indexed="81"/>
            <rFont val="Tahoma"/>
            <family val="2"/>
          </rPr>
          <t xml:space="preserve"> </t>
        </r>
        <r>
          <rPr>
            <sz val="9"/>
            <color indexed="81"/>
            <rFont val="돋움"/>
            <family val="3"/>
            <charset val="129"/>
          </rPr>
          <t>물품구입</t>
        </r>
        <r>
          <rPr>
            <sz val="9"/>
            <color indexed="81"/>
            <rFont val="Tahoma"/>
            <family val="2"/>
          </rPr>
          <t xml:space="preserve"> </t>
        </r>
        <r>
          <rPr>
            <sz val="9"/>
            <color indexed="81"/>
            <rFont val="돋움"/>
            <family val="3"/>
            <charset val="129"/>
          </rPr>
          <t>금액이</t>
        </r>
        <r>
          <rPr>
            <sz val="9"/>
            <color indexed="81"/>
            <rFont val="Tahoma"/>
            <family val="2"/>
          </rPr>
          <t xml:space="preserve"> </t>
        </r>
        <r>
          <rPr>
            <sz val="9"/>
            <color indexed="81"/>
            <rFont val="돋움"/>
            <family val="3"/>
            <charset val="129"/>
          </rPr>
          <t>크게</t>
        </r>
        <r>
          <rPr>
            <sz val="9"/>
            <color indexed="81"/>
            <rFont val="Tahoma"/>
            <family val="2"/>
          </rPr>
          <t xml:space="preserve"> </t>
        </r>
        <r>
          <rPr>
            <sz val="9"/>
            <color indexed="81"/>
            <rFont val="돋움"/>
            <family val="3"/>
            <charset val="129"/>
          </rPr>
          <t>보여집니다</t>
        </r>
        <r>
          <rPr>
            <sz val="9"/>
            <color indexed="81"/>
            <rFont val="Tahoma"/>
            <family val="2"/>
          </rPr>
          <t xml:space="preserve">. </t>
        </r>
        <r>
          <rPr>
            <sz val="9"/>
            <color indexed="81"/>
            <rFont val="돋움"/>
            <family val="3"/>
            <charset val="129"/>
          </rPr>
          <t>용역이</t>
        </r>
        <r>
          <rPr>
            <sz val="9"/>
            <color indexed="81"/>
            <rFont val="Tahoma"/>
            <family val="2"/>
          </rPr>
          <t xml:space="preserve"> </t>
        </r>
        <r>
          <rPr>
            <sz val="9"/>
            <color indexed="81"/>
            <rFont val="돋움"/>
            <family val="3"/>
            <charset val="129"/>
          </rPr>
          <t>아니라</t>
        </r>
        <r>
          <rPr>
            <sz val="9"/>
            <color indexed="81"/>
            <rFont val="Tahoma"/>
            <family val="2"/>
          </rPr>
          <t xml:space="preserve"> </t>
        </r>
        <r>
          <rPr>
            <sz val="9"/>
            <color indexed="81"/>
            <rFont val="돋움"/>
            <family val="3"/>
            <charset val="129"/>
          </rPr>
          <t>상품으로</t>
        </r>
        <r>
          <rPr>
            <sz val="9"/>
            <color indexed="81"/>
            <rFont val="Tahoma"/>
            <family val="2"/>
          </rPr>
          <t xml:space="preserve"> </t>
        </r>
        <r>
          <rPr>
            <sz val="9"/>
            <color indexed="81"/>
            <rFont val="돋움"/>
            <family val="3"/>
            <charset val="129"/>
          </rPr>
          <t>구분되어야</t>
        </r>
        <r>
          <rPr>
            <sz val="9"/>
            <color indexed="81"/>
            <rFont val="Tahoma"/>
            <family val="2"/>
          </rPr>
          <t xml:space="preserve"> </t>
        </r>
        <r>
          <rPr>
            <sz val="9"/>
            <color indexed="81"/>
            <rFont val="돋움"/>
            <family val="3"/>
            <charset val="129"/>
          </rPr>
          <t>할</t>
        </r>
        <r>
          <rPr>
            <sz val="9"/>
            <color indexed="81"/>
            <rFont val="Tahoma"/>
            <family val="2"/>
          </rPr>
          <t xml:space="preserve"> </t>
        </r>
        <r>
          <rPr>
            <sz val="9"/>
            <color indexed="81"/>
            <rFont val="돋움"/>
            <family val="3"/>
            <charset val="129"/>
          </rPr>
          <t>것</t>
        </r>
        <r>
          <rPr>
            <sz val="9"/>
            <color indexed="81"/>
            <rFont val="Tahoma"/>
            <family val="2"/>
          </rPr>
          <t xml:space="preserve"> </t>
        </r>
        <r>
          <rPr>
            <sz val="9"/>
            <color indexed="81"/>
            <rFont val="돋움"/>
            <family val="3"/>
            <charset val="129"/>
          </rPr>
          <t>같습니다</t>
        </r>
        <r>
          <rPr>
            <sz val="9"/>
            <color indexed="81"/>
            <rFont val="Tahoma"/>
            <family val="2"/>
          </rPr>
          <t>.</t>
        </r>
      </text>
    </comment>
    <comment ref="L198" authorId="1" shapeId="0" xr:uid="{00000000-0006-0000-0000-000074000000}">
      <text>
        <r>
          <rPr>
            <b/>
            <sz val="9"/>
            <color indexed="81"/>
            <rFont val="Tahoma"/>
            <family val="2"/>
          </rPr>
          <t>Temp:</t>
        </r>
        <r>
          <rPr>
            <sz val="9"/>
            <color indexed="81"/>
            <rFont val="Tahoma"/>
            <family val="2"/>
          </rPr>
          <t xml:space="preserve">
7/8 </t>
        </r>
        <r>
          <rPr>
            <sz val="9"/>
            <color indexed="81"/>
            <rFont val="돋움"/>
            <family val="3"/>
            <charset val="129"/>
          </rPr>
          <t>선금</t>
        </r>
        <r>
          <rPr>
            <sz val="9"/>
            <color indexed="81"/>
            <rFont val="Tahoma"/>
            <family val="2"/>
          </rPr>
          <t xml:space="preserve">80% </t>
        </r>
        <r>
          <rPr>
            <sz val="9"/>
            <color indexed="81"/>
            <rFont val="돋움"/>
            <family val="3"/>
            <charset val="129"/>
          </rPr>
          <t xml:space="preserve">발급
</t>
        </r>
        <r>
          <rPr>
            <sz val="9"/>
            <color indexed="81"/>
            <rFont val="Tahoma"/>
            <family val="2"/>
          </rPr>
          <t xml:space="preserve">\146,432,000
12/21 </t>
        </r>
        <r>
          <rPr>
            <sz val="9"/>
            <color indexed="81"/>
            <rFont val="돋움"/>
            <family val="3"/>
            <charset val="129"/>
          </rPr>
          <t>잔금</t>
        </r>
        <r>
          <rPr>
            <sz val="9"/>
            <color indexed="81"/>
            <rFont val="Tahoma"/>
            <family val="2"/>
          </rPr>
          <t xml:space="preserve">20% </t>
        </r>
        <r>
          <rPr>
            <sz val="9"/>
            <color indexed="81"/>
            <rFont val="돋움"/>
            <family val="3"/>
            <charset val="129"/>
          </rPr>
          <t xml:space="preserve">발급
</t>
        </r>
        <r>
          <rPr>
            <sz val="9"/>
            <color indexed="81"/>
            <rFont val="Tahoma"/>
            <family val="2"/>
          </rPr>
          <t>\36,608,000</t>
        </r>
      </text>
    </comment>
    <comment ref="M198" authorId="1" shapeId="0" xr:uid="{00000000-0006-0000-0000-000075000000}">
      <text>
        <r>
          <rPr>
            <b/>
            <sz val="9"/>
            <color indexed="81"/>
            <rFont val="Tahoma"/>
            <family val="2"/>
          </rPr>
          <t>Temp:</t>
        </r>
        <r>
          <rPr>
            <sz val="9"/>
            <color indexed="81"/>
            <rFont val="Tahoma"/>
            <family val="2"/>
          </rPr>
          <t xml:space="preserve">
7/12 </t>
        </r>
        <r>
          <rPr>
            <sz val="9"/>
            <color indexed="81"/>
            <rFont val="돋움"/>
            <family val="3"/>
            <charset val="129"/>
          </rPr>
          <t>선금</t>
        </r>
        <r>
          <rPr>
            <sz val="9"/>
            <color indexed="81"/>
            <rFont val="Tahoma"/>
            <family val="2"/>
          </rPr>
          <t xml:space="preserve">80% </t>
        </r>
        <r>
          <rPr>
            <sz val="9"/>
            <color indexed="81"/>
            <rFont val="돋움"/>
            <family val="3"/>
            <charset val="129"/>
          </rPr>
          <t xml:space="preserve">입금
</t>
        </r>
        <r>
          <rPr>
            <sz val="9"/>
            <color indexed="81"/>
            <rFont val="Tahoma"/>
            <family val="2"/>
          </rPr>
          <t xml:space="preserve">\146,432,000
12/24 </t>
        </r>
        <r>
          <rPr>
            <sz val="9"/>
            <color indexed="81"/>
            <rFont val="돋움"/>
            <family val="3"/>
            <charset val="129"/>
          </rPr>
          <t>잔금</t>
        </r>
        <r>
          <rPr>
            <sz val="9"/>
            <color indexed="81"/>
            <rFont val="Tahoma"/>
            <family val="2"/>
          </rPr>
          <t xml:space="preserve">20% </t>
        </r>
        <r>
          <rPr>
            <sz val="9"/>
            <color indexed="81"/>
            <rFont val="돋움"/>
            <family val="3"/>
            <charset val="129"/>
          </rPr>
          <t xml:space="preserve">입금
</t>
        </r>
        <r>
          <rPr>
            <sz val="9"/>
            <color indexed="81"/>
            <rFont val="Tahoma"/>
            <family val="2"/>
          </rPr>
          <t>\36,608,000</t>
        </r>
      </text>
    </comment>
    <comment ref="M205" authorId="1" shapeId="0" xr:uid="{00000000-0006-0000-0000-000076000000}">
      <text>
        <r>
          <rPr>
            <b/>
            <sz val="9"/>
            <color indexed="81"/>
            <rFont val="Tahoma"/>
            <family val="2"/>
          </rPr>
          <t>Temp:</t>
        </r>
        <r>
          <rPr>
            <sz val="9"/>
            <color indexed="81"/>
            <rFont val="Tahoma"/>
            <family val="2"/>
          </rPr>
          <t xml:space="preserve">
11/16 </t>
        </r>
        <r>
          <rPr>
            <sz val="9"/>
            <color indexed="81"/>
            <rFont val="돋움"/>
            <family val="3"/>
            <charset val="129"/>
          </rPr>
          <t>공급가액</t>
        </r>
        <r>
          <rPr>
            <sz val="9"/>
            <color indexed="81"/>
            <rFont val="Tahoma"/>
            <family val="2"/>
          </rPr>
          <t xml:space="preserve"> </t>
        </r>
        <r>
          <rPr>
            <sz val="9"/>
            <color indexed="81"/>
            <rFont val="돋움"/>
            <family val="3"/>
            <charset val="129"/>
          </rPr>
          <t xml:space="preserve">입금
</t>
        </r>
        <r>
          <rPr>
            <sz val="9"/>
            <color indexed="81"/>
            <rFont val="Tahoma"/>
            <family val="2"/>
          </rPr>
          <t xml:space="preserve">11/30 </t>
        </r>
        <r>
          <rPr>
            <sz val="9"/>
            <color indexed="81"/>
            <rFont val="돋움"/>
            <family val="3"/>
            <charset val="129"/>
          </rPr>
          <t>부가세</t>
        </r>
        <r>
          <rPr>
            <sz val="9"/>
            <color indexed="81"/>
            <rFont val="Tahoma"/>
            <family val="2"/>
          </rPr>
          <t xml:space="preserve"> </t>
        </r>
        <r>
          <rPr>
            <sz val="9"/>
            <color indexed="81"/>
            <rFont val="돋움"/>
            <family val="3"/>
            <charset val="129"/>
          </rPr>
          <t>입금</t>
        </r>
      </text>
    </comment>
    <comment ref="L213" authorId="10" shapeId="0" xr:uid="{00000000-0006-0000-0000-000077000000}">
      <text>
        <r>
          <rPr>
            <b/>
            <sz val="9"/>
            <color indexed="81"/>
            <rFont val="돋움"/>
            <family val="3"/>
            <charset val="129"/>
          </rPr>
          <t>관리부</t>
        </r>
        <r>
          <rPr>
            <b/>
            <sz val="9"/>
            <color indexed="81"/>
            <rFont val="Tahoma"/>
            <family val="2"/>
          </rPr>
          <t>-1:</t>
        </r>
        <r>
          <rPr>
            <sz val="9"/>
            <color indexed="81"/>
            <rFont val="Tahoma"/>
            <family val="2"/>
          </rPr>
          <t xml:space="preserve">
7/12 </t>
        </r>
        <r>
          <rPr>
            <sz val="9"/>
            <color indexed="81"/>
            <rFont val="돋움"/>
            <family val="3"/>
            <charset val="129"/>
          </rPr>
          <t>선금</t>
        </r>
        <r>
          <rPr>
            <sz val="9"/>
            <color indexed="81"/>
            <rFont val="Tahoma"/>
            <family val="2"/>
          </rPr>
          <t xml:space="preserve"> 80% </t>
        </r>
        <r>
          <rPr>
            <sz val="9"/>
            <color indexed="81"/>
            <rFont val="돋움"/>
            <family val="3"/>
            <charset val="129"/>
          </rPr>
          <t xml:space="preserve">발급
</t>
        </r>
        <r>
          <rPr>
            <sz val="9"/>
            <color indexed="81"/>
            <rFont val="Tahoma"/>
            <family val="2"/>
          </rPr>
          <t>\112,464,000
22</t>
        </r>
        <r>
          <rPr>
            <sz val="9"/>
            <color indexed="81"/>
            <rFont val="돋움"/>
            <family val="3"/>
            <charset val="129"/>
          </rPr>
          <t>년</t>
        </r>
        <r>
          <rPr>
            <sz val="9"/>
            <color indexed="81"/>
            <rFont val="Tahoma"/>
            <family val="2"/>
          </rPr>
          <t xml:space="preserve"> 5/10 </t>
        </r>
        <r>
          <rPr>
            <sz val="9"/>
            <color indexed="81"/>
            <rFont val="돋움"/>
            <family val="3"/>
            <charset val="129"/>
          </rPr>
          <t>잔금</t>
        </r>
        <r>
          <rPr>
            <sz val="9"/>
            <color indexed="81"/>
            <rFont val="Tahoma"/>
            <family val="2"/>
          </rPr>
          <t xml:space="preserve"> 20% </t>
        </r>
        <r>
          <rPr>
            <sz val="9"/>
            <color indexed="81"/>
            <rFont val="돋움"/>
            <family val="3"/>
            <charset val="129"/>
          </rPr>
          <t xml:space="preserve">발급
</t>
        </r>
        <r>
          <rPr>
            <sz val="9"/>
            <color indexed="81"/>
            <rFont val="Tahoma"/>
            <family val="2"/>
          </rPr>
          <t>\28,116,000</t>
        </r>
      </text>
    </comment>
    <comment ref="M213" authorId="10" shapeId="0" xr:uid="{00000000-0006-0000-0000-000078000000}">
      <text>
        <r>
          <rPr>
            <b/>
            <sz val="9"/>
            <color indexed="81"/>
            <rFont val="돋움"/>
            <family val="3"/>
            <charset val="129"/>
          </rPr>
          <t>관리부</t>
        </r>
        <r>
          <rPr>
            <b/>
            <sz val="9"/>
            <color indexed="81"/>
            <rFont val="Tahoma"/>
            <family val="2"/>
          </rPr>
          <t>-1:</t>
        </r>
        <r>
          <rPr>
            <sz val="9"/>
            <color indexed="81"/>
            <rFont val="Tahoma"/>
            <family val="2"/>
          </rPr>
          <t xml:space="preserve">
7/14 </t>
        </r>
        <r>
          <rPr>
            <sz val="9"/>
            <color indexed="81"/>
            <rFont val="돋움"/>
            <family val="3"/>
            <charset val="129"/>
          </rPr>
          <t>선금</t>
        </r>
        <r>
          <rPr>
            <sz val="9"/>
            <color indexed="81"/>
            <rFont val="Tahoma"/>
            <family val="2"/>
          </rPr>
          <t xml:space="preserve"> 80% </t>
        </r>
        <r>
          <rPr>
            <sz val="9"/>
            <color indexed="81"/>
            <rFont val="돋움"/>
            <family val="3"/>
            <charset val="129"/>
          </rPr>
          <t xml:space="preserve">입금
</t>
        </r>
        <r>
          <rPr>
            <sz val="9"/>
            <color indexed="81"/>
            <rFont val="Tahoma"/>
            <family val="2"/>
          </rPr>
          <t>\112,464,000
22</t>
        </r>
        <r>
          <rPr>
            <sz val="9"/>
            <color indexed="81"/>
            <rFont val="돋움"/>
            <family val="3"/>
            <charset val="129"/>
          </rPr>
          <t>년</t>
        </r>
        <r>
          <rPr>
            <sz val="9"/>
            <color indexed="81"/>
            <rFont val="Tahoma"/>
            <family val="2"/>
          </rPr>
          <t xml:space="preserve"> 5/12 </t>
        </r>
        <r>
          <rPr>
            <sz val="9"/>
            <color indexed="81"/>
            <rFont val="돋움"/>
            <family val="3"/>
            <charset val="129"/>
          </rPr>
          <t>잔금</t>
        </r>
        <r>
          <rPr>
            <sz val="9"/>
            <color indexed="81"/>
            <rFont val="Tahoma"/>
            <family val="2"/>
          </rPr>
          <t xml:space="preserve"> 20% </t>
        </r>
        <r>
          <rPr>
            <sz val="9"/>
            <color indexed="81"/>
            <rFont val="돋움"/>
            <family val="3"/>
            <charset val="129"/>
          </rPr>
          <t xml:space="preserve">입금
</t>
        </r>
        <r>
          <rPr>
            <sz val="9"/>
            <color indexed="81"/>
            <rFont val="Tahoma"/>
            <family val="2"/>
          </rPr>
          <t xml:space="preserve">\28,116,000
</t>
        </r>
      </text>
    </comment>
    <comment ref="L215" authorId="1" shapeId="0" xr:uid="{00000000-0006-0000-0000-000079000000}">
      <text>
        <r>
          <rPr>
            <b/>
            <sz val="9"/>
            <color indexed="81"/>
            <rFont val="Tahoma"/>
            <family val="2"/>
          </rPr>
          <t>Temp:</t>
        </r>
        <r>
          <rPr>
            <sz val="9"/>
            <color indexed="81"/>
            <rFont val="Tahoma"/>
            <family val="2"/>
          </rPr>
          <t xml:space="preserve">
7/5 </t>
        </r>
        <r>
          <rPr>
            <sz val="9"/>
            <color indexed="81"/>
            <rFont val="돋움"/>
            <family val="3"/>
            <charset val="129"/>
          </rPr>
          <t>선금</t>
        </r>
        <r>
          <rPr>
            <sz val="9"/>
            <color indexed="81"/>
            <rFont val="Tahoma"/>
            <family val="2"/>
          </rPr>
          <t xml:space="preserve">50% </t>
        </r>
        <r>
          <rPr>
            <sz val="9"/>
            <color indexed="81"/>
            <rFont val="돋움"/>
            <family val="3"/>
            <charset val="129"/>
          </rPr>
          <t xml:space="preserve">청구
</t>
        </r>
        <r>
          <rPr>
            <sz val="9"/>
            <color indexed="81"/>
            <rFont val="Tahoma"/>
            <family val="2"/>
          </rPr>
          <t xml:space="preserve">\990,000
7/13 </t>
        </r>
        <r>
          <rPr>
            <sz val="9"/>
            <color indexed="81"/>
            <rFont val="돋움"/>
            <family val="3"/>
            <charset val="129"/>
          </rPr>
          <t>잔금</t>
        </r>
        <r>
          <rPr>
            <sz val="9"/>
            <color indexed="81"/>
            <rFont val="Tahoma"/>
            <family val="2"/>
          </rPr>
          <t xml:space="preserve">50% </t>
        </r>
        <r>
          <rPr>
            <sz val="9"/>
            <color indexed="81"/>
            <rFont val="돋움"/>
            <family val="3"/>
            <charset val="129"/>
          </rPr>
          <t xml:space="preserve">청구
</t>
        </r>
        <r>
          <rPr>
            <sz val="9"/>
            <color indexed="81"/>
            <rFont val="Tahoma"/>
            <family val="2"/>
          </rPr>
          <t>\990,000</t>
        </r>
      </text>
    </comment>
    <comment ref="M215" authorId="1" shapeId="0" xr:uid="{00000000-0006-0000-0000-00007A000000}">
      <text>
        <r>
          <rPr>
            <b/>
            <sz val="9"/>
            <color indexed="81"/>
            <rFont val="Tahoma"/>
            <family val="2"/>
          </rPr>
          <t>Temp:</t>
        </r>
        <r>
          <rPr>
            <sz val="9"/>
            <color indexed="81"/>
            <rFont val="Tahoma"/>
            <family val="2"/>
          </rPr>
          <t xml:space="preserve">
7/6 </t>
        </r>
        <r>
          <rPr>
            <sz val="9"/>
            <color indexed="81"/>
            <rFont val="돋움"/>
            <family val="3"/>
            <charset val="129"/>
          </rPr>
          <t>선금</t>
        </r>
        <r>
          <rPr>
            <sz val="9"/>
            <color indexed="81"/>
            <rFont val="Tahoma"/>
            <family val="2"/>
          </rPr>
          <t xml:space="preserve">50% </t>
        </r>
        <r>
          <rPr>
            <sz val="9"/>
            <color indexed="81"/>
            <rFont val="돋움"/>
            <family val="3"/>
            <charset val="129"/>
          </rPr>
          <t xml:space="preserve">입금
</t>
        </r>
        <r>
          <rPr>
            <sz val="9"/>
            <color indexed="81"/>
            <rFont val="Tahoma"/>
            <family val="2"/>
          </rPr>
          <t xml:space="preserve">\990,000
8/10 </t>
        </r>
        <r>
          <rPr>
            <sz val="9"/>
            <color indexed="81"/>
            <rFont val="돋움"/>
            <family val="3"/>
            <charset val="129"/>
          </rPr>
          <t>잔금</t>
        </r>
        <r>
          <rPr>
            <sz val="9"/>
            <color indexed="81"/>
            <rFont val="Tahoma"/>
            <family val="2"/>
          </rPr>
          <t xml:space="preserve">50% </t>
        </r>
        <r>
          <rPr>
            <sz val="9"/>
            <color indexed="81"/>
            <rFont val="돋움"/>
            <family val="3"/>
            <charset val="129"/>
          </rPr>
          <t xml:space="preserve">입금
</t>
        </r>
        <r>
          <rPr>
            <sz val="9"/>
            <color indexed="81"/>
            <rFont val="Tahoma"/>
            <family val="2"/>
          </rPr>
          <t>\990,000</t>
        </r>
      </text>
    </comment>
    <comment ref="L216" authorId="1" shapeId="0" xr:uid="{00000000-0006-0000-0000-00007B000000}">
      <text>
        <r>
          <rPr>
            <b/>
            <sz val="9"/>
            <color indexed="81"/>
            <rFont val="Tahoma"/>
            <family val="2"/>
          </rPr>
          <t>Temp:</t>
        </r>
        <r>
          <rPr>
            <sz val="9"/>
            <color indexed="81"/>
            <rFont val="Tahoma"/>
            <family val="2"/>
          </rPr>
          <t xml:space="preserve">
</t>
        </r>
        <r>
          <rPr>
            <sz val="9"/>
            <color indexed="81"/>
            <rFont val="돋움"/>
            <family val="3"/>
            <charset val="129"/>
          </rPr>
          <t>선금</t>
        </r>
        <r>
          <rPr>
            <sz val="9"/>
            <color indexed="81"/>
            <rFont val="Tahoma"/>
            <family val="2"/>
          </rPr>
          <t>100%</t>
        </r>
      </text>
    </comment>
    <comment ref="I238" authorId="2" shapeId="0" xr:uid="{00000000-0006-0000-0000-00007C000000}">
      <text>
        <r>
          <rPr>
            <b/>
            <sz val="9"/>
            <color indexed="81"/>
            <rFont val="Tahoma"/>
            <family val="2"/>
          </rPr>
          <t>Mirr:</t>
        </r>
        <r>
          <rPr>
            <sz val="9"/>
            <color indexed="81"/>
            <rFont val="Tahoma"/>
            <family val="2"/>
          </rPr>
          <t xml:space="preserve">
</t>
        </r>
        <r>
          <rPr>
            <sz val="9"/>
            <color indexed="81"/>
            <rFont val="돋움"/>
            <family val="3"/>
            <charset val="129"/>
          </rPr>
          <t xml:space="preserve">결제조건
</t>
        </r>
        <r>
          <rPr>
            <sz val="9"/>
            <color indexed="81"/>
            <rFont val="Tahoma"/>
            <family val="2"/>
          </rPr>
          <t xml:space="preserve"> - </t>
        </r>
        <r>
          <rPr>
            <sz val="9"/>
            <color indexed="81"/>
            <rFont val="돋움"/>
            <family val="3"/>
            <charset val="129"/>
          </rPr>
          <t>선금</t>
        </r>
        <r>
          <rPr>
            <sz val="9"/>
            <color indexed="81"/>
            <rFont val="Tahoma"/>
            <family val="2"/>
          </rPr>
          <t xml:space="preserve"> 50%
 - </t>
        </r>
        <r>
          <rPr>
            <sz val="9"/>
            <color indexed="81"/>
            <rFont val="돋움"/>
            <family val="3"/>
            <charset val="129"/>
          </rPr>
          <t>납품</t>
        </r>
        <r>
          <rPr>
            <sz val="9"/>
            <color indexed="81"/>
            <rFont val="Tahoma"/>
            <family val="2"/>
          </rPr>
          <t xml:space="preserve"> </t>
        </r>
        <r>
          <rPr>
            <sz val="9"/>
            <color indexed="81"/>
            <rFont val="돋움"/>
            <family val="3"/>
            <charset val="129"/>
          </rPr>
          <t>전</t>
        </r>
        <r>
          <rPr>
            <sz val="9"/>
            <color indexed="81"/>
            <rFont val="Tahoma"/>
            <family val="2"/>
          </rPr>
          <t xml:space="preserve"> 50% </t>
        </r>
      </text>
    </comment>
    <comment ref="L238" authorId="10" shapeId="0" xr:uid="{00000000-0006-0000-0000-00007D000000}">
      <text>
        <r>
          <rPr>
            <b/>
            <sz val="9"/>
            <color indexed="81"/>
            <rFont val="돋움"/>
            <family val="3"/>
            <charset val="129"/>
          </rPr>
          <t>관리부</t>
        </r>
        <r>
          <rPr>
            <b/>
            <sz val="9"/>
            <color indexed="81"/>
            <rFont val="Tahoma"/>
            <family val="2"/>
          </rPr>
          <t>-1:</t>
        </r>
        <r>
          <rPr>
            <sz val="9"/>
            <color indexed="81"/>
            <rFont val="Tahoma"/>
            <family val="2"/>
          </rPr>
          <t xml:space="preserve">
8/2 </t>
        </r>
        <r>
          <rPr>
            <sz val="9"/>
            <color indexed="81"/>
            <rFont val="돋움"/>
            <family val="3"/>
            <charset val="129"/>
          </rPr>
          <t>선금</t>
        </r>
        <r>
          <rPr>
            <sz val="9"/>
            <color indexed="81"/>
            <rFont val="Tahoma"/>
            <family val="2"/>
          </rPr>
          <t xml:space="preserve">50% </t>
        </r>
        <r>
          <rPr>
            <sz val="9"/>
            <color indexed="81"/>
            <rFont val="돋움"/>
            <family val="3"/>
            <charset val="129"/>
          </rPr>
          <t xml:space="preserve">발급
</t>
        </r>
        <r>
          <rPr>
            <sz val="9"/>
            <color indexed="81"/>
            <rFont val="Tahoma"/>
            <family val="2"/>
          </rPr>
          <t xml:space="preserve">\49,500,000
11/15 </t>
        </r>
        <r>
          <rPr>
            <sz val="9"/>
            <color indexed="81"/>
            <rFont val="돋움"/>
            <family val="3"/>
            <charset val="129"/>
          </rPr>
          <t>잔금</t>
        </r>
        <r>
          <rPr>
            <sz val="9"/>
            <color indexed="81"/>
            <rFont val="Tahoma"/>
            <family val="2"/>
          </rPr>
          <t xml:space="preserve">50% </t>
        </r>
        <r>
          <rPr>
            <sz val="9"/>
            <color indexed="81"/>
            <rFont val="돋움"/>
            <family val="3"/>
            <charset val="129"/>
          </rPr>
          <t xml:space="preserve">발급
</t>
        </r>
        <r>
          <rPr>
            <sz val="9"/>
            <color indexed="81"/>
            <rFont val="Tahoma"/>
            <family val="2"/>
          </rPr>
          <t>\49,500,000</t>
        </r>
      </text>
    </comment>
    <comment ref="M238" authorId="10" shapeId="0" xr:uid="{00000000-0006-0000-0000-00007E000000}">
      <text>
        <r>
          <rPr>
            <b/>
            <sz val="9"/>
            <color indexed="81"/>
            <rFont val="돋움"/>
            <family val="3"/>
            <charset val="129"/>
          </rPr>
          <t>관리부</t>
        </r>
        <r>
          <rPr>
            <b/>
            <sz val="9"/>
            <color indexed="81"/>
            <rFont val="Tahoma"/>
            <family val="2"/>
          </rPr>
          <t>-1:</t>
        </r>
        <r>
          <rPr>
            <sz val="9"/>
            <color indexed="81"/>
            <rFont val="Tahoma"/>
            <family val="2"/>
          </rPr>
          <t xml:space="preserve">
8/3 </t>
        </r>
        <r>
          <rPr>
            <sz val="9"/>
            <color indexed="81"/>
            <rFont val="돋움"/>
            <family val="3"/>
            <charset val="129"/>
          </rPr>
          <t>선금</t>
        </r>
        <r>
          <rPr>
            <sz val="9"/>
            <color indexed="81"/>
            <rFont val="Tahoma"/>
            <family val="2"/>
          </rPr>
          <t xml:space="preserve">50% </t>
        </r>
        <r>
          <rPr>
            <sz val="9"/>
            <color indexed="81"/>
            <rFont val="돋움"/>
            <family val="3"/>
            <charset val="129"/>
          </rPr>
          <t xml:space="preserve">입금
</t>
        </r>
        <r>
          <rPr>
            <sz val="9"/>
            <color indexed="81"/>
            <rFont val="Tahoma"/>
            <family val="2"/>
          </rPr>
          <t xml:space="preserve">\49,500,000
11/18 </t>
        </r>
        <r>
          <rPr>
            <sz val="9"/>
            <color indexed="81"/>
            <rFont val="돋움"/>
            <family val="3"/>
            <charset val="129"/>
          </rPr>
          <t>잔금</t>
        </r>
        <r>
          <rPr>
            <sz val="9"/>
            <color indexed="81"/>
            <rFont val="Tahoma"/>
            <family val="2"/>
          </rPr>
          <t xml:space="preserve">50% </t>
        </r>
        <r>
          <rPr>
            <sz val="9"/>
            <color indexed="81"/>
            <rFont val="돋움"/>
            <family val="3"/>
            <charset val="129"/>
          </rPr>
          <t xml:space="preserve">입금
</t>
        </r>
        <r>
          <rPr>
            <sz val="9"/>
            <color indexed="81"/>
            <rFont val="Tahoma"/>
            <family val="2"/>
          </rPr>
          <t>\49,500,000</t>
        </r>
      </text>
    </comment>
    <comment ref="L240" authorId="1" shapeId="0" xr:uid="{00000000-0006-0000-0000-00007F000000}">
      <text>
        <r>
          <rPr>
            <b/>
            <sz val="9"/>
            <color indexed="81"/>
            <rFont val="Tahoma"/>
            <family val="2"/>
          </rPr>
          <t>Temp:</t>
        </r>
        <r>
          <rPr>
            <sz val="9"/>
            <color indexed="81"/>
            <rFont val="Tahoma"/>
            <family val="2"/>
          </rPr>
          <t xml:space="preserve">
9/28 </t>
        </r>
        <r>
          <rPr>
            <sz val="9"/>
            <color indexed="81"/>
            <rFont val="돋움"/>
            <family val="3"/>
            <charset val="129"/>
          </rPr>
          <t>선금</t>
        </r>
        <r>
          <rPr>
            <sz val="9"/>
            <color indexed="81"/>
            <rFont val="Tahoma"/>
            <family val="2"/>
          </rPr>
          <t xml:space="preserve">50% </t>
        </r>
        <r>
          <rPr>
            <sz val="9"/>
            <color indexed="81"/>
            <rFont val="돋움"/>
            <family val="3"/>
            <charset val="129"/>
          </rPr>
          <t xml:space="preserve">발급
</t>
        </r>
        <r>
          <rPr>
            <sz val="9"/>
            <color indexed="81"/>
            <rFont val="Tahoma"/>
            <family val="2"/>
          </rPr>
          <t xml:space="preserve">\4,950,000
10/27 </t>
        </r>
        <r>
          <rPr>
            <sz val="9"/>
            <color indexed="81"/>
            <rFont val="돋움"/>
            <family val="3"/>
            <charset val="129"/>
          </rPr>
          <t>잔금</t>
        </r>
        <r>
          <rPr>
            <sz val="9"/>
            <color indexed="81"/>
            <rFont val="Tahoma"/>
            <family val="2"/>
          </rPr>
          <t xml:space="preserve">50% </t>
        </r>
        <r>
          <rPr>
            <sz val="9"/>
            <color indexed="81"/>
            <rFont val="돋움"/>
            <family val="3"/>
            <charset val="129"/>
          </rPr>
          <t xml:space="preserve">발급
</t>
        </r>
        <r>
          <rPr>
            <sz val="9"/>
            <color indexed="81"/>
            <rFont val="Tahoma"/>
            <family val="2"/>
          </rPr>
          <t>\4,950,000</t>
        </r>
      </text>
    </comment>
    <comment ref="M240" authorId="1" shapeId="0" xr:uid="{00000000-0006-0000-0000-000080000000}">
      <text>
        <r>
          <rPr>
            <b/>
            <sz val="9"/>
            <color indexed="81"/>
            <rFont val="Tahoma"/>
            <family val="2"/>
          </rPr>
          <t>Temp:</t>
        </r>
        <r>
          <rPr>
            <sz val="9"/>
            <color indexed="81"/>
            <rFont val="Tahoma"/>
            <family val="2"/>
          </rPr>
          <t xml:space="preserve">
9/28 </t>
        </r>
        <r>
          <rPr>
            <sz val="9"/>
            <color indexed="81"/>
            <rFont val="돋움"/>
            <family val="3"/>
            <charset val="129"/>
          </rPr>
          <t>선금</t>
        </r>
        <r>
          <rPr>
            <sz val="9"/>
            <color indexed="81"/>
            <rFont val="Tahoma"/>
            <family val="2"/>
          </rPr>
          <t xml:space="preserve">50% </t>
        </r>
        <r>
          <rPr>
            <sz val="9"/>
            <color indexed="81"/>
            <rFont val="돋움"/>
            <family val="3"/>
            <charset val="129"/>
          </rPr>
          <t xml:space="preserve">입금
</t>
        </r>
        <r>
          <rPr>
            <sz val="9"/>
            <color indexed="81"/>
            <rFont val="Tahoma"/>
            <family val="2"/>
          </rPr>
          <t xml:space="preserve">\4,950,000
12/31 </t>
        </r>
        <r>
          <rPr>
            <sz val="9"/>
            <color indexed="81"/>
            <rFont val="돋움"/>
            <family val="3"/>
            <charset val="129"/>
          </rPr>
          <t>잔금</t>
        </r>
        <r>
          <rPr>
            <sz val="9"/>
            <color indexed="81"/>
            <rFont val="Tahoma"/>
            <family val="2"/>
          </rPr>
          <t xml:space="preserve">50% </t>
        </r>
        <r>
          <rPr>
            <sz val="9"/>
            <color indexed="81"/>
            <rFont val="돋움"/>
            <family val="3"/>
            <charset val="129"/>
          </rPr>
          <t xml:space="preserve">입금
</t>
        </r>
        <r>
          <rPr>
            <sz val="9"/>
            <color indexed="81"/>
            <rFont val="Tahoma"/>
            <family val="2"/>
          </rPr>
          <t>\4,950,000</t>
        </r>
      </text>
    </comment>
    <comment ref="X248" authorId="5" shapeId="0" xr:uid="{00000000-0006-0000-0000-000081000000}">
      <text>
        <r>
          <rPr>
            <b/>
            <sz val="9"/>
            <color indexed="81"/>
            <rFont val="Tahoma"/>
            <family val="2"/>
          </rPr>
          <t>ocean:</t>
        </r>
        <r>
          <rPr>
            <sz val="9"/>
            <color indexed="81"/>
            <rFont val="Tahoma"/>
            <family val="2"/>
          </rPr>
          <t xml:space="preserve">
#21-77, 244 </t>
        </r>
        <r>
          <rPr>
            <sz val="9"/>
            <color indexed="81"/>
            <rFont val="돋움"/>
            <family val="3"/>
            <charset val="129"/>
          </rPr>
          <t>물건</t>
        </r>
        <r>
          <rPr>
            <sz val="9"/>
            <color indexed="81"/>
            <rFont val="Tahoma"/>
            <family val="2"/>
          </rPr>
          <t xml:space="preserve"> </t>
        </r>
        <r>
          <rPr>
            <sz val="9"/>
            <color indexed="81"/>
            <rFont val="돋움"/>
            <family val="3"/>
            <charset val="129"/>
          </rPr>
          <t>하나를</t>
        </r>
        <r>
          <rPr>
            <sz val="9"/>
            <color indexed="81"/>
            <rFont val="Tahoma"/>
            <family val="2"/>
          </rPr>
          <t xml:space="preserve"> </t>
        </r>
        <r>
          <rPr>
            <sz val="9"/>
            <color indexed="81"/>
            <rFont val="돋움"/>
            <family val="3"/>
            <charset val="129"/>
          </rPr>
          <t>두개의</t>
        </r>
        <r>
          <rPr>
            <sz val="9"/>
            <color indexed="81"/>
            <rFont val="Tahoma"/>
            <family val="2"/>
          </rPr>
          <t xml:space="preserve"> </t>
        </r>
        <r>
          <rPr>
            <sz val="9"/>
            <color indexed="81"/>
            <rFont val="돋움"/>
            <family val="3"/>
            <charset val="129"/>
          </rPr>
          <t>계약으로</t>
        </r>
        <r>
          <rPr>
            <sz val="9"/>
            <color indexed="81"/>
            <rFont val="Tahoma"/>
            <family val="2"/>
          </rPr>
          <t xml:space="preserve"> </t>
        </r>
        <r>
          <rPr>
            <sz val="9"/>
            <color indexed="81"/>
            <rFont val="돋움"/>
            <family val="3"/>
            <charset val="129"/>
          </rPr>
          <t>분리</t>
        </r>
        <r>
          <rPr>
            <sz val="9"/>
            <color indexed="81"/>
            <rFont val="Tahoma"/>
            <family val="2"/>
          </rPr>
          <t xml:space="preserve"> </t>
        </r>
        <r>
          <rPr>
            <sz val="9"/>
            <color indexed="81"/>
            <rFont val="돋움"/>
            <family val="3"/>
            <charset val="129"/>
          </rPr>
          <t xml:space="preserve">
</t>
        </r>
      </text>
    </comment>
    <comment ref="X249" authorId="0" shapeId="0" xr:uid="{00000000-0006-0000-0000-000082000000}">
      <text>
        <r>
          <rPr>
            <b/>
            <sz val="9"/>
            <color indexed="81"/>
            <rFont val="Tahoma"/>
            <family val="2"/>
          </rPr>
          <t xml:space="preserve">#21-238, 245 </t>
        </r>
        <r>
          <rPr>
            <b/>
            <sz val="9"/>
            <color indexed="81"/>
            <rFont val="돋움"/>
            <family val="3"/>
            <charset val="129"/>
          </rPr>
          <t>로</t>
        </r>
        <r>
          <rPr>
            <b/>
            <sz val="9"/>
            <color indexed="81"/>
            <rFont val="Tahoma"/>
            <family val="2"/>
          </rPr>
          <t xml:space="preserve"> </t>
        </r>
        <r>
          <rPr>
            <b/>
            <sz val="9"/>
            <color indexed="81"/>
            <rFont val="돋움"/>
            <family val="3"/>
            <charset val="129"/>
          </rPr>
          <t>분리되어</t>
        </r>
        <r>
          <rPr>
            <b/>
            <sz val="9"/>
            <color indexed="81"/>
            <rFont val="Tahoma"/>
            <family val="2"/>
          </rPr>
          <t xml:space="preserve"> </t>
        </r>
        <r>
          <rPr>
            <b/>
            <sz val="9"/>
            <color indexed="81"/>
            <rFont val="돋움"/>
            <family val="3"/>
            <charset val="129"/>
          </rPr>
          <t>계약</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납품</t>
        </r>
        <r>
          <rPr>
            <b/>
            <sz val="9"/>
            <color indexed="81"/>
            <rFont val="Tahoma"/>
            <family val="2"/>
          </rPr>
          <t xml:space="preserve"> </t>
        </r>
        <r>
          <rPr>
            <b/>
            <sz val="9"/>
            <color indexed="81"/>
            <rFont val="돋움"/>
            <family val="3"/>
            <charset val="129"/>
          </rPr>
          <t>완료
실제물건</t>
        </r>
        <r>
          <rPr>
            <b/>
            <sz val="9"/>
            <color indexed="81"/>
            <rFont val="Tahoma"/>
            <family val="2"/>
          </rPr>
          <t xml:space="preserve"> Hydrowiper</t>
        </r>
        <r>
          <rPr>
            <b/>
            <sz val="9"/>
            <color indexed="81"/>
            <rFont val="돋움"/>
            <family val="3"/>
            <charset val="129"/>
          </rPr>
          <t>에서</t>
        </r>
        <r>
          <rPr>
            <b/>
            <sz val="9"/>
            <color indexed="81"/>
            <rFont val="Tahoma"/>
            <family val="2"/>
          </rPr>
          <t xml:space="preserve"> Battery kit </t>
        </r>
        <r>
          <rPr>
            <b/>
            <sz val="9"/>
            <color indexed="81"/>
            <rFont val="돋움"/>
            <family val="3"/>
            <charset val="129"/>
          </rPr>
          <t>만</t>
        </r>
        <r>
          <rPr>
            <b/>
            <sz val="9"/>
            <color indexed="81"/>
            <rFont val="Tahoma"/>
            <family val="2"/>
          </rPr>
          <t xml:space="preserve"> </t>
        </r>
        <r>
          <rPr>
            <b/>
            <sz val="9"/>
            <color indexed="81"/>
            <rFont val="돋움"/>
            <family val="3"/>
            <charset val="129"/>
          </rPr>
          <t>계약된것</t>
        </r>
      </text>
    </comment>
    <comment ref="L250" authorId="10" shapeId="0" xr:uid="{00000000-0006-0000-0000-000083000000}">
      <text>
        <r>
          <rPr>
            <b/>
            <sz val="9"/>
            <color indexed="81"/>
            <rFont val="돋움"/>
            <family val="3"/>
            <charset val="129"/>
          </rPr>
          <t>관리부</t>
        </r>
        <r>
          <rPr>
            <b/>
            <sz val="9"/>
            <color indexed="81"/>
            <rFont val="Tahoma"/>
            <family val="2"/>
          </rPr>
          <t>-1:</t>
        </r>
        <r>
          <rPr>
            <sz val="9"/>
            <color indexed="81"/>
            <rFont val="Tahoma"/>
            <family val="2"/>
          </rPr>
          <t xml:space="preserve">
</t>
        </r>
        <r>
          <rPr>
            <sz val="9"/>
            <color indexed="81"/>
            <rFont val="돋움"/>
            <family val="3"/>
            <charset val="129"/>
          </rPr>
          <t>선금</t>
        </r>
        <r>
          <rPr>
            <sz val="9"/>
            <color indexed="81"/>
            <rFont val="Tahoma"/>
            <family val="2"/>
          </rPr>
          <t>100%</t>
        </r>
      </text>
    </comment>
    <comment ref="L251" authorId="10" shapeId="0" xr:uid="{00000000-0006-0000-0000-000084000000}">
      <text>
        <r>
          <rPr>
            <b/>
            <sz val="9"/>
            <color indexed="81"/>
            <rFont val="돋움"/>
            <family val="3"/>
            <charset val="129"/>
          </rPr>
          <t>관리부</t>
        </r>
        <r>
          <rPr>
            <b/>
            <sz val="9"/>
            <color indexed="81"/>
            <rFont val="Tahoma"/>
            <family val="2"/>
          </rPr>
          <t>-1:</t>
        </r>
        <r>
          <rPr>
            <sz val="9"/>
            <color indexed="81"/>
            <rFont val="Tahoma"/>
            <family val="2"/>
          </rPr>
          <t xml:space="preserve">
</t>
        </r>
        <r>
          <rPr>
            <sz val="9"/>
            <color indexed="81"/>
            <rFont val="돋움"/>
            <family val="3"/>
            <charset val="129"/>
          </rPr>
          <t>선금</t>
        </r>
        <r>
          <rPr>
            <sz val="9"/>
            <color indexed="81"/>
            <rFont val="Tahoma"/>
            <family val="2"/>
          </rPr>
          <t>100%</t>
        </r>
      </text>
    </comment>
    <comment ref="L254" authorId="10" shapeId="0" xr:uid="{00000000-0006-0000-0000-000085000000}">
      <text>
        <r>
          <rPr>
            <b/>
            <sz val="9"/>
            <color indexed="81"/>
            <rFont val="돋움"/>
            <family val="3"/>
            <charset val="129"/>
          </rPr>
          <t>관리부</t>
        </r>
        <r>
          <rPr>
            <b/>
            <sz val="9"/>
            <color indexed="81"/>
            <rFont val="Tahoma"/>
            <family val="2"/>
          </rPr>
          <t>-1:</t>
        </r>
        <r>
          <rPr>
            <sz val="9"/>
            <color indexed="81"/>
            <rFont val="Tahoma"/>
            <family val="2"/>
          </rPr>
          <t xml:space="preserve">
</t>
        </r>
        <r>
          <rPr>
            <sz val="9"/>
            <color indexed="81"/>
            <rFont val="돋움"/>
            <family val="3"/>
            <charset val="129"/>
          </rPr>
          <t>선금</t>
        </r>
        <r>
          <rPr>
            <sz val="9"/>
            <color indexed="81"/>
            <rFont val="Tahoma"/>
            <family val="2"/>
          </rPr>
          <t>100%</t>
        </r>
      </text>
    </comment>
    <comment ref="E260" authorId="5" shapeId="0" xr:uid="{00000000-0006-0000-0000-000086000000}">
      <text>
        <r>
          <rPr>
            <b/>
            <sz val="9"/>
            <color indexed="81"/>
            <rFont val="Tahoma"/>
            <family val="2"/>
          </rPr>
          <t>ocean:</t>
        </r>
        <r>
          <rPr>
            <sz val="9"/>
            <color indexed="81"/>
            <rFont val="Tahoma"/>
            <family val="2"/>
          </rPr>
          <t xml:space="preserve">
</t>
        </r>
        <r>
          <rPr>
            <sz val="9"/>
            <color indexed="81"/>
            <rFont val="돋움"/>
            <family val="3"/>
            <charset val="129"/>
          </rPr>
          <t>초기</t>
        </r>
        <r>
          <rPr>
            <sz val="9"/>
            <color indexed="81"/>
            <rFont val="Tahoma"/>
            <family val="2"/>
          </rPr>
          <t xml:space="preserve"> 6</t>
        </r>
        <r>
          <rPr>
            <sz val="9"/>
            <color indexed="81"/>
            <rFont val="돋움"/>
            <family val="3"/>
            <charset val="129"/>
          </rPr>
          <t>대</t>
        </r>
        <r>
          <rPr>
            <sz val="9"/>
            <color indexed="81"/>
            <rFont val="Tahoma"/>
            <family val="2"/>
          </rPr>
          <t xml:space="preserve"> </t>
        </r>
        <r>
          <rPr>
            <sz val="9"/>
            <color indexed="81"/>
            <rFont val="돋움"/>
            <family val="3"/>
            <charset val="129"/>
          </rPr>
          <t>계약이었지만</t>
        </r>
        <r>
          <rPr>
            <sz val="9"/>
            <color indexed="81"/>
            <rFont val="Tahoma"/>
            <family val="2"/>
          </rPr>
          <t>, 8/9</t>
        </r>
        <r>
          <rPr>
            <sz val="9"/>
            <color indexed="81"/>
            <rFont val="돋움"/>
            <family val="3"/>
            <charset val="129"/>
          </rPr>
          <t>에</t>
        </r>
        <r>
          <rPr>
            <sz val="9"/>
            <color indexed="81"/>
            <rFont val="Tahoma"/>
            <family val="2"/>
          </rPr>
          <t xml:space="preserve"> 3</t>
        </r>
        <r>
          <rPr>
            <sz val="9"/>
            <color indexed="81"/>
            <rFont val="돋움"/>
            <family val="3"/>
            <charset val="129"/>
          </rPr>
          <t>식씩</t>
        </r>
        <r>
          <rPr>
            <sz val="9"/>
            <color indexed="81"/>
            <rFont val="Tahoma"/>
            <family val="2"/>
          </rPr>
          <t xml:space="preserve"> </t>
        </r>
        <r>
          <rPr>
            <sz val="9"/>
            <color indexed="81"/>
            <rFont val="돋움"/>
            <family val="3"/>
            <charset val="129"/>
          </rPr>
          <t>계약번호</t>
        </r>
        <r>
          <rPr>
            <sz val="9"/>
            <color indexed="81"/>
            <rFont val="Tahoma"/>
            <family val="2"/>
          </rPr>
          <t xml:space="preserve"> </t>
        </r>
        <r>
          <rPr>
            <sz val="9"/>
            <color indexed="81"/>
            <rFont val="돋움"/>
            <family val="3"/>
            <charset val="129"/>
          </rPr>
          <t>나누었습니다</t>
        </r>
        <r>
          <rPr>
            <sz val="9"/>
            <color indexed="81"/>
            <rFont val="Tahoma"/>
            <family val="2"/>
          </rPr>
          <t>.</t>
        </r>
      </text>
    </comment>
    <comment ref="L263" authorId="10" shapeId="0" xr:uid="{00000000-0006-0000-0000-000087000000}">
      <text>
        <r>
          <rPr>
            <b/>
            <sz val="9"/>
            <color indexed="81"/>
            <rFont val="돋움"/>
            <family val="3"/>
            <charset val="129"/>
          </rPr>
          <t>관리부</t>
        </r>
        <r>
          <rPr>
            <b/>
            <sz val="9"/>
            <color indexed="81"/>
            <rFont val="Tahoma"/>
            <family val="2"/>
          </rPr>
          <t>-1:</t>
        </r>
        <r>
          <rPr>
            <sz val="9"/>
            <color indexed="81"/>
            <rFont val="Tahoma"/>
            <family val="2"/>
          </rPr>
          <t xml:space="preserve">
8/11 </t>
        </r>
        <r>
          <rPr>
            <sz val="9"/>
            <color indexed="81"/>
            <rFont val="돋움"/>
            <family val="3"/>
            <charset val="129"/>
          </rPr>
          <t>선금</t>
        </r>
        <r>
          <rPr>
            <sz val="9"/>
            <color indexed="81"/>
            <rFont val="Tahoma"/>
            <family val="2"/>
          </rPr>
          <t xml:space="preserve">10% </t>
        </r>
        <r>
          <rPr>
            <sz val="9"/>
            <color indexed="81"/>
            <rFont val="돋움"/>
            <family val="3"/>
            <charset val="129"/>
          </rPr>
          <t xml:space="preserve">발급
</t>
        </r>
        <r>
          <rPr>
            <sz val="9"/>
            <color indexed="81"/>
            <rFont val="Tahoma"/>
            <family val="2"/>
          </rPr>
          <t xml:space="preserve">\2,310,000
9/15 </t>
        </r>
        <r>
          <rPr>
            <sz val="9"/>
            <color indexed="81"/>
            <rFont val="돋움"/>
            <family val="3"/>
            <charset val="129"/>
          </rPr>
          <t>잔금</t>
        </r>
        <r>
          <rPr>
            <sz val="9"/>
            <color indexed="81"/>
            <rFont val="Tahoma"/>
            <family val="2"/>
          </rPr>
          <t xml:space="preserve">90% </t>
        </r>
        <r>
          <rPr>
            <sz val="9"/>
            <color indexed="81"/>
            <rFont val="돋움"/>
            <family val="3"/>
            <charset val="129"/>
          </rPr>
          <t xml:space="preserve">발급
</t>
        </r>
        <r>
          <rPr>
            <sz val="9"/>
            <color indexed="81"/>
            <rFont val="Tahoma"/>
            <family val="2"/>
          </rPr>
          <t>\20,790,000</t>
        </r>
      </text>
    </comment>
    <comment ref="M263" authorId="10" shapeId="0" xr:uid="{00000000-0006-0000-0000-000088000000}">
      <text>
        <r>
          <rPr>
            <b/>
            <sz val="9"/>
            <color indexed="81"/>
            <rFont val="돋움"/>
            <family val="3"/>
            <charset val="129"/>
          </rPr>
          <t>관리부</t>
        </r>
        <r>
          <rPr>
            <b/>
            <sz val="9"/>
            <color indexed="81"/>
            <rFont val="Tahoma"/>
            <family val="2"/>
          </rPr>
          <t>-1:</t>
        </r>
        <r>
          <rPr>
            <sz val="9"/>
            <color indexed="81"/>
            <rFont val="Tahoma"/>
            <family val="2"/>
          </rPr>
          <t xml:space="preserve">
8/11 </t>
        </r>
        <r>
          <rPr>
            <sz val="9"/>
            <color indexed="81"/>
            <rFont val="돋움"/>
            <family val="3"/>
            <charset val="129"/>
          </rPr>
          <t>선금</t>
        </r>
        <r>
          <rPr>
            <sz val="9"/>
            <color indexed="81"/>
            <rFont val="Tahoma"/>
            <family val="2"/>
          </rPr>
          <t xml:space="preserve"> 10% </t>
        </r>
        <r>
          <rPr>
            <sz val="9"/>
            <color indexed="81"/>
            <rFont val="돋움"/>
            <family val="3"/>
            <charset val="129"/>
          </rPr>
          <t xml:space="preserve">입금
</t>
        </r>
        <r>
          <rPr>
            <sz val="9"/>
            <color indexed="81"/>
            <rFont val="Tahoma"/>
            <family val="2"/>
          </rPr>
          <t xml:space="preserve">\2,310,000
9/25 </t>
        </r>
        <r>
          <rPr>
            <sz val="9"/>
            <color indexed="81"/>
            <rFont val="돋움"/>
            <family val="3"/>
            <charset val="129"/>
          </rPr>
          <t>잔금</t>
        </r>
        <r>
          <rPr>
            <sz val="9"/>
            <color indexed="81"/>
            <rFont val="Tahoma"/>
            <family val="2"/>
          </rPr>
          <t xml:space="preserve"> 90% </t>
        </r>
        <r>
          <rPr>
            <sz val="9"/>
            <color indexed="81"/>
            <rFont val="돋움"/>
            <family val="3"/>
            <charset val="129"/>
          </rPr>
          <t xml:space="preserve">입금
</t>
        </r>
        <r>
          <rPr>
            <sz val="9"/>
            <color indexed="81"/>
            <rFont val="Tahoma"/>
            <family val="2"/>
          </rPr>
          <t>\20,790,000</t>
        </r>
      </text>
    </comment>
    <comment ref="AA268" authorId="1" shapeId="0" xr:uid="{00000000-0006-0000-0000-000089000000}">
      <text>
        <r>
          <rPr>
            <b/>
            <sz val="9"/>
            <color indexed="81"/>
            <rFont val="Tahoma"/>
            <family val="2"/>
          </rPr>
          <t>Temp:</t>
        </r>
        <r>
          <rPr>
            <sz val="9"/>
            <color indexed="81"/>
            <rFont val="Tahoma"/>
            <family val="2"/>
          </rPr>
          <t xml:space="preserve">
IR-7300</t>
        </r>
        <r>
          <rPr>
            <sz val="9"/>
            <color indexed="81"/>
            <rFont val="돋움"/>
            <family val="3"/>
            <charset val="129"/>
          </rPr>
          <t>용</t>
        </r>
        <r>
          <rPr>
            <sz val="9"/>
            <color indexed="81"/>
            <rFont val="Tahoma"/>
            <family val="2"/>
          </rPr>
          <t xml:space="preserve"> Zinc 9</t>
        </r>
        <r>
          <rPr>
            <sz val="9"/>
            <color indexed="81"/>
            <rFont val="돋움"/>
            <family val="3"/>
            <charset val="129"/>
          </rPr>
          <t>개만</t>
        </r>
        <r>
          <rPr>
            <sz val="9"/>
            <color indexed="81"/>
            <rFont val="Tahoma"/>
            <family val="2"/>
          </rPr>
          <t xml:space="preserve"> </t>
        </r>
        <r>
          <rPr>
            <sz val="9"/>
            <color indexed="81"/>
            <rFont val="돋움"/>
            <family val="3"/>
            <charset val="129"/>
          </rPr>
          <t>출고된</t>
        </r>
        <r>
          <rPr>
            <sz val="9"/>
            <color indexed="81"/>
            <rFont val="Tahoma"/>
            <family val="2"/>
          </rPr>
          <t xml:space="preserve"> </t>
        </r>
        <r>
          <rPr>
            <sz val="9"/>
            <color indexed="81"/>
            <rFont val="돋움"/>
            <family val="3"/>
            <charset val="129"/>
          </rPr>
          <t>걸로</t>
        </r>
        <r>
          <rPr>
            <sz val="9"/>
            <color indexed="81"/>
            <rFont val="Tahoma"/>
            <family val="2"/>
          </rPr>
          <t xml:space="preserve"> </t>
        </r>
        <r>
          <rPr>
            <sz val="9"/>
            <color indexed="81"/>
            <rFont val="돋움"/>
            <family val="3"/>
            <charset val="129"/>
          </rPr>
          <t>보입니다</t>
        </r>
        <r>
          <rPr>
            <sz val="9"/>
            <color indexed="81"/>
            <rFont val="Tahoma"/>
            <family val="2"/>
          </rPr>
          <t xml:space="preserve">.
</t>
        </r>
        <r>
          <rPr>
            <sz val="9"/>
            <color indexed="81"/>
            <rFont val="돋움"/>
            <family val="3"/>
            <charset val="129"/>
          </rPr>
          <t>총</t>
        </r>
        <r>
          <rPr>
            <sz val="9"/>
            <color indexed="81"/>
            <rFont val="Tahoma"/>
            <family val="2"/>
          </rPr>
          <t xml:space="preserve"> </t>
        </r>
        <r>
          <rPr>
            <sz val="9"/>
            <color indexed="81"/>
            <rFont val="돋움"/>
            <family val="3"/>
            <charset val="129"/>
          </rPr>
          <t>납품수량</t>
        </r>
        <r>
          <rPr>
            <sz val="9"/>
            <color indexed="81"/>
            <rFont val="Tahoma"/>
            <family val="2"/>
          </rPr>
          <t xml:space="preserve"> 10</t>
        </r>
        <r>
          <rPr>
            <sz val="9"/>
            <color indexed="81"/>
            <rFont val="돋움"/>
            <family val="3"/>
            <charset val="129"/>
          </rPr>
          <t>개인데</t>
        </r>
        <r>
          <rPr>
            <sz val="9"/>
            <color indexed="81"/>
            <rFont val="Tahoma"/>
            <family val="2"/>
          </rPr>
          <t xml:space="preserve"> </t>
        </r>
        <r>
          <rPr>
            <sz val="9"/>
            <color indexed="81"/>
            <rFont val="돋움"/>
            <family val="3"/>
            <charset val="129"/>
          </rPr>
          <t>확인</t>
        </r>
        <r>
          <rPr>
            <sz val="9"/>
            <color indexed="81"/>
            <rFont val="Tahoma"/>
            <family val="2"/>
          </rPr>
          <t xml:space="preserve"> </t>
        </r>
        <r>
          <rPr>
            <sz val="9"/>
            <color indexed="81"/>
            <rFont val="돋움"/>
            <family val="3"/>
            <charset val="129"/>
          </rPr>
          <t>부탁드립니다</t>
        </r>
        <r>
          <rPr>
            <sz val="9"/>
            <color indexed="81"/>
            <rFont val="Tahoma"/>
            <family val="2"/>
          </rPr>
          <t>.</t>
        </r>
      </text>
    </comment>
    <comment ref="L283" authorId="1" shapeId="0" xr:uid="{00000000-0006-0000-0000-00008A000000}">
      <text>
        <r>
          <rPr>
            <b/>
            <sz val="9"/>
            <color indexed="81"/>
            <rFont val="Tahoma"/>
            <family val="2"/>
          </rPr>
          <t>Temp:</t>
        </r>
        <r>
          <rPr>
            <sz val="9"/>
            <color indexed="81"/>
            <rFont val="Tahoma"/>
            <family val="2"/>
          </rPr>
          <t xml:space="preserve">
</t>
        </r>
        <r>
          <rPr>
            <sz val="9"/>
            <color indexed="81"/>
            <rFont val="돋움"/>
            <family val="3"/>
            <charset val="129"/>
          </rPr>
          <t>자부담금</t>
        </r>
        <r>
          <rPr>
            <sz val="9"/>
            <color indexed="81"/>
            <rFont val="Tahoma"/>
            <family val="2"/>
          </rPr>
          <t xml:space="preserve"> 300</t>
        </r>
        <r>
          <rPr>
            <sz val="9"/>
            <color indexed="81"/>
            <rFont val="돋움"/>
            <family val="3"/>
            <charset val="129"/>
          </rPr>
          <t>만원
보험사분</t>
        </r>
        <r>
          <rPr>
            <sz val="9"/>
            <color indexed="81"/>
            <rFont val="Tahoma"/>
            <family val="2"/>
          </rPr>
          <t xml:space="preserve"> 255,802,500</t>
        </r>
        <r>
          <rPr>
            <sz val="9"/>
            <color indexed="81"/>
            <rFont val="돋움"/>
            <family val="3"/>
            <charset val="129"/>
          </rPr>
          <t>원</t>
        </r>
      </text>
    </comment>
    <comment ref="M283" authorId="1" shapeId="0" xr:uid="{00000000-0006-0000-0000-00008B000000}">
      <text>
        <r>
          <rPr>
            <b/>
            <sz val="9"/>
            <color indexed="81"/>
            <rFont val="Tahoma"/>
            <family val="2"/>
          </rPr>
          <t>Temp:</t>
        </r>
        <r>
          <rPr>
            <sz val="9"/>
            <color indexed="81"/>
            <rFont val="Tahoma"/>
            <family val="2"/>
          </rPr>
          <t xml:space="preserve">
8/26 </t>
        </r>
        <r>
          <rPr>
            <sz val="9"/>
            <color indexed="81"/>
            <rFont val="돋움"/>
            <family val="3"/>
            <charset val="129"/>
          </rPr>
          <t>자부담금</t>
        </r>
        <r>
          <rPr>
            <sz val="9"/>
            <color indexed="81"/>
            <rFont val="Tahoma"/>
            <family val="2"/>
          </rPr>
          <t xml:space="preserve"> 300</t>
        </r>
        <r>
          <rPr>
            <sz val="9"/>
            <color indexed="81"/>
            <rFont val="돋움"/>
            <family val="3"/>
            <charset val="129"/>
          </rPr>
          <t xml:space="preserve">만원
</t>
        </r>
        <r>
          <rPr>
            <sz val="9"/>
            <color indexed="81"/>
            <rFont val="Tahoma"/>
            <family val="2"/>
          </rPr>
          <t>8/27</t>
        </r>
        <r>
          <rPr>
            <sz val="9"/>
            <color indexed="81"/>
            <rFont val="돋움"/>
            <family val="3"/>
            <charset val="129"/>
          </rPr>
          <t xml:space="preserve">
보험사분</t>
        </r>
        <r>
          <rPr>
            <sz val="9"/>
            <color indexed="81"/>
            <rFont val="Tahoma"/>
            <family val="2"/>
          </rPr>
          <t xml:space="preserve"> 255,802,500</t>
        </r>
        <r>
          <rPr>
            <sz val="9"/>
            <color indexed="81"/>
            <rFont val="돋움"/>
            <family val="3"/>
            <charset val="129"/>
          </rPr>
          <t xml:space="preserve">원
입금
</t>
        </r>
      </text>
    </comment>
    <comment ref="E288" authorId="0" shapeId="0" xr:uid="{00000000-0006-0000-0000-00008C000000}">
      <text>
        <r>
          <rPr>
            <b/>
            <sz val="9"/>
            <color indexed="81"/>
            <rFont val="돋움"/>
            <family val="3"/>
            <charset val="129"/>
          </rPr>
          <t>아래</t>
        </r>
        <r>
          <rPr>
            <b/>
            <sz val="9"/>
            <color indexed="81"/>
            <rFont val="Tahoma"/>
            <family val="2"/>
          </rPr>
          <t xml:space="preserve"> </t>
        </r>
        <r>
          <rPr>
            <b/>
            <sz val="9"/>
            <color indexed="81"/>
            <rFont val="돋움"/>
            <family val="3"/>
            <charset val="129"/>
          </rPr>
          <t>품목으로</t>
        </r>
        <r>
          <rPr>
            <b/>
            <sz val="9"/>
            <color indexed="81"/>
            <rFont val="Tahoma"/>
            <family val="2"/>
          </rPr>
          <t xml:space="preserve"> </t>
        </r>
        <r>
          <rPr>
            <b/>
            <sz val="9"/>
            <color indexed="81"/>
            <rFont val="돋움"/>
            <family val="3"/>
            <charset val="129"/>
          </rPr>
          <t>분리계약</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청구</t>
        </r>
        <r>
          <rPr>
            <b/>
            <sz val="9"/>
            <color indexed="81"/>
            <rFont val="Tahoma"/>
            <family val="2"/>
          </rPr>
          <t xml:space="preserve"> 
-Hydrophone
-2m Coax cable
-BNC termination connector
</t>
        </r>
        <r>
          <rPr>
            <sz val="9"/>
            <color indexed="81"/>
            <rFont val="Tahoma"/>
            <family val="2"/>
          </rPr>
          <t xml:space="preserve">
</t>
        </r>
      </text>
    </comment>
    <comment ref="L288" authorId="1" shapeId="0" xr:uid="{00000000-0006-0000-0000-00008D000000}">
      <text>
        <r>
          <rPr>
            <b/>
            <sz val="9"/>
            <color indexed="81"/>
            <rFont val="Tahoma"/>
            <family val="2"/>
          </rPr>
          <t>Temp:</t>
        </r>
        <r>
          <rPr>
            <sz val="9"/>
            <color indexed="81"/>
            <rFont val="Tahoma"/>
            <family val="2"/>
          </rPr>
          <t xml:space="preserve">
3</t>
        </r>
        <r>
          <rPr>
            <sz val="9"/>
            <color indexed="81"/>
            <rFont val="돋움"/>
            <family val="3"/>
            <charset val="129"/>
          </rPr>
          <t>건으로</t>
        </r>
        <r>
          <rPr>
            <sz val="9"/>
            <color indexed="81"/>
            <rFont val="Tahoma"/>
            <family val="2"/>
          </rPr>
          <t xml:space="preserve"> </t>
        </r>
        <r>
          <rPr>
            <sz val="9"/>
            <color indexed="81"/>
            <rFont val="돋움"/>
            <family val="3"/>
            <charset val="129"/>
          </rPr>
          <t>나눠</t>
        </r>
        <r>
          <rPr>
            <sz val="9"/>
            <color indexed="81"/>
            <rFont val="Tahoma"/>
            <family val="2"/>
          </rPr>
          <t xml:space="preserve"> </t>
        </r>
        <r>
          <rPr>
            <sz val="9"/>
            <color indexed="81"/>
            <rFont val="돋움"/>
            <family val="3"/>
            <charset val="129"/>
          </rPr>
          <t>발급됨</t>
        </r>
      </text>
    </comment>
    <comment ref="I294" authorId="0" shapeId="0" xr:uid="{00000000-0006-0000-0000-00008E000000}">
      <text>
        <r>
          <rPr>
            <b/>
            <sz val="9"/>
            <color indexed="81"/>
            <rFont val="Tahoma"/>
            <family val="2"/>
          </rPr>
          <t xml:space="preserve">21-290; </t>
        </r>
        <r>
          <rPr>
            <b/>
            <sz val="9"/>
            <color indexed="81"/>
            <rFont val="돋움"/>
            <family val="3"/>
            <charset val="129"/>
          </rPr>
          <t>올포랜드</t>
        </r>
        <r>
          <rPr>
            <b/>
            <sz val="9"/>
            <color indexed="81"/>
            <rFont val="Tahoma"/>
            <family val="2"/>
          </rPr>
          <t xml:space="preserve"> </t>
        </r>
        <r>
          <rPr>
            <b/>
            <sz val="9"/>
            <color indexed="81"/>
            <rFont val="돋움"/>
            <family val="3"/>
            <charset val="129"/>
          </rPr>
          <t>멀티빔</t>
        </r>
        <r>
          <rPr>
            <b/>
            <sz val="9"/>
            <color indexed="81"/>
            <rFont val="Tahoma"/>
            <family val="2"/>
          </rPr>
          <t xml:space="preserve"> </t>
        </r>
        <r>
          <rPr>
            <b/>
            <sz val="9"/>
            <color indexed="81"/>
            <rFont val="돋움"/>
            <family val="3"/>
            <charset val="129"/>
          </rPr>
          <t>수리건관련</t>
        </r>
        <r>
          <rPr>
            <b/>
            <sz val="9"/>
            <color indexed="81"/>
            <rFont val="Tahoma"/>
            <family val="2"/>
          </rPr>
          <t xml:space="preserve"> 
</t>
        </r>
        <r>
          <rPr>
            <b/>
            <sz val="9"/>
            <color indexed="81"/>
            <rFont val="돋움"/>
            <family val="3"/>
            <charset val="129"/>
          </rPr>
          <t>전체금액</t>
        </r>
        <r>
          <rPr>
            <b/>
            <sz val="9"/>
            <color indexed="81"/>
            <rFont val="Tahoma"/>
            <family val="2"/>
          </rPr>
          <t xml:space="preserve"> 3200</t>
        </r>
        <r>
          <rPr>
            <b/>
            <sz val="9"/>
            <color indexed="81"/>
            <rFont val="돋움"/>
            <family val="3"/>
            <charset val="129"/>
          </rPr>
          <t>만원</t>
        </r>
        <r>
          <rPr>
            <b/>
            <sz val="9"/>
            <color indexed="81"/>
            <rFont val="Tahoma"/>
            <family val="2"/>
          </rPr>
          <t>(</t>
        </r>
        <r>
          <rPr>
            <b/>
            <sz val="9"/>
            <color indexed="81"/>
            <rFont val="돋움"/>
            <family val="3"/>
            <charset val="129"/>
          </rPr>
          <t>부가세제외</t>
        </r>
        <r>
          <rPr>
            <b/>
            <sz val="9"/>
            <color indexed="81"/>
            <rFont val="Tahoma"/>
            <family val="2"/>
          </rPr>
          <t xml:space="preserve">) </t>
        </r>
        <r>
          <rPr>
            <b/>
            <sz val="9"/>
            <color indexed="81"/>
            <rFont val="돋움"/>
            <family val="3"/>
            <charset val="129"/>
          </rPr>
          <t>중</t>
        </r>
        <r>
          <rPr>
            <b/>
            <sz val="9"/>
            <color indexed="81"/>
            <rFont val="Tahoma"/>
            <family val="2"/>
          </rPr>
          <t>, 2500</t>
        </r>
        <r>
          <rPr>
            <b/>
            <sz val="9"/>
            <color indexed="81"/>
            <rFont val="돋움"/>
            <family val="3"/>
            <charset val="129"/>
          </rPr>
          <t>만원</t>
        </r>
        <r>
          <rPr>
            <b/>
            <sz val="9"/>
            <color indexed="81"/>
            <rFont val="Tahoma"/>
            <family val="2"/>
          </rPr>
          <t>(</t>
        </r>
        <r>
          <rPr>
            <b/>
            <sz val="9"/>
            <color indexed="81"/>
            <rFont val="돋움"/>
            <family val="3"/>
            <charset val="129"/>
          </rPr>
          <t>부가세제외</t>
        </r>
        <r>
          <rPr>
            <b/>
            <sz val="9"/>
            <color indexed="81"/>
            <rFont val="Tahoma"/>
            <family val="2"/>
          </rPr>
          <t xml:space="preserve">)
</t>
        </r>
        <r>
          <rPr>
            <b/>
            <sz val="9"/>
            <color indexed="81"/>
            <rFont val="돋움"/>
            <family val="3"/>
            <charset val="129"/>
          </rPr>
          <t>나머지</t>
        </r>
        <r>
          <rPr>
            <b/>
            <sz val="9"/>
            <color indexed="81"/>
            <rFont val="Tahoma"/>
            <family val="2"/>
          </rPr>
          <t xml:space="preserve"> 700</t>
        </r>
        <r>
          <rPr>
            <b/>
            <sz val="9"/>
            <color indexed="81"/>
            <rFont val="돋움"/>
            <family val="3"/>
            <charset val="129"/>
          </rPr>
          <t>만원</t>
        </r>
        <r>
          <rPr>
            <b/>
            <sz val="9"/>
            <color indexed="81"/>
            <rFont val="Tahoma"/>
            <family val="2"/>
          </rPr>
          <t>(</t>
        </r>
        <r>
          <rPr>
            <b/>
            <sz val="9"/>
            <color indexed="81"/>
            <rFont val="돋움"/>
            <family val="3"/>
            <charset val="129"/>
          </rPr>
          <t>부가세</t>
        </r>
        <r>
          <rPr>
            <b/>
            <sz val="9"/>
            <color indexed="81"/>
            <rFont val="Tahoma"/>
            <family val="2"/>
          </rPr>
          <t xml:space="preserve"> </t>
        </r>
        <r>
          <rPr>
            <b/>
            <sz val="9"/>
            <color indexed="81"/>
            <rFont val="돋움"/>
            <family val="3"/>
            <charset val="129"/>
          </rPr>
          <t>제외</t>
        </r>
        <r>
          <rPr>
            <b/>
            <sz val="9"/>
            <color indexed="81"/>
            <rFont val="Tahoma"/>
            <family val="2"/>
          </rPr>
          <t>)</t>
        </r>
        <r>
          <rPr>
            <b/>
            <sz val="9"/>
            <color indexed="81"/>
            <rFont val="돋움"/>
            <family val="3"/>
            <charset val="129"/>
          </rPr>
          <t>은</t>
        </r>
        <r>
          <rPr>
            <b/>
            <sz val="9"/>
            <color indexed="81"/>
            <rFont val="Tahoma"/>
            <family val="2"/>
          </rPr>
          <t xml:space="preserve"> </t>
        </r>
        <r>
          <rPr>
            <b/>
            <sz val="9"/>
            <color indexed="81"/>
            <rFont val="돋움"/>
            <family val="3"/>
            <charset val="129"/>
          </rPr>
          <t>장비</t>
        </r>
        <r>
          <rPr>
            <b/>
            <sz val="9"/>
            <color indexed="81"/>
            <rFont val="Tahoma"/>
            <family val="2"/>
          </rPr>
          <t xml:space="preserve"> </t>
        </r>
        <r>
          <rPr>
            <b/>
            <sz val="9"/>
            <color indexed="81"/>
            <rFont val="돋움"/>
            <family val="3"/>
            <charset val="129"/>
          </rPr>
          <t>원</t>
        </r>
        <r>
          <rPr>
            <b/>
            <sz val="9"/>
            <color indexed="81"/>
            <rFont val="Tahoma"/>
            <family val="2"/>
          </rPr>
          <t xml:space="preserve"> </t>
        </r>
        <r>
          <rPr>
            <b/>
            <sz val="9"/>
            <color indexed="81"/>
            <rFont val="돋움"/>
            <family val="3"/>
            <charset val="129"/>
          </rPr>
          <t>주인인</t>
        </r>
        <r>
          <rPr>
            <b/>
            <sz val="9"/>
            <color indexed="81"/>
            <rFont val="Tahoma"/>
            <family val="2"/>
          </rPr>
          <t xml:space="preserve"> </t>
        </r>
        <r>
          <rPr>
            <b/>
            <sz val="9"/>
            <color indexed="81"/>
            <rFont val="돋움"/>
            <family val="3"/>
            <charset val="129"/>
          </rPr>
          <t>세광종합기술단에서</t>
        </r>
        <r>
          <rPr>
            <b/>
            <sz val="9"/>
            <color indexed="81"/>
            <rFont val="Tahoma"/>
            <family val="2"/>
          </rPr>
          <t xml:space="preserve"> 10</t>
        </r>
        <r>
          <rPr>
            <b/>
            <sz val="9"/>
            <color indexed="81"/>
            <rFont val="돋움"/>
            <family val="3"/>
            <charset val="129"/>
          </rPr>
          <t>월에</t>
        </r>
        <r>
          <rPr>
            <b/>
            <sz val="9"/>
            <color indexed="81"/>
            <rFont val="Tahoma"/>
            <family val="2"/>
          </rPr>
          <t xml:space="preserve"> </t>
        </r>
        <r>
          <rPr>
            <b/>
            <sz val="9"/>
            <color indexed="81"/>
            <rFont val="돋움"/>
            <family val="3"/>
            <charset val="129"/>
          </rPr>
          <t>결제해주기로</t>
        </r>
        <r>
          <rPr>
            <b/>
            <sz val="9"/>
            <color indexed="81"/>
            <rFont val="Tahoma"/>
            <family val="2"/>
          </rPr>
          <t xml:space="preserve"> </t>
        </r>
        <r>
          <rPr>
            <b/>
            <sz val="9"/>
            <color indexed="81"/>
            <rFont val="돋움"/>
            <family val="3"/>
            <charset val="129"/>
          </rPr>
          <t>했습니다</t>
        </r>
        <r>
          <rPr>
            <b/>
            <sz val="9"/>
            <color indexed="81"/>
            <rFont val="Tahoma"/>
            <family val="2"/>
          </rPr>
          <t xml:space="preserve">. </t>
        </r>
      </text>
    </comment>
    <comment ref="L296" authorId="1" shapeId="0" xr:uid="{00000000-0006-0000-0000-00008F000000}">
      <text>
        <r>
          <rPr>
            <b/>
            <sz val="9"/>
            <color indexed="81"/>
            <rFont val="Tahoma"/>
            <family val="2"/>
          </rPr>
          <t>Temp:</t>
        </r>
        <r>
          <rPr>
            <sz val="9"/>
            <color indexed="81"/>
            <rFont val="Tahoma"/>
            <family val="2"/>
          </rPr>
          <t xml:space="preserve">
10/25 </t>
        </r>
        <r>
          <rPr>
            <sz val="9"/>
            <color indexed="81"/>
            <rFont val="돋움"/>
            <family val="3"/>
            <charset val="129"/>
          </rPr>
          <t>취소후</t>
        </r>
        <r>
          <rPr>
            <sz val="9"/>
            <color indexed="81"/>
            <rFont val="Tahoma"/>
            <family val="2"/>
          </rPr>
          <t xml:space="preserve"> 11/18 </t>
        </r>
        <r>
          <rPr>
            <sz val="9"/>
            <color indexed="81"/>
            <rFont val="돋움"/>
            <family val="3"/>
            <charset val="129"/>
          </rPr>
          <t>수정발급</t>
        </r>
      </text>
    </comment>
    <comment ref="M298" authorId="1" shapeId="0" xr:uid="{00000000-0006-0000-0000-000090000000}">
      <text>
        <r>
          <rPr>
            <b/>
            <sz val="9"/>
            <color indexed="81"/>
            <rFont val="Tahoma"/>
            <family val="2"/>
          </rPr>
          <t>Temp:</t>
        </r>
        <r>
          <rPr>
            <sz val="9"/>
            <color indexed="81"/>
            <rFont val="Tahoma"/>
            <family val="2"/>
          </rPr>
          <t xml:space="preserve">
12/24, 12/27 </t>
        </r>
        <r>
          <rPr>
            <sz val="9"/>
            <color indexed="81"/>
            <rFont val="돋움"/>
            <family val="3"/>
            <charset val="129"/>
          </rPr>
          <t>걸쳐서</t>
        </r>
        <r>
          <rPr>
            <sz val="9"/>
            <color indexed="81"/>
            <rFont val="Tahoma"/>
            <family val="2"/>
          </rPr>
          <t xml:space="preserve"> </t>
        </r>
        <r>
          <rPr>
            <sz val="9"/>
            <color indexed="81"/>
            <rFont val="돋움"/>
            <family val="3"/>
            <charset val="129"/>
          </rPr>
          <t>입금</t>
        </r>
      </text>
    </comment>
    <comment ref="I300" authorId="0" shapeId="0" xr:uid="{00000000-0006-0000-0000-000091000000}">
      <text>
        <r>
          <rPr>
            <b/>
            <sz val="9"/>
            <color indexed="81"/>
            <rFont val="Tahoma"/>
            <family val="2"/>
          </rPr>
          <t xml:space="preserve">21-290; </t>
        </r>
        <r>
          <rPr>
            <b/>
            <sz val="9"/>
            <color indexed="81"/>
            <rFont val="돋움"/>
            <family val="3"/>
            <charset val="129"/>
          </rPr>
          <t>올포랜드</t>
        </r>
        <r>
          <rPr>
            <b/>
            <sz val="9"/>
            <color indexed="81"/>
            <rFont val="Tahoma"/>
            <family val="2"/>
          </rPr>
          <t xml:space="preserve"> </t>
        </r>
        <r>
          <rPr>
            <b/>
            <sz val="9"/>
            <color indexed="81"/>
            <rFont val="돋움"/>
            <family val="3"/>
            <charset val="129"/>
          </rPr>
          <t>멀티빔</t>
        </r>
        <r>
          <rPr>
            <b/>
            <sz val="9"/>
            <color indexed="81"/>
            <rFont val="Tahoma"/>
            <family val="2"/>
          </rPr>
          <t xml:space="preserve"> </t>
        </r>
        <r>
          <rPr>
            <b/>
            <sz val="9"/>
            <color indexed="81"/>
            <rFont val="돋움"/>
            <family val="3"/>
            <charset val="129"/>
          </rPr>
          <t>수리건관련</t>
        </r>
        <r>
          <rPr>
            <b/>
            <sz val="9"/>
            <color indexed="81"/>
            <rFont val="Tahoma"/>
            <family val="2"/>
          </rPr>
          <t xml:space="preserve"> 
</t>
        </r>
        <r>
          <rPr>
            <b/>
            <sz val="9"/>
            <color indexed="81"/>
            <rFont val="돋움"/>
            <family val="3"/>
            <charset val="129"/>
          </rPr>
          <t>전체금액</t>
        </r>
        <r>
          <rPr>
            <b/>
            <sz val="9"/>
            <color indexed="81"/>
            <rFont val="Tahoma"/>
            <family val="2"/>
          </rPr>
          <t xml:space="preserve"> 3200</t>
        </r>
        <r>
          <rPr>
            <b/>
            <sz val="9"/>
            <color indexed="81"/>
            <rFont val="돋움"/>
            <family val="3"/>
            <charset val="129"/>
          </rPr>
          <t>만원</t>
        </r>
        <r>
          <rPr>
            <b/>
            <sz val="9"/>
            <color indexed="81"/>
            <rFont val="Tahoma"/>
            <family val="2"/>
          </rPr>
          <t>(</t>
        </r>
        <r>
          <rPr>
            <b/>
            <sz val="9"/>
            <color indexed="81"/>
            <rFont val="돋움"/>
            <family val="3"/>
            <charset val="129"/>
          </rPr>
          <t>부가세제외</t>
        </r>
        <r>
          <rPr>
            <b/>
            <sz val="9"/>
            <color indexed="81"/>
            <rFont val="Tahoma"/>
            <family val="2"/>
          </rPr>
          <t xml:space="preserve">) </t>
        </r>
        <r>
          <rPr>
            <b/>
            <sz val="9"/>
            <color indexed="81"/>
            <rFont val="돋움"/>
            <family val="3"/>
            <charset val="129"/>
          </rPr>
          <t>중</t>
        </r>
        <r>
          <rPr>
            <b/>
            <sz val="9"/>
            <color indexed="81"/>
            <rFont val="Tahoma"/>
            <family val="2"/>
          </rPr>
          <t>, 2500</t>
        </r>
        <r>
          <rPr>
            <b/>
            <sz val="9"/>
            <color indexed="81"/>
            <rFont val="돋움"/>
            <family val="3"/>
            <charset val="129"/>
          </rPr>
          <t>만원</t>
        </r>
        <r>
          <rPr>
            <b/>
            <sz val="9"/>
            <color indexed="81"/>
            <rFont val="Tahoma"/>
            <family val="2"/>
          </rPr>
          <t>(</t>
        </r>
        <r>
          <rPr>
            <b/>
            <sz val="9"/>
            <color indexed="81"/>
            <rFont val="돋움"/>
            <family val="3"/>
            <charset val="129"/>
          </rPr>
          <t>부가세제외</t>
        </r>
        <r>
          <rPr>
            <b/>
            <sz val="9"/>
            <color indexed="81"/>
            <rFont val="Tahoma"/>
            <family val="2"/>
          </rPr>
          <t xml:space="preserve">)
</t>
        </r>
        <r>
          <rPr>
            <b/>
            <sz val="9"/>
            <color indexed="81"/>
            <rFont val="돋움"/>
            <family val="3"/>
            <charset val="129"/>
          </rPr>
          <t>나머지</t>
        </r>
        <r>
          <rPr>
            <b/>
            <sz val="9"/>
            <color indexed="81"/>
            <rFont val="Tahoma"/>
            <family val="2"/>
          </rPr>
          <t xml:space="preserve"> 700</t>
        </r>
        <r>
          <rPr>
            <b/>
            <sz val="9"/>
            <color indexed="81"/>
            <rFont val="돋움"/>
            <family val="3"/>
            <charset val="129"/>
          </rPr>
          <t>만원</t>
        </r>
        <r>
          <rPr>
            <b/>
            <sz val="9"/>
            <color indexed="81"/>
            <rFont val="Tahoma"/>
            <family val="2"/>
          </rPr>
          <t>(</t>
        </r>
        <r>
          <rPr>
            <b/>
            <sz val="9"/>
            <color indexed="81"/>
            <rFont val="돋움"/>
            <family val="3"/>
            <charset val="129"/>
          </rPr>
          <t>부가세</t>
        </r>
        <r>
          <rPr>
            <b/>
            <sz val="9"/>
            <color indexed="81"/>
            <rFont val="Tahoma"/>
            <family val="2"/>
          </rPr>
          <t xml:space="preserve"> </t>
        </r>
        <r>
          <rPr>
            <b/>
            <sz val="9"/>
            <color indexed="81"/>
            <rFont val="돋움"/>
            <family val="3"/>
            <charset val="129"/>
          </rPr>
          <t>제외</t>
        </r>
        <r>
          <rPr>
            <b/>
            <sz val="9"/>
            <color indexed="81"/>
            <rFont val="Tahoma"/>
            <family val="2"/>
          </rPr>
          <t>)</t>
        </r>
        <r>
          <rPr>
            <b/>
            <sz val="9"/>
            <color indexed="81"/>
            <rFont val="돋움"/>
            <family val="3"/>
            <charset val="129"/>
          </rPr>
          <t>은</t>
        </r>
        <r>
          <rPr>
            <b/>
            <sz val="9"/>
            <color indexed="81"/>
            <rFont val="Tahoma"/>
            <family val="2"/>
          </rPr>
          <t xml:space="preserve"> </t>
        </r>
        <r>
          <rPr>
            <b/>
            <sz val="9"/>
            <color indexed="81"/>
            <rFont val="돋움"/>
            <family val="3"/>
            <charset val="129"/>
          </rPr>
          <t>장비</t>
        </r>
        <r>
          <rPr>
            <b/>
            <sz val="9"/>
            <color indexed="81"/>
            <rFont val="Tahoma"/>
            <family val="2"/>
          </rPr>
          <t xml:space="preserve"> </t>
        </r>
        <r>
          <rPr>
            <b/>
            <sz val="9"/>
            <color indexed="81"/>
            <rFont val="돋움"/>
            <family val="3"/>
            <charset val="129"/>
          </rPr>
          <t>원</t>
        </r>
        <r>
          <rPr>
            <b/>
            <sz val="9"/>
            <color indexed="81"/>
            <rFont val="Tahoma"/>
            <family val="2"/>
          </rPr>
          <t xml:space="preserve"> </t>
        </r>
        <r>
          <rPr>
            <b/>
            <sz val="9"/>
            <color indexed="81"/>
            <rFont val="돋움"/>
            <family val="3"/>
            <charset val="129"/>
          </rPr>
          <t>주인인</t>
        </r>
        <r>
          <rPr>
            <b/>
            <sz val="9"/>
            <color indexed="81"/>
            <rFont val="Tahoma"/>
            <family val="2"/>
          </rPr>
          <t xml:space="preserve"> </t>
        </r>
        <r>
          <rPr>
            <b/>
            <sz val="9"/>
            <color indexed="81"/>
            <rFont val="돋움"/>
            <family val="3"/>
            <charset val="129"/>
          </rPr>
          <t>세광종합기술단에서</t>
        </r>
        <r>
          <rPr>
            <b/>
            <sz val="9"/>
            <color indexed="81"/>
            <rFont val="Tahoma"/>
            <family val="2"/>
          </rPr>
          <t xml:space="preserve"> 10</t>
        </r>
        <r>
          <rPr>
            <b/>
            <sz val="9"/>
            <color indexed="81"/>
            <rFont val="돋움"/>
            <family val="3"/>
            <charset val="129"/>
          </rPr>
          <t>월에</t>
        </r>
        <r>
          <rPr>
            <b/>
            <sz val="9"/>
            <color indexed="81"/>
            <rFont val="Tahoma"/>
            <family val="2"/>
          </rPr>
          <t xml:space="preserve"> </t>
        </r>
        <r>
          <rPr>
            <b/>
            <sz val="9"/>
            <color indexed="81"/>
            <rFont val="돋움"/>
            <family val="3"/>
            <charset val="129"/>
          </rPr>
          <t>결제해주기로</t>
        </r>
        <r>
          <rPr>
            <b/>
            <sz val="9"/>
            <color indexed="81"/>
            <rFont val="Tahoma"/>
            <family val="2"/>
          </rPr>
          <t xml:space="preserve"> </t>
        </r>
        <r>
          <rPr>
            <b/>
            <sz val="9"/>
            <color indexed="81"/>
            <rFont val="돋움"/>
            <family val="3"/>
            <charset val="129"/>
          </rPr>
          <t>했습니다</t>
        </r>
        <r>
          <rPr>
            <b/>
            <sz val="9"/>
            <color indexed="81"/>
            <rFont val="Tahoma"/>
            <family val="2"/>
          </rPr>
          <t xml:space="preserve">. </t>
        </r>
      </text>
    </comment>
    <comment ref="E309" authorId="0" shapeId="0" xr:uid="{00000000-0006-0000-0000-000092000000}">
      <text>
        <r>
          <rPr>
            <b/>
            <sz val="9"/>
            <color indexed="81"/>
            <rFont val="돋움"/>
            <family val="3"/>
            <charset val="129"/>
          </rPr>
          <t>Rx cable로 잘못 발주하셔서, Tx Cable 로 수정발주하심. (10/18)</t>
        </r>
      </text>
    </comment>
    <comment ref="I309" authorId="0" shapeId="0" xr:uid="{00000000-0006-0000-0000-000093000000}">
      <text>
        <r>
          <rPr>
            <b/>
            <sz val="9"/>
            <color indexed="81"/>
            <rFont val="Tahoma"/>
            <family val="2"/>
          </rPr>
          <t>Rx cable</t>
        </r>
        <r>
          <rPr>
            <b/>
            <sz val="9"/>
            <color indexed="81"/>
            <rFont val="돋움"/>
            <family val="3"/>
            <charset val="129"/>
          </rPr>
          <t>로</t>
        </r>
        <r>
          <rPr>
            <b/>
            <sz val="9"/>
            <color indexed="81"/>
            <rFont val="Tahoma"/>
            <family val="2"/>
          </rPr>
          <t xml:space="preserve"> </t>
        </r>
        <r>
          <rPr>
            <b/>
            <sz val="9"/>
            <color indexed="81"/>
            <rFont val="돋움"/>
            <family val="3"/>
            <charset val="129"/>
          </rPr>
          <t>잘못</t>
        </r>
        <r>
          <rPr>
            <b/>
            <sz val="9"/>
            <color indexed="81"/>
            <rFont val="Tahoma"/>
            <family val="2"/>
          </rPr>
          <t xml:space="preserve"> </t>
        </r>
        <r>
          <rPr>
            <b/>
            <sz val="9"/>
            <color indexed="81"/>
            <rFont val="돋움"/>
            <family val="3"/>
            <charset val="129"/>
          </rPr>
          <t>발주하셔서</t>
        </r>
        <r>
          <rPr>
            <b/>
            <sz val="9"/>
            <color indexed="81"/>
            <rFont val="Tahoma"/>
            <family val="2"/>
          </rPr>
          <t xml:space="preserve">, Tx Cable </t>
        </r>
        <r>
          <rPr>
            <b/>
            <sz val="9"/>
            <color indexed="81"/>
            <rFont val="돋움"/>
            <family val="3"/>
            <charset val="129"/>
          </rPr>
          <t>로</t>
        </r>
        <r>
          <rPr>
            <b/>
            <sz val="9"/>
            <color indexed="81"/>
            <rFont val="Tahoma"/>
            <family val="2"/>
          </rPr>
          <t xml:space="preserve"> </t>
        </r>
        <r>
          <rPr>
            <b/>
            <sz val="9"/>
            <color indexed="81"/>
            <rFont val="돋움"/>
            <family val="3"/>
            <charset val="129"/>
          </rPr>
          <t>수정발주하심</t>
        </r>
        <r>
          <rPr>
            <b/>
            <sz val="9"/>
            <color indexed="81"/>
            <rFont val="Tahoma"/>
            <family val="2"/>
          </rPr>
          <t xml:space="preserve">. (10/18)
</t>
        </r>
        <r>
          <rPr>
            <b/>
            <sz val="9"/>
            <color indexed="81"/>
            <rFont val="돋움"/>
            <family val="3"/>
            <charset val="129"/>
          </rPr>
          <t>기존</t>
        </r>
        <r>
          <rPr>
            <b/>
            <sz val="9"/>
            <color indexed="81"/>
            <rFont val="Tahoma"/>
            <family val="2"/>
          </rPr>
          <t xml:space="preserve"> 4,950,000 </t>
        </r>
        <r>
          <rPr>
            <b/>
            <sz val="9"/>
            <color indexed="81"/>
            <rFont val="돋움"/>
            <family val="3"/>
            <charset val="129"/>
          </rPr>
          <t>원에서</t>
        </r>
        <r>
          <rPr>
            <b/>
            <sz val="9"/>
            <color indexed="81"/>
            <rFont val="Tahoma"/>
            <family val="2"/>
          </rPr>
          <t xml:space="preserve"> &gt; 4,840,000 </t>
        </r>
        <r>
          <rPr>
            <b/>
            <sz val="9"/>
            <color indexed="81"/>
            <rFont val="돋움"/>
            <family val="3"/>
            <charset val="129"/>
          </rPr>
          <t>원으로</t>
        </r>
        <r>
          <rPr>
            <b/>
            <sz val="9"/>
            <color indexed="81"/>
            <rFont val="Tahoma"/>
            <family val="2"/>
          </rPr>
          <t xml:space="preserve"> </t>
        </r>
        <r>
          <rPr>
            <b/>
            <sz val="9"/>
            <color indexed="81"/>
            <rFont val="돋움"/>
            <family val="3"/>
            <charset val="129"/>
          </rPr>
          <t>계약금액</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왕복항공운임</t>
        </r>
        <r>
          <rPr>
            <b/>
            <sz val="9"/>
            <color indexed="81"/>
            <rFont val="Tahoma"/>
            <family val="2"/>
          </rPr>
          <t xml:space="preserve"> </t>
        </r>
        <r>
          <rPr>
            <b/>
            <sz val="9"/>
            <color indexed="81"/>
            <rFont val="돋움"/>
            <family val="3"/>
            <charset val="129"/>
          </rPr>
          <t>포함된</t>
        </r>
        <r>
          <rPr>
            <b/>
            <sz val="9"/>
            <color indexed="81"/>
            <rFont val="Tahoma"/>
            <family val="2"/>
          </rPr>
          <t xml:space="preserve"> </t>
        </r>
        <r>
          <rPr>
            <b/>
            <sz val="9"/>
            <color indexed="81"/>
            <rFont val="돋움"/>
            <family val="3"/>
            <charset val="129"/>
          </rPr>
          <t>금액임</t>
        </r>
        <r>
          <rPr>
            <b/>
            <sz val="9"/>
            <color indexed="81"/>
            <rFont val="Tahoma"/>
            <family val="2"/>
          </rPr>
          <t>)</t>
        </r>
      </text>
    </comment>
    <comment ref="X309" authorId="0" shapeId="0" xr:uid="{00000000-0006-0000-0000-000094000000}">
      <text>
        <r>
          <rPr>
            <b/>
            <sz val="9"/>
            <color indexed="81"/>
            <rFont val="Tahoma"/>
            <family val="2"/>
          </rPr>
          <t>Rx cable</t>
        </r>
        <r>
          <rPr>
            <b/>
            <sz val="9"/>
            <color indexed="81"/>
            <rFont val="돋움"/>
            <family val="3"/>
            <charset val="129"/>
          </rPr>
          <t>로</t>
        </r>
        <r>
          <rPr>
            <b/>
            <sz val="9"/>
            <color indexed="81"/>
            <rFont val="Tahoma"/>
            <family val="2"/>
          </rPr>
          <t xml:space="preserve"> </t>
        </r>
        <r>
          <rPr>
            <b/>
            <sz val="9"/>
            <color indexed="81"/>
            <rFont val="돋움"/>
            <family val="3"/>
            <charset val="129"/>
          </rPr>
          <t>잘못</t>
        </r>
        <r>
          <rPr>
            <b/>
            <sz val="9"/>
            <color indexed="81"/>
            <rFont val="Tahoma"/>
            <family val="2"/>
          </rPr>
          <t xml:space="preserve"> </t>
        </r>
        <r>
          <rPr>
            <b/>
            <sz val="9"/>
            <color indexed="81"/>
            <rFont val="돋움"/>
            <family val="3"/>
            <charset val="129"/>
          </rPr>
          <t>발주하셔서</t>
        </r>
        <r>
          <rPr>
            <b/>
            <sz val="9"/>
            <color indexed="81"/>
            <rFont val="Tahoma"/>
            <family val="2"/>
          </rPr>
          <t xml:space="preserve">, Tx Cable </t>
        </r>
        <r>
          <rPr>
            <b/>
            <sz val="9"/>
            <color indexed="81"/>
            <rFont val="돋움"/>
            <family val="3"/>
            <charset val="129"/>
          </rPr>
          <t>로</t>
        </r>
        <r>
          <rPr>
            <b/>
            <sz val="9"/>
            <color indexed="81"/>
            <rFont val="Tahoma"/>
            <family val="2"/>
          </rPr>
          <t xml:space="preserve"> </t>
        </r>
        <r>
          <rPr>
            <b/>
            <sz val="9"/>
            <color indexed="81"/>
            <rFont val="돋움"/>
            <family val="3"/>
            <charset val="129"/>
          </rPr>
          <t>수정발주하심</t>
        </r>
        <r>
          <rPr>
            <b/>
            <sz val="9"/>
            <color indexed="81"/>
            <rFont val="Tahoma"/>
            <family val="2"/>
          </rPr>
          <t xml:space="preserve">. (10/18)
</t>
        </r>
        <r>
          <rPr>
            <b/>
            <sz val="9"/>
            <color indexed="81"/>
            <rFont val="돋움"/>
            <family val="3"/>
            <charset val="129"/>
          </rPr>
          <t>기존</t>
        </r>
        <r>
          <rPr>
            <b/>
            <sz val="9"/>
            <color indexed="81"/>
            <rFont val="Tahoma"/>
            <family val="2"/>
          </rPr>
          <t xml:space="preserve"> 4,950,000 </t>
        </r>
        <r>
          <rPr>
            <b/>
            <sz val="9"/>
            <color indexed="81"/>
            <rFont val="돋움"/>
            <family val="3"/>
            <charset val="129"/>
          </rPr>
          <t>원에서</t>
        </r>
        <r>
          <rPr>
            <b/>
            <sz val="9"/>
            <color indexed="81"/>
            <rFont val="Tahoma"/>
            <family val="2"/>
          </rPr>
          <t xml:space="preserve"> &gt; 4,840,000 </t>
        </r>
        <r>
          <rPr>
            <b/>
            <sz val="9"/>
            <color indexed="81"/>
            <rFont val="돋움"/>
            <family val="3"/>
            <charset val="129"/>
          </rPr>
          <t>원으로</t>
        </r>
        <r>
          <rPr>
            <b/>
            <sz val="9"/>
            <color indexed="81"/>
            <rFont val="Tahoma"/>
            <family val="2"/>
          </rPr>
          <t xml:space="preserve"> </t>
        </r>
        <r>
          <rPr>
            <b/>
            <sz val="9"/>
            <color indexed="81"/>
            <rFont val="돋움"/>
            <family val="3"/>
            <charset val="129"/>
          </rPr>
          <t>계약금액</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왕복항공운임</t>
        </r>
        <r>
          <rPr>
            <b/>
            <sz val="9"/>
            <color indexed="81"/>
            <rFont val="Tahoma"/>
            <family val="2"/>
          </rPr>
          <t xml:space="preserve"> </t>
        </r>
        <r>
          <rPr>
            <b/>
            <sz val="9"/>
            <color indexed="81"/>
            <rFont val="돋움"/>
            <family val="3"/>
            <charset val="129"/>
          </rPr>
          <t>포함된</t>
        </r>
        <r>
          <rPr>
            <b/>
            <sz val="9"/>
            <color indexed="81"/>
            <rFont val="Tahoma"/>
            <family val="2"/>
          </rPr>
          <t xml:space="preserve"> </t>
        </r>
        <r>
          <rPr>
            <b/>
            <sz val="9"/>
            <color indexed="81"/>
            <rFont val="돋움"/>
            <family val="3"/>
            <charset val="129"/>
          </rPr>
          <t>금액임</t>
        </r>
        <r>
          <rPr>
            <b/>
            <sz val="9"/>
            <color indexed="81"/>
            <rFont val="Tahoma"/>
            <family val="2"/>
          </rPr>
          <t>)</t>
        </r>
      </text>
    </comment>
    <comment ref="L312" authorId="1" shapeId="0" xr:uid="{00000000-0006-0000-0000-000095000000}">
      <text>
        <r>
          <rPr>
            <b/>
            <sz val="9"/>
            <color indexed="81"/>
            <rFont val="Tahoma"/>
            <family val="2"/>
          </rPr>
          <t>Temp:</t>
        </r>
        <r>
          <rPr>
            <sz val="9"/>
            <color indexed="81"/>
            <rFont val="Tahoma"/>
            <family val="2"/>
          </rPr>
          <t xml:space="preserve">
9/13
</t>
        </r>
        <r>
          <rPr>
            <sz val="9"/>
            <color indexed="81"/>
            <rFont val="돋움"/>
            <family val="3"/>
            <charset val="129"/>
          </rPr>
          <t>보험사분</t>
        </r>
        <r>
          <rPr>
            <sz val="9"/>
            <color indexed="81"/>
            <rFont val="Tahoma"/>
            <family val="2"/>
          </rPr>
          <t xml:space="preserve"> \32,729,312
</t>
        </r>
        <r>
          <rPr>
            <sz val="9"/>
            <color indexed="81"/>
            <rFont val="돋움"/>
            <family val="3"/>
            <charset val="129"/>
          </rPr>
          <t>자부담금</t>
        </r>
        <r>
          <rPr>
            <sz val="9"/>
            <color indexed="81"/>
            <rFont val="Tahoma"/>
            <family val="2"/>
          </rPr>
          <t xml:space="preserve"> \3,000,000
</t>
        </r>
        <r>
          <rPr>
            <sz val="9"/>
            <color indexed="81"/>
            <rFont val="돋움"/>
            <family val="3"/>
            <charset val="129"/>
          </rPr>
          <t>발급</t>
        </r>
      </text>
    </comment>
    <comment ref="M312" authorId="1" shapeId="0" xr:uid="{00000000-0006-0000-0000-000096000000}">
      <text>
        <r>
          <rPr>
            <b/>
            <sz val="9"/>
            <color indexed="81"/>
            <rFont val="Tahoma"/>
            <family val="2"/>
          </rPr>
          <t>Temp:</t>
        </r>
        <r>
          <rPr>
            <sz val="9"/>
            <color indexed="81"/>
            <rFont val="Tahoma"/>
            <family val="2"/>
          </rPr>
          <t xml:space="preserve">
9/14 </t>
        </r>
        <r>
          <rPr>
            <sz val="9"/>
            <color indexed="81"/>
            <rFont val="돋움"/>
            <family val="3"/>
            <charset val="129"/>
          </rPr>
          <t>자부담금</t>
        </r>
        <r>
          <rPr>
            <sz val="9"/>
            <color indexed="81"/>
            <rFont val="Tahoma"/>
            <family val="2"/>
          </rPr>
          <t xml:space="preserve"> 300</t>
        </r>
        <r>
          <rPr>
            <sz val="9"/>
            <color indexed="81"/>
            <rFont val="돋움"/>
            <family val="3"/>
            <charset val="129"/>
          </rPr>
          <t>만원</t>
        </r>
        <r>
          <rPr>
            <sz val="9"/>
            <color indexed="81"/>
            <rFont val="Tahoma"/>
            <family val="2"/>
          </rPr>
          <t xml:space="preserve"> </t>
        </r>
        <r>
          <rPr>
            <sz val="9"/>
            <color indexed="81"/>
            <rFont val="돋움"/>
            <family val="3"/>
            <charset val="129"/>
          </rPr>
          <t xml:space="preserve">입금
</t>
        </r>
        <r>
          <rPr>
            <sz val="9"/>
            <color indexed="81"/>
            <rFont val="Tahoma"/>
            <family val="2"/>
          </rPr>
          <t xml:space="preserve">9/29 </t>
        </r>
        <r>
          <rPr>
            <sz val="9"/>
            <color indexed="81"/>
            <rFont val="돋움"/>
            <family val="3"/>
            <charset val="129"/>
          </rPr>
          <t>보험사분</t>
        </r>
        <r>
          <rPr>
            <sz val="9"/>
            <color indexed="81"/>
            <rFont val="Tahoma"/>
            <family val="2"/>
          </rPr>
          <t xml:space="preserve"> </t>
        </r>
        <r>
          <rPr>
            <sz val="9"/>
            <color indexed="81"/>
            <rFont val="돋움"/>
            <family val="3"/>
            <charset val="129"/>
          </rPr>
          <t xml:space="preserve">입금
</t>
        </r>
        <r>
          <rPr>
            <sz val="9"/>
            <color indexed="81"/>
            <rFont val="Tahoma"/>
            <family val="2"/>
          </rPr>
          <t>32,729,312</t>
        </r>
        <r>
          <rPr>
            <sz val="9"/>
            <color indexed="81"/>
            <rFont val="돋움"/>
            <family val="3"/>
            <charset val="129"/>
          </rPr>
          <t>원</t>
        </r>
      </text>
    </comment>
    <comment ref="K313" authorId="1" shapeId="0" xr:uid="{00000000-0006-0000-0000-000097000000}">
      <text>
        <r>
          <rPr>
            <b/>
            <sz val="9"/>
            <color indexed="81"/>
            <rFont val="Tahoma"/>
            <family val="2"/>
          </rPr>
          <t>Temp:</t>
        </r>
        <r>
          <rPr>
            <sz val="9"/>
            <color indexed="81"/>
            <rFont val="Tahoma"/>
            <family val="2"/>
          </rPr>
          <t xml:space="preserve">
</t>
        </r>
        <r>
          <rPr>
            <sz val="9"/>
            <color indexed="81"/>
            <rFont val="돋움"/>
            <family val="3"/>
            <charset val="129"/>
          </rPr>
          <t>내년</t>
        </r>
        <r>
          <rPr>
            <sz val="9"/>
            <color indexed="81"/>
            <rFont val="Tahoma"/>
            <family val="2"/>
          </rPr>
          <t xml:space="preserve"> 1</t>
        </r>
        <r>
          <rPr>
            <sz val="9"/>
            <color indexed="81"/>
            <rFont val="돋움"/>
            <family val="3"/>
            <charset val="129"/>
          </rPr>
          <t>월말</t>
        </r>
        <r>
          <rPr>
            <sz val="9"/>
            <color indexed="81"/>
            <rFont val="Tahoma"/>
            <family val="2"/>
          </rPr>
          <t xml:space="preserve"> </t>
        </r>
        <r>
          <rPr>
            <sz val="9"/>
            <color indexed="81"/>
            <rFont val="돋움"/>
            <family val="3"/>
            <charset val="129"/>
          </rPr>
          <t>이후로</t>
        </r>
        <r>
          <rPr>
            <sz val="9"/>
            <color indexed="81"/>
            <rFont val="Tahoma"/>
            <family val="2"/>
          </rPr>
          <t xml:space="preserve"> </t>
        </r>
        <r>
          <rPr>
            <sz val="9"/>
            <color indexed="81"/>
            <rFont val="돋움"/>
            <family val="3"/>
            <charset val="129"/>
          </rPr>
          <t>미뤄짐</t>
        </r>
      </text>
    </comment>
    <comment ref="L313" authorId="1" shapeId="0" xr:uid="{00000000-0006-0000-0000-000098000000}">
      <text>
        <r>
          <rPr>
            <b/>
            <sz val="9"/>
            <color indexed="81"/>
            <rFont val="Tahoma"/>
            <family val="2"/>
          </rPr>
          <t>Temp:</t>
        </r>
        <r>
          <rPr>
            <sz val="9"/>
            <color indexed="81"/>
            <rFont val="Tahoma"/>
            <family val="2"/>
          </rPr>
          <t xml:space="preserve">
</t>
        </r>
        <r>
          <rPr>
            <sz val="9"/>
            <color indexed="81"/>
            <rFont val="돋움"/>
            <family val="3"/>
            <charset val="129"/>
          </rPr>
          <t>전체</t>
        </r>
        <r>
          <rPr>
            <sz val="9"/>
            <color indexed="81"/>
            <rFont val="Tahoma"/>
            <family val="2"/>
          </rPr>
          <t xml:space="preserve"> </t>
        </r>
        <r>
          <rPr>
            <sz val="9"/>
            <color indexed="81"/>
            <rFont val="돋움"/>
            <family val="3"/>
            <charset val="129"/>
          </rPr>
          <t xml:space="preserve">계약금액
</t>
        </r>
        <r>
          <rPr>
            <sz val="9"/>
            <color indexed="81"/>
            <rFont val="Tahoma"/>
            <family val="2"/>
          </rPr>
          <t>217,800,000</t>
        </r>
        <r>
          <rPr>
            <sz val="9"/>
            <color indexed="81"/>
            <rFont val="돋움"/>
            <family val="3"/>
            <charset val="129"/>
          </rPr>
          <t>의</t>
        </r>
        <r>
          <rPr>
            <sz val="9"/>
            <color indexed="81"/>
            <rFont val="Tahoma"/>
            <family val="2"/>
          </rPr>
          <t xml:space="preserve"> 30% </t>
        </r>
        <r>
          <rPr>
            <sz val="9"/>
            <color indexed="81"/>
            <rFont val="돋움"/>
            <family val="3"/>
            <charset val="129"/>
          </rPr>
          <t xml:space="preserve">청구
</t>
        </r>
        <r>
          <rPr>
            <sz val="9"/>
            <color indexed="81"/>
            <rFont val="Tahoma"/>
            <family val="2"/>
          </rPr>
          <t>22.01/31
#21-312</t>
        </r>
        <r>
          <rPr>
            <sz val="9"/>
            <color indexed="81"/>
            <rFont val="돋움"/>
            <family val="3"/>
            <charset val="129"/>
          </rPr>
          <t>를</t>
        </r>
        <r>
          <rPr>
            <sz val="9"/>
            <color indexed="81"/>
            <rFont val="Tahoma"/>
            <family val="2"/>
          </rPr>
          <t xml:space="preserve"> </t>
        </r>
        <r>
          <rPr>
            <sz val="9"/>
            <color indexed="81"/>
            <rFont val="돋움"/>
            <family val="3"/>
            <charset val="129"/>
          </rPr>
          <t>제외한</t>
        </r>
        <r>
          <rPr>
            <sz val="9"/>
            <color indexed="81"/>
            <rFont val="Tahoma"/>
            <family val="2"/>
          </rPr>
          <t xml:space="preserve"> </t>
        </r>
        <r>
          <rPr>
            <sz val="9"/>
            <color indexed="81"/>
            <rFont val="돋움"/>
            <family val="3"/>
            <charset val="129"/>
          </rPr>
          <t>전체금액</t>
        </r>
        <r>
          <rPr>
            <sz val="9"/>
            <color indexed="81"/>
            <rFont val="Tahoma"/>
            <family val="2"/>
          </rPr>
          <t xml:space="preserve"> 198,660,000</t>
        </r>
        <r>
          <rPr>
            <sz val="9"/>
            <color indexed="81"/>
            <rFont val="돋움"/>
            <family val="3"/>
            <charset val="129"/>
          </rPr>
          <t>원의</t>
        </r>
        <r>
          <rPr>
            <sz val="9"/>
            <color indexed="81"/>
            <rFont val="Tahoma"/>
            <family val="2"/>
          </rPr>
          <t xml:space="preserve"> 60% </t>
        </r>
        <r>
          <rPr>
            <sz val="9"/>
            <color indexed="81"/>
            <rFont val="돋움"/>
            <family val="3"/>
            <charset val="129"/>
          </rPr>
          <t>중도금</t>
        </r>
        <r>
          <rPr>
            <sz val="9"/>
            <color indexed="81"/>
            <rFont val="Tahoma"/>
            <family val="2"/>
          </rPr>
          <t xml:space="preserve"> </t>
        </r>
        <r>
          <rPr>
            <sz val="9"/>
            <color indexed="81"/>
            <rFont val="돋움"/>
            <family val="3"/>
            <charset val="129"/>
          </rPr>
          <t>청구</t>
        </r>
        <r>
          <rPr>
            <sz val="9"/>
            <color indexed="81"/>
            <rFont val="Tahoma"/>
            <family val="2"/>
          </rPr>
          <t xml:space="preserve">(#21-312 </t>
        </r>
        <r>
          <rPr>
            <sz val="9"/>
            <color indexed="81"/>
            <rFont val="돋움"/>
            <family val="3"/>
            <charset val="129"/>
          </rPr>
          <t>아직</t>
        </r>
        <r>
          <rPr>
            <sz val="9"/>
            <color indexed="81"/>
            <rFont val="Tahoma"/>
            <family val="2"/>
          </rPr>
          <t xml:space="preserve"> </t>
        </r>
        <r>
          <rPr>
            <sz val="9"/>
            <color indexed="81"/>
            <rFont val="돋움"/>
            <family val="3"/>
            <charset val="129"/>
          </rPr>
          <t>납품전</t>
        </r>
        <r>
          <rPr>
            <sz val="9"/>
            <color indexed="81"/>
            <rFont val="Tahoma"/>
            <family val="2"/>
          </rPr>
          <t xml:space="preserve">)
23.01.18
</t>
        </r>
        <r>
          <rPr>
            <sz val="9"/>
            <color indexed="81"/>
            <rFont val="돋움"/>
            <family val="3"/>
            <charset val="129"/>
          </rPr>
          <t>잔금</t>
        </r>
        <r>
          <rPr>
            <sz val="9"/>
            <color indexed="81"/>
            <rFont val="Tahoma"/>
            <family val="2"/>
          </rPr>
          <t xml:space="preserve"> 33,264,000</t>
        </r>
        <r>
          <rPr>
            <sz val="9"/>
            <color indexed="81"/>
            <rFont val="돋움"/>
            <family val="3"/>
            <charset val="129"/>
          </rPr>
          <t>원</t>
        </r>
        <r>
          <rPr>
            <sz val="9"/>
            <color indexed="81"/>
            <rFont val="Tahoma"/>
            <family val="2"/>
          </rPr>
          <t xml:space="preserve"> </t>
        </r>
        <r>
          <rPr>
            <sz val="9"/>
            <color indexed="81"/>
            <rFont val="돋움"/>
            <family val="3"/>
            <charset val="129"/>
          </rPr>
          <t>청구</t>
        </r>
      </text>
    </comment>
    <comment ref="M313" authorId="1" shapeId="0" xr:uid="{00000000-0006-0000-0000-000099000000}">
      <text>
        <r>
          <rPr>
            <b/>
            <sz val="9"/>
            <color indexed="81"/>
            <rFont val="Tahoma"/>
            <family val="2"/>
          </rPr>
          <t>Temp:</t>
        </r>
        <r>
          <rPr>
            <sz val="9"/>
            <color indexed="81"/>
            <rFont val="Tahoma"/>
            <family val="2"/>
          </rPr>
          <t xml:space="preserve">
</t>
        </r>
        <r>
          <rPr>
            <sz val="9"/>
            <color indexed="81"/>
            <rFont val="돋움"/>
            <family val="3"/>
            <charset val="129"/>
          </rPr>
          <t>전체</t>
        </r>
        <r>
          <rPr>
            <sz val="9"/>
            <color indexed="81"/>
            <rFont val="Tahoma"/>
            <family val="2"/>
          </rPr>
          <t xml:space="preserve"> </t>
        </r>
        <r>
          <rPr>
            <sz val="9"/>
            <color indexed="81"/>
            <rFont val="돋움"/>
            <family val="3"/>
            <charset val="129"/>
          </rPr>
          <t xml:space="preserve">계약금액
</t>
        </r>
        <r>
          <rPr>
            <sz val="9"/>
            <color indexed="81"/>
            <rFont val="Tahoma"/>
            <family val="2"/>
          </rPr>
          <t>217,800,000</t>
        </r>
        <r>
          <rPr>
            <sz val="9"/>
            <color indexed="81"/>
            <rFont val="돋움"/>
            <family val="3"/>
            <charset val="129"/>
          </rPr>
          <t>의</t>
        </r>
        <r>
          <rPr>
            <sz val="9"/>
            <color indexed="81"/>
            <rFont val="Tahoma"/>
            <family val="2"/>
          </rPr>
          <t xml:space="preserve"> 30% </t>
        </r>
        <r>
          <rPr>
            <sz val="9"/>
            <color indexed="81"/>
            <rFont val="돋움"/>
            <family val="3"/>
            <charset val="129"/>
          </rPr>
          <t xml:space="preserve">입금
</t>
        </r>
        <r>
          <rPr>
            <sz val="9"/>
            <color indexed="81"/>
            <rFont val="Tahoma"/>
            <family val="2"/>
          </rPr>
          <t>22.01/31
#21-312</t>
        </r>
        <r>
          <rPr>
            <sz val="9"/>
            <color indexed="81"/>
            <rFont val="돋움"/>
            <family val="3"/>
            <charset val="129"/>
          </rPr>
          <t>를</t>
        </r>
        <r>
          <rPr>
            <sz val="9"/>
            <color indexed="81"/>
            <rFont val="Tahoma"/>
            <family val="2"/>
          </rPr>
          <t xml:space="preserve"> </t>
        </r>
        <r>
          <rPr>
            <sz val="9"/>
            <color indexed="81"/>
            <rFont val="돋움"/>
            <family val="3"/>
            <charset val="129"/>
          </rPr>
          <t>제외한</t>
        </r>
        <r>
          <rPr>
            <sz val="9"/>
            <color indexed="81"/>
            <rFont val="Tahoma"/>
            <family val="2"/>
          </rPr>
          <t xml:space="preserve"> </t>
        </r>
        <r>
          <rPr>
            <sz val="9"/>
            <color indexed="81"/>
            <rFont val="돋움"/>
            <family val="3"/>
            <charset val="129"/>
          </rPr>
          <t>전체금액</t>
        </r>
        <r>
          <rPr>
            <sz val="9"/>
            <color indexed="81"/>
            <rFont val="Tahoma"/>
            <family val="2"/>
          </rPr>
          <t xml:space="preserve"> 198,660,000</t>
        </r>
        <r>
          <rPr>
            <sz val="9"/>
            <color indexed="81"/>
            <rFont val="돋움"/>
            <family val="3"/>
            <charset val="129"/>
          </rPr>
          <t>원의</t>
        </r>
        <r>
          <rPr>
            <sz val="9"/>
            <color indexed="81"/>
            <rFont val="Tahoma"/>
            <family val="2"/>
          </rPr>
          <t xml:space="preserve"> 60% </t>
        </r>
        <r>
          <rPr>
            <sz val="9"/>
            <color indexed="81"/>
            <rFont val="돋움"/>
            <family val="3"/>
            <charset val="129"/>
          </rPr>
          <t>중도금</t>
        </r>
        <r>
          <rPr>
            <sz val="9"/>
            <color indexed="81"/>
            <rFont val="Tahoma"/>
            <family val="2"/>
          </rPr>
          <t xml:space="preserve"> </t>
        </r>
        <r>
          <rPr>
            <sz val="9"/>
            <color indexed="81"/>
            <rFont val="돋움"/>
            <family val="3"/>
            <charset val="129"/>
          </rPr>
          <t>청구</t>
        </r>
        <r>
          <rPr>
            <sz val="9"/>
            <color indexed="81"/>
            <rFont val="Tahoma"/>
            <family val="2"/>
          </rPr>
          <t xml:space="preserve">(#21-312 </t>
        </r>
        <r>
          <rPr>
            <sz val="9"/>
            <color indexed="81"/>
            <rFont val="돋움"/>
            <family val="3"/>
            <charset val="129"/>
          </rPr>
          <t>아직</t>
        </r>
        <r>
          <rPr>
            <sz val="9"/>
            <color indexed="81"/>
            <rFont val="Tahoma"/>
            <family val="2"/>
          </rPr>
          <t xml:space="preserve"> </t>
        </r>
        <r>
          <rPr>
            <sz val="9"/>
            <color indexed="81"/>
            <rFont val="돋움"/>
            <family val="3"/>
            <charset val="129"/>
          </rPr>
          <t>납품전</t>
        </r>
        <r>
          <rPr>
            <sz val="9"/>
            <color indexed="81"/>
            <rFont val="Tahoma"/>
            <family val="2"/>
          </rPr>
          <t>)</t>
        </r>
      </text>
    </comment>
    <comment ref="L327" authorId="1" shapeId="0" xr:uid="{00000000-0006-0000-0000-00009A000000}">
      <text>
        <r>
          <rPr>
            <b/>
            <sz val="9"/>
            <color indexed="81"/>
            <rFont val="Tahoma"/>
            <family val="2"/>
          </rPr>
          <t>Temp:</t>
        </r>
        <r>
          <rPr>
            <sz val="9"/>
            <color indexed="81"/>
            <rFont val="Tahoma"/>
            <family val="2"/>
          </rPr>
          <t xml:space="preserve">
9/16 </t>
        </r>
        <r>
          <rPr>
            <sz val="9"/>
            <color indexed="81"/>
            <rFont val="돋움"/>
            <family val="3"/>
            <charset val="129"/>
          </rPr>
          <t>선금</t>
        </r>
        <r>
          <rPr>
            <sz val="9"/>
            <color indexed="81"/>
            <rFont val="Tahoma"/>
            <family val="2"/>
          </rPr>
          <t xml:space="preserve">10% </t>
        </r>
        <r>
          <rPr>
            <sz val="9"/>
            <color indexed="81"/>
            <rFont val="돋움"/>
            <family val="3"/>
            <charset val="129"/>
          </rPr>
          <t xml:space="preserve">발급
</t>
        </r>
        <r>
          <rPr>
            <sz val="9"/>
            <color indexed="81"/>
            <rFont val="Tahoma"/>
            <family val="2"/>
          </rPr>
          <t xml:space="preserve">\2,035,000
10/21 </t>
        </r>
        <r>
          <rPr>
            <sz val="9"/>
            <color indexed="81"/>
            <rFont val="돋움"/>
            <family val="3"/>
            <charset val="129"/>
          </rPr>
          <t>잔금</t>
        </r>
        <r>
          <rPr>
            <sz val="9"/>
            <color indexed="81"/>
            <rFont val="Tahoma"/>
            <family val="2"/>
          </rPr>
          <t xml:space="preserve">90% </t>
        </r>
        <r>
          <rPr>
            <sz val="9"/>
            <color indexed="81"/>
            <rFont val="돋움"/>
            <family val="3"/>
            <charset val="129"/>
          </rPr>
          <t xml:space="preserve">발급
</t>
        </r>
        <r>
          <rPr>
            <sz val="9"/>
            <color indexed="81"/>
            <rFont val="Tahoma"/>
            <family val="2"/>
          </rPr>
          <t>\18,315,000</t>
        </r>
      </text>
    </comment>
    <comment ref="M327" authorId="1" shapeId="0" xr:uid="{00000000-0006-0000-0000-00009B000000}">
      <text>
        <r>
          <rPr>
            <b/>
            <sz val="9"/>
            <color indexed="81"/>
            <rFont val="Tahoma"/>
            <family val="2"/>
          </rPr>
          <t>Temp:</t>
        </r>
        <r>
          <rPr>
            <sz val="9"/>
            <color indexed="81"/>
            <rFont val="Tahoma"/>
            <family val="2"/>
          </rPr>
          <t xml:space="preserve">
9/16 </t>
        </r>
        <r>
          <rPr>
            <sz val="9"/>
            <color indexed="81"/>
            <rFont val="돋움"/>
            <family val="3"/>
            <charset val="129"/>
          </rPr>
          <t>선금</t>
        </r>
        <r>
          <rPr>
            <sz val="9"/>
            <color indexed="81"/>
            <rFont val="Tahoma"/>
            <family val="2"/>
          </rPr>
          <t xml:space="preserve">10% </t>
        </r>
        <r>
          <rPr>
            <sz val="9"/>
            <color indexed="81"/>
            <rFont val="돋움"/>
            <family val="3"/>
            <charset val="129"/>
          </rPr>
          <t xml:space="preserve">입금
</t>
        </r>
        <r>
          <rPr>
            <sz val="9"/>
            <color indexed="81"/>
            <rFont val="Tahoma"/>
            <family val="2"/>
          </rPr>
          <t xml:space="preserve">\2,035,000
11/9 </t>
        </r>
        <r>
          <rPr>
            <sz val="9"/>
            <color indexed="81"/>
            <rFont val="돋움"/>
            <family val="3"/>
            <charset val="129"/>
          </rPr>
          <t>잔금</t>
        </r>
        <r>
          <rPr>
            <sz val="9"/>
            <color indexed="81"/>
            <rFont val="Tahoma"/>
            <family val="2"/>
          </rPr>
          <t xml:space="preserve"> 90% </t>
        </r>
        <r>
          <rPr>
            <sz val="9"/>
            <color indexed="81"/>
            <rFont val="돋움"/>
            <family val="3"/>
            <charset val="129"/>
          </rPr>
          <t xml:space="preserve">입금
</t>
        </r>
        <r>
          <rPr>
            <sz val="9"/>
            <color indexed="81"/>
            <rFont val="Tahoma"/>
            <family val="2"/>
          </rPr>
          <t>\18,315,000</t>
        </r>
      </text>
    </comment>
    <comment ref="L328" authorId="1" shapeId="0" xr:uid="{00000000-0006-0000-0000-00009C000000}">
      <text>
        <r>
          <rPr>
            <b/>
            <sz val="9"/>
            <color indexed="81"/>
            <rFont val="Tahoma"/>
            <family val="2"/>
          </rPr>
          <t>Temp:</t>
        </r>
        <r>
          <rPr>
            <sz val="9"/>
            <color indexed="81"/>
            <rFont val="Tahoma"/>
            <family val="2"/>
          </rPr>
          <t xml:space="preserve">
9/17 </t>
        </r>
        <r>
          <rPr>
            <sz val="9"/>
            <color indexed="81"/>
            <rFont val="돋움"/>
            <family val="3"/>
            <charset val="129"/>
          </rPr>
          <t>선금</t>
        </r>
        <r>
          <rPr>
            <sz val="9"/>
            <color indexed="81"/>
            <rFont val="Tahoma"/>
            <family val="2"/>
          </rPr>
          <t>50%
\6,600,000
22</t>
        </r>
        <r>
          <rPr>
            <sz val="9"/>
            <color indexed="81"/>
            <rFont val="돋움"/>
            <family val="3"/>
            <charset val="129"/>
          </rPr>
          <t>년</t>
        </r>
        <r>
          <rPr>
            <sz val="9"/>
            <color indexed="81"/>
            <rFont val="Tahoma"/>
            <family val="2"/>
          </rPr>
          <t xml:space="preserve"> 2/10 </t>
        </r>
        <r>
          <rPr>
            <sz val="9"/>
            <color indexed="81"/>
            <rFont val="돋움"/>
            <family val="3"/>
            <charset val="129"/>
          </rPr>
          <t>잔금</t>
        </r>
        <r>
          <rPr>
            <sz val="9"/>
            <color indexed="81"/>
            <rFont val="Tahoma"/>
            <family val="2"/>
          </rPr>
          <t>50%
\6,600,000</t>
        </r>
      </text>
    </comment>
    <comment ref="M328" authorId="1" shapeId="0" xr:uid="{00000000-0006-0000-0000-00009D000000}">
      <text>
        <r>
          <rPr>
            <b/>
            <sz val="9"/>
            <color indexed="81"/>
            <rFont val="Tahoma"/>
            <family val="2"/>
          </rPr>
          <t>Temp:</t>
        </r>
        <r>
          <rPr>
            <sz val="9"/>
            <color indexed="81"/>
            <rFont val="Tahoma"/>
            <family val="2"/>
          </rPr>
          <t xml:space="preserve">
9/17 </t>
        </r>
        <r>
          <rPr>
            <sz val="9"/>
            <color indexed="81"/>
            <rFont val="돋움"/>
            <family val="3"/>
            <charset val="129"/>
          </rPr>
          <t>선금</t>
        </r>
        <r>
          <rPr>
            <sz val="9"/>
            <color indexed="81"/>
            <rFont val="Tahoma"/>
            <family val="2"/>
          </rPr>
          <t xml:space="preserve">50% </t>
        </r>
        <r>
          <rPr>
            <sz val="9"/>
            <color indexed="81"/>
            <rFont val="돋움"/>
            <family val="3"/>
            <charset val="129"/>
          </rPr>
          <t>입금</t>
        </r>
        <r>
          <rPr>
            <sz val="9"/>
            <color indexed="81"/>
            <rFont val="Tahoma"/>
            <family val="2"/>
          </rPr>
          <t xml:space="preserve">
\6,600,000
22</t>
        </r>
        <r>
          <rPr>
            <sz val="9"/>
            <color indexed="81"/>
            <rFont val="돋움"/>
            <family val="3"/>
            <charset val="129"/>
          </rPr>
          <t>년</t>
        </r>
        <r>
          <rPr>
            <sz val="9"/>
            <color indexed="81"/>
            <rFont val="Tahoma"/>
            <family val="2"/>
          </rPr>
          <t xml:space="preserve"> 2/10 </t>
        </r>
        <r>
          <rPr>
            <sz val="9"/>
            <color indexed="81"/>
            <rFont val="돋움"/>
            <family val="3"/>
            <charset val="129"/>
          </rPr>
          <t>전굼</t>
        </r>
        <r>
          <rPr>
            <sz val="9"/>
            <color indexed="81"/>
            <rFont val="Tahoma"/>
            <family val="2"/>
          </rPr>
          <t xml:space="preserve">50% </t>
        </r>
        <r>
          <rPr>
            <sz val="9"/>
            <color indexed="81"/>
            <rFont val="돋움"/>
            <family val="3"/>
            <charset val="129"/>
          </rPr>
          <t xml:space="preserve">입금
</t>
        </r>
        <r>
          <rPr>
            <sz val="9"/>
            <color indexed="81"/>
            <rFont val="Tahoma"/>
            <family val="2"/>
          </rPr>
          <t>\6,600,000</t>
        </r>
      </text>
    </comment>
    <comment ref="L336" authorId="1" shapeId="0" xr:uid="{00000000-0006-0000-0000-00009E000000}">
      <text>
        <r>
          <rPr>
            <b/>
            <sz val="9"/>
            <color indexed="81"/>
            <rFont val="Tahoma"/>
            <family val="2"/>
          </rPr>
          <t>Temp:</t>
        </r>
        <r>
          <rPr>
            <sz val="9"/>
            <color indexed="81"/>
            <rFont val="Tahoma"/>
            <family val="2"/>
          </rPr>
          <t xml:space="preserve">
9/28 </t>
        </r>
        <r>
          <rPr>
            <sz val="9"/>
            <color indexed="81"/>
            <rFont val="돋움"/>
            <family val="3"/>
            <charset val="129"/>
          </rPr>
          <t>자부담금</t>
        </r>
        <r>
          <rPr>
            <sz val="9"/>
            <color indexed="81"/>
            <rFont val="Tahoma"/>
            <family val="2"/>
          </rPr>
          <t xml:space="preserve"> 1,000</t>
        </r>
        <r>
          <rPr>
            <sz val="9"/>
            <color indexed="81"/>
            <rFont val="돋움"/>
            <family val="3"/>
            <charset val="129"/>
          </rPr>
          <t>만원</t>
        </r>
        <r>
          <rPr>
            <sz val="9"/>
            <color indexed="81"/>
            <rFont val="Tahoma"/>
            <family val="2"/>
          </rPr>
          <t xml:space="preserve"> </t>
        </r>
        <r>
          <rPr>
            <sz val="9"/>
            <color indexed="81"/>
            <rFont val="돋움"/>
            <family val="3"/>
            <charset val="129"/>
          </rPr>
          <t xml:space="preserve">청구
</t>
        </r>
        <r>
          <rPr>
            <sz val="9"/>
            <color indexed="81"/>
            <rFont val="Tahoma"/>
            <family val="2"/>
          </rPr>
          <t xml:space="preserve">10/7 </t>
        </r>
        <r>
          <rPr>
            <sz val="9"/>
            <color indexed="81"/>
            <rFont val="돋움"/>
            <family val="3"/>
            <charset val="129"/>
          </rPr>
          <t>보험사분</t>
        </r>
        <r>
          <rPr>
            <sz val="9"/>
            <color indexed="81"/>
            <rFont val="Tahoma"/>
            <family val="2"/>
          </rPr>
          <t xml:space="preserve"> 170,163,144</t>
        </r>
        <r>
          <rPr>
            <sz val="9"/>
            <color indexed="81"/>
            <rFont val="돋움"/>
            <family val="3"/>
            <charset val="129"/>
          </rPr>
          <t>원</t>
        </r>
        <r>
          <rPr>
            <sz val="9"/>
            <color indexed="81"/>
            <rFont val="Tahoma"/>
            <family val="2"/>
          </rPr>
          <t xml:space="preserve"> </t>
        </r>
        <r>
          <rPr>
            <sz val="9"/>
            <color indexed="81"/>
            <rFont val="돋움"/>
            <family val="3"/>
            <charset val="129"/>
          </rPr>
          <t>청구</t>
        </r>
      </text>
    </comment>
    <comment ref="M336" authorId="1" shapeId="0" xr:uid="{00000000-0006-0000-0000-00009F000000}">
      <text>
        <r>
          <rPr>
            <b/>
            <sz val="9"/>
            <color indexed="81"/>
            <rFont val="Tahoma"/>
            <family val="2"/>
          </rPr>
          <t>Temp:</t>
        </r>
        <r>
          <rPr>
            <sz val="9"/>
            <color indexed="81"/>
            <rFont val="Tahoma"/>
            <family val="2"/>
          </rPr>
          <t xml:space="preserve">
9/29 </t>
        </r>
        <r>
          <rPr>
            <sz val="9"/>
            <color indexed="81"/>
            <rFont val="돋움"/>
            <family val="3"/>
            <charset val="129"/>
          </rPr>
          <t>자부담금</t>
        </r>
        <r>
          <rPr>
            <sz val="9"/>
            <color indexed="81"/>
            <rFont val="Tahoma"/>
            <family val="2"/>
          </rPr>
          <t xml:space="preserve"> 1,000</t>
        </r>
        <r>
          <rPr>
            <sz val="9"/>
            <color indexed="81"/>
            <rFont val="돋움"/>
            <family val="3"/>
            <charset val="129"/>
          </rPr>
          <t>만원</t>
        </r>
        <r>
          <rPr>
            <sz val="9"/>
            <color indexed="81"/>
            <rFont val="Tahoma"/>
            <family val="2"/>
          </rPr>
          <t xml:space="preserve"> </t>
        </r>
        <r>
          <rPr>
            <sz val="9"/>
            <color indexed="81"/>
            <rFont val="돋움"/>
            <family val="3"/>
            <charset val="129"/>
          </rPr>
          <t xml:space="preserve">입금
</t>
        </r>
        <r>
          <rPr>
            <sz val="9"/>
            <color indexed="81"/>
            <rFont val="Tahoma"/>
            <family val="2"/>
          </rPr>
          <t xml:space="preserve">10/7 </t>
        </r>
        <r>
          <rPr>
            <sz val="9"/>
            <color indexed="81"/>
            <rFont val="돋움"/>
            <family val="3"/>
            <charset val="129"/>
          </rPr>
          <t>보험사분</t>
        </r>
        <r>
          <rPr>
            <sz val="9"/>
            <color indexed="81"/>
            <rFont val="Tahoma"/>
            <family val="2"/>
          </rPr>
          <t xml:space="preserve"> 170,163,144</t>
        </r>
        <r>
          <rPr>
            <sz val="9"/>
            <color indexed="81"/>
            <rFont val="돋움"/>
            <family val="3"/>
            <charset val="129"/>
          </rPr>
          <t>원</t>
        </r>
        <r>
          <rPr>
            <sz val="9"/>
            <color indexed="81"/>
            <rFont val="Tahoma"/>
            <family val="2"/>
          </rPr>
          <t xml:space="preserve"> </t>
        </r>
        <r>
          <rPr>
            <sz val="9"/>
            <color indexed="81"/>
            <rFont val="돋움"/>
            <family val="3"/>
            <charset val="129"/>
          </rPr>
          <t>입금</t>
        </r>
      </text>
    </comment>
    <comment ref="L342" authorId="1" shapeId="0" xr:uid="{00000000-0006-0000-0000-0000A0000000}">
      <text>
        <r>
          <rPr>
            <b/>
            <sz val="9"/>
            <color indexed="81"/>
            <rFont val="Tahoma"/>
            <family val="2"/>
          </rPr>
          <t>Temp:</t>
        </r>
        <r>
          <rPr>
            <sz val="9"/>
            <color indexed="81"/>
            <rFont val="Tahoma"/>
            <family val="2"/>
          </rPr>
          <t xml:space="preserve">
</t>
        </r>
        <r>
          <rPr>
            <sz val="9"/>
            <color indexed="81"/>
            <rFont val="돋움"/>
            <family val="3"/>
            <charset val="129"/>
          </rPr>
          <t>선금</t>
        </r>
        <r>
          <rPr>
            <sz val="9"/>
            <color indexed="81"/>
            <rFont val="Tahoma"/>
            <family val="2"/>
          </rPr>
          <t>100%</t>
        </r>
      </text>
    </comment>
    <comment ref="L352" authorId="1" shapeId="0" xr:uid="{00000000-0006-0000-0000-0000A1000000}">
      <text>
        <r>
          <rPr>
            <b/>
            <sz val="9"/>
            <color indexed="81"/>
            <rFont val="Tahoma"/>
            <family val="2"/>
          </rPr>
          <t>Temp:</t>
        </r>
        <r>
          <rPr>
            <sz val="9"/>
            <color indexed="81"/>
            <rFont val="Tahoma"/>
            <family val="2"/>
          </rPr>
          <t xml:space="preserve">
</t>
        </r>
        <r>
          <rPr>
            <sz val="9"/>
            <color indexed="81"/>
            <rFont val="돋움"/>
            <family val="3"/>
            <charset val="129"/>
          </rPr>
          <t>선금</t>
        </r>
        <r>
          <rPr>
            <sz val="9"/>
            <color indexed="81"/>
            <rFont val="Tahoma"/>
            <family val="2"/>
          </rPr>
          <t>100%</t>
        </r>
      </text>
    </comment>
    <comment ref="L359" authorId="1" shapeId="0" xr:uid="{00000000-0006-0000-0000-0000A2000000}">
      <text>
        <r>
          <rPr>
            <b/>
            <sz val="9"/>
            <color indexed="81"/>
            <rFont val="Tahoma"/>
            <family val="2"/>
          </rPr>
          <t>Temp:</t>
        </r>
        <r>
          <rPr>
            <sz val="9"/>
            <color indexed="81"/>
            <rFont val="Tahoma"/>
            <family val="2"/>
          </rPr>
          <t xml:space="preserve">
10/18 </t>
        </r>
        <r>
          <rPr>
            <sz val="9"/>
            <color indexed="81"/>
            <rFont val="돋움"/>
            <family val="3"/>
            <charset val="129"/>
          </rPr>
          <t>자부담금</t>
        </r>
        <r>
          <rPr>
            <sz val="9"/>
            <color indexed="81"/>
            <rFont val="Tahoma"/>
            <family val="2"/>
          </rPr>
          <t xml:space="preserve"> </t>
        </r>
        <r>
          <rPr>
            <sz val="9"/>
            <color indexed="81"/>
            <rFont val="돋움"/>
            <family val="3"/>
            <charset val="129"/>
          </rPr>
          <t>청구</t>
        </r>
        <r>
          <rPr>
            <sz val="9"/>
            <color indexed="81"/>
            <rFont val="Tahoma"/>
            <family val="2"/>
          </rPr>
          <t xml:space="preserve">
\10,000,000
10/21 </t>
        </r>
        <r>
          <rPr>
            <sz val="9"/>
            <color indexed="81"/>
            <rFont val="돋움"/>
            <family val="3"/>
            <charset val="129"/>
          </rPr>
          <t>보험사분</t>
        </r>
        <r>
          <rPr>
            <sz val="9"/>
            <color indexed="81"/>
            <rFont val="Tahoma"/>
            <family val="2"/>
          </rPr>
          <t xml:space="preserve"> </t>
        </r>
        <r>
          <rPr>
            <sz val="9"/>
            <color indexed="81"/>
            <rFont val="돋움"/>
            <family val="3"/>
            <charset val="129"/>
          </rPr>
          <t xml:space="preserve">청구
</t>
        </r>
        <r>
          <rPr>
            <sz val="9"/>
            <color indexed="81"/>
            <rFont val="Tahoma"/>
            <family val="2"/>
          </rPr>
          <t>\35,425,602</t>
        </r>
      </text>
    </comment>
    <comment ref="M359" authorId="1" shapeId="0" xr:uid="{00000000-0006-0000-0000-0000A3000000}">
      <text>
        <r>
          <rPr>
            <b/>
            <sz val="9"/>
            <color indexed="81"/>
            <rFont val="Tahoma"/>
            <family val="2"/>
          </rPr>
          <t>Temp:</t>
        </r>
        <r>
          <rPr>
            <sz val="9"/>
            <color indexed="81"/>
            <rFont val="Tahoma"/>
            <family val="2"/>
          </rPr>
          <t xml:space="preserve">
10/21 </t>
        </r>
        <r>
          <rPr>
            <sz val="9"/>
            <color indexed="81"/>
            <rFont val="돋움"/>
            <family val="3"/>
            <charset val="129"/>
          </rPr>
          <t>자부담금</t>
        </r>
        <r>
          <rPr>
            <sz val="9"/>
            <color indexed="81"/>
            <rFont val="Tahoma"/>
            <family val="2"/>
          </rPr>
          <t xml:space="preserve">, </t>
        </r>
        <r>
          <rPr>
            <sz val="9"/>
            <color indexed="81"/>
            <rFont val="돋움"/>
            <family val="3"/>
            <charset val="129"/>
          </rPr>
          <t>보험사분</t>
        </r>
        <r>
          <rPr>
            <sz val="9"/>
            <color indexed="81"/>
            <rFont val="Tahoma"/>
            <family val="2"/>
          </rPr>
          <t xml:space="preserve"> </t>
        </r>
        <r>
          <rPr>
            <sz val="9"/>
            <color indexed="81"/>
            <rFont val="돋움"/>
            <family val="3"/>
            <charset val="129"/>
          </rPr>
          <t xml:space="preserve">입금
</t>
        </r>
        <r>
          <rPr>
            <sz val="9"/>
            <color indexed="81"/>
            <rFont val="Tahoma"/>
            <family val="2"/>
          </rPr>
          <t>\10,000,000</t>
        </r>
        <r>
          <rPr>
            <sz val="9"/>
            <color indexed="81"/>
            <rFont val="돋움"/>
            <family val="3"/>
            <charset val="129"/>
          </rPr>
          <t xml:space="preserve">
</t>
        </r>
        <r>
          <rPr>
            <sz val="9"/>
            <color indexed="81"/>
            <rFont val="Tahoma"/>
            <family val="2"/>
          </rPr>
          <t>\35,425,602</t>
        </r>
      </text>
    </comment>
    <comment ref="I364" authorId="0" shapeId="0" xr:uid="{00000000-0006-0000-0000-0000A4000000}">
      <text>
        <r>
          <rPr>
            <b/>
            <sz val="9"/>
            <color indexed="81"/>
            <rFont val="돋움"/>
            <family val="3"/>
            <charset val="129"/>
          </rPr>
          <t>기존</t>
        </r>
        <r>
          <rPr>
            <b/>
            <sz val="9"/>
            <color indexed="81"/>
            <rFont val="Tahoma"/>
            <family val="2"/>
          </rPr>
          <t xml:space="preserve"> 68,200,000 </t>
        </r>
        <r>
          <rPr>
            <b/>
            <sz val="9"/>
            <color indexed="81"/>
            <rFont val="돋움"/>
            <family val="3"/>
            <charset val="129"/>
          </rPr>
          <t>원
변경</t>
        </r>
        <r>
          <rPr>
            <b/>
            <sz val="9"/>
            <color indexed="81"/>
            <rFont val="Tahoma"/>
            <family val="2"/>
          </rPr>
          <t xml:space="preserve"> 65,450,000 </t>
        </r>
        <r>
          <rPr>
            <b/>
            <sz val="9"/>
            <color indexed="81"/>
            <rFont val="돋움"/>
            <family val="3"/>
            <charset val="129"/>
          </rPr>
          <t>원</t>
        </r>
        <r>
          <rPr>
            <sz val="9"/>
            <color indexed="81"/>
            <rFont val="Tahoma"/>
            <family val="2"/>
          </rPr>
          <t xml:space="preserve">
</t>
        </r>
      </text>
    </comment>
    <comment ref="L365" authorId="1" shapeId="0" xr:uid="{00000000-0006-0000-0000-0000A5000000}">
      <text>
        <r>
          <rPr>
            <b/>
            <sz val="9"/>
            <color indexed="81"/>
            <rFont val="Tahoma"/>
            <family val="2"/>
          </rPr>
          <t>Temp:</t>
        </r>
        <r>
          <rPr>
            <sz val="9"/>
            <color indexed="81"/>
            <rFont val="Tahoma"/>
            <family val="2"/>
          </rPr>
          <t xml:space="preserve">
10/20 </t>
        </r>
        <r>
          <rPr>
            <sz val="9"/>
            <color indexed="81"/>
            <rFont val="돋움"/>
            <family val="3"/>
            <charset val="129"/>
          </rPr>
          <t>자부담금</t>
        </r>
        <r>
          <rPr>
            <sz val="9"/>
            <color indexed="81"/>
            <rFont val="Tahoma"/>
            <family val="2"/>
          </rPr>
          <t xml:space="preserve"> </t>
        </r>
        <r>
          <rPr>
            <sz val="9"/>
            <color indexed="81"/>
            <rFont val="돋움"/>
            <family val="3"/>
            <charset val="129"/>
          </rPr>
          <t xml:space="preserve">청구
</t>
        </r>
        <r>
          <rPr>
            <sz val="9"/>
            <color indexed="81"/>
            <rFont val="Tahoma"/>
            <family val="2"/>
          </rPr>
          <t xml:space="preserve">\10,000,000
10/21 </t>
        </r>
        <r>
          <rPr>
            <sz val="9"/>
            <color indexed="81"/>
            <rFont val="돋움"/>
            <family val="3"/>
            <charset val="129"/>
          </rPr>
          <t>보험사분</t>
        </r>
        <r>
          <rPr>
            <sz val="9"/>
            <color indexed="81"/>
            <rFont val="Tahoma"/>
            <family val="2"/>
          </rPr>
          <t xml:space="preserve"> </t>
        </r>
        <r>
          <rPr>
            <sz val="9"/>
            <color indexed="81"/>
            <rFont val="돋움"/>
            <family val="3"/>
            <charset val="129"/>
          </rPr>
          <t xml:space="preserve">청구
</t>
        </r>
        <r>
          <rPr>
            <sz val="9"/>
            <color indexed="81"/>
            <rFont val="Tahoma"/>
            <family val="2"/>
          </rPr>
          <t>\13,796,219</t>
        </r>
      </text>
    </comment>
    <comment ref="M365" authorId="1" shapeId="0" xr:uid="{00000000-0006-0000-0000-0000A6000000}">
      <text>
        <r>
          <rPr>
            <b/>
            <sz val="9"/>
            <color indexed="81"/>
            <rFont val="Tahoma"/>
            <family val="2"/>
          </rPr>
          <t>Temp:</t>
        </r>
        <r>
          <rPr>
            <sz val="9"/>
            <color indexed="81"/>
            <rFont val="Tahoma"/>
            <family val="2"/>
          </rPr>
          <t xml:space="preserve">
10/21 </t>
        </r>
        <r>
          <rPr>
            <sz val="9"/>
            <color indexed="81"/>
            <rFont val="돋움"/>
            <family val="3"/>
            <charset val="129"/>
          </rPr>
          <t>보험사분</t>
        </r>
        <r>
          <rPr>
            <sz val="9"/>
            <color indexed="81"/>
            <rFont val="Tahoma"/>
            <family val="2"/>
          </rPr>
          <t xml:space="preserve"> </t>
        </r>
        <r>
          <rPr>
            <sz val="9"/>
            <color indexed="81"/>
            <rFont val="돋움"/>
            <family val="3"/>
            <charset val="129"/>
          </rPr>
          <t xml:space="preserve">입금
</t>
        </r>
        <r>
          <rPr>
            <sz val="9"/>
            <color indexed="81"/>
            <rFont val="Tahoma"/>
            <family val="2"/>
          </rPr>
          <t xml:space="preserve">\13,796,219
10/26 </t>
        </r>
        <r>
          <rPr>
            <sz val="9"/>
            <color indexed="81"/>
            <rFont val="돋움"/>
            <family val="3"/>
            <charset val="129"/>
          </rPr>
          <t>자부담금</t>
        </r>
        <r>
          <rPr>
            <sz val="9"/>
            <color indexed="81"/>
            <rFont val="Tahoma"/>
            <family val="2"/>
          </rPr>
          <t xml:space="preserve"> </t>
        </r>
        <r>
          <rPr>
            <sz val="9"/>
            <color indexed="81"/>
            <rFont val="돋움"/>
            <family val="3"/>
            <charset val="129"/>
          </rPr>
          <t xml:space="preserve">입금
</t>
        </r>
        <r>
          <rPr>
            <sz val="9"/>
            <color indexed="81"/>
            <rFont val="Tahoma"/>
            <family val="2"/>
          </rPr>
          <t>\10,000,000</t>
        </r>
      </text>
    </comment>
    <comment ref="L368" authorId="1" shapeId="0" xr:uid="{00000000-0006-0000-0000-0000A7000000}">
      <text>
        <r>
          <rPr>
            <b/>
            <sz val="9"/>
            <color indexed="81"/>
            <rFont val="Tahoma"/>
            <family val="2"/>
          </rPr>
          <t>Temp:</t>
        </r>
        <r>
          <rPr>
            <sz val="9"/>
            <color indexed="81"/>
            <rFont val="Tahoma"/>
            <family val="2"/>
          </rPr>
          <t xml:space="preserve">
10/22 </t>
        </r>
        <r>
          <rPr>
            <sz val="9"/>
            <color indexed="81"/>
            <rFont val="돋움"/>
            <family val="3"/>
            <charset val="129"/>
          </rPr>
          <t>선금</t>
        </r>
        <r>
          <rPr>
            <sz val="9"/>
            <color indexed="81"/>
            <rFont val="Tahoma"/>
            <family val="2"/>
          </rPr>
          <t xml:space="preserve"> 5500</t>
        </r>
        <r>
          <rPr>
            <sz val="9"/>
            <color indexed="81"/>
            <rFont val="돋움"/>
            <family val="3"/>
            <charset val="129"/>
          </rPr>
          <t>만원</t>
        </r>
        <r>
          <rPr>
            <sz val="9"/>
            <color indexed="81"/>
            <rFont val="Tahoma"/>
            <family val="2"/>
          </rPr>
          <t xml:space="preserve"> </t>
        </r>
        <r>
          <rPr>
            <sz val="9"/>
            <color indexed="81"/>
            <rFont val="돋움"/>
            <family val="3"/>
            <charset val="129"/>
          </rPr>
          <t xml:space="preserve">청구
</t>
        </r>
        <r>
          <rPr>
            <sz val="9"/>
            <color indexed="81"/>
            <rFont val="Tahoma"/>
            <family val="2"/>
          </rPr>
          <t>22</t>
        </r>
        <r>
          <rPr>
            <sz val="9"/>
            <color indexed="81"/>
            <rFont val="돋움"/>
            <family val="3"/>
            <charset val="129"/>
          </rPr>
          <t>년</t>
        </r>
        <r>
          <rPr>
            <sz val="9"/>
            <color indexed="81"/>
            <rFont val="Tahoma"/>
            <family val="2"/>
          </rPr>
          <t xml:space="preserve"> 1/25 </t>
        </r>
        <r>
          <rPr>
            <sz val="9"/>
            <color indexed="81"/>
            <rFont val="돋움"/>
            <family val="3"/>
            <charset val="129"/>
          </rPr>
          <t>잔금</t>
        </r>
        <r>
          <rPr>
            <sz val="9"/>
            <color indexed="81"/>
            <rFont val="Tahoma"/>
            <family val="2"/>
          </rPr>
          <t xml:space="preserve"> 369,600,000</t>
        </r>
        <r>
          <rPr>
            <sz val="9"/>
            <color indexed="81"/>
            <rFont val="돋움"/>
            <family val="3"/>
            <charset val="129"/>
          </rPr>
          <t>원</t>
        </r>
        <r>
          <rPr>
            <sz val="9"/>
            <color indexed="81"/>
            <rFont val="Tahoma"/>
            <family val="2"/>
          </rPr>
          <t xml:space="preserve"> </t>
        </r>
        <r>
          <rPr>
            <sz val="9"/>
            <color indexed="81"/>
            <rFont val="돋움"/>
            <family val="3"/>
            <charset val="129"/>
          </rPr>
          <t>청구</t>
        </r>
      </text>
    </comment>
    <comment ref="M368" authorId="1" shapeId="0" xr:uid="{00000000-0006-0000-0000-0000A8000000}">
      <text>
        <r>
          <rPr>
            <b/>
            <sz val="9"/>
            <color indexed="81"/>
            <rFont val="Tahoma"/>
            <family val="2"/>
          </rPr>
          <t>Temp:</t>
        </r>
        <r>
          <rPr>
            <sz val="9"/>
            <color indexed="81"/>
            <rFont val="Tahoma"/>
            <family val="2"/>
          </rPr>
          <t xml:space="preserve">
10/26 </t>
        </r>
        <r>
          <rPr>
            <sz val="9"/>
            <color indexed="81"/>
            <rFont val="돋움"/>
            <family val="3"/>
            <charset val="129"/>
          </rPr>
          <t>선금</t>
        </r>
        <r>
          <rPr>
            <sz val="9"/>
            <color indexed="81"/>
            <rFont val="Tahoma"/>
            <family val="2"/>
          </rPr>
          <t xml:space="preserve"> 5500</t>
        </r>
        <r>
          <rPr>
            <sz val="9"/>
            <color indexed="81"/>
            <rFont val="돋움"/>
            <family val="3"/>
            <charset val="129"/>
          </rPr>
          <t>만원</t>
        </r>
        <r>
          <rPr>
            <sz val="9"/>
            <color indexed="81"/>
            <rFont val="Tahoma"/>
            <family val="2"/>
          </rPr>
          <t xml:space="preserve"> </t>
        </r>
        <r>
          <rPr>
            <sz val="9"/>
            <color indexed="81"/>
            <rFont val="돋움"/>
            <family val="3"/>
            <charset val="129"/>
          </rPr>
          <t xml:space="preserve">입금
</t>
        </r>
        <r>
          <rPr>
            <sz val="9"/>
            <color indexed="81"/>
            <rFont val="Tahoma"/>
            <family val="2"/>
          </rPr>
          <t>22</t>
        </r>
        <r>
          <rPr>
            <sz val="9"/>
            <color indexed="81"/>
            <rFont val="돋움"/>
            <family val="3"/>
            <charset val="129"/>
          </rPr>
          <t>년</t>
        </r>
        <r>
          <rPr>
            <sz val="9"/>
            <color indexed="81"/>
            <rFont val="Tahoma"/>
            <family val="2"/>
          </rPr>
          <t xml:space="preserve"> 3/4 </t>
        </r>
        <r>
          <rPr>
            <sz val="9"/>
            <color indexed="81"/>
            <rFont val="돋움"/>
            <family val="3"/>
            <charset val="129"/>
          </rPr>
          <t>잔금</t>
        </r>
        <r>
          <rPr>
            <sz val="9"/>
            <color indexed="81"/>
            <rFont val="Tahoma"/>
            <family val="2"/>
          </rPr>
          <t xml:space="preserve"> </t>
        </r>
        <r>
          <rPr>
            <sz val="9"/>
            <color indexed="81"/>
            <rFont val="돋움"/>
            <family val="3"/>
            <charset val="129"/>
          </rPr>
          <t>입금</t>
        </r>
      </text>
    </comment>
    <comment ref="L370" authorId="1" shapeId="0" xr:uid="{00000000-0006-0000-0000-0000A9000000}">
      <text>
        <r>
          <rPr>
            <b/>
            <sz val="9"/>
            <color indexed="81"/>
            <rFont val="Tahoma"/>
            <family val="2"/>
          </rPr>
          <t>Temp:</t>
        </r>
        <r>
          <rPr>
            <sz val="9"/>
            <color indexed="81"/>
            <rFont val="Tahoma"/>
            <family val="2"/>
          </rPr>
          <t xml:space="preserve">
</t>
        </r>
        <r>
          <rPr>
            <sz val="9"/>
            <color indexed="81"/>
            <rFont val="돋움"/>
            <family val="3"/>
            <charset val="129"/>
          </rPr>
          <t>선금</t>
        </r>
        <r>
          <rPr>
            <sz val="9"/>
            <color indexed="81"/>
            <rFont val="Tahoma"/>
            <family val="2"/>
          </rPr>
          <t>100%</t>
        </r>
      </text>
    </comment>
    <comment ref="Y372" authorId="9" shapeId="0" xr:uid="{00000000-0006-0000-0000-0000AA000000}">
      <text>
        <r>
          <rPr>
            <b/>
            <sz val="9"/>
            <color indexed="81"/>
            <rFont val="Tahoma"/>
            <family val="2"/>
          </rPr>
          <t xml:space="preserve">1802-D001:
CUAV GPS Drone
</t>
        </r>
      </text>
    </comment>
    <comment ref="L377" authorId="1" shapeId="0" xr:uid="{00000000-0006-0000-0000-0000AB000000}">
      <text>
        <r>
          <rPr>
            <b/>
            <sz val="9"/>
            <color indexed="81"/>
            <rFont val="Tahoma"/>
            <family val="2"/>
          </rPr>
          <t>Temp:</t>
        </r>
        <r>
          <rPr>
            <sz val="9"/>
            <color indexed="81"/>
            <rFont val="Tahoma"/>
            <family val="2"/>
          </rPr>
          <t xml:space="preserve">
</t>
        </r>
        <r>
          <rPr>
            <sz val="9"/>
            <color indexed="81"/>
            <rFont val="돋움"/>
            <family val="3"/>
            <charset val="129"/>
          </rPr>
          <t>선금</t>
        </r>
        <r>
          <rPr>
            <sz val="9"/>
            <color indexed="81"/>
            <rFont val="Tahoma"/>
            <family val="2"/>
          </rPr>
          <t>100%</t>
        </r>
      </text>
    </comment>
    <comment ref="L380" authorId="1" shapeId="0" xr:uid="{00000000-0006-0000-0000-0000AC000000}">
      <text>
        <r>
          <rPr>
            <b/>
            <sz val="9"/>
            <color indexed="81"/>
            <rFont val="Tahoma"/>
            <family val="2"/>
          </rPr>
          <t>Temp:</t>
        </r>
        <r>
          <rPr>
            <sz val="9"/>
            <color indexed="81"/>
            <rFont val="Tahoma"/>
            <family val="2"/>
          </rPr>
          <t xml:space="preserve">
11/4 </t>
        </r>
        <r>
          <rPr>
            <sz val="9"/>
            <color indexed="81"/>
            <rFont val="돋움"/>
            <family val="3"/>
            <charset val="129"/>
          </rPr>
          <t>선금</t>
        </r>
        <r>
          <rPr>
            <sz val="9"/>
            <color indexed="81"/>
            <rFont val="Tahoma"/>
            <family val="2"/>
          </rPr>
          <t xml:space="preserve">100% </t>
        </r>
        <r>
          <rPr>
            <sz val="9"/>
            <color indexed="81"/>
            <rFont val="돋움"/>
            <family val="3"/>
            <charset val="129"/>
          </rPr>
          <t>발급</t>
        </r>
      </text>
    </comment>
    <comment ref="L383" authorId="1" shapeId="0" xr:uid="{00000000-0006-0000-0000-0000AD000000}">
      <text>
        <r>
          <rPr>
            <b/>
            <sz val="9"/>
            <color indexed="81"/>
            <rFont val="Tahoma"/>
            <family val="2"/>
          </rPr>
          <t>Temp:</t>
        </r>
        <r>
          <rPr>
            <sz val="9"/>
            <color indexed="81"/>
            <rFont val="Tahoma"/>
            <family val="2"/>
          </rPr>
          <t xml:space="preserve">
11/10 </t>
        </r>
        <r>
          <rPr>
            <sz val="9"/>
            <color indexed="81"/>
            <rFont val="돋움"/>
            <family val="3"/>
            <charset val="129"/>
          </rPr>
          <t>선금</t>
        </r>
        <r>
          <rPr>
            <sz val="9"/>
            <color indexed="81"/>
            <rFont val="Tahoma"/>
            <family val="2"/>
          </rPr>
          <t xml:space="preserve"> </t>
        </r>
        <r>
          <rPr>
            <sz val="9"/>
            <color indexed="81"/>
            <rFont val="돋움"/>
            <family val="3"/>
            <charset val="129"/>
          </rPr>
          <t xml:space="preserve">발급
</t>
        </r>
        <r>
          <rPr>
            <sz val="9"/>
            <color indexed="81"/>
            <rFont val="Tahoma"/>
            <family val="2"/>
          </rPr>
          <t>\121,000,000</t>
        </r>
      </text>
    </comment>
    <comment ref="M383" authorId="1" shapeId="0" xr:uid="{00000000-0006-0000-0000-0000AE000000}">
      <text>
        <r>
          <rPr>
            <b/>
            <sz val="9"/>
            <color indexed="81"/>
            <rFont val="Tahoma"/>
            <family val="2"/>
          </rPr>
          <t>Temp:</t>
        </r>
        <r>
          <rPr>
            <sz val="9"/>
            <color indexed="81"/>
            <rFont val="Tahoma"/>
            <family val="2"/>
          </rPr>
          <t xml:space="preserve">
11/17 </t>
        </r>
        <r>
          <rPr>
            <sz val="9"/>
            <color indexed="81"/>
            <rFont val="돋움"/>
            <family val="3"/>
            <charset val="129"/>
          </rPr>
          <t>선금</t>
        </r>
        <r>
          <rPr>
            <sz val="9"/>
            <color indexed="81"/>
            <rFont val="Tahoma"/>
            <family val="2"/>
          </rPr>
          <t xml:space="preserve"> </t>
        </r>
        <r>
          <rPr>
            <sz val="9"/>
            <color indexed="81"/>
            <rFont val="돋움"/>
            <family val="3"/>
            <charset val="129"/>
          </rPr>
          <t xml:space="preserve">입금
</t>
        </r>
        <r>
          <rPr>
            <sz val="9"/>
            <color indexed="81"/>
            <rFont val="Tahoma"/>
            <family val="2"/>
          </rPr>
          <t>\121,000,000</t>
        </r>
      </text>
    </comment>
    <comment ref="Y394" authorId="9" shapeId="0" xr:uid="{00000000-0006-0000-0000-0000AF000000}">
      <text>
        <r>
          <rPr>
            <b/>
            <sz val="9"/>
            <color indexed="81"/>
            <rFont val="Tahoma"/>
            <family val="2"/>
          </rPr>
          <t>1802-D001:</t>
        </r>
        <r>
          <rPr>
            <sz val="9"/>
            <color indexed="81"/>
            <rFont val="Tahoma"/>
            <family val="2"/>
          </rPr>
          <t xml:space="preserve">
</t>
        </r>
        <r>
          <rPr>
            <sz val="9"/>
            <color indexed="81"/>
            <rFont val="돋움"/>
            <family val="3"/>
            <charset val="129"/>
          </rPr>
          <t>이부장</t>
        </r>
        <r>
          <rPr>
            <sz val="9"/>
            <color indexed="81"/>
            <rFont val="Tahoma"/>
            <family val="2"/>
          </rPr>
          <t xml:space="preserve"> </t>
        </r>
        <r>
          <rPr>
            <sz val="9"/>
            <color indexed="81"/>
            <rFont val="돋움"/>
            <family val="3"/>
            <charset val="129"/>
          </rPr>
          <t>영업부랑</t>
        </r>
        <r>
          <rPr>
            <sz val="9"/>
            <color indexed="81"/>
            <rFont val="Tahoma"/>
            <family val="2"/>
          </rPr>
          <t xml:space="preserve"> </t>
        </r>
        <r>
          <rPr>
            <sz val="9"/>
            <color indexed="81"/>
            <rFont val="돋움"/>
            <family val="3"/>
            <charset val="129"/>
          </rPr>
          <t>재확인</t>
        </r>
        <r>
          <rPr>
            <sz val="9"/>
            <color indexed="81"/>
            <rFont val="Tahoma"/>
            <family val="2"/>
          </rPr>
          <t>22.12.20</t>
        </r>
      </text>
    </comment>
    <comment ref="L395" authorId="1" shapeId="0" xr:uid="{00000000-0006-0000-0000-0000B0000000}">
      <text>
        <r>
          <rPr>
            <b/>
            <sz val="9"/>
            <color indexed="81"/>
            <rFont val="Tahoma"/>
            <family val="2"/>
          </rPr>
          <t>Temp:</t>
        </r>
        <r>
          <rPr>
            <sz val="9"/>
            <color indexed="81"/>
            <rFont val="Tahoma"/>
            <family val="2"/>
          </rPr>
          <t xml:space="preserve">
</t>
        </r>
        <r>
          <rPr>
            <sz val="9"/>
            <color indexed="81"/>
            <rFont val="돋움"/>
            <family val="3"/>
            <charset val="129"/>
          </rPr>
          <t>선금</t>
        </r>
        <r>
          <rPr>
            <sz val="9"/>
            <color indexed="81"/>
            <rFont val="Tahoma"/>
            <family val="2"/>
          </rPr>
          <t>100%</t>
        </r>
      </text>
    </comment>
    <comment ref="L402" authorId="1" shapeId="0" xr:uid="{00000000-0006-0000-0000-0000B1000000}">
      <text>
        <r>
          <rPr>
            <b/>
            <sz val="9"/>
            <color indexed="81"/>
            <rFont val="Tahoma"/>
            <family val="2"/>
          </rPr>
          <t>Temp:</t>
        </r>
        <r>
          <rPr>
            <sz val="9"/>
            <color indexed="81"/>
            <rFont val="Tahoma"/>
            <family val="2"/>
          </rPr>
          <t xml:space="preserve">
11/30 </t>
        </r>
        <r>
          <rPr>
            <sz val="9"/>
            <color indexed="81"/>
            <rFont val="돋움"/>
            <family val="3"/>
            <charset val="129"/>
          </rPr>
          <t>선금</t>
        </r>
        <r>
          <rPr>
            <sz val="9"/>
            <color indexed="81"/>
            <rFont val="Tahoma"/>
            <family val="2"/>
          </rPr>
          <t xml:space="preserve">20% </t>
        </r>
        <r>
          <rPr>
            <sz val="9"/>
            <color indexed="81"/>
            <rFont val="돋움"/>
            <family val="3"/>
            <charset val="129"/>
          </rPr>
          <t xml:space="preserve">발급
</t>
        </r>
        <r>
          <rPr>
            <sz val="9"/>
            <color indexed="81"/>
            <rFont val="Tahoma"/>
            <family val="2"/>
          </rPr>
          <t>\15,400,000</t>
        </r>
      </text>
    </comment>
    <comment ref="M402" authorId="1" shapeId="0" xr:uid="{00000000-0006-0000-0000-0000B2000000}">
      <text>
        <r>
          <rPr>
            <b/>
            <sz val="9"/>
            <color indexed="81"/>
            <rFont val="Tahoma"/>
            <family val="2"/>
          </rPr>
          <t>Temp:</t>
        </r>
        <r>
          <rPr>
            <sz val="9"/>
            <color indexed="81"/>
            <rFont val="Tahoma"/>
            <family val="2"/>
          </rPr>
          <t xml:space="preserve">
12/30 </t>
        </r>
        <r>
          <rPr>
            <sz val="9"/>
            <color indexed="81"/>
            <rFont val="돋움"/>
            <family val="3"/>
            <charset val="129"/>
          </rPr>
          <t>선금</t>
        </r>
        <r>
          <rPr>
            <sz val="9"/>
            <color indexed="81"/>
            <rFont val="Tahoma"/>
            <family val="2"/>
          </rPr>
          <t xml:space="preserve">20% </t>
        </r>
        <r>
          <rPr>
            <sz val="9"/>
            <color indexed="81"/>
            <rFont val="돋움"/>
            <family val="3"/>
            <charset val="129"/>
          </rPr>
          <t xml:space="preserve">입금
</t>
        </r>
        <r>
          <rPr>
            <sz val="9"/>
            <color indexed="81"/>
            <rFont val="Tahoma"/>
            <family val="2"/>
          </rPr>
          <t>\15,400,000</t>
        </r>
      </text>
    </comment>
    <comment ref="L403" authorId="1" shapeId="0" xr:uid="{00000000-0006-0000-0000-0000B3000000}">
      <text>
        <r>
          <rPr>
            <b/>
            <sz val="9"/>
            <color indexed="81"/>
            <rFont val="Tahoma"/>
            <family val="2"/>
          </rPr>
          <t>Temp:</t>
        </r>
        <r>
          <rPr>
            <sz val="9"/>
            <color indexed="81"/>
            <rFont val="Tahoma"/>
            <family val="2"/>
          </rPr>
          <t xml:space="preserve">
11/30 </t>
        </r>
        <r>
          <rPr>
            <sz val="9"/>
            <color indexed="81"/>
            <rFont val="돋움"/>
            <family val="3"/>
            <charset val="129"/>
          </rPr>
          <t>선금</t>
        </r>
        <r>
          <rPr>
            <sz val="9"/>
            <color indexed="81"/>
            <rFont val="Tahoma"/>
            <family val="2"/>
          </rPr>
          <t xml:space="preserve">20% </t>
        </r>
        <r>
          <rPr>
            <sz val="9"/>
            <color indexed="81"/>
            <rFont val="돋움"/>
            <family val="3"/>
            <charset val="129"/>
          </rPr>
          <t xml:space="preserve">발급
</t>
        </r>
        <r>
          <rPr>
            <sz val="9"/>
            <color indexed="81"/>
            <rFont val="Tahoma"/>
            <family val="2"/>
          </rPr>
          <t>\9,900,000</t>
        </r>
      </text>
    </comment>
    <comment ref="M403" authorId="1" shapeId="0" xr:uid="{00000000-0006-0000-0000-0000B4000000}">
      <text>
        <r>
          <rPr>
            <b/>
            <sz val="9"/>
            <color indexed="81"/>
            <rFont val="Tahoma"/>
            <family val="2"/>
          </rPr>
          <t>Temp:</t>
        </r>
        <r>
          <rPr>
            <sz val="9"/>
            <color indexed="81"/>
            <rFont val="Tahoma"/>
            <family val="2"/>
          </rPr>
          <t xml:space="preserve">
12/30 </t>
        </r>
        <r>
          <rPr>
            <sz val="9"/>
            <color indexed="81"/>
            <rFont val="돋움"/>
            <family val="3"/>
            <charset val="129"/>
          </rPr>
          <t>선금</t>
        </r>
        <r>
          <rPr>
            <sz val="9"/>
            <color indexed="81"/>
            <rFont val="Tahoma"/>
            <family val="2"/>
          </rPr>
          <t xml:space="preserve">20% </t>
        </r>
        <r>
          <rPr>
            <sz val="9"/>
            <color indexed="81"/>
            <rFont val="돋움"/>
            <family val="3"/>
            <charset val="129"/>
          </rPr>
          <t xml:space="preserve">입금
</t>
        </r>
        <r>
          <rPr>
            <sz val="9"/>
            <color indexed="81"/>
            <rFont val="Tahoma"/>
            <family val="2"/>
          </rPr>
          <t>\9,900,000</t>
        </r>
      </text>
    </comment>
    <comment ref="M407" authorId="1" shapeId="0" xr:uid="{00000000-0006-0000-0000-0000B5000000}">
      <text>
        <r>
          <rPr>
            <b/>
            <sz val="9"/>
            <color indexed="81"/>
            <rFont val="Tahoma"/>
            <family val="2"/>
          </rPr>
          <t>Temp:</t>
        </r>
        <r>
          <rPr>
            <sz val="9"/>
            <color indexed="81"/>
            <rFont val="Tahoma"/>
            <family val="2"/>
          </rPr>
          <t xml:space="preserve">
11/26 </t>
        </r>
        <r>
          <rPr>
            <sz val="9"/>
            <color indexed="81"/>
            <rFont val="돋움"/>
            <family val="3"/>
            <charset val="129"/>
          </rPr>
          <t>선금</t>
        </r>
        <r>
          <rPr>
            <sz val="9"/>
            <color indexed="81"/>
            <rFont val="Tahoma"/>
            <family val="2"/>
          </rPr>
          <t xml:space="preserve"> 50% </t>
        </r>
        <r>
          <rPr>
            <sz val="9"/>
            <color indexed="81"/>
            <rFont val="돋움"/>
            <family val="3"/>
            <charset val="129"/>
          </rPr>
          <t>입금</t>
        </r>
        <r>
          <rPr>
            <sz val="9"/>
            <color indexed="81"/>
            <rFont val="Tahoma"/>
            <family val="2"/>
          </rPr>
          <t xml:space="preserve">
\5,250,000 
12/29 </t>
        </r>
        <r>
          <rPr>
            <sz val="9"/>
            <color indexed="81"/>
            <rFont val="돋움"/>
            <family val="3"/>
            <charset val="129"/>
          </rPr>
          <t>잔금</t>
        </r>
        <r>
          <rPr>
            <sz val="9"/>
            <color indexed="81"/>
            <rFont val="Tahoma"/>
            <family val="2"/>
          </rPr>
          <t xml:space="preserve"> 50% </t>
        </r>
        <r>
          <rPr>
            <sz val="9"/>
            <color indexed="81"/>
            <rFont val="돋움"/>
            <family val="3"/>
            <charset val="129"/>
          </rPr>
          <t xml:space="preserve">입금
</t>
        </r>
        <r>
          <rPr>
            <sz val="9"/>
            <color indexed="81"/>
            <rFont val="Tahoma"/>
            <family val="2"/>
          </rPr>
          <t>\5,250,000</t>
        </r>
      </text>
    </comment>
    <comment ref="L408" authorId="10" shapeId="0" xr:uid="{00000000-0006-0000-0000-0000B6000000}">
      <text>
        <r>
          <rPr>
            <b/>
            <sz val="9"/>
            <color indexed="81"/>
            <rFont val="돋움"/>
            <family val="3"/>
            <charset val="129"/>
          </rPr>
          <t>관리부</t>
        </r>
        <r>
          <rPr>
            <b/>
            <sz val="9"/>
            <color indexed="81"/>
            <rFont val="Tahoma"/>
            <family val="2"/>
          </rPr>
          <t>-1:</t>
        </r>
        <r>
          <rPr>
            <sz val="9"/>
            <color indexed="81"/>
            <rFont val="Tahoma"/>
            <family val="2"/>
          </rPr>
          <t xml:space="preserve">
12/10 </t>
        </r>
        <r>
          <rPr>
            <sz val="9"/>
            <color indexed="81"/>
            <rFont val="돋움"/>
            <family val="3"/>
            <charset val="129"/>
          </rPr>
          <t>선금</t>
        </r>
        <r>
          <rPr>
            <sz val="9"/>
            <color indexed="81"/>
            <rFont val="Tahoma"/>
            <family val="2"/>
          </rPr>
          <t xml:space="preserve">80% </t>
        </r>
        <r>
          <rPr>
            <sz val="9"/>
            <color indexed="81"/>
            <rFont val="돋움"/>
            <family val="3"/>
            <charset val="129"/>
          </rPr>
          <t xml:space="preserve">발급
</t>
        </r>
        <r>
          <rPr>
            <sz val="9"/>
            <color indexed="81"/>
            <rFont val="Tahoma"/>
            <family val="2"/>
          </rPr>
          <t>\20,240,000
22</t>
        </r>
        <r>
          <rPr>
            <sz val="9"/>
            <color indexed="81"/>
            <rFont val="돋움"/>
            <family val="3"/>
            <charset val="129"/>
          </rPr>
          <t>년</t>
        </r>
        <r>
          <rPr>
            <sz val="9"/>
            <color indexed="81"/>
            <rFont val="Tahoma"/>
            <family val="2"/>
          </rPr>
          <t xml:space="preserve"> 6/8 </t>
        </r>
        <r>
          <rPr>
            <sz val="9"/>
            <color indexed="81"/>
            <rFont val="돋움"/>
            <family val="3"/>
            <charset val="129"/>
          </rPr>
          <t>잔금</t>
        </r>
        <r>
          <rPr>
            <sz val="9"/>
            <color indexed="81"/>
            <rFont val="Tahoma"/>
            <family val="2"/>
          </rPr>
          <t xml:space="preserve">20% </t>
        </r>
        <r>
          <rPr>
            <sz val="9"/>
            <color indexed="81"/>
            <rFont val="돋움"/>
            <family val="3"/>
            <charset val="129"/>
          </rPr>
          <t xml:space="preserve">발급
</t>
        </r>
        <r>
          <rPr>
            <sz val="9"/>
            <color indexed="81"/>
            <rFont val="Tahoma"/>
            <family val="2"/>
          </rPr>
          <t>\5,060,000</t>
        </r>
      </text>
    </comment>
    <comment ref="M408" authorId="10" shapeId="0" xr:uid="{00000000-0006-0000-0000-0000B7000000}">
      <text>
        <r>
          <rPr>
            <b/>
            <sz val="9"/>
            <color indexed="81"/>
            <rFont val="돋움"/>
            <family val="3"/>
            <charset val="129"/>
          </rPr>
          <t>관리부</t>
        </r>
        <r>
          <rPr>
            <b/>
            <sz val="9"/>
            <color indexed="81"/>
            <rFont val="Tahoma"/>
            <family val="2"/>
          </rPr>
          <t>-1:</t>
        </r>
        <r>
          <rPr>
            <sz val="9"/>
            <color indexed="81"/>
            <rFont val="Tahoma"/>
            <family val="2"/>
          </rPr>
          <t xml:space="preserve">
12/15 </t>
        </r>
        <r>
          <rPr>
            <sz val="9"/>
            <color indexed="81"/>
            <rFont val="돋움"/>
            <family val="3"/>
            <charset val="129"/>
          </rPr>
          <t>선금</t>
        </r>
        <r>
          <rPr>
            <sz val="9"/>
            <color indexed="81"/>
            <rFont val="Tahoma"/>
            <family val="2"/>
          </rPr>
          <t xml:space="preserve">80% </t>
        </r>
        <r>
          <rPr>
            <sz val="9"/>
            <color indexed="81"/>
            <rFont val="돋움"/>
            <family val="3"/>
            <charset val="129"/>
          </rPr>
          <t>입금</t>
        </r>
        <r>
          <rPr>
            <sz val="9"/>
            <color indexed="81"/>
            <rFont val="Tahoma"/>
            <family val="2"/>
          </rPr>
          <t>20,240,000</t>
        </r>
        <r>
          <rPr>
            <sz val="9"/>
            <color indexed="81"/>
            <rFont val="돋움"/>
            <family val="3"/>
            <charset val="129"/>
          </rPr>
          <t xml:space="preserve">원
</t>
        </r>
        <r>
          <rPr>
            <sz val="9"/>
            <color indexed="81"/>
            <rFont val="Tahoma"/>
            <family val="2"/>
          </rPr>
          <t>22</t>
        </r>
        <r>
          <rPr>
            <sz val="9"/>
            <color indexed="81"/>
            <rFont val="돋움"/>
            <family val="3"/>
            <charset val="129"/>
          </rPr>
          <t>년</t>
        </r>
        <r>
          <rPr>
            <sz val="9"/>
            <color indexed="81"/>
            <rFont val="Tahoma"/>
            <family val="2"/>
          </rPr>
          <t xml:space="preserve"> 6/10 </t>
        </r>
        <r>
          <rPr>
            <sz val="9"/>
            <color indexed="81"/>
            <rFont val="돋움"/>
            <family val="3"/>
            <charset val="129"/>
          </rPr>
          <t>잔금</t>
        </r>
        <r>
          <rPr>
            <sz val="9"/>
            <color indexed="81"/>
            <rFont val="Tahoma"/>
            <family val="2"/>
          </rPr>
          <t xml:space="preserve">20% </t>
        </r>
        <r>
          <rPr>
            <sz val="9"/>
            <color indexed="81"/>
            <rFont val="돋움"/>
            <family val="3"/>
            <charset val="129"/>
          </rPr>
          <t xml:space="preserve">입금
</t>
        </r>
        <r>
          <rPr>
            <sz val="9"/>
            <color indexed="81"/>
            <rFont val="Tahoma"/>
            <family val="2"/>
          </rPr>
          <t>\5,060,000</t>
        </r>
      </text>
    </comment>
    <comment ref="K422" authorId="0" shapeId="0" xr:uid="{00000000-0006-0000-0000-0000B8000000}">
      <text>
        <r>
          <rPr>
            <sz val="9"/>
            <color indexed="81"/>
            <rFont val="돋움"/>
            <family val="3"/>
            <charset val="129"/>
          </rPr>
          <t>기존</t>
        </r>
        <r>
          <rPr>
            <sz val="9"/>
            <color indexed="81"/>
            <rFont val="Tahoma"/>
            <family val="2"/>
          </rPr>
          <t xml:space="preserve"> 1/31 &gt; </t>
        </r>
        <r>
          <rPr>
            <sz val="9"/>
            <color indexed="81"/>
            <rFont val="돋움"/>
            <family val="3"/>
            <charset val="129"/>
          </rPr>
          <t>변경</t>
        </r>
        <r>
          <rPr>
            <sz val="9"/>
            <color indexed="81"/>
            <rFont val="Tahoma"/>
            <family val="2"/>
          </rPr>
          <t xml:space="preserve"> 2/28
</t>
        </r>
      </text>
    </comment>
    <comment ref="L432" authorId="1" shapeId="0" xr:uid="{00000000-0006-0000-0000-0000B9000000}">
      <text>
        <r>
          <rPr>
            <b/>
            <sz val="9"/>
            <color indexed="81"/>
            <rFont val="Tahoma"/>
            <family val="2"/>
          </rPr>
          <t>Temp:</t>
        </r>
        <r>
          <rPr>
            <sz val="9"/>
            <color indexed="81"/>
            <rFont val="Tahoma"/>
            <family val="2"/>
          </rPr>
          <t xml:space="preserve">
</t>
        </r>
        <r>
          <rPr>
            <sz val="9"/>
            <color indexed="81"/>
            <rFont val="돋움"/>
            <family val="3"/>
            <charset val="129"/>
          </rPr>
          <t>선금</t>
        </r>
        <r>
          <rPr>
            <sz val="9"/>
            <color indexed="81"/>
            <rFont val="Tahoma"/>
            <family val="2"/>
          </rPr>
          <t>100%</t>
        </r>
      </text>
    </comment>
    <comment ref="L435" authorId="1" shapeId="0" xr:uid="{00000000-0006-0000-0000-0000BA000000}">
      <text>
        <r>
          <rPr>
            <b/>
            <sz val="9"/>
            <color indexed="81"/>
            <rFont val="Tahoma"/>
            <family val="2"/>
          </rPr>
          <t>Temp:</t>
        </r>
        <r>
          <rPr>
            <sz val="9"/>
            <color indexed="81"/>
            <rFont val="Tahoma"/>
            <family val="2"/>
          </rPr>
          <t xml:space="preserve">
12/15 </t>
        </r>
        <r>
          <rPr>
            <sz val="9"/>
            <color indexed="81"/>
            <rFont val="돋움"/>
            <family val="3"/>
            <charset val="129"/>
          </rPr>
          <t xml:space="preserve">청구했다가
</t>
        </r>
        <r>
          <rPr>
            <sz val="9"/>
            <color indexed="81"/>
            <rFont val="Tahoma"/>
            <family val="2"/>
          </rPr>
          <t xml:space="preserve">12/20 </t>
        </r>
        <r>
          <rPr>
            <sz val="9"/>
            <color indexed="81"/>
            <rFont val="돋움"/>
            <family val="3"/>
            <charset val="129"/>
          </rPr>
          <t>취소
내년으로</t>
        </r>
        <r>
          <rPr>
            <sz val="9"/>
            <color indexed="81"/>
            <rFont val="Tahoma"/>
            <family val="2"/>
          </rPr>
          <t xml:space="preserve"> </t>
        </r>
        <r>
          <rPr>
            <sz val="9"/>
            <color indexed="81"/>
            <rFont val="돋움"/>
            <family val="3"/>
            <charset val="129"/>
          </rPr>
          <t xml:space="preserve">미뤄짐
</t>
        </r>
      </text>
    </comment>
    <comment ref="L436" authorId="1" shapeId="0" xr:uid="{00000000-0006-0000-0000-0000BB000000}">
      <text>
        <r>
          <rPr>
            <b/>
            <sz val="9"/>
            <color indexed="81"/>
            <rFont val="Tahoma"/>
            <family val="2"/>
          </rPr>
          <t>Temp:</t>
        </r>
        <r>
          <rPr>
            <sz val="9"/>
            <color indexed="81"/>
            <rFont val="Tahoma"/>
            <family val="2"/>
          </rPr>
          <t xml:space="preserve">
12/15 </t>
        </r>
        <r>
          <rPr>
            <sz val="9"/>
            <color indexed="81"/>
            <rFont val="돋움"/>
            <family val="3"/>
            <charset val="129"/>
          </rPr>
          <t xml:space="preserve">청구했다가
</t>
        </r>
        <r>
          <rPr>
            <sz val="9"/>
            <color indexed="81"/>
            <rFont val="Tahoma"/>
            <family val="2"/>
          </rPr>
          <t xml:space="preserve">12/20 </t>
        </r>
        <r>
          <rPr>
            <sz val="9"/>
            <color indexed="81"/>
            <rFont val="돋움"/>
            <family val="3"/>
            <charset val="129"/>
          </rPr>
          <t>취소
내년으로</t>
        </r>
        <r>
          <rPr>
            <sz val="9"/>
            <color indexed="81"/>
            <rFont val="Tahoma"/>
            <family val="2"/>
          </rPr>
          <t xml:space="preserve"> </t>
        </r>
        <r>
          <rPr>
            <sz val="9"/>
            <color indexed="81"/>
            <rFont val="돋움"/>
            <family val="3"/>
            <charset val="129"/>
          </rPr>
          <t xml:space="preserve">미뤄짐
</t>
        </r>
      </text>
    </comment>
    <comment ref="L437" authorId="1" shapeId="0" xr:uid="{00000000-0006-0000-0000-0000BC000000}">
      <text>
        <r>
          <rPr>
            <b/>
            <sz val="9"/>
            <color indexed="81"/>
            <rFont val="Tahoma"/>
            <family val="2"/>
          </rPr>
          <t>Temp:</t>
        </r>
        <r>
          <rPr>
            <sz val="9"/>
            <color indexed="81"/>
            <rFont val="Tahoma"/>
            <family val="2"/>
          </rPr>
          <t xml:space="preserve">
12/15 </t>
        </r>
        <r>
          <rPr>
            <sz val="9"/>
            <color indexed="81"/>
            <rFont val="돋움"/>
            <family val="3"/>
            <charset val="129"/>
          </rPr>
          <t xml:space="preserve">청구했다가
</t>
        </r>
        <r>
          <rPr>
            <sz val="9"/>
            <color indexed="81"/>
            <rFont val="Tahoma"/>
            <family val="2"/>
          </rPr>
          <t xml:space="preserve">12/20 </t>
        </r>
        <r>
          <rPr>
            <sz val="9"/>
            <color indexed="81"/>
            <rFont val="돋움"/>
            <family val="3"/>
            <charset val="129"/>
          </rPr>
          <t>취소
내년으로</t>
        </r>
        <r>
          <rPr>
            <sz val="9"/>
            <color indexed="81"/>
            <rFont val="Tahoma"/>
            <family val="2"/>
          </rPr>
          <t xml:space="preserve"> </t>
        </r>
        <r>
          <rPr>
            <sz val="9"/>
            <color indexed="81"/>
            <rFont val="돋움"/>
            <family val="3"/>
            <charset val="129"/>
          </rPr>
          <t xml:space="preserve">미뤄짐
</t>
        </r>
      </text>
    </comment>
    <comment ref="L438" authorId="1" shapeId="0" xr:uid="{00000000-0006-0000-0000-0000BD000000}">
      <text>
        <r>
          <rPr>
            <b/>
            <sz val="9"/>
            <color indexed="81"/>
            <rFont val="Tahoma"/>
            <family val="2"/>
          </rPr>
          <t>Temp:</t>
        </r>
        <r>
          <rPr>
            <sz val="9"/>
            <color indexed="81"/>
            <rFont val="Tahoma"/>
            <family val="2"/>
          </rPr>
          <t xml:space="preserve">
12/15 </t>
        </r>
        <r>
          <rPr>
            <sz val="9"/>
            <color indexed="81"/>
            <rFont val="돋움"/>
            <family val="3"/>
            <charset val="129"/>
          </rPr>
          <t xml:space="preserve">청구했다가
</t>
        </r>
        <r>
          <rPr>
            <sz val="9"/>
            <color indexed="81"/>
            <rFont val="Tahoma"/>
            <family val="2"/>
          </rPr>
          <t xml:space="preserve">12/20 </t>
        </r>
        <r>
          <rPr>
            <sz val="9"/>
            <color indexed="81"/>
            <rFont val="돋움"/>
            <family val="3"/>
            <charset val="129"/>
          </rPr>
          <t>취소
내년으로</t>
        </r>
        <r>
          <rPr>
            <sz val="9"/>
            <color indexed="81"/>
            <rFont val="Tahoma"/>
            <family val="2"/>
          </rPr>
          <t xml:space="preserve"> </t>
        </r>
        <r>
          <rPr>
            <sz val="9"/>
            <color indexed="81"/>
            <rFont val="돋움"/>
            <family val="3"/>
            <charset val="129"/>
          </rPr>
          <t xml:space="preserve">미뤄짐
</t>
        </r>
      </text>
    </comment>
    <comment ref="Y443" authorId="9" shapeId="0" xr:uid="{00000000-0006-0000-0000-0000BE000000}">
      <text>
        <r>
          <rPr>
            <b/>
            <sz val="9"/>
            <color indexed="81"/>
            <rFont val="Tahoma"/>
            <family val="2"/>
          </rPr>
          <t>1802-D001:</t>
        </r>
        <r>
          <rPr>
            <sz val="9"/>
            <color indexed="81"/>
            <rFont val="Tahoma"/>
            <family val="2"/>
          </rPr>
          <t xml:space="preserve">
</t>
        </r>
        <r>
          <rPr>
            <sz val="9"/>
            <color indexed="81"/>
            <rFont val="돋움"/>
            <family val="3"/>
            <charset val="129"/>
          </rPr>
          <t>하부장</t>
        </r>
        <r>
          <rPr>
            <sz val="9"/>
            <color indexed="81"/>
            <rFont val="Tahoma"/>
            <family val="2"/>
          </rPr>
          <t xml:space="preserve"> </t>
        </r>
        <r>
          <rPr>
            <sz val="9"/>
            <color indexed="81"/>
            <rFont val="돋움"/>
            <family val="3"/>
            <charset val="129"/>
          </rPr>
          <t xml:space="preserve">확인해준것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Joy Kim</author>
    <author>1701-D001</author>
    <author>ALHEUM</author>
    <author>Doni Kang</author>
    <author>wonjin Oh</author>
    <author>Ahleum Hong</author>
  </authors>
  <commentList>
    <comment ref="F21" authorId="0" shapeId="0" xr:uid="{00000000-0006-0000-0100-000001000000}">
      <text>
        <r>
          <rPr>
            <b/>
            <sz val="9"/>
            <color indexed="81"/>
            <rFont val="Tahoma"/>
            <family val="2"/>
          </rPr>
          <t>HP:</t>
        </r>
        <r>
          <rPr>
            <sz val="9"/>
            <color indexed="81"/>
            <rFont val="Tahoma"/>
            <family val="2"/>
          </rPr>
          <t xml:space="preserve">
deduct </t>
        </r>
        <r>
          <rPr>
            <sz val="9"/>
            <color indexed="81"/>
            <rFont val="돋움"/>
            <family val="3"/>
            <charset val="129"/>
          </rPr>
          <t xml:space="preserve">금액있음
</t>
        </r>
      </text>
    </comment>
    <comment ref="F26" authorId="0" shapeId="0" xr:uid="{00000000-0006-0000-0100-000002000000}">
      <text>
        <r>
          <rPr>
            <b/>
            <sz val="9"/>
            <color indexed="81"/>
            <rFont val="Tahoma"/>
            <family val="2"/>
          </rPr>
          <t xml:space="preserve">HP:
</t>
        </r>
        <r>
          <rPr>
            <b/>
            <sz val="9"/>
            <color indexed="81"/>
            <rFont val="돋움"/>
            <family val="3"/>
            <charset val="129"/>
          </rPr>
          <t>수수료차감후</t>
        </r>
        <r>
          <rPr>
            <b/>
            <sz val="9"/>
            <color indexed="81"/>
            <rFont val="Tahoma"/>
            <family val="2"/>
          </rPr>
          <t xml:space="preserve"> </t>
        </r>
        <r>
          <rPr>
            <b/>
            <sz val="9"/>
            <color indexed="81"/>
            <rFont val="돋움"/>
            <family val="3"/>
            <charset val="129"/>
          </rPr>
          <t xml:space="preserve">입금
</t>
        </r>
        <r>
          <rPr>
            <b/>
            <sz val="9"/>
            <color indexed="81"/>
            <rFont val="Tahoma"/>
            <family val="2"/>
          </rPr>
          <t xml:space="preserve">48,696.69
</t>
        </r>
      </text>
    </comment>
    <comment ref="F27" authorId="0" shapeId="0" xr:uid="{00000000-0006-0000-0100-000003000000}">
      <text>
        <r>
          <rPr>
            <b/>
            <sz val="9"/>
            <color indexed="81"/>
            <rFont val="Tahoma"/>
            <family val="2"/>
          </rPr>
          <t>HP:</t>
        </r>
        <r>
          <rPr>
            <b/>
            <sz val="9"/>
            <color indexed="81"/>
            <rFont val="돋움"/>
            <family val="3"/>
            <charset val="129"/>
          </rPr>
          <t xml:space="preserve">수수료제외입금
</t>
        </r>
        <r>
          <rPr>
            <b/>
            <sz val="9"/>
            <color indexed="81"/>
            <rFont val="Tahoma"/>
            <family val="2"/>
          </rPr>
          <t xml:space="preserve">2,208.60 </t>
        </r>
      </text>
    </comment>
    <comment ref="F33" authorId="0" shapeId="0" xr:uid="{00000000-0006-0000-0100-000004000000}">
      <text>
        <r>
          <rPr>
            <b/>
            <sz val="9"/>
            <color indexed="81"/>
            <rFont val="Tahoma"/>
            <family val="2"/>
          </rPr>
          <t xml:space="preserve">HP:
</t>
        </r>
        <r>
          <rPr>
            <b/>
            <sz val="9"/>
            <color indexed="81"/>
            <rFont val="돋움"/>
            <family val="3"/>
            <charset val="129"/>
          </rPr>
          <t>수수료차감후</t>
        </r>
        <r>
          <rPr>
            <b/>
            <sz val="9"/>
            <color indexed="81"/>
            <rFont val="Tahoma"/>
            <family val="2"/>
          </rPr>
          <t xml:space="preserve"> Eur 3,080 </t>
        </r>
        <r>
          <rPr>
            <b/>
            <sz val="9"/>
            <color indexed="81"/>
            <rFont val="돋움"/>
            <family val="3"/>
            <charset val="129"/>
          </rPr>
          <t xml:space="preserve">입금
</t>
        </r>
      </text>
    </comment>
    <comment ref="F34" authorId="0" shapeId="0" xr:uid="{00000000-0006-0000-0100-000005000000}">
      <text>
        <r>
          <rPr>
            <b/>
            <sz val="9"/>
            <color indexed="81"/>
            <rFont val="Tahoma"/>
            <family val="2"/>
          </rPr>
          <t xml:space="preserve">HP: 
</t>
        </r>
        <r>
          <rPr>
            <b/>
            <sz val="9"/>
            <color indexed="81"/>
            <rFont val="돋움"/>
            <family val="3"/>
            <charset val="129"/>
          </rPr>
          <t>수수료</t>
        </r>
        <r>
          <rPr>
            <b/>
            <sz val="9"/>
            <color indexed="81"/>
            <rFont val="Tahoma"/>
            <family val="2"/>
          </rPr>
          <t xml:space="preserve"> </t>
        </r>
        <r>
          <rPr>
            <b/>
            <sz val="9"/>
            <color indexed="81"/>
            <rFont val="돋움"/>
            <family val="3"/>
            <charset val="129"/>
          </rPr>
          <t>차감후</t>
        </r>
        <r>
          <rPr>
            <b/>
            <sz val="9"/>
            <color indexed="81"/>
            <rFont val="Tahoma"/>
            <family val="2"/>
          </rPr>
          <t xml:space="preserve"> 670</t>
        </r>
        <r>
          <rPr>
            <b/>
            <sz val="9"/>
            <color indexed="81"/>
            <rFont val="돋움"/>
            <family val="3"/>
            <charset val="129"/>
          </rPr>
          <t>입금</t>
        </r>
      </text>
    </comment>
    <comment ref="F38" authorId="0" shapeId="0" xr:uid="{00000000-0006-0000-0100-000006000000}">
      <text>
        <r>
          <rPr>
            <b/>
            <sz val="9"/>
            <color indexed="81"/>
            <rFont val="Tahoma"/>
            <family val="2"/>
          </rPr>
          <t>HP:</t>
        </r>
        <r>
          <rPr>
            <sz val="9"/>
            <color indexed="81"/>
            <rFont val="Tahoma"/>
            <family val="2"/>
          </rPr>
          <t xml:space="preserve">
</t>
        </r>
        <r>
          <rPr>
            <sz val="9"/>
            <color indexed="81"/>
            <rFont val="돋움"/>
            <family val="3"/>
            <charset val="129"/>
          </rPr>
          <t>커미션</t>
        </r>
        <r>
          <rPr>
            <sz val="9"/>
            <color indexed="81"/>
            <rFont val="Tahoma"/>
            <family val="2"/>
          </rPr>
          <t xml:space="preserve"> 3,960
other  5,300</t>
        </r>
      </text>
    </comment>
    <comment ref="F41" authorId="0" shapeId="0" xr:uid="{00000000-0006-0000-0100-000007000000}">
      <text>
        <r>
          <rPr>
            <b/>
            <sz val="9"/>
            <color indexed="81"/>
            <rFont val="Tahoma"/>
            <family val="2"/>
          </rPr>
          <t xml:space="preserve">HP:
</t>
        </r>
        <r>
          <rPr>
            <b/>
            <sz val="9"/>
            <color indexed="81"/>
            <rFont val="돋움"/>
            <family val="3"/>
            <charset val="129"/>
          </rPr>
          <t>영업부청구</t>
        </r>
      </text>
    </comment>
    <comment ref="F42" authorId="0" shapeId="0" xr:uid="{00000000-0006-0000-0100-000008000000}">
      <text>
        <r>
          <rPr>
            <b/>
            <sz val="9"/>
            <color indexed="81"/>
            <rFont val="Tahoma"/>
            <family val="2"/>
          </rPr>
          <t>HP:</t>
        </r>
        <r>
          <rPr>
            <sz val="9"/>
            <color indexed="81"/>
            <rFont val="Tahoma"/>
            <family val="2"/>
          </rPr>
          <t xml:space="preserve">
</t>
        </r>
        <r>
          <rPr>
            <sz val="9"/>
            <color indexed="81"/>
            <rFont val="돋움"/>
            <family val="3"/>
            <charset val="129"/>
          </rPr>
          <t>영업부청구</t>
        </r>
      </text>
    </comment>
    <comment ref="F49" authorId="0" shapeId="0" xr:uid="{00000000-0006-0000-0100-000009000000}">
      <text>
        <r>
          <rPr>
            <b/>
            <sz val="9"/>
            <color indexed="81"/>
            <rFont val="Tahoma"/>
            <family val="2"/>
          </rPr>
          <t>HP:</t>
        </r>
        <r>
          <rPr>
            <sz val="9"/>
            <color indexed="81"/>
            <rFont val="Tahoma"/>
            <family val="2"/>
          </rPr>
          <t xml:space="preserve">
</t>
        </r>
        <r>
          <rPr>
            <sz val="9"/>
            <color indexed="81"/>
            <rFont val="돋움"/>
            <family val="3"/>
            <charset val="129"/>
          </rPr>
          <t>수수료</t>
        </r>
        <r>
          <rPr>
            <sz val="9"/>
            <color indexed="81"/>
            <rFont val="Tahoma"/>
            <family val="2"/>
          </rPr>
          <t xml:space="preserve"> </t>
        </r>
        <r>
          <rPr>
            <sz val="9"/>
            <color indexed="81"/>
            <rFont val="돋움"/>
            <family val="3"/>
            <charset val="129"/>
          </rPr>
          <t>차감후</t>
        </r>
        <r>
          <rPr>
            <sz val="9"/>
            <color indexed="81"/>
            <rFont val="Tahoma"/>
            <family val="2"/>
          </rPr>
          <t xml:space="preserve"> 1,345</t>
        </r>
        <r>
          <rPr>
            <sz val="9"/>
            <color indexed="81"/>
            <rFont val="돋움"/>
            <family val="3"/>
            <charset val="129"/>
          </rPr>
          <t xml:space="preserve">입금
</t>
        </r>
      </text>
    </comment>
    <comment ref="F51" authorId="1" shapeId="0" xr:uid="{00000000-0006-0000-0100-00000A000000}">
      <text>
        <r>
          <rPr>
            <b/>
            <sz val="9"/>
            <color indexed="81"/>
            <rFont val="Tahoma"/>
            <family val="2"/>
          </rPr>
          <t>Joy Kim:</t>
        </r>
        <r>
          <rPr>
            <sz val="9"/>
            <color indexed="81"/>
            <rFont val="Tahoma"/>
            <family val="2"/>
          </rPr>
          <t xml:space="preserve">
USD 6,677</t>
        </r>
        <r>
          <rPr>
            <sz val="9"/>
            <color indexed="81"/>
            <rFont val="돋움"/>
            <family val="3"/>
            <charset val="129"/>
          </rPr>
          <t>이</t>
        </r>
        <r>
          <rPr>
            <sz val="9"/>
            <color indexed="81"/>
            <rFont val="Tahoma"/>
            <family val="2"/>
          </rPr>
          <t xml:space="preserve"> </t>
        </r>
        <r>
          <rPr>
            <sz val="9"/>
            <color indexed="81"/>
            <rFont val="돋움"/>
            <family val="3"/>
            <charset val="129"/>
          </rPr>
          <t>원래인데</t>
        </r>
        <r>
          <rPr>
            <sz val="9"/>
            <color indexed="81"/>
            <rFont val="Tahoma"/>
            <family val="2"/>
          </rPr>
          <t xml:space="preserve">, </t>
        </r>
        <r>
          <rPr>
            <sz val="9"/>
            <color indexed="81"/>
            <rFont val="돋움"/>
            <family val="3"/>
            <charset val="129"/>
          </rPr>
          <t>아마</t>
        </r>
        <r>
          <rPr>
            <sz val="9"/>
            <color indexed="81"/>
            <rFont val="Tahoma"/>
            <family val="2"/>
          </rPr>
          <t xml:space="preserve"> Bank fee</t>
        </r>
        <r>
          <rPr>
            <sz val="9"/>
            <color indexed="81"/>
            <rFont val="돋움"/>
            <family val="3"/>
            <charset val="129"/>
          </rPr>
          <t>빠지고</t>
        </r>
        <r>
          <rPr>
            <sz val="9"/>
            <color indexed="81"/>
            <rFont val="Tahoma"/>
            <family val="2"/>
          </rPr>
          <t xml:space="preserve"> </t>
        </r>
        <r>
          <rPr>
            <sz val="9"/>
            <color indexed="81"/>
            <rFont val="돋움"/>
            <family val="3"/>
            <charset val="129"/>
          </rPr>
          <t>입금된것같습니다</t>
        </r>
      </text>
    </comment>
    <comment ref="F52" authorId="0" shapeId="0" xr:uid="{00000000-0006-0000-0100-00000B000000}">
      <text>
        <r>
          <rPr>
            <b/>
            <sz val="9"/>
            <color indexed="81"/>
            <rFont val="Tahoma"/>
            <family val="2"/>
          </rPr>
          <t>HP:</t>
        </r>
        <r>
          <rPr>
            <sz val="9"/>
            <color indexed="81"/>
            <rFont val="Tahoma"/>
            <family val="2"/>
          </rPr>
          <t xml:space="preserve">
EUR 12,043 </t>
        </r>
        <r>
          <rPr>
            <sz val="9"/>
            <color indexed="81"/>
            <rFont val="돋움"/>
            <family val="3"/>
            <charset val="129"/>
          </rPr>
          <t>입금</t>
        </r>
      </text>
    </comment>
    <comment ref="F53" authorId="0" shapeId="0" xr:uid="{00000000-0006-0000-0100-00000C000000}">
      <text>
        <r>
          <rPr>
            <b/>
            <sz val="9"/>
            <color indexed="81"/>
            <rFont val="Tahoma"/>
            <family val="2"/>
          </rPr>
          <t>HP:</t>
        </r>
        <r>
          <rPr>
            <sz val="9"/>
            <color indexed="81"/>
            <rFont val="Tahoma"/>
            <family val="2"/>
          </rPr>
          <t xml:space="preserve">
#17-266 overpaid 1,350</t>
        </r>
        <r>
          <rPr>
            <sz val="9"/>
            <color indexed="81"/>
            <rFont val="돋움"/>
            <family val="3"/>
            <charset val="129"/>
          </rPr>
          <t>상계후</t>
        </r>
        <r>
          <rPr>
            <sz val="9"/>
            <color indexed="81"/>
            <rFont val="Tahoma"/>
            <family val="2"/>
          </rPr>
          <t xml:space="preserve"> </t>
        </r>
        <r>
          <rPr>
            <sz val="9"/>
            <color indexed="81"/>
            <rFont val="돋움"/>
            <family val="3"/>
            <charset val="129"/>
          </rPr>
          <t>입금</t>
        </r>
        <r>
          <rPr>
            <sz val="9"/>
            <color indexed="81"/>
            <rFont val="Tahoma"/>
            <family val="2"/>
          </rPr>
          <t xml:space="preserve"> ($255)
</t>
        </r>
        <r>
          <rPr>
            <sz val="9"/>
            <color indexed="81"/>
            <rFont val="돋움"/>
            <family val="3"/>
            <charset val="129"/>
          </rPr>
          <t xml:space="preserve">
</t>
        </r>
      </text>
    </comment>
    <comment ref="F54" authorId="1" shapeId="0" xr:uid="{00000000-0006-0000-0100-00000D000000}">
      <text>
        <r>
          <rPr>
            <b/>
            <sz val="9"/>
            <color indexed="81"/>
            <rFont val="Tahoma"/>
            <family val="2"/>
          </rPr>
          <t>Joy Kim:</t>
        </r>
        <r>
          <rPr>
            <sz val="9"/>
            <color indexed="81"/>
            <rFont val="Tahoma"/>
            <family val="2"/>
          </rPr>
          <t xml:space="preserve">
Local</t>
        </r>
        <r>
          <rPr>
            <sz val="9"/>
            <color indexed="81"/>
            <rFont val="돋움"/>
            <family val="3"/>
            <charset val="129"/>
          </rPr>
          <t>분</t>
        </r>
        <r>
          <rPr>
            <sz val="9"/>
            <color indexed="81"/>
            <rFont val="Tahoma"/>
            <family val="2"/>
          </rPr>
          <t xml:space="preserve"> </t>
        </r>
        <r>
          <rPr>
            <sz val="9"/>
            <color indexed="81"/>
            <rFont val="돋움"/>
            <family val="3"/>
            <charset val="129"/>
          </rPr>
          <t>및</t>
        </r>
        <r>
          <rPr>
            <sz val="9"/>
            <color indexed="81"/>
            <rFont val="Tahoma"/>
            <family val="2"/>
          </rPr>
          <t xml:space="preserve"> Commissioning </t>
        </r>
        <r>
          <rPr>
            <sz val="9"/>
            <color indexed="81"/>
            <rFont val="돋움"/>
            <family val="3"/>
            <charset val="129"/>
          </rPr>
          <t>부분에서</t>
        </r>
        <r>
          <rPr>
            <sz val="9"/>
            <color indexed="81"/>
            <rFont val="Tahoma"/>
            <family val="2"/>
          </rPr>
          <t xml:space="preserve"> </t>
        </r>
        <r>
          <rPr>
            <sz val="9"/>
            <color indexed="81"/>
            <rFont val="돋움"/>
            <family val="3"/>
            <charset val="129"/>
          </rPr>
          <t>금액</t>
        </r>
        <r>
          <rPr>
            <sz val="9"/>
            <color indexed="81"/>
            <rFont val="Tahoma"/>
            <family val="2"/>
          </rPr>
          <t xml:space="preserve"> </t>
        </r>
        <r>
          <rPr>
            <sz val="9"/>
            <color indexed="81"/>
            <rFont val="돋움"/>
            <family val="3"/>
            <charset val="129"/>
          </rPr>
          <t>지출되는것에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줄어들</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있음</t>
        </r>
      </text>
    </comment>
    <comment ref="F56" authorId="0" shapeId="0" xr:uid="{00000000-0006-0000-0100-00000E000000}">
      <text>
        <r>
          <rPr>
            <b/>
            <sz val="9"/>
            <color indexed="81"/>
            <rFont val="Tahoma"/>
            <family val="2"/>
          </rPr>
          <t>HP:</t>
        </r>
        <r>
          <rPr>
            <sz val="9"/>
            <color indexed="81"/>
            <rFont val="Tahoma"/>
            <family val="2"/>
          </rPr>
          <t xml:space="preserve">
USD 1,964</t>
        </r>
        <r>
          <rPr>
            <sz val="9"/>
            <color indexed="81"/>
            <rFont val="돋움"/>
            <family val="3"/>
            <charset val="129"/>
          </rPr>
          <t>입금</t>
        </r>
      </text>
    </comment>
    <comment ref="F82" authorId="2" shapeId="0" xr:uid="{00000000-0006-0000-0100-00000F000000}">
      <text>
        <r>
          <rPr>
            <b/>
            <sz val="9"/>
            <color indexed="81"/>
            <rFont val="Tahoma"/>
            <family val="2"/>
          </rPr>
          <t>1701-D001:</t>
        </r>
        <r>
          <rPr>
            <sz val="9"/>
            <color indexed="81"/>
            <rFont val="Tahoma"/>
            <family val="2"/>
          </rPr>
          <t xml:space="preserve">
</t>
        </r>
        <r>
          <rPr>
            <sz val="9"/>
            <color indexed="81"/>
            <rFont val="돋움"/>
            <family val="3"/>
            <charset val="129"/>
          </rPr>
          <t>커미션</t>
        </r>
        <r>
          <rPr>
            <sz val="9"/>
            <color indexed="81"/>
            <rFont val="Tahoma"/>
            <family val="2"/>
          </rPr>
          <t xml:space="preserve"> 100,000</t>
        </r>
        <r>
          <rPr>
            <sz val="9"/>
            <color indexed="81"/>
            <rFont val="돋움"/>
            <family val="3"/>
            <charset val="129"/>
          </rPr>
          <t>에서</t>
        </r>
        <r>
          <rPr>
            <sz val="9"/>
            <color indexed="81"/>
            <rFont val="Tahoma"/>
            <family val="2"/>
          </rPr>
          <t xml:space="preserve"> </t>
        </r>
        <r>
          <rPr>
            <sz val="9"/>
            <color indexed="81"/>
            <rFont val="돋움"/>
            <family val="3"/>
            <charset val="129"/>
          </rPr>
          <t>중계수수료빼고</t>
        </r>
        <r>
          <rPr>
            <sz val="9"/>
            <color indexed="81"/>
            <rFont val="Tahoma"/>
            <family val="2"/>
          </rPr>
          <t xml:space="preserve"> </t>
        </r>
        <r>
          <rPr>
            <sz val="9"/>
            <color indexed="81"/>
            <rFont val="돋움"/>
            <family val="3"/>
            <charset val="129"/>
          </rPr>
          <t>입금된금액</t>
        </r>
      </text>
    </comment>
    <comment ref="F95" authorId="0" shapeId="0" xr:uid="{00000000-0006-0000-0100-000010000000}">
      <text>
        <r>
          <rPr>
            <b/>
            <sz val="9"/>
            <color indexed="81"/>
            <rFont val="Tahoma"/>
            <family val="2"/>
          </rPr>
          <t>HP:</t>
        </r>
        <r>
          <rPr>
            <sz val="9"/>
            <color indexed="81"/>
            <rFont val="Tahoma"/>
            <family val="2"/>
          </rPr>
          <t xml:space="preserve">
#19-39 net price : Eur 121,814.70
  </t>
        </r>
        <r>
          <rPr>
            <sz val="9"/>
            <color indexed="81"/>
            <rFont val="돋움"/>
            <family val="3"/>
            <charset val="129"/>
          </rPr>
          <t>커미션</t>
        </r>
        <r>
          <rPr>
            <sz val="9"/>
            <color indexed="81"/>
            <rFont val="Tahoma"/>
            <family val="2"/>
          </rPr>
          <t xml:space="preserve"> - Eur23,685.30
#19-48 : 5% </t>
        </r>
        <r>
          <rPr>
            <sz val="9"/>
            <color indexed="81"/>
            <rFont val="돋움"/>
            <family val="3"/>
            <charset val="129"/>
          </rPr>
          <t>커미션</t>
        </r>
        <r>
          <rPr>
            <sz val="9"/>
            <color indexed="81"/>
            <rFont val="Tahoma"/>
            <family val="2"/>
          </rPr>
          <t xml:space="preserve"> - Eur140.70
#19-84 : 5% </t>
        </r>
        <r>
          <rPr>
            <sz val="9"/>
            <color indexed="81"/>
            <rFont val="돋움"/>
            <family val="3"/>
            <charset val="129"/>
          </rPr>
          <t>커미션</t>
        </r>
        <r>
          <rPr>
            <sz val="9"/>
            <color indexed="81"/>
            <rFont val="Tahoma"/>
            <family val="2"/>
          </rPr>
          <t xml:space="preserve"> - Eur260.93</t>
        </r>
      </text>
    </comment>
    <comment ref="F96" authorId="3" shapeId="0" xr:uid="{00000000-0006-0000-0100-000011000000}">
      <text>
        <r>
          <rPr>
            <b/>
            <sz val="9"/>
            <color indexed="81"/>
            <rFont val="Tahoma"/>
            <family val="2"/>
          </rPr>
          <t>ALHEUM:</t>
        </r>
        <r>
          <rPr>
            <sz val="9"/>
            <color indexed="81"/>
            <rFont val="Tahoma"/>
            <family val="2"/>
          </rPr>
          <t xml:space="preserve">
</t>
        </r>
        <r>
          <rPr>
            <sz val="9"/>
            <color indexed="81"/>
            <rFont val="돋움"/>
            <family val="3"/>
            <charset val="129"/>
          </rPr>
          <t>작년</t>
        </r>
        <r>
          <rPr>
            <sz val="9"/>
            <color indexed="81"/>
            <rFont val="Tahoma"/>
            <family val="2"/>
          </rPr>
          <t xml:space="preserve"> </t>
        </r>
        <r>
          <rPr>
            <sz val="9"/>
            <color indexed="81"/>
            <rFont val="돋움"/>
            <family val="3"/>
            <charset val="129"/>
          </rPr>
          <t>단가로</t>
        </r>
        <r>
          <rPr>
            <sz val="9"/>
            <color indexed="81"/>
            <rFont val="Tahoma"/>
            <family val="2"/>
          </rPr>
          <t xml:space="preserve"> </t>
        </r>
        <r>
          <rPr>
            <sz val="9"/>
            <color indexed="81"/>
            <rFont val="돋움"/>
            <family val="3"/>
            <charset val="129"/>
          </rPr>
          <t>판매하여</t>
        </r>
        <r>
          <rPr>
            <sz val="9"/>
            <color indexed="81"/>
            <rFont val="Tahoma"/>
            <family val="2"/>
          </rPr>
          <t xml:space="preserve"> 
</t>
        </r>
        <r>
          <rPr>
            <sz val="9"/>
            <color indexed="81"/>
            <rFont val="돋움"/>
            <family val="3"/>
            <charset val="129"/>
          </rPr>
          <t>커미션</t>
        </r>
        <r>
          <rPr>
            <sz val="9"/>
            <color indexed="81"/>
            <rFont val="Tahoma"/>
            <family val="2"/>
          </rPr>
          <t xml:space="preserve"> </t>
        </r>
        <r>
          <rPr>
            <sz val="9"/>
            <color indexed="81"/>
            <rFont val="돋움"/>
            <family val="3"/>
            <charset val="129"/>
          </rPr>
          <t>요울</t>
        </r>
        <r>
          <rPr>
            <sz val="9"/>
            <color indexed="81"/>
            <rFont val="Tahoma"/>
            <family val="2"/>
          </rPr>
          <t xml:space="preserve"> 12%</t>
        </r>
        <r>
          <rPr>
            <sz val="9"/>
            <color indexed="81"/>
            <rFont val="돋움"/>
            <family val="3"/>
            <charset val="129"/>
          </rPr>
          <t>로</t>
        </r>
        <r>
          <rPr>
            <sz val="9"/>
            <color indexed="81"/>
            <rFont val="Tahoma"/>
            <family val="2"/>
          </rPr>
          <t xml:space="preserve"> </t>
        </r>
        <r>
          <rPr>
            <sz val="9"/>
            <color indexed="81"/>
            <rFont val="돋움"/>
            <family val="3"/>
            <charset val="129"/>
          </rPr>
          <t>적용됨</t>
        </r>
        <r>
          <rPr>
            <sz val="9"/>
            <color indexed="81"/>
            <rFont val="Tahoma"/>
            <family val="2"/>
          </rPr>
          <t xml:space="preserve"> </t>
        </r>
      </text>
    </comment>
    <comment ref="G96" authorId="4" shapeId="0" xr:uid="{00000000-0006-0000-0100-000012000000}">
      <text>
        <r>
          <rPr>
            <b/>
            <sz val="9"/>
            <color indexed="81"/>
            <rFont val="Tahoma"/>
            <family val="2"/>
          </rPr>
          <t>Doni Kang:</t>
        </r>
        <r>
          <rPr>
            <sz val="9"/>
            <color indexed="81"/>
            <rFont val="Tahoma"/>
            <family val="2"/>
          </rPr>
          <t xml:space="preserve">
</t>
        </r>
        <r>
          <rPr>
            <sz val="9"/>
            <color indexed="81"/>
            <rFont val="돋움"/>
            <family val="3"/>
            <charset val="129"/>
          </rPr>
          <t>극지연구소에서</t>
        </r>
        <r>
          <rPr>
            <sz val="9"/>
            <color indexed="81"/>
            <rFont val="Tahoma"/>
            <family val="2"/>
          </rPr>
          <t xml:space="preserve"> </t>
        </r>
        <r>
          <rPr>
            <sz val="9"/>
            <color indexed="81"/>
            <rFont val="돋움"/>
            <family val="3"/>
            <charset val="129"/>
          </rPr>
          <t>송금</t>
        </r>
        <r>
          <rPr>
            <sz val="9"/>
            <color indexed="81"/>
            <rFont val="Tahoma"/>
            <family val="2"/>
          </rPr>
          <t xml:space="preserve"> </t>
        </r>
        <r>
          <rPr>
            <sz val="9"/>
            <color indexed="81"/>
            <rFont val="돋움"/>
            <family val="3"/>
            <charset val="129"/>
          </rPr>
          <t>완료</t>
        </r>
      </text>
    </comment>
    <comment ref="G97" authorId="4" shapeId="0" xr:uid="{00000000-0006-0000-0100-000013000000}">
      <text>
        <r>
          <rPr>
            <b/>
            <sz val="9"/>
            <color indexed="81"/>
            <rFont val="Tahoma"/>
            <family val="2"/>
          </rPr>
          <t>Doni Kang:</t>
        </r>
        <r>
          <rPr>
            <sz val="9"/>
            <color indexed="81"/>
            <rFont val="Tahoma"/>
            <family val="2"/>
          </rPr>
          <t xml:space="preserve">
</t>
        </r>
        <r>
          <rPr>
            <sz val="9"/>
            <color indexed="81"/>
            <rFont val="돋움"/>
            <family val="3"/>
            <charset val="129"/>
          </rPr>
          <t>차주</t>
        </r>
        <r>
          <rPr>
            <sz val="9"/>
            <color indexed="81"/>
            <rFont val="Tahoma"/>
            <family val="2"/>
          </rPr>
          <t xml:space="preserve"> </t>
        </r>
        <r>
          <rPr>
            <sz val="9"/>
            <color indexed="81"/>
            <rFont val="돋움"/>
            <family val="3"/>
            <charset val="129"/>
          </rPr>
          <t>송금</t>
        </r>
        <r>
          <rPr>
            <sz val="9"/>
            <color indexed="81"/>
            <rFont val="Tahoma"/>
            <family val="2"/>
          </rPr>
          <t xml:space="preserve"> </t>
        </r>
        <r>
          <rPr>
            <sz val="9"/>
            <color indexed="81"/>
            <rFont val="돋움"/>
            <family val="3"/>
            <charset val="129"/>
          </rPr>
          <t>예정</t>
        </r>
        <r>
          <rPr>
            <sz val="9"/>
            <color indexed="81"/>
            <rFont val="Tahoma"/>
            <family val="2"/>
          </rPr>
          <t>(10</t>
        </r>
        <r>
          <rPr>
            <sz val="9"/>
            <color indexed="81"/>
            <rFont val="돋움"/>
            <family val="3"/>
            <charset val="129"/>
          </rPr>
          <t>월</t>
        </r>
        <r>
          <rPr>
            <sz val="9"/>
            <color indexed="81"/>
            <rFont val="Tahoma"/>
            <family val="2"/>
          </rPr>
          <t xml:space="preserve"> </t>
        </r>
        <r>
          <rPr>
            <sz val="9"/>
            <color indexed="81"/>
            <rFont val="돋움"/>
            <family val="3"/>
            <charset val="129"/>
          </rPr>
          <t>말</t>
        </r>
        <r>
          <rPr>
            <sz val="9"/>
            <color indexed="81"/>
            <rFont val="Tahoma"/>
            <family val="2"/>
          </rPr>
          <t>)</t>
        </r>
      </text>
    </comment>
    <comment ref="E98" authorId="3" shapeId="0" xr:uid="{00000000-0006-0000-0100-000014000000}">
      <text>
        <r>
          <rPr>
            <b/>
            <sz val="9"/>
            <color indexed="81"/>
            <rFont val="Tahoma"/>
            <family val="2"/>
          </rPr>
          <t>ALHEUM:</t>
        </r>
        <r>
          <rPr>
            <sz val="9"/>
            <color indexed="81"/>
            <rFont val="Tahoma"/>
            <family val="2"/>
          </rPr>
          <t xml:space="preserve">
</t>
        </r>
        <r>
          <rPr>
            <sz val="9"/>
            <color indexed="81"/>
            <rFont val="돋움"/>
            <family val="3"/>
            <charset val="129"/>
          </rPr>
          <t>최종계약금액</t>
        </r>
        <r>
          <rPr>
            <sz val="9"/>
            <color indexed="81"/>
            <rFont val="Tahoma"/>
            <family val="2"/>
          </rPr>
          <t xml:space="preserve"> </t>
        </r>
        <r>
          <rPr>
            <sz val="9"/>
            <color indexed="81"/>
            <rFont val="돋움"/>
            <family val="3"/>
            <charset val="129"/>
          </rPr>
          <t xml:space="preserve">변경
</t>
        </r>
        <r>
          <rPr>
            <sz val="9"/>
            <color indexed="81"/>
            <rFont val="Tahoma"/>
            <family val="2"/>
          </rPr>
          <t>$3,900 -&gt;$3,500</t>
        </r>
      </text>
    </comment>
    <comment ref="G98" authorId="4" shapeId="0" xr:uid="{00000000-0006-0000-0100-000015000000}">
      <text>
        <r>
          <rPr>
            <b/>
            <sz val="9"/>
            <color indexed="81"/>
            <rFont val="Tahoma"/>
            <family val="2"/>
          </rPr>
          <t>Doni Kang:</t>
        </r>
        <r>
          <rPr>
            <sz val="9"/>
            <color indexed="81"/>
            <rFont val="Tahoma"/>
            <family val="2"/>
          </rPr>
          <t xml:space="preserve">
</t>
        </r>
        <r>
          <rPr>
            <sz val="9"/>
            <color indexed="81"/>
            <rFont val="돋움"/>
            <family val="3"/>
            <charset val="129"/>
          </rPr>
          <t>극지연구소에서</t>
        </r>
        <r>
          <rPr>
            <sz val="9"/>
            <color indexed="81"/>
            <rFont val="Tahoma"/>
            <family val="2"/>
          </rPr>
          <t xml:space="preserve"> </t>
        </r>
        <r>
          <rPr>
            <sz val="9"/>
            <color indexed="81"/>
            <rFont val="돋움"/>
            <family val="3"/>
            <charset val="129"/>
          </rPr>
          <t>송금</t>
        </r>
        <r>
          <rPr>
            <sz val="9"/>
            <color indexed="81"/>
            <rFont val="Tahoma"/>
            <family val="2"/>
          </rPr>
          <t xml:space="preserve"> </t>
        </r>
        <r>
          <rPr>
            <sz val="9"/>
            <color indexed="81"/>
            <rFont val="돋움"/>
            <family val="3"/>
            <charset val="129"/>
          </rPr>
          <t>완료</t>
        </r>
      </text>
    </comment>
    <comment ref="E102" authorId="5" shapeId="0" xr:uid="{00000000-0006-0000-0100-000016000000}">
      <text>
        <r>
          <rPr>
            <b/>
            <sz val="9"/>
            <color indexed="81"/>
            <rFont val="돋움"/>
            <family val="3"/>
            <charset val="129"/>
          </rPr>
          <t>계약금액</t>
        </r>
        <r>
          <rPr>
            <b/>
            <sz val="9"/>
            <color indexed="81"/>
            <rFont val="Tahoma"/>
            <family val="2"/>
          </rPr>
          <t xml:space="preserve"> </t>
        </r>
        <r>
          <rPr>
            <b/>
            <sz val="9"/>
            <color indexed="81"/>
            <rFont val="돋움"/>
            <family val="3"/>
            <charset val="129"/>
          </rPr>
          <t xml:space="preserve">변경
</t>
        </r>
      </text>
    </comment>
    <comment ref="G102" authorId="4" shapeId="0" xr:uid="{00000000-0006-0000-0100-000017000000}">
      <text>
        <r>
          <rPr>
            <b/>
            <sz val="9"/>
            <color indexed="81"/>
            <rFont val="Tahoma"/>
            <family val="2"/>
          </rPr>
          <t>Doni Kang:</t>
        </r>
        <r>
          <rPr>
            <sz val="9"/>
            <color indexed="81"/>
            <rFont val="Tahoma"/>
            <family val="2"/>
          </rPr>
          <t xml:space="preserve">
</t>
        </r>
        <r>
          <rPr>
            <sz val="9"/>
            <color indexed="81"/>
            <rFont val="돋움"/>
            <family val="3"/>
            <charset val="129"/>
          </rPr>
          <t>차주</t>
        </r>
        <r>
          <rPr>
            <sz val="9"/>
            <color indexed="81"/>
            <rFont val="Tahoma"/>
            <family val="2"/>
          </rPr>
          <t xml:space="preserve"> </t>
        </r>
        <r>
          <rPr>
            <sz val="9"/>
            <color indexed="81"/>
            <rFont val="돋움"/>
            <family val="3"/>
            <charset val="129"/>
          </rPr>
          <t>송금</t>
        </r>
        <r>
          <rPr>
            <sz val="9"/>
            <color indexed="81"/>
            <rFont val="Tahoma"/>
            <family val="2"/>
          </rPr>
          <t xml:space="preserve"> </t>
        </r>
        <r>
          <rPr>
            <sz val="9"/>
            <color indexed="81"/>
            <rFont val="돋움"/>
            <family val="3"/>
            <charset val="129"/>
          </rPr>
          <t>예정</t>
        </r>
        <r>
          <rPr>
            <sz val="9"/>
            <color indexed="81"/>
            <rFont val="Tahoma"/>
            <family val="2"/>
          </rPr>
          <t>(10</t>
        </r>
        <r>
          <rPr>
            <sz val="9"/>
            <color indexed="81"/>
            <rFont val="돋움"/>
            <family val="3"/>
            <charset val="129"/>
          </rPr>
          <t>월</t>
        </r>
        <r>
          <rPr>
            <sz val="9"/>
            <color indexed="81"/>
            <rFont val="Tahoma"/>
            <family val="2"/>
          </rPr>
          <t xml:space="preserve"> </t>
        </r>
        <r>
          <rPr>
            <sz val="9"/>
            <color indexed="81"/>
            <rFont val="돋움"/>
            <family val="3"/>
            <charset val="129"/>
          </rPr>
          <t>말</t>
        </r>
        <r>
          <rPr>
            <sz val="9"/>
            <color indexed="81"/>
            <rFont val="Tahoma"/>
            <family val="2"/>
          </rPr>
          <t>)</t>
        </r>
      </text>
    </comment>
    <comment ref="G103" authorId="4" shapeId="0" xr:uid="{00000000-0006-0000-0100-000018000000}">
      <text>
        <r>
          <rPr>
            <b/>
            <sz val="9"/>
            <color indexed="81"/>
            <rFont val="Tahoma"/>
            <family val="2"/>
          </rPr>
          <t>Doni Kang:</t>
        </r>
        <r>
          <rPr>
            <sz val="9"/>
            <color indexed="81"/>
            <rFont val="Tahoma"/>
            <family val="2"/>
          </rPr>
          <t xml:space="preserve">
</t>
        </r>
        <r>
          <rPr>
            <sz val="9"/>
            <color indexed="81"/>
            <rFont val="돋움"/>
            <family val="3"/>
            <charset val="129"/>
          </rPr>
          <t>송금</t>
        </r>
        <r>
          <rPr>
            <sz val="9"/>
            <color indexed="81"/>
            <rFont val="Tahoma"/>
            <family val="2"/>
          </rPr>
          <t xml:space="preserve"> </t>
        </r>
        <r>
          <rPr>
            <sz val="9"/>
            <color indexed="81"/>
            <rFont val="돋움"/>
            <family val="3"/>
            <charset val="129"/>
          </rPr>
          <t>여부</t>
        </r>
        <r>
          <rPr>
            <sz val="9"/>
            <color indexed="81"/>
            <rFont val="Tahoma"/>
            <family val="2"/>
          </rPr>
          <t xml:space="preserve"> </t>
        </r>
        <r>
          <rPr>
            <sz val="9"/>
            <color indexed="81"/>
            <rFont val="돋움"/>
            <family val="3"/>
            <charset val="129"/>
          </rPr>
          <t>확인</t>
        </r>
        <r>
          <rPr>
            <sz val="9"/>
            <color indexed="81"/>
            <rFont val="Tahoma"/>
            <family val="2"/>
          </rPr>
          <t xml:space="preserve"> </t>
        </r>
        <r>
          <rPr>
            <sz val="9"/>
            <color indexed="81"/>
            <rFont val="돋움"/>
            <family val="3"/>
            <charset val="129"/>
          </rPr>
          <t>중</t>
        </r>
      </text>
    </comment>
    <comment ref="F104" authorId="3" shapeId="0" xr:uid="{00000000-0006-0000-0100-000019000000}">
      <text>
        <r>
          <rPr>
            <b/>
            <sz val="9"/>
            <color indexed="81"/>
            <rFont val="Tahoma"/>
            <family val="2"/>
          </rPr>
          <t>ALHEUM:</t>
        </r>
        <r>
          <rPr>
            <sz val="9"/>
            <color indexed="81"/>
            <rFont val="Tahoma"/>
            <family val="2"/>
          </rPr>
          <t xml:space="preserve">
</t>
        </r>
        <r>
          <rPr>
            <sz val="9"/>
            <color indexed="81"/>
            <rFont val="돋움"/>
            <family val="3"/>
            <charset val="129"/>
          </rPr>
          <t>외자</t>
        </r>
        <r>
          <rPr>
            <sz val="9"/>
            <color indexed="81"/>
            <rFont val="Tahoma"/>
            <family val="2"/>
          </rPr>
          <t xml:space="preserve"> </t>
        </r>
        <r>
          <rPr>
            <sz val="9"/>
            <color indexed="81"/>
            <rFont val="돋움"/>
            <family val="3"/>
            <charset val="129"/>
          </rPr>
          <t>인보이스가</t>
        </r>
        <r>
          <rPr>
            <sz val="9"/>
            <color indexed="81"/>
            <rFont val="Tahoma"/>
            <family val="2"/>
          </rPr>
          <t xml:space="preserve"> 3</t>
        </r>
        <r>
          <rPr>
            <sz val="9"/>
            <color indexed="81"/>
            <rFont val="돋움"/>
            <family val="3"/>
            <charset val="129"/>
          </rPr>
          <t>개로</t>
        </r>
        <r>
          <rPr>
            <sz val="9"/>
            <color indexed="81"/>
            <rFont val="Tahoma"/>
            <family val="2"/>
          </rPr>
          <t xml:space="preserve"> </t>
        </r>
        <r>
          <rPr>
            <sz val="9"/>
            <color indexed="81"/>
            <rFont val="돋움"/>
            <family val="3"/>
            <charset val="129"/>
          </rPr>
          <t>쪼개졌는데</t>
        </r>
        <r>
          <rPr>
            <sz val="9"/>
            <color indexed="81"/>
            <rFont val="Tahoma"/>
            <family val="2"/>
          </rPr>
          <t xml:space="preserve"> </t>
        </r>
        <r>
          <rPr>
            <sz val="9"/>
            <color indexed="81"/>
            <rFont val="돋움"/>
            <family val="3"/>
            <charset val="129"/>
          </rPr>
          <t>계약파일리스트</t>
        </r>
        <r>
          <rPr>
            <sz val="9"/>
            <color indexed="81"/>
            <rFont val="Tahoma"/>
            <family val="2"/>
          </rPr>
          <t xml:space="preserve"> </t>
        </r>
        <r>
          <rPr>
            <sz val="9"/>
            <color indexed="81"/>
            <rFont val="돋움"/>
            <family val="3"/>
            <charset val="129"/>
          </rPr>
          <t>금액이랑도</t>
        </r>
        <r>
          <rPr>
            <sz val="9"/>
            <color indexed="81"/>
            <rFont val="Tahoma"/>
            <family val="2"/>
          </rPr>
          <t xml:space="preserve"> </t>
        </r>
        <r>
          <rPr>
            <sz val="9"/>
            <color indexed="81"/>
            <rFont val="돋움"/>
            <family val="3"/>
            <charset val="129"/>
          </rPr>
          <t>안맞음</t>
        </r>
        <r>
          <rPr>
            <sz val="9"/>
            <color indexed="81"/>
            <rFont val="Tahoma"/>
            <family val="2"/>
          </rPr>
          <t>. 
1. 6,144.00 - 1,290.24(12/18</t>
        </r>
        <r>
          <rPr>
            <sz val="9"/>
            <color indexed="81"/>
            <rFont val="돋움"/>
            <family val="3"/>
            <charset val="129"/>
          </rPr>
          <t>입금</t>
        </r>
        <r>
          <rPr>
            <sz val="9"/>
            <color indexed="81"/>
            <rFont val="Tahoma"/>
            <family val="2"/>
          </rPr>
          <t>) 
2. 15,954.80 -&gt; 3.350.51(</t>
        </r>
        <r>
          <rPr>
            <sz val="9"/>
            <color indexed="81"/>
            <rFont val="돋움"/>
            <family val="3"/>
            <charset val="129"/>
          </rPr>
          <t>선적지연으로</t>
        </r>
        <r>
          <rPr>
            <sz val="9"/>
            <color indexed="81"/>
            <rFont val="Tahoma"/>
            <family val="2"/>
          </rPr>
          <t xml:space="preserve"> </t>
        </r>
        <r>
          <rPr>
            <sz val="9"/>
            <color indexed="81"/>
            <rFont val="돋움"/>
            <family val="3"/>
            <charset val="129"/>
          </rPr>
          <t>연구원에서</t>
        </r>
        <r>
          <rPr>
            <sz val="9"/>
            <color indexed="81"/>
            <rFont val="Tahoma"/>
            <family val="2"/>
          </rPr>
          <t xml:space="preserve"> </t>
        </r>
        <r>
          <rPr>
            <sz val="9"/>
            <color indexed="81"/>
            <rFont val="돋움"/>
            <family val="3"/>
            <charset val="129"/>
          </rPr>
          <t>입금</t>
        </r>
        <r>
          <rPr>
            <sz val="9"/>
            <color indexed="81"/>
            <rFont val="Tahoma"/>
            <family val="2"/>
          </rPr>
          <t xml:space="preserve"> </t>
        </r>
        <r>
          <rPr>
            <sz val="9"/>
            <color indexed="81"/>
            <rFont val="돋움"/>
            <family val="3"/>
            <charset val="129"/>
          </rPr>
          <t>전이라고</t>
        </r>
        <r>
          <rPr>
            <sz val="9"/>
            <color indexed="81"/>
            <rFont val="Tahoma"/>
            <family val="2"/>
          </rPr>
          <t xml:space="preserve"> </t>
        </r>
        <r>
          <rPr>
            <sz val="9"/>
            <color indexed="81"/>
            <rFont val="돋움"/>
            <family val="3"/>
            <charset val="129"/>
          </rPr>
          <t>함</t>
        </r>
        <r>
          <rPr>
            <sz val="9"/>
            <color indexed="81"/>
            <rFont val="Tahoma"/>
            <family val="2"/>
          </rPr>
          <t xml:space="preserve">)
3. 400.00-&gt;  </t>
        </r>
        <r>
          <rPr>
            <sz val="9"/>
            <color indexed="81"/>
            <rFont val="돋움"/>
            <family val="3"/>
            <charset val="129"/>
          </rPr>
          <t>없음</t>
        </r>
        <r>
          <rPr>
            <sz val="9"/>
            <color indexed="81"/>
            <rFont val="Tahoma"/>
            <family val="2"/>
          </rPr>
          <t xml:space="preserve">? ( </t>
        </r>
        <r>
          <rPr>
            <sz val="9"/>
            <color indexed="81"/>
            <rFont val="돋움"/>
            <family val="3"/>
            <charset val="129"/>
          </rPr>
          <t>선적지연으로</t>
        </r>
        <r>
          <rPr>
            <sz val="9"/>
            <color indexed="81"/>
            <rFont val="Tahoma"/>
            <family val="2"/>
          </rPr>
          <t xml:space="preserve"> </t>
        </r>
        <r>
          <rPr>
            <sz val="9"/>
            <color indexed="81"/>
            <rFont val="돋움"/>
            <family val="3"/>
            <charset val="129"/>
          </rPr>
          <t>연구원에서</t>
        </r>
        <r>
          <rPr>
            <sz val="9"/>
            <color indexed="81"/>
            <rFont val="Tahoma"/>
            <family val="2"/>
          </rPr>
          <t xml:space="preserve"> </t>
        </r>
        <r>
          <rPr>
            <sz val="9"/>
            <color indexed="81"/>
            <rFont val="돋움"/>
            <family val="3"/>
            <charset val="129"/>
          </rPr>
          <t>입금</t>
        </r>
        <r>
          <rPr>
            <sz val="9"/>
            <color indexed="81"/>
            <rFont val="Tahoma"/>
            <family val="2"/>
          </rPr>
          <t xml:space="preserve"> </t>
        </r>
        <r>
          <rPr>
            <sz val="9"/>
            <color indexed="81"/>
            <rFont val="돋움"/>
            <family val="3"/>
            <charset val="129"/>
          </rPr>
          <t>전이라고</t>
        </r>
        <r>
          <rPr>
            <sz val="9"/>
            <color indexed="81"/>
            <rFont val="Tahoma"/>
            <family val="2"/>
          </rPr>
          <t xml:space="preserve"> </t>
        </r>
        <r>
          <rPr>
            <sz val="9"/>
            <color indexed="81"/>
            <rFont val="돋움"/>
            <family val="3"/>
            <charset val="129"/>
          </rPr>
          <t>함</t>
        </r>
        <r>
          <rPr>
            <sz val="9"/>
            <color indexed="81"/>
            <rFont val="Tahoma"/>
            <family val="2"/>
          </rPr>
          <t>)
-----------------------------------
$22,498.00</t>
        </r>
      </text>
    </comment>
    <comment ref="G105" authorId="4" shapeId="0" xr:uid="{00000000-0006-0000-0100-00001A000000}">
      <text>
        <r>
          <rPr>
            <b/>
            <sz val="9"/>
            <color indexed="81"/>
            <rFont val="Tahoma"/>
            <family val="2"/>
          </rPr>
          <t>Doni Kang:</t>
        </r>
        <r>
          <rPr>
            <sz val="9"/>
            <color indexed="81"/>
            <rFont val="Tahoma"/>
            <family val="2"/>
          </rPr>
          <t xml:space="preserve">
</t>
        </r>
        <r>
          <rPr>
            <sz val="9"/>
            <color indexed="81"/>
            <rFont val="돋움"/>
            <family val="3"/>
            <charset val="129"/>
          </rPr>
          <t>차주</t>
        </r>
        <r>
          <rPr>
            <sz val="9"/>
            <color indexed="81"/>
            <rFont val="Tahoma"/>
            <family val="2"/>
          </rPr>
          <t xml:space="preserve"> </t>
        </r>
        <r>
          <rPr>
            <sz val="9"/>
            <color indexed="81"/>
            <rFont val="돋움"/>
            <family val="3"/>
            <charset val="129"/>
          </rPr>
          <t>송금</t>
        </r>
        <r>
          <rPr>
            <sz val="9"/>
            <color indexed="81"/>
            <rFont val="Tahoma"/>
            <family val="2"/>
          </rPr>
          <t xml:space="preserve"> </t>
        </r>
        <r>
          <rPr>
            <sz val="9"/>
            <color indexed="81"/>
            <rFont val="돋움"/>
            <family val="3"/>
            <charset val="129"/>
          </rPr>
          <t>예정</t>
        </r>
        <r>
          <rPr>
            <sz val="9"/>
            <color indexed="81"/>
            <rFont val="Tahoma"/>
            <family val="2"/>
          </rPr>
          <t>(10</t>
        </r>
        <r>
          <rPr>
            <sz val="9"/>
            <color indexed="81"/>
            <rFont val="돋움"/>
            <family val="3"/>
            <charset val="129"/>
          </rPr>
          <t>월</t>
        </r>
        <r>
          <rPr>
            <sz val="9"/>
            <color indexed="81"/>
            <rFont val="Tahoma"/>
            <family val="2"/>
          </rPr>
          <t xml:space="preserve"> </t>
        </r>
        <r>
          <rPr>
            <sz val="9"/>
            <color indexed="81"/>
            <rFont val="돋움"/>
            <family val="3"/>
            <charset val="129"/>
          </rPr>
          <t>말</t>
        </r>
        <r>
          <rPr>
            <sz val="9"/>
            <color indexed="81"/>
            <rFont val="Tahoma"/>
            <family val="2"/>
          </rPr>
          <t>)</t>
        </r>
      </text>
    </comment>
    <comment ref="F106" authorId="0" shapeId="0" xr:uid="{00000000-0006-0000-0100-00001B000000}">
      <text>
        <r>
          <rPr>
            <b/>
            <sz val="9"/>
            <color indexed="81"/>
            <rFont val="Tahoma"/>
            <family val="2"/>
          </rPr>
          <t>HP:</t>
        </r>
        <r>
          <rPr>
            <sz val="9"/>
            <color indexed="81"/>
            <rFont val="Tahoma"/>
            <family val="2"/>
          </rPr>
          <t xml:space="preserve">
19.10.24 Eur 6,986
 (engineer service-Mr. Sim in Mauritius)</t>
        </r>
      </text>
    </comment>
    <comment ref="F109" authorId="3" shapeId="0" xr:uid="{00000000-0006-0000-0100-00001C000000}">
      <text>
        <r>
          <rPr>
            <b/>
            <sz val="9"/>
            <color indexed="81"/>
            <rFont val="Tahoma"/>
            <family val="2"/>
          </rPr>
          <t>ALHEUM:</t>
        </r>
        <r>
          <rPr>
            <sz val="9"/>
            <color indexed="81"/>
            <rFont val="Tahoma"/>
            <family val="2"/>
          </rPr>
          <t xml:space="preserve">
</t>
        </r>
        <r>
          <rPr>
            <sz val="9"/>
            <color indexed="81"/>
            <rFont val="돋움"/>
            <family val="3"/>
            <charset val="129"/>
          </rPr>
          <t>입금액</t>
        </r>
        <r>
          <rPr>
            <sz val="9"/>
            <color indexed="81"/>
            <rFont val="Tahoma"/>
            <family val="2"/>
          </rPr>
          <t xml:space="preserve"> : 10,385.25</t>
        </r>
      </text>
    </comment>
    <comment ref="F114" authorId="2" shapeId="0" xr:uid="{00000000-0006-0000-0100-00001D000000}">
      <text>
        <r>
          <rPr>
            <b/>
            <sz val="9"/>
            <color indexed="81"/>
            <rFont val="Tahoma"/>
            <family val="2"/>
          </rPr>
          <t>1701-D001:</t>
        </r>
        <r>
          <rPr>
            <sz val="9"/>
            <color indexed="81"/>
            <rFont val="Tahoma"/>
            <family val="2"/>
          </rPr>
          <t xml:space="preserve">
</t>
        </r>
        <r>
          <rPr>
            <sz val="9"/>
            <color indexed="81"/>
            <rFont val="돋움"/>
            <family val="3"/>
            <charset val="129"/>
          </rPr>
          <t>수수료</t>
        </r>
        <r>
          <rPr>
            <sz val="9"/>
            <color indexed="81"/>
            <rFont val="Tahoma"/>
            <family val="2"/>
          </rPr>
          <t xml:space="preserve"> $30 </t>
        </r>
        <r>
          <rPr>
            <sz val="9"/>
            <color indexed="81"/>
            <rFont val="돋움"/>
            <family val="3"/>
            <charset val="129"/>
          </rPr>
          <t>차감후</t>
        </r>
        <r>
          <rPr>
            <sz val="9"/>
            <color indexed="81"/>
            <rFont val="Tahoma"/>
            <family val="2"/>
          </rPr>
          <t xml:space="preserve">$775.53 </t>
        </r>
        <r>
          <rPr>
            <sz val="9"/>
            <color indexed="81"/>
            <rFont val="돋움"/>
            <family val="3"/>
            <charset val="129"/>
          </rPr>
          <t>입금됨</t>
        </r>
      </text>
    </comment>
    <comment ref="E115" authorId="2" shapeId="0" xr:uid="{00000000-0006-0000-0100-00001E000000}">
      <text>
        <r>
          <rPr>
            <b/>
            <sz val="9"/>
            <color indexed="81"/>
            <rFont val="Tahoma"/>
            <family val="2"/>
          </rPr>
          <t xml:space="preserve">1701-D001:
</t>
        </r>
        <r>
          <rPr>
            <b/>
            <sz val="9"/>
            <color indexed="81"/>
            <rFont val="돋움"/>
            <family val="3"/>
            <charset val="129"/>
          </rPr>
          <t>수수료</t>
        </r>
        <r>
          <rPr>
            <b/>
            <sz val="9"/>
            <color indexed="81"/>
            <rFont val="Tahoma"/>
            <family val="2"/>
          </rPr>
          <t xml:space="preserve"> </t>
        </r>
        <r>
          <rPr>
            <b/>
            <sz val="9"/>
            <color indexed="81"/>
            <rFont val="돋움"/>
            <family val="3"/>
            <charset val="129"/>
          </rPr>
          <t>차감후</t>
        </r>
        <r>
          <rPr>
            <b/>
            <sz val="9"/>
            <color indexed="81"/>
            <rFont val="Tahoma"/>
            <family val="2"/>
          </rPr>
          <t xml:space="preserve"> 2,770</t>
        </r>
        <r>
          <rPr>
            <b/>
            <sz val="9"/>
            <color indexed="81"/>
            <rFont val="돋움"/>
            <family val="3"/>
            <charset val="129"/>
          </rPr>
          <t xml:space="preserve">입금
</t>
        </r>
      </text>
    </comment>
    <comment ref="F128" authorId="6" shapeId="0" xr:uid="{00000000-0006-0000-0100-00001F000000}">
      <text>
        <r>
          <rPr>
            <b/>
            <sz val="9"/>
            <color indexed="81"/>
            <rFont val="Tahoma"/>
            <family val="2"/>
          </rPr>
          <t>Ahleum Hong:</t>
        </r>
        <r>
          <rPr>
            <sz val="9"/>
            <color indexed="81"/>
            <rFont val="Tahoma"/>
            <family val="2"/>
          </rPr>
          <t xml:space="preserve">
</t>
        </r>
        <r>
          <rPr>
            <sz val="9"/>
            <color indexed="81"/>
            <rFont val="돋움"/>
            <family val="3"/>
            <charset val="129"/>
          </rPr>
          <t>입금액</t>
        </r>
        <r>
          <rPr>
            <sz val="9"/>
            <color indexed="81"/>
            <rFont val="Tahoma"/>
            <family val="2"/>
          </rPr>
          <t xml:space="preserve"> : $9,292.30</t>
        </r>
      </text>
    </comment>
    <comment ref="F129" authorId="6" shapeId="0" xr:uid="{00000000-0006-0000-0100-000020000000}">
      <text>
        <r>
          <rPr>
            <b/>
            <sz val="9"/>
            <color indexed="81"/>
            <rFont val="Tahoma"/>
            <family val="2"/>
          </rPr>
          <t>Ahleum Hong:</t>
        </r>
        <r>
          <rPr>
            <sz val="9"/>
            <color indexed="81"/>
            <rFont val="Tahoma"/>
            <family val="2"/>
          </rPr>
          <t xml:space="preserve">
</t>
        </r>
        <r>
          <rPr>
            <sz val="9"/>
            <color indexed="81"/>
            <rFont val="돋움"/>
            <family val="3"/>
            <charset val="129"/>
          </rPr>
          <t>입금</t>
        </r>
        <r>
          <rPr>
            <sz val="9"/>
            <color indexed="81"/>
            <rFont val="Tahoma"/>
            <family val="2"/>
          </rPr>
          <t xml:space="preserve"> : 9,620.00</t>
        </r>
      </text>
    </comment>
    <comment ref="F133" authorId="4" shapeId="0" xr:uid="{00000000-0006-0000-0100-000021000000}">
      <text>
        <r>
          <rPr>
            <sz val="9"/>
            <color indexed="81"/>
            <rFont val="돋움"/>
            <family val="3"/>
            <charset val="129"/>
          </rPr>
          <t>커미션</t>
        </r>
        <r>
          <rPr>
            <sz val="9"/>
            <color indexed="81"/>
            <rFont val="Tahoma"/>
            <family val="2"/>
          </rPr>
          <t xml:space="preserve"> USD 16,960
</t>
        </r>
        <r>
          <rPr>
            <sz val="9"/>
            <color indexed="81"/>
            <rFont val="돋움"/>
            <family val="3"/>
            <charset val="129"/>
          </rPr>
          <t>낙찰차액</t>
        </r>
        <r>
          <rPr>
            <sz val="9"/>
            <color indexed="81"/>
            <rFont val="Tahoma"/>
            <family val="2"/>
          </rPr>
          <t xml:space="preserve"> USD -3,000
</t>
        </r>
      </text>
    </comment>
    <comment ref="G143" authorId="6" shapeId="0" xr:uid="{00000000-0006-0000-0100-000022000000}">
      <text>
        <r>
          <rPr>
            <b/>
            <sz val="9"/>
            <color indexed="81"/>
            <rFont val="Tahoma"/>
            <family val="2"/>
          </rPr>
          <t>Ahleum Hong:</t>
        </r>
        <r>
          <rPr>
            <sz val="9"/>
            <color indexed="81"/>
            <rFont val="Tahoma"/>
            <family val="2"/>
          </rPr>
          <t xml:space="preserve">
</t>
        </r>
        <r>
          <rPr>
            <sz val="9"/>
            <color indexed="81"/>
            <rFont val="돋움"/>
            <family val="3"/>
            <charset val="129"/>
          </rPr>
          <t>입금</t>
        </r>
        <r>
          <rPr>
            <sz val="9"/>
            <color indexed="81"/>
            <rFont val="Tahoma"/>
            <family val="2"/>
          </rPr>
          <t xml:space="preserve"> : 1,312.78</t>
        </r>
      </text>
    </comment>
  </commentList>
</comments>
</file>

<file path=xl/sharedStrings.xml><?xml version="1.0" encoding="utf-8"?>
<sst xmlns="http://schemas.openxmlformats.org/spreadsheetml/2006/main" count="5870" uniqueCount="2889">
  <si>
    <t>거래처</t>
    <phoneticPr fontId="2" type="noConversion"/>
  </si>
  <si>
    <t>담당</t>
    <phoneticPr fontId="2" type="noConversion"/>
  </si>
  <si>
    <t>계약건명(품명)</t>
    <phoneticPr fontId="2" type="noConversion"/>
  </si>
  <si>
    <t>구분</t>
    <phoneticPr fontId="2" type="noConversion"/>
  </si>
  <si>
    <t>계약종류</t>
    <phoneticPr fontId="2" type="noConversion"/>
  </si>
  <si>
    <t>보완필요함/이부장-재검토예정</t>
    <phoneticPr fontId="2" type="noConversion"/>
  </si>
  <si>
    <t>VAT별도</t>
    <phoneticPr fontId="2" type="noConversion"/>
  </si>
  <si>
    <t>DB검토 + 상태</t>
    <phoneticPr fontId="2" type="noConversion"/>
  </si>
  <si>
    <t>금액(총액)</t>
    <phoneticPr fontId="2" type="noConversion"/>
  </si>
  <si>
    <t>계약일자</t>
    <phoneticPr fontId="2" type="noConversion"/>
  </si>
  <si>
    <t>납기</t>
    <phoneticPr fontId="2" type="noConversion"/>
  </si>
  <si>
    <t>청구일자</t>
    <phoneticPr fontId="2" type="noConversion"/>
  </si>
  <si>
    <t>입금</t>
    <phoneticPr fontId="2" type="noConversion"/>
  </si>
  <si>
    <t>비고</t>
    <phoneticPr fontId="2" type="noConversion"/>
  </si>
  <si>
    <t>완료여부</t>
    <phoneticPr fontId="2" type="noConversion"/>
  </si>
  <si>
    <t>Comment</t>
    <phoneticPr fontId="2" type="noConversion"/>
  </si>
  <si>
    <t>상품,원재료</t>
    <phoneticPr fontId="2" type="noConversion"/>
  </si>
  <si>
    <t>발주금액</t>
    <phoneticPr fontId="2" type="noConversion"/>
  </si>
  <si>
    <t>발주일</t>
    <phoneticPr fontId="2" type="noConversion"/>
  </si>
  <si>
    <t>선적예정
(청구일)</t>
    <phoneticPr fontId="2" type="noConversion"/>
  </si>
  <si>
    <t>D-day 
or 입고</t>
    <phoneticPr fontId="2" type="noConversion"/>
  </si>
  <si>
    <t>거래명세표
담당자싸인</t>
    <phoneticPr fontId="2" type="noConversion"/>
  </si>
  <si>
    <t>제작사(공급사)</t>
    <phoneticPr fontId="2" type="noConversion"/>
  </si>
  <si>
    <t>KOPRI</t>
    <phoneticPr fontId="2" type="noConversion"/>
  </si>
  <si>
    <t>SERCEL(OTUK)</t>
    <phoneticPr fontId="2" type="noConversion"/>
  </si>
  <si>
    <t>Air Gun 부품</t>
    <phoneticPr fontId="2" type="noConversion"/>
  </si>
  <si>
    <t>USD 29,209</t>
    <phoneticPr fontId="2" type="noConversion"/>
  </si>
  <si>
    <t>Benthos</t>
    <phoneticPr fontId="2" type="noConversion"/>
  </si>
  <si>
    <t xml:space="preserve"> </t>
    <phoneticPr fontId="2" type="noConversion"/>
  </si>
  <si>
    <t>KIOST</t>
    <phoneticPr fontId="2" type="noConversion"/>
  </si>
  <si>
    <t>KRISO</t>
    <phoneticPr fontId="2" type="noConversion"/>
  </si>
  <si>
    <t>AR TOP SIDE</t>
    <phoneticPr fontId="2" type="noConversion"/>
  </si>
  <si>
    <t>Benthos</t>
    <phoneticPr fontId="2" type="noConversion"/>
  </si>
  <si>
    <t>USD 14,000</t>
    <phoneticPr fontId="2" type="noConversion"/>
  </si>
  <si>
    <t>KIOST</t>
    <phoneticPr fontId="2" type="noConversion"/>
  </si>
  <si>
    <t>OKTOPUS</t>
    <phoneticPr fontId="2" type="noConversion"/>
  </si>
  <si>
    <t>Part of TV Grab</t>
    <phoneticPr fontId="2" type="noConversion"/>
  </si>
  <si>
    <t>KOPRI</t>
    <phoneticPr fontId="2" type="noConversion"/>
  </si>
  <si>
    <t>Benthos</t>
    <phoneticPr fontId="2" type="noConversion"/>
  </si>
  <si>
    <t>AR R2k</t>
    <phoneticPr fontId="2" type="noConversion"/>
  </si>
  <si>
    <t>USD 45,008</t>
    <phoneticPr fontId="2" type="noConversion"/>
  </si>
  <si>
    <t>Oktopus</t>
    <phoneticPr fontId="2" type="noConversion"/>
  </si>
  <si>
    <t>EUR 145,500</t>
    <phoneticPr fontId="2" type="noConversion"/>
  </si>
  <si>
    <t>KOPRI</t>
    <phoneticPr fontId="2" type="noConversion"/>
  </si>
  <si>
    <t>AR 9100</t>
    <phoneticPr fontId="2" type="noConversion"/>
  </si>
  <si>
    <t>USD 23,250</t>
    <phoneticPr fontId="2" type="noConversion"/>
  </si>
  <si>
    <t>Benthos</t>
    <phoneticPr fontId="2" type="noConversion"/>
  </si>
  <si>
    <t>Altimeter</t>
    <phoneticPr fontId="2" type="noConversion"/>
  </si>
  <si>
    <t>Deepsea</t>
    <phoneticPr fontId="2" type="noConversion"/>
  </si>
  <si>
    <t xml:space="preserve">외자거래건 Commission 정리 </t>
    <phoneticPr fontId="2" type="noConversion"/>
  </si>
  <si>
    <t>선적여부</t>
    <phoneticPr fontId="2" type="noConversion"/>
  </si>
  <si>
    <t>청구일자</t>
    <phoneticPr fontId="2" type="noConversion"/>
  </si>
  <si>
    <t>마지막업데이트-150703</t>
    <phoneticPr fontId="2" type="noConversion"/>
  </si>
  <si>
    <t>계산식입력할것</t>
    <phoneticPr fontId="2" type="noConversion"/>
  </si>
  <si>
    <t xml:space="preserve"> </t>
    <phoneticPr fontId="2" type="noConversion"/>
  </si>
  <si>
    <t>15년계약파일에 기록하고_14년에 붙이기</t>
    <phoneticPr fontId="2" type="noConversion"/>
  </si>
  <si>
    <t>* 사장님 보고 자료 : \\Sales\sales\세무사_매출\세무사,법무사, 보증보험 관련\세무사관련\부가세신고\2014\외자</t>
    <phoneticPr fontId="2" type="noConversion"/>
  </si>
  <si>
    <t xml:space="preserve">입금 대기 중 </t>
    <phoneticPr fontId="2" type="noConversion"/>
  </si>
  <si>
    <t>송금완료건- 청구 대상</t>
    <phoneticPr fontId="2" type="noConversion"/>
  </si>
  <si>
    <t>계약#</t>
    <phoneticPr fontId="2" type="noConversion"/>
  </si>
  <si>
    <t>거래처</t>
    <phoneticPr fontId="2" type="noConversion"/>
  </si>
  <si>
    <t>건명</t>
    <phoneticPr fontId="2" type="noConversion"/>
  </si>
  <si>
    <t>제작사</t>
    <phoneticPr fontId="2" type="noConversion"/>
  </si>
  <si>
    <t>계약금액</t>
    <phoneticPr fontId="2" type="noConversion"/>
  </si>
  <si>
    <t>커미션</t>
    <phoneticPr fontId="2" type="noConversion"/>
  </si>
  <si>
    <t>입금일자</t>
    <phoneticPr fontId="2" type="noConversion"/>
  </si>
  <si>
    <t>입금여부</t>
    <phoneticPr fontId="2" type="noConversion"/>
  </si>
  <si>
    <t>제작사청구/매입일자</t>
    <phoneticPr fontId="2" type="noConversion"/>
  </si>
  <si>
    <t xml:space="preserve">비고 </t>
    <phoneticPr fontId="2" type="noConversion"/>
  </si>
  <si>
    <t>계약일</t>
    <phoneticPr fontId="2" type="noConversion"/>
  </si>
  <si>
    <t>납기</t>
    <phoneticPr fontId="2" type="noConversion"/>
  </si>
  <si>
    <t>KIGAM</t>
    <phoneticPr fontId="2" type="noConversion"/>
  </si>
  <si>
    <t>IXBLUE</t>
    <phoneticPr fontId="2" type="noConversion"/>
  </si>
  <si>
    <t>GNM</t>
    <phoneticPr fontId="2" type="noConversion"/>
  </si>
  <si>
    <t>AADI</t>
    <phoneticPr fontId="2" type="noConversion"/>
  </si>
  <si>
    <t xml:space="preserve"> </t>
    <phoneticPr fontId="2" type="noConversion"/>
  </si>
  <si>
    <t>YES</t>
    <phoneticPr fontId="2" type="noConversion"/>
  </si>
  <si>
    <t>KIOST</t>
    <phoneticPr fontId="2" type="noConversion"/>
  </si>
  <si>
    <t>T.Benthos</t>
    <phoneticPr fontId="2" type="noConversion"/>
  </si>
  <si>
    <t>USD 1,950</t>
    <phoneticPr fontId="2" type="noConversion"/>
  </si>
  <si>
    <t>KOPRI</t>
    <phoneticPr fontId="2" type="noConversion"/>
  </si>
  <si>
    <t>RBR</t>
    <phoneticPr fontId="2" type="noConversion"/>
  </si>
  <si>
    <t>KRISO</t>
    <phoneticPr fontId="2" type="noConversion"/>
  </si>
  <si>
    <t>AR865 x 2</t>
    <phoneticPr fontId="2" type="noConversion"/>
  </si>
  <si>
    <t>Contros</t>
    <phoneticPr fontId="2" type="noConversion"/>
  </si>
  <si>
    <t>SSAS</t>
    <phoneticPr fontId="2" type="noConversion"/>
  </si>
  <si>
    <t>EIVA</t>
    <phoneticPr fontId="2" type="noConversion"/>
  </si>
  <si>
    <t>EUR 49,500</t>
    <phoneticPr fontId="2" type="noConversion"/>
  </si>
  <si>
    <t>USD 14,000</t>
    <phoneticPr fontId="2" type="noConversion"/>
  </si>
  <si>
    <t>EUR 69,000</t>
    <phoneticPr fontId="2" type="noConversion"/>
  </si>
  <si>
    <t>Metocean</t>
    <phoneticPr fontId="2" type="noConversion"/>
  </si>
  <si>
    <t>A/D Module</t>
    <phoneticPr fontId="2" type="noConversion"/>
  </si>
  <si>
    <t>Geometrics</t>
    <phoneticPr fontId="2" type="noConversion"/>
  </si>
  <si>
    <t>USD 4,140</t>
    <phoneticPr fontId="2" type="noConversion"/>
  </si>
  <si>
    <t>sercel(OTUK)</t>
    <phoneticPr fontId="2" type="noConversion"/>
  </si>
  <si>
    <t>NO</t>
    <phoneticPr fontId="2" type="noConversion"/>
  </si>
  <si>
    <t>T.Reson</t>
    <phoneticPr fontId="2" type="noConversion"/>
  </si>
  <si>
    <t>MOCNESS</t>
    <phoneticPr fontId="2" type="noConversion"/>
  </si>
  <si>
    <t>USD 180,000</t>
    <phoneticPr fontId="2" type="noConversion"/>
  </si>
  <si>
    <t>Gun parts</t>
    <phoneticPr fontId="2" type="noConversion"/>
  </si>
  <si>
    <t>USD 2,000</t>
    <phoneticPr fontId="2" type="noConversion"/>
  </si>
  <si>
    <t>USD 9,000</t>
    <phoneticPr fontId="2" type="noConversion"/>
  </si>
  <si>
    <t>USD 33,000</t>
    <phoneticPr fontId="2" type="noConversion"/>
  </si>
  <si>
    <t>HKS조선</t>
    <phoneticPr fontId="2" type="noConversion"/>
  </si>
  <si>
    <t>16-389</t>
    <phoneticPr fontId="2" type="noConversion"/>
  </si>
  <si>
    <t>BESS</t>
    <phoneticPr fontId="2" type="noConversion"/>
  </si>
  <si>
    <t>USD 74,000</t>
    <phoneticPr fontId="2" type="noConversion"/>
  </si>
  <si>
    <t>입금예정</t>
    <phoneticPr fontId="2" type="noConversion"/>
  </si>
  <si>
    <t>선적전</t>
    <phoneticPr fontId="2" type="noConversion"/>
  </si>
  <si>
    <t>2017년 하위</t>
    <phoneticPr fontId="2" type="noConversion"/>
  </si>
  <si>
    <t>17-13</t>
    <phoneticPr fontId="2" type="noConversion"/>
  </si>
  <si>
    <t>Airgun 부품-USA</t>
    <phoneticPr fontId="2" type="noConversion"/>
  </si>
  <si>
    <t>USD 22,706.41</t>
    <phoneticPr fontId="2" type="noConversion"/>
  </si>
  <si>
    <t>내자건</t>
    <phoneticPr fontId="2" type="noConversion"/>
  </si>
  <si>
    <t>Airgun 부품-France</t>
    <phoneticPr fontId="2" type="noConversion"/>
  </si>
  <si>
    <t>USD 4,502.09</t>
    <phoneticPr fontId="2" type="noConversion"/>
  </si>
  <si>
    <t>17-19</t>
    <phoneticPr fontId="2" type="noConversion"/>
  </si>
  <si>
    <t>USD 38,982</t>
    <phoneticPr fontId="2" type="noConversion"/>
  </si>
  <si>
    <t>17-113</t>
    <phoneticPr fontId="2" type="noConversion"/>
  </si>
  <si>
    <t>SFX Fitiing F JIC 9/16</t>
    <phoneticPr fontId="2" type="noConversion"/>
  </si>
  <si>
    <t>USD 543</t>
    <phoneticPr fontId="2" type="noConversion"/>
  </si>
  <si>
    <t>17-30</t>
    <phoneticPr fontId="2" type="noConversion"/>
  </si>
  <si>
    <t>CNT-2 Marine Controller(s/w only)</t>
    <phoneticPr fontId="2" type="noConversion"/>
  </si>
  <si>
    <t>USD15,000</t>
    <phoneticPr fontId="2" type="noConversion"/>
  </si>
  <si>
    <t>USD 2,250</t>
    <phoneticPr fontId="2" type="noConversion"/>
  </si>
  <si>
    <t>17-47</t>
    <phoneticPr fontId="2" type="noConversion"/>
  </si>
  <si>
    <t>한진중공업</t>
    <phoneticPr fontId="2" type="noConversion"/>
  </si>
  <si>
    <t>MOCNESS x3 sets 1차??</t>
    <phoneticPr fontId="2" type="noConversion"/>
  </si>
  <si>
    <t>USD 77,098.20</t>
    <phoneticPr fontId="2" type="noConversion"/>
  </si>
  <si>
    <t>MOCNESS x3 sets (S146) 2차??</t>
    <phoneticPr fontId="2" type="noConversion"/>
  </si>
  <si>
    <t>USD 29,824.01</t>
    <phoneticPr fontId="2" type="noConversion"/>
  </si>
  <si>
    <t>17-49</t>
    <phoneticPr fontId="2" type="noConversion"/>
  </si>
  <si>
    <t>hydrins</t>
    <phoneticPr fontId="2" type="noConversion"/>
  </si>
  <si>
    <t>EUR 75,000</t>
    <phoneticPr fontId="2" type="noConversion"/>
  </si>
  <si>
    <t>EUR 12,100</t>
    <phoneticPr fontId="2" type="noConversion"/>
  </si>
  <si>
    <t>17-101</t>
    <phoneticPr fontId="2" type="noConversion"/>
  </si>
  <si>
    <t>Directional Waverider MKIII</t>
    <phoneticPr fontId="2" type="noConversion"/>
  </si>
  <si>
    <t>DATAWELL</t>
    <phoneticPr fontId="2" type="noConversion"/>
  </si>
  <si>
    <t>EUR 10,360.50</t>
    <phoneticPr fontId="2" type="noConversion"/>
  </si>
  <si>
    <t>17-107</t>
    <phoneticPr fontId="2" type="noConversion"/>
  </si>
  <si>
    <t>USD 13600</t>
    <phoneticPr fontId="2" type="noConversion"/>
  </si>
  <si>
    <t>USD 2,550</t>
    <phoneticPr fontId="2" type="noConversion"/>
  </si>
  <si>
    <t>17-108</t>
    <phoneticPr fontId="2" type="noConversion"/>
  </si>
  <si>
    <t>GEOEEL ACTIVE SECTION</t>
    <phoneticPr fontId="2" type="noConversion"/>
  </si>
  <si>
    <t>USD 27000</t>
    <phoneticPr fontId="2" type="noConversion"/>
  </si>
  <si>
    <t>USD 4,050</t>
    <phoneticPr fontId="2" type="noConversion"/>
  </si>
  <si>
    <t>17-109</t>
    <phoneticPr fontId="2" type="noConversion"/>
  </si>
  <si>
    <t xml:space="preserve">Streamer tow cable 90m, Paravane hardware </t>
    <phoneticPr fontId="2" type="noConversion"/>
  </si>
  <si>
    <t>USD26000</t>
    <phoneticPr fontId="2" type="noConversion"/>
  </si>
  <si>
    <t>USD 3,900</t>
    <phoneticPr fontId="2" type="noConversion"/>
  </si>
  <si>
    <t>17-110</t>
    <phoneticPr fontId="2" type="noConversion"/>
  </si>
  <si>
    <t>2 Streamer system</t>
    <phoneticPr fontId="2" type="noConversion"/>
  </si>
  <si>
    <t>USD21900</t>
    <phoneticPr fontId="2" type="noConversion"/>
  </si>
  <si>
    <t>USD 3,285</t>
    <phoneticPr fontId="2" type="noConversion"/>
  </si>
  <si>
    <t>17-114</t>
    <phoneticPr fontId="2" type="noConversion"/>
  </si>
  <si>
    <t>NIFS</t>
    <phoneticPr fontId="2" type="noConversion"/>
  </si>
  <si>
    <t>Seaguard II DCP</t>
    <phoneticPr fontId="2" type="noConversion"/>
  </si>
  <si>
    <t>NOK 180,000</t>
    <phoneticPr fontId="2" type="noConversion"/>
  </si>
  <si>
    <t>NOK 48,732.50</t>
    <phoneticPr fontId="2" type="noConversion"/>
  </si>
  <si>
    <t>REMIND! 2018년 3월 2일</t>
    <phoneticPr fontId="2" type="noConversion"/>
  </si>
  <si>
    <t>17-123</t>
    <phoneticPr fontId="2" type="noConversion"/>
  </si>
  <si>
    <t>TC4032-2 x 4, TL8085 x 5, TL8144 10m x 2</t>
    <phoneticPr fontId="2" type="noConversion"/>
  </si>
  <si>
    <t>T. Reson</t>
    <phoneticPr fontId="2" type="noConversion"/>
  </si>
  <si>
    <t>EUR 14,824</t>
    <phoneticPr fontId="2" type="noConversion"/>
  </si>
  <si>
    <t>EUR 2,223.60</t>
    <phoneticPr fontId="2" type="noConversion"/>
  </si>
  <si>
    <t>17-127</t>
    <phoneticPr fontId="2" type="noConversion"/>
  </si>
  <si>
    <t>Vibration section10m, repeater module</t>
    <phoneticPr fontId="2" type="noConversion"/>
  </si>
  <si>
    <t>USD 28000</t>
    <phoneticPr fontId="2" type="noConversion"/>
  </si>
  <si>
    <t>USD 4,200</t>
    <phoneticPr fontId="2" type="noConversion"/>
  </si>
  <si>
    <t>17-128</t>
    <phoneticPr fontId="2" type="noConversion"/>
  </si>
  <si>
    <t>NIFS(남해)</t>
    <phoneticPr fontId="2" type="noConversion"/>
  </si>
  <si>
    <t>Concerto CTD</t>
    <phoneticPr fontId="2" type="noConversion"/>
  </si>
  <si>
    <t>USD 17,970</t>
    <phoneticPr fontId="2" type="noConversion"/>
  </si>
  <si>
    <t>USD 5,505</t>
    <phoneticPr fontId="2" type="noConversion"/>
  </si>
  <si>
    <t>17-138</t>
    <phoneticPr fontId="2" type="noConversion"/>
  </si>
  <si>
    <t>OTUK(Sercel)</t>
    <phoneticPr fontId="2" type="noConversion"/>
  </si>
  <si>
    <t>USD 15000</t>
    <phoneticPr fontId="2" type="noConversion"/>
  </si>
  <si>
    <t>17-161</t>
    <phoneticPr fontId="2" type="noConversion"/>
  </si>
  <si>
    <t>TES x 2</t>
    <phoneticPr fontId="2" type="noConversion"/>
  </si>
  <si>
    <t>17-165</t>
    <phoneticPr fontId="2" type="noConversion"/>
  </si>
  <si>
    <t>R2K x 2</t>
    <phoneticPr fontId="2" type="noConversion"/>
  </si>
  <si>
    <t>USD 21,000</t>
    <phoneticPr fontId="2" type="noConversion"/>
  </si>
  <si>
    <t>USD 3,150</t>
    <phoneticPr fontId="2" type="noConversion"/>
  </si>
  <si>
    <t>17-170</t>
    <phoneticPr fontId="2" type="noConversion"/>
  </si>
  <si>
    <t>Hydro CO2</t>
    <phoneticPr fontId="2" type="noConversion"/>
  </si>
  <si>
    <t>EUR 20,700</t>
    <phoneticPr fontId="2" type="noConversion"/>
  </si>
  <si>
    <t>EUR 3,105</t>
    <phoneticPr fontId="2" type="noConversion"/>
  </si>
  <si>
    <t>17-171</t>
    <phoneticPr fontId="2" type="noConversion"/>
  </si>
  <si>
    <t>IR7300</t>
    <phoneticPr fontId="2" type="noConversion"/>
  </si>
  <si>
    <t>USD 4500</t>
    <phoneticPr fontId="2" type="noConversion"/>
  </si>
  <si>
    <t>USD 675</t>
    <phoneticPr fontId="2" type="noConversion"/>
  </si>
  <si>
    <t>17-178</t>
    <phoneticPr fontId="2" type="noConversion"/>
  </si>
  <si>
    <t>USD 11,600</t>
    <phoneticPr fontId="2" type="noConversion"/>
  </si>
  <si>
    <t>17-198</t>
    <phoneticPr fontId="2" type="noConversion"/>
  </si>
  <si>
    <t>R12K</t>
    <phoneticPr fontId="2" type="noConversion"/>
  </si>
  <si>
    <t>USD 2,100</t>
    <phoneticPr fontId="2" type="noConversion"/>
  </si>
  <si>
    <t>17-199</t>
    <phoneticPr fontId="2" type="noConversion"/>
  </si>
  <si>
    <t>glass buoy 17" x 50</t>
    <phoneticPr fontId="2" type="noConversion"/>
  </si>
  <si>
    <t>usd 33,700</t>
    <phoneticPr fontId="2" type="noConversion"/>
  </si>
  <si>
    <t>USD 5,055</t>
    <phoneticPr fontId="2" type="noConversion"/>
  </si>
  <si>
    <t>17-200</t>
    <phoneticPr fontId="2" type="noConversion"/>
  </si>
  <si>
    <t>25MHz Combined Tx/Rx Antenna x 2</t>
    <phoneticPr fontId="2" type="noConversion"/>
  </si>
  <si>
    <t>Codar</t>
    <phoneticPr fontId="2" type="noConversion"/>
  </si>
  <si>
    <t>USD 31,700</t>
    <phoneticPr fontId="2" type="noConversion"/>
  </si>
  <si>
    <t>USD 9,260</t>
    <phoneticPr fontId="2" type="noConversion"/>
  </si>
  <si>
    <t>17-201</t>
    <phoneticPr fontId="2" type="noConversion"/>
  </si>
  <si>
    <t>A/D Module , GeoEel Active Section</t>
    <phoneticPr fontId="2" type="noConversion"/>
  </si>
  <si>
    <t>USD 41.280</t>
    <phoneticPr fontId="2" type="noConversion"/>
  </si>
  <si>
    <t>USD 6,192</t>
    <phoneticPr fontId="2" type="noConversion"/>
  </si>
  <si>
    <t>17-209</t>
    <phoneticPr fontId="2" type="noConversion"/>
  </si>
  <si>
    <t>MMF 7500 x 2, MMB-7500 x 2, AN-903 x 5</t>
    <phoneticPr fontId="2" type="noConversion"/>
  </si>
  <si>
    <t>MetOcean</t>
    <phoneticPr fontId="2" type="noConversion"/>
  </si>
  <si>
    <t>USD 6580</t>
    <phoneticPr fontId="2" type="noConversion"/>
  </si>
  <si>
    <t>USD 1,254</t>
    <phoneticPr fontId="2" type="noConversion"/>
  </si>
  <si>
    <t>17-227</t>
    <phoneticPr fontId="2" type="noConversion"/>
  </si>
  <si>
    <t>Chirpceiver upgrade</t>
    <phoneticPr fontId="2" type="noConversion"/>
  </si>
  <si>
    <t>FSI</t>
    <phoneticPr fontId="2" type="noConversion"/>
  </si>
  <si>
    <t>USD 68,000</t>
    <phoneticPr fontId="2" type="noConversion"/>
  </si>
  <si>
    <t>USD 10,967</t>
    <phoneticPr fontId="2" type="noConversion"/>
  </si>
  <si>
    <t>17-231</t>
    <phoneticPr fontId="2" type="noConversion"/>
  </si>
  <si>
    <t>USD21,400</t>
    <phoneticPr fontId="2" type="noConversion"/>
  </si>
  <si>
    <t>USD 3,210</t>
    <phoneticPr fontId="2" type="noConversion"/>
  </si>
  <si>
    <t>17-233</t>
    <phoneticPr fontId="2" type="noConversion"/>
  </si>
  <si>
    <t>R500</t>
    <phoneticPr fontId="2" type="noConversion"/>
  </si>
  <si>
    <t>USD 5000</t>
    <phoneticPr fontId="2" type="noConversion"/>
  </si>
  <si>
    <t>USD750</t>
    <phoneticPr fontId="2" type="noConversion"/>
  </si>
  <si>
    <t>17-255</t>
    <phoneticPr fontId="2" type="noConversion"/>
  </si>
  <si>
    <t>USD3,150</t>
    <phoneticPr fontId="2" type="noConversion"/>
  </si>
  <si>
    <t>17-257</t>
    <phoneticPr fontId="2" type="noConversion"/>
  </si>
  <si>
    <t>SonarWiz EMA x 3</t>
    <phoneticPr fontId="2" type="noConversion"/>
  </si>
  <si>
    <t>CHESAPEAKE</t>
    <phoneticPr fontId="2" type="noConversion"/>
  </si>
  <si>
    <t>USD 3,985</t>
    <phoneticPr fontId="2" type="noConversion"/>
  </si>
  <si>
    <t>USD 996.25</t>
    <phoneticPr fontId="2" type="noConversion"/>
  </si>
  <si>
    <t>17-258</t>
    <phoneticPr fontId="2" type="noConversion"/>
  </si>
  <si>
    <t>2D Deck cable, power supply</t>
    <phoneticPr fontId="2" type="noConversion"/>
  </si>
  <si>
    <t>USD 7,560</t>
    <phoneticPr fontId="2" type="noConversion"/>
  </si>
  <si>
    <t>USD 756</t>
    <phoneticPr fontId="2" type="noConversion"/>
  </si>
  <si>
    <t>17-266</t>
    <phoneticPr fontId="2" type="noConversion"/>
  </si>
  <si>
    <t>USD 27,000</t>
    <phoneticPr fontId="2" type="noConversion"/>
  </si>
  <si>
    <t>17-269</t>
    <phoneticPr fontId="2" type="noConversion"/>
  </si>
  <si>
    <t>IR7300 x 2</t>
    <phoneticPr fontId="2" type="noConversion"/>
  </si>
  <si>
    <t>USD 9000</t>
    <phoneticPr fontId="2" type="noConversion"/>
  </si>
  <si>
    <t>USD 1,350</t>
    <phoneticPr fontId="2" type="noConversion"/>
  </si>
  <si>
    <t>17-270</t>
    <phoneticPr fontId="2" type="noConversion"/>
  </si>
  <si>
    <t>usd 21,000</t>
    <phoneticPr fontId="2" type="noConversion"/>
  </si>
  <si>
    <t>17-272</t>
    <phoneticPr fontId="2" type="noConversion"/>
  </si>
  <si>
    <t>G3 Slocum Glider</t>
    <phoneticPr fontId="2" type="noConversion"/>
  </si>
  <si>
    <t>USD 149,600</t>
    <phoneticPr fontId="2" type="noConversion"/>
  </si>
  <si>
    <t>USD 6,644</t>
    <phoneticPr fontId="2" type="noConversion"/>
  </si>
  <si>
    <t>17-281</t>
    <phoneticPr fontId="2" type="noConversion"/>
  </si>
  <si>
    <t>세이프텍</t>
    <phoneticPr fontId="2" type="noConversion"/>
  </si>
  <si>
    <t>EUR 75000</t>
    <phoneticPr fontId="2" type="noConversion"/>
  </si>
  <si>
    <t>17-294</t>
    <phoneticPr fontId="2" type="noConversion"/>
  </si>
  <si>
    <t>R2K</t>
    <phoneticPr fontId="2" type="noConversion"/>
  </si>
  <si>
    <t>USD 10,700</t>
    <phoneticPr fontId="2" type="noConversion"/>
  </si>
  <si>
    <t>USD 1,605</t>
    <phoneticPr fontId="2" type="noConversion"/>
  </si>
  <si>
    <t>17-298</t>
    <phoneticPr fontId="2" type="noConversion"/>
  </si>
  <si>
    <t>현대중공업</t>
    <phoneticPr fontId="2" type="noConversion"/>
  </si>
  <si>
    <t>Farsounder 1000 외</t>
    <phoneticPr fontId="2" type="noConversion"/>
  </si>
  <si>
    <t>USD 627,500</t>
    <phoneticPr fontId="2" type="noConversion"/>
  </si>
  <si>
    <t>USD 100,578.15</t>
    <phoneticPr fontId="2" type="noConversion"/>
  </si>
  <si>
    <t>17-300</t>
    <phoneticPr fontId="2" type="noConversion"/>
  </si>
  <si>
    <t>17-363</t>
    <phoneticPr fontId="2" type="noConversion"/>
  </si>
  <si>
    <t>C Nav signal</t>
    <phoneticPr fontId="2" type="noConversion"/>
  </si>
  <si>
    <t>USD 12,000</t>
    <phoneticPr fontId="2" type="noConversion"/>
  </si>
  <si>
    <t>17-379</t>
    <phoneticPr fontId="2" type="noConversion"/>
  </si>
  <si>
    <t>17-382</t>
    <phoneticPr fontId="2" type="noConversion"/>
  </si>
  <si>
    <t>NOK 194,800</t>
    <phoneticPr fontId="2" type="noConversion"/>
  </si>
  <si>
    <t>17-385</t>
    <phoneticPr fontId="2" type="noConversion"/>
  </si>
  <si>
    <t>17-398</t>
    <phoneticPr fontId="2" type="noConversion"/>
  </si>
  <si>
    <t>18-3</t>
    <phoneticPr fontId="2" type="noConversion"/>
  </si>
  <si>
    <t>18-25</t>
    <phoneticPr fontId="2" type="noConversion"/>
  </si>
  <si>
    <t>EUR979.80</t>
    <phoneticPr fontId="2" type="noConversion"/>
  </si>
  <si>
    <t>18-39</t>
    <phoneticPr fontId="2" type="noConversion"/>
  </si>
  <si>
    <t>18-50</t>
    <phoneticPr fontId="2" type="noConversion"/>
  </si>
  <si>
    <t>18-89</t>
    <phoneticPr fontId="2" type="noConversion"/>
  </si>
  <si>
    <t>삼원중공업</t>
    <phoneticPr fontId="2" type="noConversion"/>
  </si>
  <si>
    <t>USD 89,952.36</t>
    <phoneticPr fontId="2" type="noConversion"/>
  </si>
  <si>
    <t>하나은행으로 입금</t>
    <phoneticPr fontId="2" type="noConversion"/>
  </si>
  <si>
    <t>18-90</t>
    <phoneticPr fontId="2" type="noConversion"/>
  </si>
  <si>
    <t>NOK 309,460</t>
    <phoneticPr fontId="2" type="noConversion"/>
  </si>
  <si>
    <t>18-106</t>
    <phoneticPr fontId="2" type="noConversion"/>
  </si>
  <si>
    <t>NOK 119,203</t>
    <phoneticPr fontId="2" type="noConversion"/>
  </si>
  <si>
    <t>18-117</t>
    <phoneticPr fontId="2" type="noConversion"/>
  </si>
  <si>
    <t>Sercel(OTUK)</t>
    <phoneticPr fontId="2" type="noConversion"/>
  </si>
  <si>
    <t>18-122</t>
    <phoneticPr fontId="2" type="noConversion"/>
  </si>
  <si>
    <t>18-124</t>
    <phoneticPr fontId="2" type="noConversion"/>
  </si>
  <si>
    <t>18-126</t>
    <phoneticPr fontId="2" type="noConversion"/>
  </si>
  <si>
    <t>18-123</t>
    <phoneticPr fontId="2" type="noConversion"/>
  </si>
  <si>
    <t>EUR 11,147</t>
    <phoneticPr fontId="2" type="noConversion"/>
  </si>
  <si>
    <t>18-143</t>
    <phoneticPr fontId="2" type="noConversion"/>
  </si>
  <si>
    <t>18-144</t>
    <phoneticPr fontId="2" type="noConversion"/>
  </si>
  <si>
    <t>18-145</t>
    <phoneticPr fontId="2" type="noConversion"/>
  </si>
  <si>
    <t>실시간 수중음향 감시시스템(Hydrophone buoy)</t>
    <phoneticPr fontId="2" type="noConversion"/>
  </si>
  <si>
    <t>EUR 13,387</t>
    <phoneticPr fontId="2" type="noConversion"/>
  </si>
  <si>
    <t>금액수정됨..</t>
    <phoneticPr fontId="2" type="noConversion"/>
  </si>
  <si>
    <t>18-148</t>
    <phoneticPr fontId="2" type="noConversion"/>
  </si>
  <si>
    <t>USD 465</t>
    <phoneticPr fontId="2" type="noConversion"/>
  </si>
  <si>
    <t>18-158</t>
    <phoneticPr fontId="2" type="noConversion"/>
  </si>
  <si>
    <t>Oktopus</t>
    <phoneticPr fontId="2" type="noConversion"/>
  </si>
  <si>
    <t>EUR 40,138</t>
    <phoneticPr fontId="2" type="noConversion"/>
  </si>
  <si>
    <t>EUR 14,008</t>
    <phoneticPr fontId="2" type="noConversion"/>
  </si>
  <si>
    <t>18-166</t>
    <phoneticPr fontId="2" type="noConversion"/>
  </si>
  <si>
    <t>육상용 중력계</t>
    <phoneticPr fontId="2" type="noConversion"/>
  </si>
  <si>
    <t>USD 16,884</t>
    <phoneticPr fontId="2" type="noConversion"/>
  </si>
  <si>
    <t>18-173</t>
    <phoneticPr fontId="2" type="noConversion"/>
  </si>
  <si>
    <t>탐해23호 ARIS</t>
    <phoneticPr fontId="2" type="noConversion"/>
  </si>
  <si>
    <t>USD51,964.50</t>
    <phoneticPr fontId="2" type="noConversion"/>
  </si>
  <si>
    <t>12월초 입금예정</t>
    <phoneticPr fontId="2" type="noConversion"/>
  </si>
  <si>
    <t>18-174</t>
    <phoneticPr fontId="2" type="noConversion"/>
  </si>
  <si>
    <t>HK조선</t>
    <phoneticPr fontId="2" type="noConversion"/>
  </si>
  <si>
    <t>탐해23호 AWS</t>
    <phoneticPr fontId="2" type="noConversion"/>
  </si>
  <si>
    <t>18-175</t>
    <phoneticPr fontId="2" type="noConversion"/>
  </si>
  <si>
    <t xml:space="preserve">탐해23호 MOCNESS </t>
    <phoneticPr fontId="2" type="noConversion"/>
  </si>
  <si>
    <t>18-181</t>
    <phoneticPr fontId="2" type="noConversion"/>
  </si>
  <si>
    <t>USD 3,311</t>
    <phoneticPr fontId="2" type="noConversion"/>
  </si>
  <si>
    <t>9/19Check 매입</t>
    <phoneticPr fontId="2" type="noConversion"/>
  </si>
  <si>
    <t>2018-07-17 발행일</t>
    <phoneticPr fontId="2" type="noConversion"/>
  </si>
  <si>
    <t>18-192</t>
    <phoneticPr fontId="2" type="noConversion"/>
  </si>
  <si>
    <t>18-208</t>
    <phoneticPr fontId="2" type="noConversion"/>
  </si>
  <si>
    <t>USD 17,070</t>
    <phoneticPr fontId="2" type="noConversion"/>
  </si>
  <si>
    <t>USD 2,560.50</t>
    <phoneticPr fontId="2" type="noConversion"/>
  </si>
  <si>
    <t>18-253</t>
    <phoneticPr fontId="2" type="noConversion"/>
  </si>
  <si>
    <t>2/15 remind</t>
    <phoneticPr fontId="2" type="noConversion"/>
  </si>
  <si>
    <t>18-264</t>
    <phoneticPr fontId="2" type="noConversion"/>
  </si>
  <si>
    <t>USD 1,437.75</t>
    <phoneticPr fontId="2" type="noConversion"/>
  </si>
  <si>
    <t>18-274</t>
    <phoneticPr fontId="2" type="noConversion"/>
  </si>
  <si>
    <t>PCO2 system 수리</t>
    <phoneticPr fontId="2" type="noConversion"/>
  </si>
  <si>
    <t>USD 73,030</t>
    <phoneticPr fontId="2" type="noConversion"/>
  </si>
  <si>
    <t>USD19,840.63</t>
    <phoneticPr fontId="2" type="noConversion"/>
  </si>
  <si>
    <t>18-295</t>
    <phoneticPr fontId="2" type="noConversion"/>
  </si>
  <si>
    <t>Hydrophone &amp; Accessories</t>
    <phoneticPr fontId="2" type="noConversion"/>
  </si>
  <si>
    <t>18-326</t>
    <phoneticPr fontId="2" type="noConversion"/>
  </si>
  <si>
    <t>18-352</t>
    <phoneticPr fontId="2" type="noConversion"/>
  </si>
  <si>
    <t>USD 5,265.75</t>
    <phoneticPr fontId="2" type="noConversion"/>
  </si>
  <si>
    <t>하위 19년</t>
    <phoneticPr fontId="7" type="noConversion"/>
  </si>
  <si>
    <t>Sercel</t>
    <phoneticPr fontId="2" type="noConversion"/>
  </si>
  <si>
    <t>Air Gun 부품</t>
    <phoneticPr fontId="2" type="noConversion"/>
  </si>
  <si>
    <t>USD 34,155</t>
    <phoneticPr fontId="2" type="noConversion"/>
  </si>
  <si>
    <t>Marine Source 부품</t>
    <phoneticPr fontId="2" type="noConversion"/>
  </si>
  <si>
    <t>USD 37,455</t>
    <phoneticPr fontId="2" type="noConversion"/>
  </si>
  <si>
    <t>KIGAM</t>
    <phoneticPr fontId="2" type="noConversion"/>
  </si>
  <si>
    <t>Sercel</t>
    <phoneticPr fontId="2" type="noConversion"/>
  </si>
  <si>
    <t>Mini Gun</t>
    <phoneticPr fontId="2" type="noConversion"/>
  </si>
  <si>
    <t>USD 4,519</t>
  </si>
  <si>
    <t>USD 5,171</t>
  </si>
  <si>
    <t>USD 692</t>
  </si>
  <si>
    <t>USD 1,370</t>
  </si>
  <si>
    <t>USD 2,048</t>
  </si>
  <si>
    <t>USD 2,048</t>
    <phoneticPr fontId="7" type="noConversion"/>
  </si>
  <si>
    <t>19-001</t>
    <phoneticPr fontId="7" type="noConversion"/>
  </si>
  <si>
    <t>NO</t>
    <phoneticPr fontId="7" type="noConversion"/>
  </si>
  <si>
    <t>완료</t>
    <phoneticPr fontId="2" type="noConversion"/>
  </si>
  <si>
    <t>완료</t>
    <phoneticPr fontId="7" type="noConversion"/>
  </si>
  <si>
    <t>Benthos</t>
    <phoneticPr fontId="2" type="noConversion"/>
  </si>
  <si>
    <t>KOPRI</t>
    <phoneticPr fontId="2" type="noConversion"/>
  </si>
  <si>
    <t>AR R2K</t>
    <phoneticPr fontId="2" type="noConversion"/>
  </si>
  <si>
    <t>KIOST</t>
    <phoneticPr fontId="2" type="noConversion"/>
  </si>
  <si>
    <t>USD 11,700</t>
    <phoneticPr fontId="2" type="noConversion"/>
  </si>
  <si>
    <t>생산기술연구원</t>
    <phoneticPr fontId="2" type="noConversion"/>
  </si>
  <si>
    <t>수중카메라 외</t>
    <phoneticPr fontId="2" type="noConversion"/>
  </si>
  <si>
    <t>USD 22,799.70</t>
    <phoneticPr fontId="2" type="noConversion"/>
  </si>
  <si>
    <t>KOPRI</t>
    <phoneticPr fontId="2" type="noConversion"/>
  </si>
  <si>
    <t>KIOST</t>
    <phoneticPr fontId="2" type="noConversion"/>
  </si>
  <si>
    <t xml:space="preserve"> TV Grab</t>
    <phoneticPr fontId="2" type="noConversion"/>
  </si>
  <si>
    <t>EUR 707,830</t>
    <phoneticPr fontId="2" type="noConversion"/>
  </si>
  <si>
    <t>HDZ seacam</t>
    <phoneticPr fontId="2" type="noConversion"/>
  </si>
  <si>
    <t>KLEIN</t>
    <phoneticPr fontId="2" type="noConversion"/>
  </si>
  <si>
    <t xml:space="preserve">UUV 3500 </t>
    <phoneticPr fontId="2" type="noConversion"/>
  </si>
  <si>
    <t>USD 58,330</t>
    <phoneticPr fontId="2" type="noConversion"/>
  </si>
  <si>
    <t>19-023</t>
    <phoneticPr fontId="7" type="noConversion"/>
  </si>
  <si>
    <t>19-039</t>
    <phoneticPr fontId="7" type="noConversion"/>
  </si>
  <si>
    <t>19-065</t>
    <phoneticPr fontId="7" type="noConversion"/>
  </si>
  <si>
    <t>Eur 24,086.93</t>
    <phoneticPr fontId="7" type="noConversion"/>
  </si>
  <si>
    <t>YES</t>
    <phoneticPr fontId="7" type="noConversion"/>
  </si>
  <si>
    <t>19-072</t>
    <phoneticPr fontId="7" type="noConversion"/>
  </si>
  <si>
    <t>19-073</t>
    <phoneticPr fontId="7" type="noConversion"/>
  </si>
  <si>
    <t>19-130</t>
    <phoneticPr fontId="7" type="noConversion"/>
  </si>
  <si>
    <t>19-131</t>
    <phoneticPr fontId="7" type="noConversion"/>
  </si>
  <si>
    <t>19-139</t>
    <phoneticPr fontId="7" type="noConversion"/>
  </si>
  <si>
    <t>19-201</t>
    <phoneticPr fontId="7" type="noConversion"/>
  </si>
  <si>
    <t>19-213</t>
    <phoneticPr fontId="7" type="noConversion"/>
  </si>
  <si>
    <t>19-214</t>
    <phoneticPr fontId="7" type="noConversion"/>
  </si>
  <si>
    <t>19-216</t>
    <phoneticPr fontId="7" type="noConversion"/>
  </si>
  <si>
    <t>19-235</t>
    <phoneticPr fontId="7" type="noConversion"/>
  </si>
  <si>
    <t>19-254</t>
    <phoneticPr fontId="7" type="noConversion"/>
  </si>
  <si>
    <t>19-268</t>
    <phoneticPr fontId="7" type="noConversion"/>
  </si>
  <si>
    <t>1차 19.10.24</t>
    <phoneticPr fontId="7" type="noConversion"/>
  </si>
  <si>
    <t>USD 2,100</t>
    <phoneticPr fontId="7" type="noConversion"/>
  </si>
  <si>
    <t>USD 3,487.50</t>
    <phoneticPr fontId="7" type="noConversion"/>
  </si>
  <si>
    <t>USD 3,500</t>
    <phoneticPr fontId="2" type="noConversion"/>
  </si>
  <si>
    <t>USD 525.00</t>
    <phoneticPr fontId="7" type="noConversion"/>
  </si>
  <si>
    <t>USD 5,400.96</t>
    <phoneticPr fontId="7" type="noConversion"/>
  </si>
  <si>
    <t>EUR 6,986.00</t>
    <phoneticPr fontId="7" type="noConversion"/>
  </si>
  <si>
    <t>USD 60,928</t>
    <phoneticPr fontId="2" type="noConversion"/>
  </si>
  <si>
    <t>USD 9,139.20</t>
    <phoneticPr fontId="7" type="noConversion"/>
  </si>
  <si>
    <t>이부장메모</t>
    <phoneticPr fontId="2" type="noConversion"/>
  </si>
  <si>
    <t>USD 1,290.24</t>
    <phoneticPr fontId="7" type="noConversion"/>
  </si>
  <si>
    <t>일부</t>
    <phoneticPr fontId="7" type="noConversion"/>
  </si>
  <si>
    <t>1st. 2019-12-18</t>
    <phoneticPr fontId="7" type="noConversion"/>
  </si>
  <si>
    <t>USD 2,601.48</t>
    <phoneticPr fontId="7" type="noConversion"/>
  </si>
  <si>
    <t>USD 10,391.25</t>
    <phoneticPr fontId="7" type="noConversion"/>
  </si>
  <si>
    <t>2020년 발급</t>
    <phoneticPr fontId="7" type="noConversion"/>
  </si>
  <si>
    <t>입금, 발급등 진행전</t>
    <phoneticPr fontId="7" type="noConversion"/>
  </si>
  <si>
    <t>Benthos</t>
    <phoneticPr fontId="7" type="noConversion"/>
  </si>
  <si>
    <t>상품</t>
    <phoneticPr fontId="7" type="noConversion"/>
  </si>
  <si>
    <t>내자</t>
    <phoneticPr fontId="7" type="noConversion"/>
  </si>
  <si>
    <t>KIOST</t>
    <phoneticPr fontId="7" type="noConversion"/>
  </si>
  <si>
    <t>허기영</t>
    <phoneticPr fontId="7" type="noConversion"/>
  </si>
  <si>
    <t>오션테크</t>
    <phoneticPr fontId="7" type="noConversion"/>
  </si>
  <si>
    <t>AADI</t>
    <phoneticPr fontId="7" type="noConversion"/>
  </si>
  <si>
    <t>-</t>
    <phoneticPr fontId="7" type="noConversion"/>
  </si>
  <si>
    <t>오션사이언스</t>
    <phoneticPr fontId="7" type="noConversion"/>
  </si>
  <si>
    <t>KIOST</t>
  </si>
  <si>
    <t>GNM</t>
    <phoneticPr fontId="7" type="noConversion"/>
  </si>
  <si>
    <t>Aanderaa</t>
    <phoneticPr fontId="7" type="noConversion"/>
  </si>
  <si>
    <t>KOPRI</t>
    <phoneticPr fontId="7" type="noConversion"/>
  </si>
  <si>
    <t>Sercel</t>
    <phoneticPr fontId="7" type="noConversion"/>
  </si>
  <si>
    <t>GI-GUN Spare parts 구매</t>
    <phoneticPr fontId="7" type="noConversion"/>
  </si>
  <si>
    <t>USD 16,410</t>
    <phoneticPr fontId="7" type="noConversion"/>
  </si>
  <si>
    <t>USD 99,985</t>
    <phoneticPr fontId="7" type="noConversion"/>
  </si>
  <si>
    <t>COX</t>
  </si>
  <si>
    <t>Sercel</t>
  </si>
  <si>
    <t>KIGAM</t>
    <phoneticPr fontId="7" type="noConversion"/>
  </si>
  <si>
    <t>입찰참가자격</t>
    <phoneticPr fontId="7" type="noConversion"/>
  </si>
  <si>
    <t>R2K</t>
    <phoneticPr fontId="7" type="noConversion"/>
  </si>
  <si>
    <t>Parts of AANDERAA SeaGuard System</t>
    <phoneticPr fontId="7" type="noConversion"/>
  </si>
  <si>
    <t>USD 11,700</t>
    <phoneticPr fontId="7" type="noConversion"/>
  </si>
  <si>
    <t>NOK 47,200</t>
    <phoneticPr fontId="7" type="noConversion"/>
  </si>
  <si>
    <t>USD 1,022.43</t>
    <phoneticPr fontId="7" type="noConversion"/>
  </si>
  <si>
    <t>USD 1,064.04</t>
    <phoneticPr fontId="7" type="noConversion"/>
  </si>
  <si>
    <t>EUR 100,320</t>
    <phoneticPr fontId="7" type="noConversion"/>
  </si>
  <si>
    <t>2차 20.06.10</t>
    <phoneticPr fontId="7" type="noConversion"/>
  </si>
  <si>
    <t>조위계 및 CT</t>
    <phoneticPr fontId="7" type="noConversion"/>
  </si>
  <si>
    <t>USD 5,370.21</t>
    <phoneticPr fontId="7" type="noConversion"/>
  </si>
  <si>
    <t>USD 2,800</t>
    <phoneticPr fontId="7" type="noConversion"/>
  </si>
  <si>
    <t>YES</t>
    <phoneticPr fontId="7" type="noConversion"/>
  </si>
  <si>
    <t>ixBlue</t>
    <phoneticPr fontId="7" type="noConversion"/>
  </si>
  <si>
    <t>지진계</t>
    <phoneticPr fontId="7" type="noConversion"/>
  </si>
  <si>
    <t>EUR 56,200</t>
    <phoneticPr fontId="7" type="noConversion"/>
  </si>
  <si>
    <t>SERCEL</t>
    <phoneticPr fontId="7" type="noConversion"/>
  </si>
  <si>
    <t>Marine source 부속품</t>
    <phoneticPr fontId="7" type="noConversion"/>
  </si>
  <si>
    <t>USD 6,800</t>
    <phoneticPr fontId="7" type="noConversion"/>
  </si>
  <si>
    <t>Eiva</t>
    <phoneticPr fontId="7" type="noConversion"/>
  </si>
  <si>
    <t>NaviPac</t>
    <phoneticPr fontId="7" type="noConversion"/>
  </si>
  <si>
    <t>EUR 7,495</t>
    <phoneticPr fontId="7" type="noConversion"/>
  </si>
  <si>
    <t>20-058</t>
    <phoneticPr fontId="7" type="noConversion"/>
  </si>
  <si>
    <t>20-105</t>
    <phoneticPr fontId="7" type="noConversion"/>
  </si>
  <si>
    <t>USD 1,755</t>
    <phoneticPr fontId="7" type="noConversion"/>
  </si>
  <si>
    <t>2020.07.30</t>
    <phoneticPr fontId="7" type="noConversion"/>
  </si>
  <si>
    <t>NO</t>
    <phoneticPr fontId="7" type="noConversion"/>
  </si>
  <si>
    <t>2020.08.31</t>
    <phoneticPr fontId="7" type="noConversion"/>
  </si>
  <si>
    <t>EUR 2,248.50</t>
    <phoneticPr fontId="7" type="noConversion"/>
  </si>
  <si>
    <t>USD 805.53</t>
    <phoneticPr fontId="7" type="noConversion"/>
  </si>
  <si>
    <t>20-173</t>
    <phoneticPr fontId="7" type="noConversion"/>
  </si>
  <si>
    <t>20-224</t>
    <phoneticPr fontId="7" type="noConversion"/>
  </si>
  <si>
    <t>2020.08.21</t>
    <phoneticPr fontId="7" type="noConversion"/>
  </si>
  <si>
    <t>20-226</t>
    <phoneticPr fontId="7" type="noConversion"/>
  </si>
  <si>
    <t>USD 2,412.75</t>
    <phoneticPr fontId="7" type="noConversion"/>
  </si>
  <si>
    <t>UTS-9400</t>
    <phoneticPr fontId="2" type="noConversion"/>
  </si>
  <si>
    <t>USD 16,085</t>
    <phoneticPr fontId="2" type="noConversion"/>
  </si>
  <si>
    <t>2020.11.10</t>
    <phoneticPr fontId="7" type="noConversion"/>
  </si>
  <si>
    <t>2020.09.29</t>
    <phoneticPr fontId="7" type="noConversion"/>
  </si>
  <si>
    <t>9/29, 10/23</t>
    <phoneticPr fontId="7" type="noConversion"/>
  </si>
  <si>
    <t>KIGAM</t>
  </si>
  <si>
    <t>SHS2 스트리머 부속품</t>
  </si>
  <si>
    <t xml:space="preserve"> USD 20,185 </t>
  </si>
  <si>
    <t>KOPRI</t>
  </si>
  <si>
    <t>Spare parts of GI SOURCEII</t>
  </si>
  <si>
    <t>SERCEL</t>
  </si>
  <si>
    <t xml:space="preserve"> USD 21,863.70 </t>
  </si>
  <si>
    <t>ITRAX Spare Parts</t>
  </si>
  <si>
    <t xml:space="preserve"> EUR 4,872 </t>
  </si>
  <si>
    <t>R2K</t>
  </si>
  <si>
    <t xml:space="preserve"> USD 11,700 </t>
  </si>
  <si>
    <t>Tow Cable for SeaSPY2 Magnetometer</t>
  </si>
  <si>
    <t>Marine Magnetics</t>
  </si>
  <si>
    <t xml:space="preserve"> USD 8,420 </t>
  </si>
  <si>
    <t>USD 1,260.50</t>
  </si>
  <si>
    <t>GNM</t>
  </si>
  <si>
    <t>선박용 P Counter 2식 수출</t>
  </si>
  <si>
    <t>한국해양기상기술</t>
  </si>
  <si>
    <t xml:space="preserve"> USD 40,000 </t>
  </si>
  <si>
    <t>PCO2 시스템 부품</t>
  </si>
  <si>
    <t xml:space="preserve"> USD 3,183 </t>
  </si>
  <si>
    <t>20-235</t>
    <phoneticPr fontId="7" type="noConversion"/>
  </si>
  <si>
    <t>20-262</t>
    <phoneticPr fontId="7" type="noConversion"/>
  </si>
  <si>
    <t>20-265</t>
    <phoneticPr fontId="7" type="noConversion"/>
  </si>
  <si>
    <t>20-310</t>
    <phoneticPr fontId="7" type="noConversion"/>
  </si>
  <si>
    <t>20-325</t>
    <phoneticPr fontId="7" type="noConversion"/>
  </si>
  <si>
    <t>20-347</t>
    <phoneticPr fontId="7" type="noConversion"/>
  </si>
  <si>
    <t>20-349</t>
    <phoneticPr fontId="7" type="noConversion"/>
  </si>
  <si>
    <t>20-180</t>
    <phoneticPr fontId="7" type="noConversion"/>
  </si>
  <si>
    <t>20-189</t>
    <phoneticPr fontId="7" type="noConversion"/>
  </si>
  <si>
    <t>20-196</t>
    <phoneticPr fontId="7" type="noConversion"/>
  </si>
  <si>
    <t>20-200</t>
    <phoneticPr fontId="7" type="noConversion"/>
  </si>
  <si>
    <t>20-117</t>
    <phoneticPr fontId="7" type="noConversion"/>
  </si>
  <si>
    <t>EUR 7,975</t>
    <phoneticPr fontId="7" type="noConversion"/>
  </si>
  <si>
    <t>20/09/29 $1,755/ 10/23 $345</t>
    <phoneticPr fontId="7" type="noConversion"/>
  </si>
  <si>
    <t>BarnakiL board 수출대금</t>
    <phoneticPr fontId="7" type="noConversion"/>
  </si>
  <si>
    <t>2020-06-18 수출</t>
    <phoneticPr fontId="7" type="noConversion"/>
  </si>
  <si>
    <t>NOK 9,660.50</t>
    <phoneticPr fontId="7" type="noConversion"/>
  </si>
  <si>
    <t>2020.07.02</t>
    <phoneticPr fontId="7" type="noConversion"/>
  </si>
  <si>
    <t>6월중협의</t>
    <phoneticPr fontId="7" type="noConversion"/>
  </si>
  <si>
    <t>수출대금입금예정</t>
    <phoneticPr fontId="7" type="noConversion"/>
  </si>
  <si>
    <t>박기홍</t>
    <phoneticPr fontId="7" type="noConversion"/>
  </si>
  <si>
    <t>pCO2 EQU 펌프</t>
    <phoneticPr fontId="7" type="noConversion"/>
  </si>
  <si>
    <t>오원진(하선종)</t>
    <phoneticPr fontId="7" type="noConversion"/>
  </si>
  <si>
    <t>Datalogger &amp; Controller(베트남 ODA 예비품)</t>
    <phoneticPr fontId="7" type="noConversion"/>
  </si>
  <si>
    <t>황유진(이기욱)</t>
    <phoneticPr fontId="7" type="noConversion"/>
  </si>
  <si>
    <t>계약담당(견적/실무담당)</t>
    <phoneticPr fontId="2" type="noConversion"/>
  </si>
  <si>
    <t>동문이앤티</t>
    <phoneticPr fontId="7" type="noConversion"/>
  </si>
  <si>
    <t>경석균</t>
    <phoneticPr fontId="7" type="noConversion"/>
  </si>
  <si>
    <t>Zebra</t>
    <phoneticPr fontId="7" type="noConversion"/>
  </si>
  <si>
    <t>Hydro Wiper A 2식</t>
    <phoneticPr fontId="7" type="noConversion"/>
  </si>
  <si>
    <t>상품</t>
    <phoneticPr fontId="7" type="noConversion"/>
  </si>
  <si>
    <t>-</t>
    <phoneticPr fontId="7" type="noConversion"/>
  </si>
  <si>
    <t>내자</t>
    <phoneticPr fontId="7" type="noConversion"/>
  </si>
  <si>
    <t>국립수산과학원</t>
    <phoneticPr fontId="7" type="noConversion"/>
  </si>
  <si>
    <t>용역</t>
    <phoneticPr fontId="7" type="noConversion"/>
  </si>
  <si>
    <t>박종우</t>
    <phoneticPr fontId="7" type="noConversion"/>
  </si>
  <si>
    <t>패독 플랑크톤 모니터링시스템 설치 및 분석</t>
    <phoneticPr fontId="7" type="noConversion"/>
  </si>
  <si>
    <t>지오뷰</t>
    <phoneticPr fontId="7" type="noConversion"/>
  </si>
  <si>
    <t>Klein</t>
    <phoneticPr fontId="7" type="noConversion"/>
  </si>
  <si>
    <t>Klein 4000 SSS</t>
    <phoneticPr fontId="7" type="noConversion"/>
  </si>
  <si>
    <t>상품</t>
    <phoneticPr fontId="7" type="noConversion"/>
  </si>
  <si>
    <t xml:space="preserve"> - </t>
    <phoneticPr fontId="7" type="noConversion"/>
  </si>
  <si>
    <t>내자</t>
    <phoneticPr fontId="7" type="noConversion"/>
  </si>
  <si>
    <t>USD 80,300</t>
    <phoneticPr fontId="7" type="noConversion"/>
  </si>
  <si>
    <t>자기위치발신장치(Beacon)</t>
    <phoneticPr fontId="7" type="noConversion"/>
  </si>
  <si>
    <t>조영남</t>
    <phoneticPr fontId="7" type="noConversion"/>
  </si>
  <si>
    <t>노수연</t>
    <phoneticPr fontId="7" type="noConversion"/>
  </si>
  <si>
    <t>Metocean</t>
    <phoneticPr fontId="7" type="noConversion"/>
  </si>
  <si>
    <t>서울대학교 산학협력단</t>
    <phoneticPr fontId="7" type="noConversion"/>
  </si>
  <si>
    <t># 48120 , 48121</t>
    <phoneticPr fontId="7" type="noConversion"/>
  </si>
  <si>
    <t>KHOA(서해)</t>
    <phoneticPr fontId="7" type="noConversion"/>
  </si>
  <si>
    <t>고지민</t>
    <phoneticPr fontId="7" type="noConversion"/>
  </si>
  <si>
    <t>오션테크</t>
    <phoneticPr fontId="7" type="noConversion"/>
  </si>
  <si>
    <t>굴업도 조위관측소 철거 및 장비 회수, 운반</t>
    <phoneticPr fontId="7" type="noConversion"/>
  </si>
  <si>
    <t>용역</t>
    <phoneticPr fontId="7" type="noConversion"/>
  </si>
  <si>
    <t>-</t>
    <phoneticPr fontId="7" type="noConversion"/>
  </si>
  <si>
    <t>내자</t>
    <phoneticPr fontId="7" type="noConversion"/>
  </si>
  <si>
    <t>강한구</t>
    <phoneticPr fontId="7" type="noConversion"/>
  </si>
  <si>
    <t>이사부호 DGPS CNav (Annual activation for Cnav)</t>
    <phoneticPr fontId="7" type="noConversion"/>
  </si>
  <si>
    <t>Oceanengineering</t>
    <phoneticPr fontId="7" type="noConversion"/>
  </si>
  <si>
    <t>오원진(연구팀)</t>
    <phoneticPr fontId="7" type="noConversion"/>
  </si>
  <si>
    <t>황유진(이학용)</t>
    <phoneticPr fontId="7" type="noConversion"/>
  </si>
  <si>
    <t>오원진(이학용)</t>
    <phoneticPr fontId="7" type="noConversion"/>
  </si>
  <si>
    <t>KOPRI</t>
    <phoneticPr fontId="7" type="noConversion"/>
  </si>
  <si>
    <t>수평형 채수병 세트</t>
    <phoneticPr fontId="7" type="noConversion"/>
  </si>
  <si>
    <t>KHOA</t>
    <phoneticPr fontId="7" type="noConversion"/>
  </si>
  <si>
    <t>오션테크</t>
    <phoneticPr fontId="7" type="noConversion"/>
  </si>
  <si>
    <t>대부도, 안섬포구 긴급점검</t>
    <phoneticPr fontId="7" type="noConversion"/>
  </si>
  <si>
    <t>홍현리 긴급점검</t>
    <phoneticPr fontId="7" type="noConversion"/>
  </si>
  <si>
    <t>이기종</t>
    <phoneticPr fontId="7" type="noConversion"/>
  </si>
  <si>
    <t>지오뷰</t>
    <phoneticPr fontId="7" type="noConversion"/>
  </si>
  <si>
    <t>Datem</t>
    <phoneticPr fontId="7" type="noConversion"/>
  </si>
  <si>
    <t>Neptune 3000 MCPT System</t>
    <phoneticPr fontId="7" type="noConversion"/>
  </si>
  <si>
    <t>상품</t>
    <phoneticPr fontId="7" type="noConversion"/>
  </si>
  <si>
    <t>USD 400,000</t>
    <phoneticPr fontId="7" type="noConversion"/>
  </si>
  <si>
    <t>지오뷰</t>
    <phoneticPr fontId="7" type="noConversion"/>
  </si>
  <si>
    <t>Reson(TSS)</t>
    <phoneticPr fontId="7" type="noConversion"/>
  </si>
  <si>
    <t>TOGS1</t>
    <phoneticPr fontId="7" type="noConversion"/>
  </si>
  <si>
    <t>상품</t>
    <phoneticPr fontId="7" type="noConversion"/>
  </si>
  <si>
    <t>-</t>
    <phoneticPr fontId="7" type="noConversion"/>
  </si>
  <si>
    <t>세광종합기술단</t>
    <phoneticPr fontId="7" type="noConversion"/>
  </si>
  <si>
    <t>오션테크</t>
    <phoneticPr fontId="7" type="noConversion"/>
  </si>
  <si>
    <t>멀티빔 수리</t>
    <phoneticPr fontId="7" type="noConversion"/>
  </si>
  <si>
    <t>용역</t>
    <phoneticPr fontId="7" type="noConversion"/>
  </si>
  <si>
    <t>내자</t>
    <phoneticPr fontId="7" type="noConversion"/>
  </si>
  <si>
    <t>김지원</t>
    <phoneticPr fontId="7" type="noConversion"/>
  </si>
  <si>
    <t>연구팀(손형석)</t>
    <phoneticPr fontId="7" type="noConversion"/>
  </si>
  <si>
    <t>정종민</t>
    <phoneticPr fontId="7" type="noConversion"/>
  </si>
  <si>
    <t>Datawell</t>
    <phoneticPr fontId="7" type="noConversion"/>
  </si>
  <si>
    <t>Wave Unit(3식)</t>
    <phoneticPr fontId="7" type="noConversion"/>
  </si>
  <si>
    <t>상품</t>
    <phoneticPr fontId="7" type="noConversion"/>
  </si>
  <si>
    <t>-</t>
    <phoneticPr fontId="7" type="noConversion"/>
  </si>
  <si>
    <t>EUR 84,035</t>
    <phoneticPr fontId="7" type="noConversion"/>
  </si>
  <si>
    <t>KHOA</t>
    <phoneticPr fontId="7" type="noConversion"/>
  </si>
  <si>
    <t>사업팀(황규하)</t>
    <phoneticPr fontId="7" type="noConversion"/>
  </si>
  <si>
    <t>오션테크</t>
    <phoneticPr fontId="7" type="noConversion"/>
  </si>
  <si>
    <t>상품</t>
    <phoneticPr fontId="7" type="noConversion"/>
  </si>
  <si>
    <t>내자</t>
    <phoneticPr fontId="7" type="noConversion"/>
  </si>
  <si>
    <t>-</t>
    <phoneticPr fontId="7" type="noConversion"/>
  </si>
  <si>
    <t>사업팀(고태호)</t>
    <phoneticPr fontId="7" type="noConversion"/>
  </si>
  <si>
    <t>박세영</t>
    <phoneticPr fontId="7" type="noConversion"/>
  </si>
  <si>
    <t>황유진(문홍배)</t>
    <phoneticPr fontId="7" type="noConversion"/>
  </si>
  <si>
    <t>정나리</t>
    <phoneticPr fontId="7" type="noConversion"/>
  </si>
  <si>
    <t>황유진(이기욱)</t>
    <phoneticPr fontId="7" type="noConversion"/>
  </si>
  <si>
    <t>KHOA</t>
    <phoneticPr fontId="7" type="noConversion"/>
  </si>
  <si>
    <t>오션테크</t>
    <phoneticPr fontId="7" type="noConversion"/>
  </si>
  <si>
    <t>가거초 인버터 긴급점검</t>
    <phoneticPr fontId="7" type="noConversion"/>
  </si>
  <si>
    <t xml:space="preserve"> - </t>
    <phoneticPr fontId="7" type="noConversion"/>
  </si>
  <si>
    <t>내자</t>
    <phoneticPr fontId="7" type="noConversion"/>
  </si>
  <si>
    <t>사엄팀(김창온)</t>
    <phoneticPr fontId="7" type="noConversion"/>
  </si>
  <si>
    <t>KHOA</t>
    <phoneticPr fontId="7" type="noConversion"/>
  </si>
  <si>
    <t>이기종</t>
    <phoneticPr fontId="7" type="noConversion"/>
  </si>
  <si>
    <t>오션테크</t>
    <phoneticPr fontId="7" type="noConversion"/>
  </si>
  <si>
    <t>내자</t>
    <phoneticPr fontId="7" type="noConversion"/>
  </si>
  <si>
    <t>사업팀(신용은)</t>
    <phoneticPr fontId="7" type="noConversion"/>
  </si>
  <si>
    <t>경포대 해수욕장 부이 긴급점검</t>
    <phoneticPr fontId="7" type="noConversion"/>
  </si>
  <si>
    <t>대한해협 태종대 긴급점검</t>
    <phoneticPr fontId="7" type="noConversion"/>
  </si>
  <si>
    <t>최희재</t>
    <phoneticPr fontId="7" type="noConversion"/>
  </si>
  <si>
    <t>Benthos</t>
    <phoneticPr fontId="7" type="noConversion"/>
  </si>
  <si>
    <t>DRI-267A 수리</t>
    <phoneticPr fontId="7" type="noConversion"/>
  </si>
  <si>
    <t>-</t>
    <phoneticPr fontId="7" type="noConversion"/>
  </si>
  <si>
    <t>내자</t>
    <phoneticPr fontId="7" type="noConversion"/>
  </si>
  <si>
    <t>상품</t>
    <phoneticPr fontId="7" type="noConversion"/>
  </si>
  <si>
    <t>KIOST</t>
    <phoneticPr fontId="7" type="noConversion"/>
  </si>
  <si>
    <t>XRF 코어스캐너 및 대자율 스캐너 유지보수 용역</t>
    <phoneticPr fontId="7" type="noConversion"/>
  </si>
  <si>
    <t>정도현</t>
    <phoneticPr fontId="7" type="noConversion"/>
  </si>
  <si>
    <t>금병철</t>
    <phoneticPr fontId="7" type="noConversion"/>
  </si>
  <si>
    <t>EO 케이블 외 1건</t>
    <phoneticPr fontId="7" type="noConversion"/>
  </si>
  <si>
    <t>오원진(이기욱)</t>
    <phoneticPr fontId="7" type="noConversion"/>
  </si>
  <si>
    <t>1/22, 1/26</t>
    <phoneticPr fontId="7" type="noConversion"/>
  </si>
  <si>
    <t>1/22, 1/27</t>
    <phoneticPr fontId="7" type="noConversion"/>
  </si>
  <si>
    <t>1/26, 1/27</t>
    <phoneticPr fontId="7" type="noConversion"/>
  </si>
  <si>
    <t>세종정밀측기(대우건설)</t>
    <phoneticPr fontId="7" type="noConversion"/>
  </si>
  <si>
    <t>문관식</t>
    <phoneticPr fontId="7" type="noConversion"/>
  </si>
  <si>
    <t>Reson, Ixblue</t>
    <phoneticPr fontId="7" type="noConversion"/>
  </si>
  <si>
    <t>오원진(문홍배)</t>
    <phoneticPr fontId="7" type="noConversion"/>
  </si>
  <si>
    <t>멀티빔 납품</t>
    <phoneticPr fontId="7" type="noConversion"/>
  </si>
  <si>
    <t>안전수중개발</t>
    <phoneticPr fontId="7" type="noConversion"/>
  </si>
  <si>
    <t>오션테크</t>
    <phoneticPr fontId="7" type="noConversion"/>
  </si>
  <si>
    <t>시화조력 해상안전시설 유지관리지원</t>
    <phoneticPr fontId="7" type="noConversion"/>
  </si>
  <si>
    <t>용역</t>
    <phoneticPr fontId="7" type="noConversion"/>
  </si>
  <si>
    <t>내자</t>
    <phoneticPr fontId="7" type="noConversion"/>
  </si>
  <si>
    <t>이학용(사업팀)</t>
    <phoneticPr fontId="7" type="noConversion"/>
  </si>
  <si>
    <t>UST21</t>
    <phoneticPr fontId="7" type="noConversion"/>
  </si>
  <si>
    <t>김기훈</t>
    <phoneticPr fontId="7" type="noConversion"/>
  </si>
  <si>
    <t>Benthos</t>
    <phoneticPr fontId="7" type="noConversion"/>
  </si>
  <si>
    <t>AR 및 Deck Unit_김기훈</t>
    <phoneticPr fontId="7" type="noConversion"/>
  </si>
  <si>
    <t>상품</t>
    <phoneticPr fontId="7" type="noConversion"/>
  </si>
  <si>
    <t>국토해양환경기술단</t>
    <phoneticPr fontId="7" type="noConversion"/>
  </si>
  <si>
    <t>강미리</t>
    <phoneticPr fontId="7" type="noConversion"/>
  </si>
  <si>
    <t>Benthos</t>
    <phoneticPr fontId="7" type="noConversion"/>
  </si>
  <si>
    <t>DRI-267 수리</t>
    <phoneticPr fontId="7" type="noConversion"/>
  </si>
  <si>
    <t>상품</t>
    <phoneticPr fontId="7" type="noConversion"/>
  </si>
  <si>
    <t>R12K</t>
    <phoneticPr fontId="7" type="noConversion"/>
  </si>
  <si>
    <t>-</t>
    <phoneticPr fontId="7" type="noConversion"/>
  </si>
  <si>
    <t>ADD</t>
    <phoneticPr fontId="7" type="noConversion"/>
  </si>
  <si>
    <t>민군연구과제(수중글라이더) 3차년도</t>
    <phoneticPr fontId="7" type="noConversion"/>
  </si>
  <si>
    <t>용역(연구과제)</t>
    <phoneticPr fontId="7" type="noConversion"/>
  </si>
  <si>
    <t>장석</t>
    <phoneticPr fontId="7" type="noConversion"/>
  </si>
  <si>
    <t>오션테크</t>
    <phoneticPr fontId="7" type="noConversion"/>
  </si>
  <si>
    <t>Spare Boards for SSS Towfish</t>
    <phoneticPr fontId="7" type="noConversion"/>
  </si>
  <si>
    <t>상품</t>
    <phoneticPr fontId="7" type="noConversion"/>
  </si>
  <si>
    <t>-</t>
    <phoneticPr fontId="7" type="noConversion"/>
  </si>
  <si>
    <t>내자</t>
    <phoneticPr fontId="7" type="noConversion"/>
  </si>
  <si>
    <t>실물납품X, 시건창고 재고 사진으로 납품처리</t>
    <phoneticPr fontId="7" type="noConversion"/>
  </si>
  <si>
    <t>고지민</t>
    <phoneticPr fontId="7" type="noConversion"/>
  </si>
  <si>
    <t>신호변환기</t>
    <phoneticPr fontId="7" type="noConversion"/>
  </si>
  <si>
    <t>상품</t>
    <phoneticPr fontId="7" type="noConversion"/>
  </si>
  <si>
    <t>-</t>
    <phoneticPr fontId="7" type="noConversion"/>
  </si>
  <si>
    <t>내자</t>
    <phoneticPr fontId="7" type="noConversion"/>
  </si>
  <si>
    <t>문홍배</t>
    <phoneticPr fontId="7" type="noConversion"/>
  </si>
  <si>
    <t># 58398</t>
    <phoneticPr fontId="7" type="noConversion"/>
  </si>
  <si>
    <t>부경대</t>
    <phoneticPr fontId="7" type="noConversion"/>
  </si>
  <si>
    <t>김태진</t>
    <phoneticPr fontId="7" type="noConversion"/>
  </si>
  <si>
    <t>Niskin-X 부품</t>
    <phoneticPr fontId="7" type="noConversion"/>
  </si>
  <si>
    <t>상품</t>
    <phoneticPr fontId="7" type="noConversion"/>
  </si>
  <si>
    <t>-</t>
    <phoneticPr fontId="7" type="noConversion"/>
  </si>
  <si>
    <t>내자</t>
    <phoneticPr fontId="7" type="noConversion"/>
  </si>
  <si>
    <t>AADI</t>
    <phoneticPr fontId="7" type="noConversion"/>
  </si>
  <si>
    <t>KHOA(남해)</t>
    <phoneticPr fontId="7" type="noConversion"/>
  </si>
  <si>
    <t>KIOST</t>
    <phoneticPr fontId="7" type="noConversion"/>
  </si>
  <si>
    <t>금병철</t>
    <phoneticPr fontId="7" type="noConversion"/>
  </si>
  <si>
    <t>강한구</t>
    <phoneticPr fontId="7" type="noConversion"/>
  </si>
  <si>
    <t>김용관</t>
    <phoneticPr fontId="7" type="noConversion"/>
  </si>
  <si>
    <t>강미리</t>
    <phoneticPr fontId="7" type="noConversion"/>
  </si>
  <si>
    <t>손문호</t>
    <phoneticPr fontId="7" type="noConversion"/>
  </si>
  <si>
    <t>신재암</t>
    <phoneticPr fontId="7" type="noConversion"/>
  </si>
  <si>
    <t>Idrounaut</t>
    <phoneticPr fontId="7" type="noConversion"/>
  </si>
  <si>
    <t>304 CTD 2대 수리</t>
    <phoneticPr fontId="7" type="noConversion"/>
  </si>
  <si>
    <t>304 CTD 1대 수리</t>
    <phoneticPr fontId="7" type="noConversion"/>
  </si>
  <si>
    <t>오션테크</t>
    <phoneticPr fontId="7" type="noConversion"/>
  </si>
  <si>
    <t>BarnaKiL 3ea</t>
    <phoneticPr fontId="7" type="noConversion"/>
  </si>
  <si>
    <t>오션사이언스(RBR)</t>
    <phoneticPr fontId="7" type="noConversion"/>
  </si>
  <si>
    <t>RBRconcerto CTD 수리</t>
    <phoneticPr fontId="7" type="noConversion"/>
  </si>
  <si>
    <t>RBRduo T.D 수리</t>
    <phoneticPr fontId="7" type="noConversion"/>
  </si>
  <si>
    <t>Termination Grip with work</t>
    <phoneticPr fontId="7" type="noConversion"/>
  </si>
  <si>
    <t>Cox</t>
    <phoneticPr fontId="7" type="noConversion"/>
  </si>
  <si>
    <t>ITRAX x-ray tube</t>
    <phoneticPr fontId="7" type="noConversion"/>
  </si>
  <si>
    <t>USD 5,400</t>
    <phoneticPr fontId="7" type="noConversion"/>
  </si>
  <si>
    <t>조사협회</t>
    <phoneticPr fontId="7" type="noConversion"/>
  </si>
  <si>
    <t>천승현</t>
    <phoneticPr fontId="7" type="noConversion"/>
  </si>
  <si>
    <t>Aanderaa</t>
    <phoneticPr fontId="7" type="noConversion"/>
  </si>
  <si>
    <t>해양기상센서 수리 및 검교정</t>
    <phoneticPr fontId="7" type="noConversion"/>
  </si>
  <si>
    <t>상품</t>
    <phoneticPr fontId="7" type="noConversion"/>
  </si>
  <si>
    <t xml:space="preserve"> - </t>
    <phoneticPr fontId="7" type="noConversion"/>
  </si>
  <si>
    <t>내자</t>
    <phoneticPr fontId="7" type="noConversion"/>
  </si>
  <si>
    <t>이학용</t>
    <phoneticPr fontId="7" type="noConversion"/>
  </si>
  <si>
    <t>KHOA</t>
    <phoneticPr fontId="7" type="noConversion"/>
  </si>
  <si>
    <t>소령도 조석관측시스템 복구(보험)</t>
    <phoneticPr fontId="7" type="noConversion"/>
  </si>
  <si>
    <t>상품</t>
    <phoneticPr fontId="7" type="noConversion"/>
  </si>
  <si>
    <t>해안해양기술</t>
    <phoneticPr fontId="7" type="noConversion"/>
  </si>
  <si>
    <t>김종덕</t>
    <phoneticPr fontId="7" type="noConversion"/>
  </si>
  <si>
    <t>오션사이언스(RBR)</t>
    <phoneticPr fontId="7" type="noConversion"/>
  </si>
  <si>
    <t>RBRduet T.D/wave</t>
    <phoneticPr fontId="7" type="noConversion"/>
  </si>
  <si>
    <t>미래해양</t>
    <phoneticPr fontId="7" type="noConversion"/>
  </si>
  <si>
    <t>유민엽</t>
    <phoneticPr fontId="7" type="noConversion"/>
  </si>
  <si>
    <t>멀티빔 점검</t>
    <phoneticPr fontId="7" type="noConversion"/>
  </si>
  <si>
    <t>용역</t>
    <phoneticPr fontId="7" type="noConversion"/>
  </si>
  <si>
    <t>-</t>
    <phoneticPr fontId="7" type="noConversion"/>
  </si>
  <si>
    <t>내자</t>
    <phoneticPr fontId="7" type="noConversion"/>
  </si>
  <si>
    <t>이학용</t>
    <phoneticPr fontId="7" type="noConversion"/>
  </si>
  <si>
    <t>황유진(무인팀)</t>
    <phoneticPr fontId="7" type="noConversion"/>
  </si>
  <si>
    <t>KHOA</t>
    <phoneticPr fontId="7" type="noConversion"/>
  </si>
  <si>
    <t>이기종</t>
    <phoneticPr fontId="7" type="noConversion"/>
  </si>
  <si>
    <t>오션테크</t>
    <phoneticPr fontId="7" type="noConversion"/>
  </si>
  <si>
    <t>용역</t>
    <phoneticPr fontId="7" type="noConversion"/>
  </si>
  <si>
    <t>황유진(연구팀)</t>
    <phoneticPr fontId="7" type="noConversion"/>
  </si>
  <si>
    <t>실물납품X, 적립방식</t>
    <phoneticPr fontId="7" type="noConversion"/>
  </si>
  <si>
    <t>KHOA</t>
    <phoneticPr fontId="7" type="noConversion"/>
  </si>
  <si>
    <t>오션테크</t>
    <phoneticPr fontId="7" type="noConversion"/>
  </si>
  <si>
    <t>호측환경관측부이 유지관리 지원</t>
    <phoneticPr fontId="7" type="noConversion"/>
  </si>
  <si>
    <t>용역</t>
    <phoneticPr fontId="7" type="noConversion"/>
  </si>
  <si>
    <t>이학용(사업팀)</t>
    <phoneticPr fontId="7" type="noConversion"/>
  </si>
  <si>
    <t>신종수</t>
    <phoneticPr fontId="7" type="noConversion"/>
  </si>
  <si>
    <t>KHOA(남해)</t>
    <phoneticPr fontId="7" type="noConversion"/>
  </si>
  <si>
    <t>윤득수</t>
    <phoneticPr fontId="7" type="noConversion"/>
  </si>
  <si>
    <t>오션테크, Aanderaa</t>
    <phoneticPr fontId="7" type="noConversion"/>
  </si>
  <si>
    <t>OTT 디지털 조위계용 신호변환기, CT센서 케이블</t>
    <phoneticPr fontId="7" type="noConversion"/>
  </si>
  <si>
    <t>상품</t>
    <phoneticPr fontId="7" type="noConversion"/>
  </si>
  <si>
    <t xml:space="preserve"> - </t>
    <phoneticPr fontId="7" type="noConversion"/>
  </si>
  <si>
    <t>내자</t>
    <phoneticPr fontId="7" type="noConversion"/>
  </si>
  <si>
    <t>KIOST</t>
    <phoneticPr fontId="7" type="noConversion"/>
  </si>
  <si>
    <t>백현민</t>
    <phoneticPr fontId="7" type="noConversion"/>
  </si>
  <si>
    <t>BMTI</t>
    <phoneticPr fontId="7" type="noConversion"/>
  </si>
  <si>
    <t>부력재</t>
    <phoneticPr fontId="7" type="noConversion"/>
  </si>
  <si>
    <t>이수환</t>
    <phoneticPr fontId="7" type="noConversion"/>
  </si>
  <si>
    <t>Eiva</t>
    <phoneticPr fontId="7" type="noConversion"/>
  </si>
  <si>
    <t>Naviedit Upgrade</t>
    <phoneticPr fontId="7" type="noConversion"/>
  </si>
  <si>
    <t>-</t>
    <phoneticPr fontId="7" type="noConversion"/>
  </si>
  <si>
    <t>오원진(이학용)</t>
    <phoneticPr fontId="7" type="noConversion"/>
  </si>
  <si>
    <t>권형규</t>
    <phoneticPr fontId="7" type="noConversion"/>
  </si>
  <si>
    <t>오션테크</t>
    <phoneticPr fontId="7" type="noConversion"/>
  </si>
  <si>
    <t>패류독성 모니터링시스템 설치</t>
    <phoneticPr fontId="7" type="noConversion"/>
  </si>
  <si>
    <t>지오시스템리서치</t>
    <phoneticPr fontId="7" type="noConversion"/>
  </si>
  <si>
    <t>김운갑</t>
    <phoneticPr fontId="7" type="noConversion"/>
  </si>
  <si>
    <t>DCS4830</t>
    <phoneticPr fontId="7" type="noConversion"/>
  </si>
  <si>
    <t>-</t>
    <phoneticPr fontId="7" type="noConversion"/>
  </si>
  <si>
    <t>하선종</t>
    <phoneticPr fontId="7" type="noConversion"/>
  </si>
  <si>
    <t>김수환</t>
    <phoneticPr fontId="7" type="noConversion"/>
  </si>
  <si>
    <t>Marine Magnetics</t>
    <phoneticPr fontId="7" type="noConversion"/>
  </si>
  <si>
    <t>외자</t>
    <phoneticPr fontId="7" type="noConversion"/>
  </si>
  <si>
    <t>USD 62,000</t>
    <phoneticPr fontId="7" type="noConversion"/>
  </si>
  <si>
    <t>KHOA</t>
    <phoneticPr fontId="7" type="noConversion"/>
  </si>
  <si>
    <t>오션테크</t>
    <phoneticPr fontId="7" type="noConversion"/>
  </si>
  <si>
    <t>2021년 해양관측부이 유지관리</t>
    <phoneticPr fontId="7" type="noConversion"/>
  </si>
  <si>
    <t>용역</t>
    <phoneticPr fontId="7" type="noConversion"/>
  </si>
  <si>
    <t>실제납품X, KIOST 박사님께서 직접 사진 찍어 구매부서 제출</t>
    <phoneticPr fontId="7" type="noConversion"/>
  </si>
  <si>
    <t>강성화(연구팀)</t>
    <phoneticPr fontId="7" type="noConversion"/>
  </si>
  <si>
    <t>박정은(하선종)</t>
    <phoneticPr fontId="7" type="noConversion"/>
  </si>
  <si>
    <t>오원진(하선종)</t>
    <phoneticPr fontId="7" type="noConversion"/>
  </si>
  <si>
    <t>강성화(하선종)</t>
    <phoneticPr fontId="7" type="noConversion"/>
  </si>
  <si>
    <t>오원진(이기욱)</t>
    <phoneticPr fontId="7" type="noConversion"/>
  </si>
  <si>
    <t>황유진(이학용)</t>
    <phoneticPr fontId="7" type="noConversion"/>
  </si>
  <si>
    <t>에코이앤비</t>
    <phoneticPr fontId="7" type="noConversion"/>
  </si>
  <si>
    <t>DCP용 배터리팩</t>
    <phoneticPr fontId="7" type="noConversion"/>
  </si>
  <si>
    <t>김상현</t>
    <phoneticPr fontId="7" type="noConversion"/>
  </si>
  <si>
    <t>Aanderaa</t>
    <phoneticPr fontId="7" type="noConversion"/>
  </si>
  <si>
    <t>상품</t>
    <phoneticPr fontId="7" type="noConversion"/>
  </si>
  <si>
    <t>내자</t>
    <phoneticPr fontId="7" type="noConversion"/>
  </si>
  <si>
    <t>황유진(사업팀)</t>
    <phoneticPr fontId="7" type="noConversion"/>
  </si>
  <si>
    <t>김영택</t>
    <phoneticPr fontId="7" type="noConversion"/>
  </si>
  <si>
    <t>오션테크</t>
    <phoneticPr fontId="7" type="noConversion"/>
  </si>
  <si>
    <t>해무 부산항 보험</t>
    <phoneticPr fontId="7" type="noConversion"/>
  </si>
  <si>
    <t>강성화(문성주)</t>
    <phoneticPr fontId="7" type="noConversion"/>
  </si>
  <si>
    <t>한국기상산업기술원</t>
    <phoneticPr fontId="7" type="noConversion"/>
  </si>
  <si>
    <t>박세영</t>
    <phoneticPr fontId="7" type="noConversion"/>
  </si>
  <si>
    <t>전화숙</t>
    <phoneticPr fontId="7" type="noConversion"/>
  </si>
  <si>
    <t>용역</t>
    <phoneticPr fontId="7" type="noConversion"/>
  </si>
  <si>
    <t>내자</t>
    <phoneticPr fontId="7" type="noConversion"/>
  </si>
  <si>
    <t>엔지니어링(해양)</t>
    <phoneticPr fontId="7" type="noConversion"/>
  </si>
  <si>
    <t>2021년 해수유동관측소 유지관리</t>
    <phoneticPr fontId="7" type="noConversion"/>
  </si>
  <si>
    <t>기상장비업</t>
    <phoneticPr fontId="7" type="noConversion"/>
  </si>
  <si>
    <t>KHOA</t>
    <phoneticPr fontId="7" type="noConversion"/>
  </si>
  <si>
    <t>해무 울산항 보험</t>
    <phoneticPr fontId="7" type="noConversion"/>
  </si>
  <si>
    <t>용역건이라서 관련 재고 번호 없음</t>
    <phoneticPr fontId="7" type="noConversion"/>
  </si>
  <si>
    <t># 57659</t>
    <phoneticPr fontId="7" type="noConversion"/>
  </si>
  <si>
    <t># 58118, 58119, 58060, 57958, 57959, 57960, 57961, 57962, 57963, 57978</t>
    <phoneticPr fontId="7" type="noConversion"/>
  </si>
  <si>
    <t>남해수산연구소</t>
    <phoneticPr fontId="7" type="noConversion"/>
  </si>
  <si>
    <t>김진호</t>
    <phoneticPr fontId="7" type="noConversion"/>
  </si>
  <si>
    <t>채수기(Niskin 5L)</t>
    <phoneticPr fontId="7" type="noConversion"/>
  </si>
  <si>
    <t>부산대학교 산학협력단</t>
    <phoneticPr fontId="7" type="noConversion"/>
  </si>
  <si>
    <t>양기호</t>
    <phoneticPr fontId="7" type="noConversion"/>
  </si>
  <si>
    <t>Mooring System</t>
    <phoneticPr fontId="7" type="noConversion"/>
  </si>
  <si>
    <t>Core liner 3m</t>
    <phoneticPr fontId="7" type="noConversion"/>
  </si>
  <si>
    <t>-</t>
    <phoneticPr fontId="7" type="noConversion"/>
  </si>
  <si>
    <t>황유진</t>
    <phoneticPr fontId="7" type="noConversion"/>
  </si>
  <si>
    <t>GNM</t>
    <phoneticPr fontId="7" type="noConversion"/>
  </si>
  <si>
    <t>하선종</t>
    <phoneticPr fontId="7" type="noConversion"/>
  </si>
  <si>
    <t>미래해양</t>
    <phoneticPr fontId="7" type="noConversion"/>
  </si>
  <si>
    <t>유민엽</t>
    <phoneticPr fontId="7" type="noConversion"/>
  </si>
  <si>
    <t>Reson</t>
    <phoneticPr fontId="7" type="noConversion"/>
  </si>
  <si>
    <t>PDS2000</t>
    <phoneticPr fontId="7" type="noConversion"/>
  </si>
  <si>
    <t>상품</t>
    <phoneticPr fontId="7" type="noConversion"/>
  </si>
  <si>
    <t>-</t>
    <phoneticPr fontId="7" type="noConversion"/>
  </si>
  <si>
    <t>내자</t>
    <phoneticPr fontId="7" type="noConversion"/>
  </si>
  <si>
    <t>문홍배</t>
    <phoneticPr fontId="7" type="noConversion"/>
  </si>
  <si>
    <t>KIOST</t>
    <phoneticPr fontId="7" type="noConversion"/>
  </si>
  <si>
    <t>금병철</t>
    <phoneticPr fontId="7" type="noConversion"/>
  </si>
  <si>
    <t>오션테크</t>
    <phoneticPr fontId="7" type="noConversion"/>
  </si>
  <si>
    <t>Rechargeable Battery 외</t>
    <phoneticPr fontId="7" type="noConversion"/>
  </si>
  <si>
    <t>오원진(이기욱)</t>
    <phoneticPr fontId="7" type="noConversion"/>
  </si>
  <si>
    <t>지마텍</t>
    <phoneticPr fontId="7" type="noConversion"/>
  </si>
  <si>
    <t>정자헌</t>
    <phoneticPr fontId="7" type="noConversion"/>
  </si>
  <si>
    <t>RBRduet³ T.D/tide</t>
    <phoneticPr fontId="7" type="noConversion"/>
  </si>
  <si>
    <t>이기욱</t>
    <phoneticPr fontId="7" type="noConversion"/>
  </si>
  <si>
    <t>젠</t>
    <phoneticPr fontId="7" type="noConversion"/>
  </si>
  <si>
    <t>이은택</t>
    <phoneticPr fontId="7" type="noConversion"/>
  </si>
  <si>
    <t>Conductivity sensor(4319A)</t>
    <phoneticPr fontId="7" type="noConversion"/>
  </si>
  <si>
    <t>오트로닉스</t>
    <phoneticPr fontId="7" type="noConversion"/>
  </si>
  <si>
    <t>우성철</t>
    <phoneticPr fontId="7" type="noConversion"/>
  </si>
  <si>
    <t>오션사이언스(Datawell)</t>
    <phoneticPr fontId="7" type="noConversion"/>
  </si>
  <si>
    <t>상품</t>
    <phoneticPr fontId="7" type="noConversion"/>
  </si>
  <si>
    <t>마린테크</t>
    <phoneticPr fontId="7" type="noConversion"/>
  </si>
  <si>
    <t>어영상</t>
    <phoneticPr fontId="7" type="noConversion"/>
  </si>
  <si>
    <t>Falmat</t>
    <phoneticPr fontId="7" type="noConversion"/>
  </si>
  <si>
    <t>Underwater Kevlar Cable</t>
    <phoneticPr fontId="7" type="noConversion"/>
  </si>
  <si>
    <t>KHOA</t>
    <phoneticPr fontId="7" type="noConversion"/>
  </si>
  <si>
    <t>이승민</t>
    <phoneticPr fontId="7" type="noConversion"/>
  </si>
  <si>
    <t>오션테크, SIG</t>
    <phoneticPr fontId="7" type="noConversion"/>
  </si>
  <si>
    <t>저주파 지층탐사장비 소모품</t>
    <phoneticPr fontId="7" type="noConversion"/>
  </si>
  <si>
    <t>상품</t>
    <phoneticPr fontId="7" type="noConversion"/>
  </si>
  <si>
    <t>-</t>
    <phoneticPr fontId="7" type="noConversion"/>
  </si>
  <si>
    <t>내자</t>
    <phoneticPr fontId="7" type="noConversion"/>
  </si>
  <si>
    <t>문홍배</t>
    <phoneticPr fontId="7" type="noConversion"/>
  </si>
  <si>
    <t>랩스엠알오</t>
    <phoneticPr fontId="7" type="noConversion"/>
  </si>
  <si>
    <t>송의섭</t>
    <phoneticPr fontId="7" type="noConversion"/>
  </si>
  <si>
    <t>ASC</t>
    <phoneticPr fontId="7" type="noConversion"/>
  </si>
  <si>
    <t>IMPULSE MAGNETIZER</t>
    <phoneticPr fontId="7" type="noConversion"/>
  </si>
  <si>
    <t>하선종</t>
    <phoneticPr fontId="7" type="noConversion"/>
  </si>
  <si>
    <t>-</t>
    <phoneticPr fontId="7" type="noConversion"/>
  </si>
  <si>
    <t>KIOST</t>
    <phoneticPr fontId="7" type="noConversion"/>
  </si>
  <si>
    <t>이수환</t>
    <phoneticPr fontId="7" type="noConversion"/>
  </si>
  <si>
    <t>이수환</t>
    <phoneticPr fontId="7" type="noConversion"/>
  </si>
  <si>
    <t>오트로닉스</t>
    <phoneticPr fontId="7" type="noConversion"/>
  </si>
  <si>
    <t>우성철</t>
    <phoneticPr fontId="7" type="noConversion"/>
  </si>
  <si>
    <t>GNM</t>
    <phoneticPr fontId="7" type="noConversion"/>
  </si>
  <si>
    <t>Push Rod</t>
    <phoneticPr fontId="7" type="noConversion"/>
  </si>
  <si>
    <t>4월 12일</t>
    <phoneticPr fontId="7" type="noConversion"/>
  </si>
  <si>
    <t>Sparker Electrode</t>
    <phoneticPr fontId="7" type="noConversion"/>
  </si>
  <si>
    <t>Sparker Cable</t>
    <phoneticPr fontId="7" type="noConversion"/>
  </si>
  <si>
    <t>SIG</t>
    <phoneticPr fontId="7" type="noConversion"/>
  </si>
  <si>
    <t>오원진</t>
    <phoneticPr fontId="7" type="noConversion"/>
  </si>
  <si>
    <t># 57639</t>
    <phoneticPr fontId="7" type="noConversion"/>
  </si>
  <si>
    <t># 59098</t>
    <phoneticPr fontId="7" type="noConversion"/>
  </si>
  <si>
    <t># 58841 , 59138</t>
    <phoneticPr fontId="7" type="noConversion"/>
  </si>
  <si>
    <t>외자계약</t>
    <phoneticPr fontId="7" type="noConversion"/>
  </si>
  <si>
    <t># 58818</t>
    <phoneticPr fontId="7" type="noConversion"/>
  </si>
  <si>
    <t>지오뷰</t>
    <phoneticPr fontId="7" type="noConversion"/>
  </si>
  <si>
    <t>이영석</t>
    <phoneticPr fontId="7" type="noConversion"/>
  </si>
  <si>
    <t>자력계용 Transceiver</t>
    <phoneticPr fontId="7" type="noConversion"/>
  </si>
  <si>
    <t>이학용</t>
    <phoneticPr fontId="7" type="noConversion"/>
  </si>
  <si>
    <t>Wave Unit, 4식</t>
    <phoneticPr fontId="7" type="noConversion"/>
  </si>
  <si>
    <t>KIOST</t>
    <phoneticPr fontId="7" type="noConversion"/>
  </si>
  <si>
    <t>김선정</t>
    <phoneticPr fontId="7" type="noConversion"/>
  </si>
  <si>
    <t>오션테크</t>
    <phoneticPr fontId="7" type="noConversion"/>
  </si>
  <si>
    <t>스마트윈치</t>
    <phoneticPr fontId="7" type="noConversion"/>
  </si>
  <si>
    <t>박두훈</t>
    <phoneticPr fontId="7" type="noConversion"/>
  </si>
  <si>
    <t>박종규</t>
    <phoneticPr fontId="7" type="noConversion"/>
  </si>
  <si>
    <t>RBR Concerto CTD검교정</t>
    <phoneticPr fontId="7" type="noConversion"/>
  </si>
  <si>
    <t>PH sensor</t>
    <phoneticPr fontId="7" type="noConversion"/>
  </si>
  <si>
    <t>오원진(하선종)</t>
    <phoneticPr fontId="7" type="noConversion"/>
  </si>
  <si>
    <t>씨텍</t>
    <phoneticPr fontId="7" type="noConversion"/>
  </si>
  <si>
    <t>배성은</t>
    <phoneticPr fontId="7" type="noConversion"/>
  </si>
  <si>
    <t>오션사이언스(RBR)</t>
    <phoneticPr fontId="7" type="noConversion"/>
  </si>
  <si>
    <t># 59278, 59279, 59280</t>
    <phoneticPr fontId="7" type="noConversion"/>
  </si>
  <si>
    <t>KHOA</t>
    <phoneticPr fontId="7" type="noConversion"/>
  </si>
  <si>
    <t>부경대학교</t>
    <phoneticPr fontId="7" type="noConversion"/>
  </si>
  <si>
    <t>해군군수사령부</t>
    <phoneticPr fontId="7" type="noConversion"/>
  </si>
  <si>
    <t>남해수산연구소</t>
    <phoneticPr fontId="7" type="noConversion"/>
  </si>
  <si>
    <t>박세영</t>
    <phoneticPr fontId="7" type="noConversion"/>
  </si>
  <si>
    <t>씨텍</t>
    <phoneticPr fontId="7" type="noConversion"/>
  </si>
  <si>
    <t>이정훈</t>
    <phoneticPr fontId="7" type="noConversion"/>
  </si>
  <si>
    <t>LRI</t>
    <phoneticPr fontId="7" type="noConversion"/>
  </si>
  <si>
    <t>Vemco Mounting Kit</t>
    <phoneticPr fontId="7" type="noConversion"/>
  </si>
  <si>
    <t>오션테크</t>
    <phoneticPr fontId="7" type="noConversion"/>
  </si>
  <si>
    <t>무인해양조사</t>
    <phoneticPr fontId="7" type="noConversion"/>
  </si>
  <si>
    <t>용역</t>
    <phoneticPr fontId="7" type="noConversion"/>
  </si>
  <si>
    <t>수로조사업</t>
    <phoneticPr fontId="7" type="noConversion"/>
  </si>
  <si>
    <t>내자</t>
    <phoneticPr fontId="7" type="noConversion"/>
  </si>
  <si>
    <t>황유진(무인팀)</t>
    <phoneticPr fontId="7" type="noConversion"/>
  </si>
  <si>
    <t>해양과학기지 유지관리</t>
    <phoneticPr fontId="7" type="noConversion"/>
  </si>
  <si>
    <t>엔지니어링(해양,정보통신)</t>
    <phoneticPr fontId="7" type="noConversion"/>
  </si>
  <si>
    <t>강성화(사업팀)</t>
    <phoneticPr fontId="7" type="noConversion"/>
  </si>
  <si>
    <t>자력탐지기 부품정비</t>
    <phoneticPr fontId="7" type="noConversion"/>
  </si>
  <si>
    <t>상품</t>
    <phoneticPr fontId="7" type="noConversion"/>
  </si>
  <si>
    <t>공장등록</t>
    <phoneticPr fontId="7" type="noConversion"/>
  </si>
  <si>
    <t>황유진(이학용)</t>
    <phoneticPr fontId="7" type="noConversion"/>
  </si>
  <si>
    <t>태안항 부이 복구 프레임</t>
    <phoneticPr fontId="7" type="noConversion"/>
  </si>
  <si>
    <t>상품</t>
    <phoneticPr fontId="7" type="noConversion"/>
  </si>
  <si>
    <t>강성화(무인팀)</t>
    <phoneticPr fontId="7" type="noConversion"/>
  </si>
  <si>
    <t>KHOA</t>
    <phoneticPr fontId="7" type="noConversion"/>
  </si>
  <si>
    <t>망상 해수욕장 해양관측부이 제작 및 설치</t>
    <phoneticPr fontId="7" type="noConversion"/>
  </si>
  <si>
    <t>중력탐사장비 구매 및 설치</t>
    <phoneticPr fontId="7" type="noConversion"/>
  </si>
  <si>
    <t>상품</t>
    <phoneticPr fontId="7" type="noConversion"/>
  </si>
  <si>
    <t>ZLS</t>
    <phoneticPr fontId="7" type="noConversion"/>
  </si>
  <si>
    <t>오션테크</t>
    <phoneticPr fontId="7" type="noConversion"/>
  </si>
  <si>
    <t>김예솔</t>
    <phoneticPr fontId="7" type="noConversion"/>
  </si>
  <si>
    <t>안영모</t>
    <phoneticPr fontId="7" type="noConversion"/>
  </si>
  <si>
    <t>박성주</t>
    <phoneticPr fontId="7" type="noConversion"/>
  </si>
  <si>
    <t>손지현</t>
    <phoneticPr fontId="7" type="noConversion"/>
  </si>
  <si>
    <t>내자</t>
    <phoneticPr fontId="7" type="noConversion"/>
  </si>
  <si>
    <t>엔지니어링(해양)</t>
    <phoneticPr fontId="7" type="noConversion"/>
  </si>
  <si>
    <t>강성화(사업팀)</t>
    <phoneticPr fontId="7" type="noConversion"/>
  </si>
  <si>
    <t>오원진(사업팀)</t>
    <phoneticPr fontId="7" type="noConversion"/>
  </si>
  <si>
    <t>멀티빔 케이블 수리</t>
    <phoneticPr fontId="7" type="noConversion"/>
  </si>
  <si>
    <t>문홍배</t>
    <phoneticPr fontId="7" type="noConversion"/>
  </si>
  <si>
    <t>김영길</t>
    <phoneticPr fontId="7" type="noConversion"/>
  </si>
  <si>
    <t>KIOST</t>
    <phoneticPr fontId="7" type="noConversion"/>
  </si>
  <si>
    <t>김창환</t>
    <phoneticPr fontId="7" type="noConversion"/>
  </si>
  <si>
    <t>황유진</t>
    <phoneticPr fontId="7" type="noConversion"/>
  </si>
  <si>
    <t>한솔켐바이오텍</t>
    <phoneticPr fontId="7" type="noConversion"/>
  </si>
  <si>
    <t>김영하</t>
    <phoneticPr fontId="7" type="noConversion"/>
  </si>
  <si>
    <t>수온계 및 CT 로거</t>
    <phoneticPr fontId="7" type="noConversion"/>
  </si>
  <si>
    <t>상품</t>
    <phoneticPr fontId="7" type="noConversion"/>
  </si>
  <si>
    <t>이학용</t>
    <phoneticPr fontId="7" type="noConversion"/>
  </si>
  <si>
    <t>배성은</t>
    <phoneticPr fontId="7" type="noConversion"/>
  </si>
  <si>
    <t>CTD 2set</t>
    <phoneticPr fontId="7" type="noConversion"/>
  </si>
  <si>
    <t>김태진</t>
    <phoneticPr fontId="7" type="noConversion"/>
  </si>
  <si>
    <t>하선종(박정은)</t>
    <phoneticPr fontId="7" type="noConversion"/>
  </si>
  <si>
    <t>문성용</t>
    <phoneticPr fontId="7" type="noConversion"/>
  </si>
  <si>
    <t>Concerto CTD</t>
    <phoneticPr fontId="7" type="noConversion"/>
  </si>
  <si>
    <t>울산항 해무관측시스템 복구(보험차액)</t>
    <phoneticPr fontId="7" type="noConversion"/>
  </si>
  <si>
    <t>김해승</t>
    <phoneticPr fontId="7" type="noConversion"/>
  </si>
  <si>
    <t>Ixblue</t>
    <phoneticPr fontId="7" type="noConversion"/>
  </si>
  <si>
    <t>GAPS M5</t>
    <phoneticPr fontId="7" type="noConversion"/>
  </si>
  <si>
    <t>상품</t>
    <phoneticPr fontId="7" type="noConversion"/>
  </si>
  <si>
    <t>-</t>
    <phoneticPr fontId="7" type="noConversion"/>
  </si>
  <si>
    <t>내자</t>
    <phoneticPr fontId="7" type="noConversion"/>
  </si>
  <si>
    <t>이기욱</t>
    <phoneticPr fontId="7" type="noConversion"/>
  </si>
  <si>
    <t>구본화</t>
    <phoneticPr fontId="7" type="noConversion"/>
  </si>
  <si>
    <t>Benthos</t>
    <phoneticPr fontId="7" type="noConversion"/>
  </si>
  <si>
    <t>R500 battery kit</t>
    <phoneticPr fontId="7" type="noConversion"/>
  </si>
  <si>
    <t>오원진</t>
    <phoneticPr fontId="7" type="noConversion"/>
  </si>
  <si>
    <t>KHOA</t>
    <phoneticPr fontId="7" type="noConversion"/>
  </si>
  <si>
    <t>박세영</t>
    <phoneticPr fontId="7" type="noConversion"/>
  </si>
  <si>
    <t>오션테크</t>
    <phoneticPr fontId="7" type="noConversion"/>
  </si>
  <si>
    <t>해양관측시설 자료 비교검증</t>
    <phoneticPr fontId="7" type="noConversion"/>
  </si>
  <si>
    <t>용역</t>
    <phoneticPr fontId="7" type="noConversion"/>
  </si>
  <si>
    <t>내자</t>
    <phoneticPr fontId="7" type="noConversion"/>
  </si>
  <si>
    <t>황유진(연구팀)</t>
    <phoneticPr fontId="7" type="noConversion"/>
  </si>
  <si>
    <t># 59578</t>
    <phoneticPr fontId="7" type="noConversion"/>
  </si>
  <si>
    <t>KOC</t>
    <phoneticPr fontId="7" type="noConversion"/>
  </si>
  <si>
    <t>진한솔</t>
    <phoneticPr fontId="7" type="noConversion"/>
  </si>
  <si>
    <t>Deepsea</t>
    <phoneticPr fontId="7" type="noConversion"/>
  </si>
  <si>
    <t>LSL-2000 외 12ea</t>
    <phoneticPr fontId="7" type="noConversion"/>
  </si>
  <si>
    <t>상품</t>
    <phoneticPr fontId="7" type="noConversion"/>
  </si>
  <si>
    <t>-</t>
    <phoneticPr fontId="7" type="noConversion"/>
  </si>
  <si>
    <t>내자</t>
    <phoneticPr fontId="7" type="noConversion"/>
  </si>
  <si>
    <t>황유진</t>
    <phoneticPr fontId="7" type="noConversion"/>
  </si>
  <si>
    <t>Cefas</t>
    <phoneticPr fontId="7" type="noConversion"/>
  </si>
  <si>
    <t>오션테크</t>
    <phoneticPr fontId="7" type="noConversion"/>
  </si>
  <si>
    <t>BarnaKiL 2식</t>
    <phoneticPr fontId="7" type="noConversion"/>
  </si>
  <si>
    <t>박정은</t>
    <phoneticPr fontId="7" type="noConversion"/>
  </si>
  <si>
    <t>고리발전본부</t>
    <phoneticPr fontId="7" type="noConversion"/>
  </si>
  <si>
    <t>방인호</t>
    <phoneticPr fontId="7" type="noConversion"/>
  </si>
  <si>
    <t>온배수 모니터링 시스템 분해점검</t>
    <phoneticPr fontId="7" type="noConversion"/>
  </si>
  <si>
    <t>하선종</t>
    <phoneticPr fontId="7" type="noConversion"/>
  </si>
  <si>
    <t>성창사이언스</t>
    <phoneticPr fontId="7" type="noConversion"/>
  </si>
  <si>
    <t>유량계</t>
    <phoneticPr fontId="7" type="noConversion"/>
  </si>
  <si>
    <t>오원진</t>
    <phoneticPr fontId="7" type="noConversion"/>
  </si>
  <si>
    <t>KIOST</t>
    <phoneticPr fontId="7" type="noConversion"/>
  </si>
  <si>
    <t>김선정</t>
    <phoneticPr fontId="7" type="noConversion"/>
  </si>
  <si>
    <t>스마트 윈치</t>
    <phoneticPr fontId="7" type="noConversion"/>
  </si>
  <si>
    <t>HK조선</t>
    <phoneticPr fontId="7" type="noConversion"/>
  </si>
  <si>
    <t>안계순</t>
    <phoneticPr fontId="7" type="noConversion"/>
  </si>
  <si>
    <t>표층수온 염분측정기</t>
    <phoneticPr fontId="7" type="noConversion"/>
  </si>
  <si>
    <t>KHOA</t>
    <phoneticPr fontId="7" type="noConversion"/>
  </si>
  <si>
    <t>해양위성정보품질검증 체계 구축(2차)</t>
    <phoneticPr fontId="7" type="noConversion"/>
  </si>
  <si>
    <t>용역</t>
    <phoneticPr fontId="7" type="noConversion"/>
  </si>
  <si>
    <t>김배철</t>
    <phoneticPr fontId="7" type="noConversion"/>
  </si>
  <si>
    <t>Marine Magnetics</t>
    <phoneticPr fontId="7" type="noConversion"/>
  </si>
  <si>
    <t>전연주</t>
    <phoneticPr fontId="7" type="noConversion"/>
  </si>
  <si>
    <t>외자</t>
    <phoneticPr fontId="7" type="noConversion"/>
  </si>
  <si>
    <t>외자</t>
    <phoneticPr fontId="7" type="noConversion"/>
  </si>
  <si>
    <t>GNM</t>
    <phoneticPr fontId="7" type="noConversion"/>
  </si>
  <si>
    <t>수로조사업</t>
    <phoneticPr fontId="7" type="noConversion"/>
  </si>
  <si>
    <t>해양관측업</t>
    <phoneticPr fontId="7" type="noConversion"/>
  </si>
  <si>
    <t>GBP 2,550</t>
    <phoneticPr fontId="7" type="noConversion"/>
  </si>
  <si>
    <t>USD 224,500</t>
    <phoneticPr fontId="7" type="noConversion"/>
  </si>
  <si>
    <t>오션사이언스</t>
    <phoneticPr fontId="7" type="noConversion"/>
  </si>
  <si>
    <t>홍다운</t>
    <phoneticPr fontId="7" type="noConversion"/>
  </si>
  <si>
    <t>4H-jena</t>
    <phoneticPr fontId="7" type="noConversion"/>
  </si>
  <si>
    <t>HydroC CO2</t>
    <phoneticPr fontId="7" type="noConversion"/>
  </si>
  <si>
    <t>Idronaut</t>
    <phoneticPr fontId="7" type="noConversion"/>
  </si>
  <si>
    <t>310 CTD</t>
    <phoneticPr fontId="7" type="noConversion"/>
  </si>
  <si>
    <t># 59458</t>
    <phoneticPr fontId="7" type="noConversion"/>
  </si>
  <si>
    <t>CTD 및 Tu</t>
    <phoneticPr fontId="7" type="noConversion"/>
  </si>
  <si>
    <t>Idronaut / 오션사이언스</t>
    <phoneticPr fontId="7" type="noConversion"/>
  </si>
  <si>
    <t>내자</t>
    <phoneticPr fontId="7" type="noConversion"/>
  </si>
  <si>
    <t xml:space="preserve"> - </t>
    <phoneticPr fontId="7" type="noConversion"/>
  </si>
  <si>
    <t>상품</t>
    <phoneticPr fontId="7" type="noConversion"/>
  </si>
  <si>
    <t>이학용</t>
    <phoneticPr fontId="7" type="noConversion"/>
  </si>
  <si>
    <t>(주)수중생태기술연구소</t>
    <phoneticPr fontId="7" type="noConversion"/>
  </si>
  <si>
    <t>황성일</t>
    <phoneticPr fontId="7" type="noConversion"/>
  </si>
  <si>
    <t>한국해양조사협회</t>
    <phoneticPr fontId="7" type="noConversion"/>
  </si>
  <si>
    <t>천승현</t>
    <phoneticPr fontId="7" type="noConversion"/>
  </si>
  <si>
    <t>레이저조위계 수리</t>
    <phoneticPr fontId="7" type="noConversion"/>
  </si>
  <si>
    <t>하선종</t>
    <phoneticPr fontId="7" type="noConversion"/>
  </si>
  <si>
    <t>한국산업기술시험원</t>
    <phoneticPr fontId="7" type="noConversion"/>
  </si>
  <si>
    <t>-</t>
    <phoneticPr fontId="7" type="noConversion"/>
  </si>
  <si>
    <t>민홍식</t>
    <phoneticPr fontId="7" type="noConversion"/>
  </si>
  <si>
    <t>파고, 유향유속 송수신 제어기 및 부이 설치</t>
    <phoneticPr fontId="7" type="noConversion"/>
  </si>
  <si>
    <t>상품</t>
    <phoneticPr fontId="7" type="noConversion"/>
  </si>
  <si>
    <t>황유진(하선종)</t>
    <phoneticPr fontId="7" type="noConversion"/>
  </si>
  <si>
    <t>황유진(이학용)</t>
    <phoneticPr fontId="7" type="noConversion"/>
  </si>
  <si>
    <t>오션테크</t>
    <phoneticPr fontId="7" type="noConversion"/>
  </si>
  <si>
    <t>볼시스</t>
    <phoneticPr fontId="7" type="noConversion"/>
  </si>
  <si>
    <t>강진일</t>
    <phoneticPr fontId="7" type="noConversion"/>
  </si>
  <si>
    <t>IP Multi Seacam 외</t>
    <phoneticPr fontId="7" type="noConversion"/>
  </si>
  <si>
    <t>황유진</t>
    <phoneticPr fontId="7" type="noConversion"/>
  </si>
  <si>
    <t>파랑 글라이더용 수온염분 관측센서</t>
    <phoneticPr fontId="7" type="noConversion"/>
  </si>
  <si>
    <t>연안기상관측장비 On-call(1분기)</t>
    <phoneticPr fontId="7" type="noConversion"/>
  </si>
  <si>
    <t>김수호</t>
    <phoneticPr fontId="7" type="noConversion"/>
  </si>
  <si>
    <t>조위계 케이블</t>
    <phoneticPr fontId="7" type="noConversion"/>
  </si>
  <si>
    <t>강한구</t>
    <phoneticPr fontId="7" type="noConversion"/>
  </si>
  <si>
    <t>오션테크</t>
    <phoneticPr fontId="7" type="noConversion"/>
  </si>
  <si>
    <t>용역</t>
    <phoneticPr fontId="7" type="noConversion"/>
  </si>
  <si>
    <t>내자</t>
    <phoneticPr fontId="7" type="noConversion"/>
  </si>
  <si>
    <t>강성화(사업팀)</t>
    <phoneticPr fontId="7" type="noConversion"/>
  </si>
  <si>
    <t>-</t>
    <phoneticPr fontId="7" type="noConversion"/>
  </si>
  <si>
    <t>황유진(무인팀)</t>
    <phoneticPr fontId="7" type="noConversion"/>
  </si>
  <si>
    <t>이기욱</t>
    <phoneticPr fontId="7" type="noConversion"/>
  </si>
  <si>
    <t>이학용</t>
    <phoneticPr fontId="7" type="noConversion"/>
  </si>
  <si>
    <t>KHOA</t>
    <phoneticPr fontId="7" type="noConversion"/>
  </si>
  <si>
    <t>박미솔</t>
    <phoneticPr fontId="7" type="noConversion"/>
  </si>
  <si>
    <t>정밀해수면 소모품 등 해양관측부이 유지관리 특정규격 물품 구매 및 제작</t>
    <phoneticPr fontId="7" type="noConversion"/>
  </si>
  <si>
    <t>AADI / Benthos</t>
    <phoneticPr fontId="7" type="noConversion"/>
  </si>
  <si>
    <t>상품</t>
    <phoneticPr fontId="7" type="noConversion"/>
  </si>
  <si>
    <t>KHOA(남해)</t>
    <phoneticPr fontId="7" type="noConversion"/>
  </si>
  <si>
    <t>윤득수</t>
    <phoneticPr fontId="7" type="noConversion"/>
  </si>
  <si>
    <t>AADI / GNM / Vaisala</t>
    <phoneticPr fontId="7" type="noConversion"/>
  </si>
  <si>
    <t>상품</t>
    <phoneticPr fontId="7" type="noConversion"/>
  </si>
  <si>
    <t xml:space="preserve"> - </t>
    <phoneticPr fontId="7" type="noConversion"/>
  </si>
  <si>
    <t>내자</t>
    <phoneticPr fontId="7" type="noConversion"/>
  </si>
  <si>
    <t>이학용</t>
    <phoneticPr fontId="7" type="noConversion"/>
  </si>
  <si>
    <t>지환성</t>
    <phoneticPr fontId="7" type="noConversion"/>
  </si>
  <si>
    <t>오션테크/ 에이앤비시스</t>
    <phoneticPr fontId="7" type="noConversion"/>
  </si>
  <si>
    <t>오원진(김진수)</t>
    <phoneticPr fontId="7" type="noConversion"/>
  </si>
  <si>
    <t>모크니스 부품</t>
    <phoneticPr fontId="7" type="noConversion"/>
  </si>
  <si>
    <t>용역</t>
    <phoneticPr fontId="7" type="noConversion"/>
  </si>
  <si>
    <t>상품</t>
    <phoneticPr fontId="7" type="noConversion"/>
  </si>
  <si>
    <t>한양과학기기산업(KIGAM)</t>
    <phoneticPr fontId="7" type="noConversion"/>
  </si>
  <si>
    <t>L5 수리 부품</t>
    <phoneticPr fontId="7" type="noConversion"/>
  </si>
  <si>
    <t>SIG, 오션테크</t>
    <phoneticPr fontId="7" type="noConversion"/>
  </si>
  <si>
    <t>이광석</t>
    <phoneticPr fontId="7" type="noConversion"/>
  </si>
  <si>
    <t>박두훈</t>
    <phoneticPr fontId="7" type="noConversion"/>
  </si>
  <si>
    <t>RBR / 오션사이언스</t>
    <phoneticPr fontId="7" type="noConversion"/>
  </si>
  <si>
    <t>RBRduet³ T.D/tide 3식 검교정</t>
    <phoneticPr fontId="7" type="noConversion"/>
  </si>
  <si>
    <t>상품</t>
    <phoneticPr fontId="7" type="noConversion"/>
  </si>
  <si>
    <t>-</t>
    <phoneticPr fontId="7" type="noConversion"/>
  </si>
  <si>
    <t>내자</t>
    <phoneticPr fontId="7" type="noConversion"/>
  </si>
  <si>
    <t>하선종</t>
    <phoneticPr fontId="7" type="noConversion"/>
  </si>
  <si>
    <t>신재암</t>
    <phoneticPr fontId="7" type="noConversion"/>
  </si>
  <si>
    <t>AADI</t>
    <phoneticPr fontId="7" type="noConversion"/>
  </si>
  <si>
    <t>유속계(RCM-9) 4대 검교정</t>
    <phoneticPr fontId="7" type="noConversion"/>
  </si>
  <si>
    <t>이학용</t>
    <phoneticPr fontId="7" type="noConversion"/>
  </si>
  <si>
    <t># 58878 , 58879</t>
    <phoneticPr fontId="7" type="noConversion"/>
  </si>
  <si>
    <t># 58420</t>
    <phoneticPr fontId="7" type="noConversion"/>
  </si>
  <si>
    <t># 59599, 59601</t>
    <phoneticPr fontId="7" type="noConversion"/>
  </si>
  <si>
    <t>KIOST</t>
    <phoneticPr fontId="7" type="noConversion"/>
  </si>
  <si>
    <t>정다운</t>
    <phoneticPr fontId="7" type="noConversion"/>
  </si>
  <si>
    <t>수온계 3ea</t>
    <phoneticPr fontId="7" type="noConversion"/>
  </si>
  <si>
    <t>상품</t>
    <phoneticPr fontId="7" type="noConversion"/>
  </si>
  <si>
    <t>국토해양환경기술단</t>
    <phoneticPr fontId="7" type="noConversion"/>
  </si>
  <si>
    <t>강미리</t>
    <phoneticPr fontId="7" type="noConversion"/>
  </si>
  <si>
    <t>전남대(인피니티오션)</t>
    <phoneticPr fontId="7" type="noConversion"/>
  </si>
  <si>
    <t>3/8, 3/12</t>
    <phoneticPr fontId="7" type="noConversion"/>
  </si>
  <si>
    <t>삼성화재</t>
    <phoneticPr fontId="7" type="noConversion"/>
  </si>
  <si>
    <t>-</t>
    <phoneticPr fontId="7" type="noConversion"/>
  </si>
  <si>
    <t>오션테크</t>
    <phoneticPr fontId="7" type="noConversion"/>
  </si>
  <si>
    <t>Wave Glider 보험(SV3-275)</t>
    <phoneticPr fontId="7" type="noConversion"/>
  </si>
  <si>
    <t>KHOA</t>
    <phoneticPr fontId="7" type="noConversion"/>
  </si>
  <si>
    <t>KIGAM</t>
    <phoneticPr fontId="7" type="noConversion"/>
  </si>
  <si>
    <t>-</t>
    <phoneticPr fontId="7" type="noConversion"/>
  </si>
  <si>
    <t>이동훈</t>
    <phoneticPr fontId="7" type="noConversion"/>
  </si>
  <si>
    <t>오션테크</t>
    <phoneticPr fontId="7" type="noConversion"/>
  </si>
  <si>
    <t>절명서 등 6개소 영구시설 관측장비 구매제작 및 설치</t>
    <phoneticPr fontId="7" type="noConversion"/>
  </si>
  <si>
    <t>상품</t>
    <phoneticPr fontId="7" type="noConversion"/>
  </si>
  <si>
    <t>지진계(BlueSeis-3A)</t>
    <phoneticPr fontId="7" type="noConversion"/>
  </si>
  <si>
    <t>외자</t>
    <phoneticPr fontId="7" type="noConversion"/>
  </si>
  <si>
    <t>EUR 58,000</t>
    <phoneticPr fontId="7" type="noConversion"/>
  </si>
  <si>
    <t>무인해양조사선 제작 및 장비 설치</t>
    <phoneticPr fontId="7" type="noConversion"/>
  </si>
  <si>
    <t>황유진(무인팀)</t>
    <phoneticPr fontId="7" type="noConversion"/>
  </si>
  <si>
    <t>-</t>
    <phoneticPr fontId="7" type="noConversion"/>
  </si>
  <si>
    <t>21-54</t>
    <phoneticPr fontId="7" type="noConversion"/>
  </si>
  <si>
    <t>KOPRI</t>
    <phoneticPr fontId="7" type="noConversion"/>
  </si>
  <si>
    <t>SeaSPY2 Longitudinal Gradiometer</t>
    <phoneticPr fontId="7" type="noConversion"/>
  </si>
  <si>
    <t>SeaSPY2 Longitudinal Gradiometer</t>
    <phoneticPr fontId="7" type="noConversion"/>
  </si>
  <si>
    <t>Marine Magnetics</t>
    <phoneticPr fontId="7" type="noConversion"/>
  </si>
  <si>
    <t>Marine Magnetics</t>
    <phoneticPr fontId="7" type="noConversion"/>
  </si>
  <si>
    <t>USD 6,200.00</t>
    <phoneticPr fontId="7" type="noConversion"/>
  </si>
  <si>
    <t>USD 9,307.30</t>
    <phoneticPr fontId="7" type="noConversion"/>
  </si>
  <si>
    <t>2021.04.19 청구</t>
    <phoneticPr fontId="7" type="noConversion"/>
  </si>
  <si>
    <t>KIGAM</t>
    <phoneticPr fontId="7" type="noConversion"/>
  </si>
  <si>
    <t>화인랩테크</t>
    <phoneticPr fontId="7" type="noConversion"/>
  </si>
  <si>
    <t>지오뷰</t>
    <phoneticPr fontId="7" type="noConversion"/>
  </si>
  <si>
    <t>김현도</t>
    <phoneticPr fontId="7" type="noConversion"/>
  </si>
  <si>
    <t>강은철</t>
    <phoneticPr fontId="7" type="noConversion"/>
  </si>
  <si>
    <t>오션테크</t>
    <phoneticPr fontId="7" type="noConversion"/>
  </si>
  <si>
    <t>센서암 교체</t>
    <phoneticPr fontId="7" type="noConversion"/>
  </si>
  <si>
    <t>용역</t>
    <phoneticPr fontId="7" type="noConversion"/>
  </si>
  <si>
    <t>김정기</t>
    <phoneticPr fontId="7" type="noConversion"/>
  </si>
  <si>
    <t>Chesapeake</t>
    <phoneticPr fontId="7" type="noConversion"/>
  </si>
  <si>
    <t>Sonarwiz 유지보수</t>
    <phoneticPr fontId="7" type="noConversion"/>
  </si>
  <si>
    <t>상품</t>
    <phoneticPr fontId="7" type="noConversion"/>
  </si>
  <si>
    <t>오원진(문홍배)</t>
    <phoneticPr fontId="7" type="noConversion"/>
  </si>
  <si>
    <t>하선종</t>
    <phoneticPr fontId="7" type="noConversion"/>
  </si>
  <si>
    <t>-</t>
    <phoneticPr fontId="7" type="noConversion"/>
  </si>
  <si>
    <t>GNM</t>
    <phoneticPr fontId="7" type="noConversion"/>
  </si>
  <si>
    <t>Flowmeter</t>
    <phoneticPr fontId="7" type="noConversion"/>
  </si>
  <si>
    <t>자력계</t>
    <phoneticPr fontId="7" type="noConversion"/>
  </si>
  <si>
    <t>KRISO</t>
    <phoneticPr fontId="7" type="noConversion"/>
  </si>
  <si>
    <t>김승근</t>
    <phoneticPr fontId="7" type="noConversion"/>
  </si>
  <si>
    <t>Teledyne RESON</t>
    <phoneticPr fontId="7" type="noConversion"/>
  </si>
  <si>
    <t>EC6081,TL8088</t>
    <phoneticPr fontId="7" type="noConversion"/>
  </si>
  <si>
    <t>강성화(영업팀)</t>
    <phoneticPr fontId="7" type="noConversion"/>
  </si>
  <si>
    <t>강성화(무인팀)</t>
    <phoneticPr fontId="7" type="noConversion"/>
  </si>
  <si>
    <t>이학용</t>
    <phoneticPr fontId="7" type="noConversion"/>
  </si>
  <si>
    <t>오원진(이학용)</t>
    <phoneticPr fontId="7" type="noConversion"/>
  </si>
  <si>
    <t>온누리호 탄성파탐사장비용 데이터처리장치 등</t>
    <phoneticPr fontId="7" type="noConversion"/>
  </si>
  <si>
    <t>RTSYS</t>
    <phoneticPr fontId="7" type="noConversion"/>
  </si>
  <si>
    <t>3/29, 4/29</t>
    <phoneticPr fontId="7" type="noConversion"/>
  </si>
  <si>
    <t>Chesapeak</t>
    <phoneticPr fontId="7" type="noConversion"/>
  </si>
  <si>
    <t>SonarWiz 업그레이드</t>
    <phoneticPr fontId="7" type="noConversion"/>
  </si>
  <si>
    <t>KIOST</t>
    <phoneticPr fontId="7" type="noConversion"/>
  </si>
  <si>
    <t>파랑글라이더용 층별 유향유속 관측센서</t>
    <phoneticPr fontId="7" type="noConversion"/>
  </si>
  <si>
    <t>Liquid Robotics</t>
    <phoneticPr fontId="7" type="noConversion"/>
  </si>
  <si>
    <t>상품</t>
    <phoneticPr fontId="7" type="noConversion"/>
  </si>
  <si>
    <t>이학용</t>
    <phoneticPr fontId="7" type="noConversion"/>
  </si>
  <si>
    <t>강미리</t>
    <phoneticPr fontId="7" type="noConversion"/>
  </si>
  <si>
    <t>Jwfisher(오션테크)</t>
    <phoneticPr fontId="7" type="noConversion"/>
  </si>
  <si>
    <t>상품</t>
    <phoneticPr fontId="7" type="noConversion"/>
  </si>
  <si>
    <t xml:space="preserve"> - </t>
    <phoneticPr fontId="7" type="noConversion"/>
  </si>
  <si>
    <t>내자</t>
    <phoneticPr fontId="7" type="noConversion"/>
  </si>
  <si>
    <t>하선종(이학용)</t>
    <phoneticPr fontId="7" type="noConversion"/>
  </si>
  <si>
    <t>Solo D x 1ea</t>
    <phoneticPr fontId="7" type="noConversion"/>
  </si>
  <si>
    <t>시스코어</t>
    <phoneticPr fontId="7" type="noConversion"/>
  </si>
  <si>
    <t>성종영</t>
    <phoneticPr fontId="7" type="noConversion"/>
  </si>
  <si>
    <t>AADI</t>
    <phoneticPr fontId="7" type="noConversion"/>
  </si>
  <si>
    <t>Pressure sensor(411BR) 4ea</t>
    <phoneticPr fontId="7" type="noConversion"/>
  </si>
  <si>
    <t>상품</t>
    <phoneticPr fontId="7" type="noConversion"/>
  </si>
  <si>
    <t>-</t>
    <phoneticPr fontId="7" type="noConversion"/>
  </si>
  <si>
    <t>내자</t>
    <phoneticPr fontId="7" type="noConversion"/>
  </si>
  <si>
    <t>하선종</t>
    <phoneticPr fontId="7" type="noConversion"/>
  </si>
  <si>
    <t>4/23, 4/26</t>
    <phoneticPr fontId="7" type="noConversion"/>
  </si>
  <si>
    <t>과제계획 변경으로 구매 취소 됨 (21.05.03.)</t>
    <phoneticPr fontId="7" type="noConversion"/>
  </si>
  <si>
    <t>오션사이언스</t>
    <phoneticPr fontId="7" type="noConversion"/>
  </si>
  <si>
    <t>홍다운</t>
    <phoneticPr fontId="7" type="noConversion"/>
  </si>
  <si>
    <t>Geometrics</t>
    <phoneticPr fontId="7" type="noConversion"/>
  </si>
  <si>
    <t>-</t>
    <phoneticPr fontId="7" type="noConversion"/>
  </si>
  <si>
    <t>내자</t>
    <phoneticPr fontId="7" type="noConversion"/>
  </si>
  <si>
    <t>하선종</t>
    <phoneticPr fontId="7" type="noConversion"/>
  </si>
  <si>
    <t>#52801, 52802, 52803, 52804</t>
    <phoneticPr fontId="7" type="noConversion"/>
  </si>
  <si>
    <t>GeoEel System</t>
    <phoneticPr fontId="7" type="noConversion"/>
  </si>
  <si>
    <t>EUR 75,396</t>
    <phoneticPr fontId="7" type="noConversion"/>
  </si>
  <si>
    <t>KIGAM</t>
    <phoneticPr fontId="7" type="noConversion"/>
  </si>
  <si>
    <t>KIOST</t>
    <phoneticPr fontId="7" type="noConversion"/>
  </si>
  <si>
    <t>미르코퍼레이션</t>
    <phoneticPr fontId="7" type="noConversion"/>
  </si>
  <si>
    <t>수온염분계</t>
    <phoneticPr fontId="7" type="noConversion"/>
  </si>
  <si>
    <t>상품</t>
    <phoneticPr fontId="7" type="noConversion"/>
  </si>
  <si>
    <t>-</t>
    <phoneticPr fontId="7" type="noConversion"/>
  </si>
  <si>
    <t>내자</t>
    <phoneticPr fontId="7" type="noConversion"/>
  </si>
  <si>
    <t>하선종</t>
    <phoneticPr fontId="7" type="noConversion"/>
  </si>
  <si>
    <t>김창수</t>
    <phoneticPr fontId="7" type="noConversion"/>
  </si>
  <si>
    <t>AADI</t>
    <phoneticPr fontId="7" type="noConversion"/>
  </si>
  <si>
    <t>ITRAX 유지보수</t>
    <phoneticPr fontId="7" type="noConversion"/>
  </si>
  <si>
    <t>COX</t>
    <phoneticPr fontId="7" type="noConversion"/>
  </si>
  <si>
    <t>용역</t>
    <phoneticPr fontId="7" type="noConversion"/>
  </si>
  <si>
    <t>정창헌</t>
    <phoneticPr fontId="7" type="noConversion"/>
  </si>
  <si>
    <t>Sercel</t>
    <phoneticPr fontId="7" type="noConversion"/>
  </si>
  <si>
    <t>Seismic equipment spare parts</t>
    <phoneticPr fontId="7" type="noConversion"/>
  </si>
  <si>
    <t>엄인권</t>
    <phoneticPr fontId="7" type="noConversion"/>
  </si>
  <si>
    <t>오원진(하선종)</t>
    <phoneticPr fontId="7" type="noConversion"/>
  </si>
  <si>
    <t>오원진(문홍배)</t>
    <phoneticPr fontId="7" type="noConversion"/>
  </si>
  <si>
    <t>하선종</t>
    <phoneticPr fontId="7" type="noConversion"/>
  </si>
  <si>
    <t># 58419</t>
    <phoneticPr fontId="7" type="noConversion"/>
  </si>
  <si>
    <t># 57759, 57902</t>
    <phoneticPr fontId="7" type="noConversion"/>
  </si>
  <si>
    <t># 58459</t>
    <phoneticPr fontId="7" type="noConversion"/>
  </si>
  <si>
    <t>어비스테크</t>
    <phoneticPr fontId="7" type="noConversion"/>
  </si>
  <si>
    <t>박재영</t>
    <phoneticPr fontId="7" type="noConversion"/>
  </si>
  <si>
    <t>Deck Unit (UTS-9500)</t>
    <phoneticPr fontId="7" type="noConversion"/>
  </si>
  <si>
    <t>STX엔진</t>
    <phoneticPr fontId="7" type="noConversion"/>
  </si>
  <si>
    <t>김성윤</t>
    <phoneticPr fontId="7" type="noConversion"/>
  </si>
  <si>
    <t>최종규</t>
    <phoneticPr fontId="7" type="noConversion"/>
  </si>
  <si>
    <t>Caris</t>
    <phoneticPr fontId="7" type="noConversion"/>
  </si>
  <si>
    <t>Caris HIPS&amp;SIPS 11.0 구입</t>
    <phoneticPr fontId="7" type="noConversion"/>
  </si>
  <si>
    <t>-</t>
    <phoneticPr fontId="7" type="noConversion"/>
  </si>
  <si>
    <t>황유진(이학용)</t>
    <phoneticPr fontId="7" type="noConversion"/>
  </si>
  <si>
    <t>Reson</t>
    <phoneticPr fontId="7" type="noConversion"/>
  </si>
  <si>
    <t>TC4014,TL8144,EC6076</t>
    <phoneticPr fontId="7" type="noConversion"/>
  </si>
  <si>
    <t>오원진</t>
    <phoneticPr fontId="7" type="noConversion"/>
  </si>
  <si>
    <t>아시아손해사정</t>
    <phoneticPr fontId="7" type="noConversion"/>
  </si>
  <si>
    <t>Itrax</t>
    <phoneticPr fontId="7" type="noConversion"/>
  </si>
  <si>
    <t>Itrax Power Supply 보험</t>
    <phoneticPr fontId="7" type="noConversion"/>
  </si>
  <si>
    <t>1/22, 5/6</t>
    <phoneticPr fontId="7" type="noConversion"/>
  </si>
  <si>
    <t>3/29, 5/3</t>
    <phoneticPr fontId="7" type="noConversion"/>
  </si>
  <si>
    <t>4/14, 5/10</t>
    <phoneticPr fontId="7" type="noConversion"/>
  </si>
  <si>
    <t>1/22, 5/7</t>
    <phoneticPr fontId="7" type="noConversion"/>
  </si>
  <si>
    <t>지오뷰</t>
    <phoneticPr fontId="7" type="noConversion"/>
  </si>
  <si>
    <t xml:space="preserve"> - </t>
    <phoneticPr fontId="7" type="noConversion"/>
  </si>
  <si>
    <t>Gill</t>
    <phoneticPr fontId="7" type="noConversion"/>
  </si>
  <si>
    <t>통합기상센서</t>
    <phoneticPr fontId="7" type="noConversion"/>
  </si>
  <si>
    <t>김현도</t>
    <phoneticPr fontId="7" type="noConversion"/>
  </si>
  <si>
    <t>상품</t>
    <phoneticPr fontId="7" type="noConversion"/>
  </si>
  <si>
    <t>하선종</t>
    <phoneticPr fontId="7" type="noConversion"/>
  </si>
  <si>
    <t># 60020</t>
    <phoneticPr fontId="7" type="noConversion"/>
  </si>
  <si>
    <t>KHOA</t>
    <phoneticPr fontId="7" type="noConversion"/>
  </si>
  <si>
    <t>안영모</t>
    <phoneticPr fontId="7" type="noConversion"/>
  </si>
  <si>
    <t>SIG</t>
    <phoneticPr fontId="7" type="noConversion"/>
  </si>
  <si>
    <t>저주파 지층탐사 장비용 소모품(Streamer)</t>
    <phoneticPr fontId="7" type="noConversion"/>
  </si>
  <si>
    <t>상품</t>
    <phoneticPr fontId="7" type="noConversion"/>
  </si>
  <si>
    <t>내자</t>
    <phoneticPr fontId="7" type="noConversion"/>
  </si>
  <si>
    <t>문홍배</t>
    <phoneticPr fontId="7" type="noConversion"/>
  </si>
  <si>
    <t>용역</t>
    <phoneticPr fontId="7" type="noConversion"/>
  </si>
  <si>
    <t>메이텍엔지니어링</t>
    <phoneticPr fontId="7" type="noConversion"/>
  </si>
  <si>
    <t>Idronaut</t>
    <phoneticPr fontId="7" type="noConversion"/>
  </si>
  <si>
    <t>CTD 수리 및 검교정</t>
    <phoneticPr fontId="7" type="noConversion"/>
  </si>
  <si>
    <t>하선종</t>
    <phoneticPr fontId="7" type="noConversion"/>
  </si>
  <si>
    <t>추민호</t>
    <phoneticPr fontId="7" type="noConversion"/>
  </si>
  <si>
    <t>하선종</t>
    <phoneticPr fontId="7" type="noConversion"/>
  </si>
  <si>
    <t>YES</t>
    <phoneticPr fontId="7" type="noConversion"/>
  </si>
  <si>
    <t>USD 1,755.00</t>
    <phoneticPr fontId="7" type="noConversion"/>
  </si>
  <si>
    <t>2020.12.29</t>
    <phoneticPr fontId="7" type="noConversion"/>
  </si>
  <si>
    <t>2021-02-08 청구</t>
    <phoneticPr fontId="7" type="noConversion"/>
  </si>
  <si>
    <t>EUR 780.00</t>
    <phoneticPr fontId="7" type="noConversion"/>
  </si>
  <si>
    <t>YES</t>
    <phoneticPr fontId="7" type="noConversion"/>
  </si>
  <si>
    <t>YES</t>
    <phoneticPr fontId="7" type="noConversion"/>
  </si>
  <si>
    <t>3/23, 5/11</t>
    <phoneticPr fontId="7" type="noConversion"/>
  </si>
  <si>
    <t>3/23, 5/12</t>
    <phoneticPr fontId="7" type="noConversion"/>
  </si>
  <si>
    <t># 60561 , 60562</t>
    <phoneticPr fontId="7" type="noConversion"/>
  </si>
  <si>
    <t>KOPRI</t>
    <phoneticPr fontId="7" type="noConversion"/>
  </si>
  <si>
    <t>박태욱</t>
    <phoneticPr fontId="7" type="noConversion"/>
  </si>
  <si>
    <t>R12K 2식</t>
    <phoneticPr fontId="7" type="noConversion"/>
  </si>
  <si>
    <t>외자</t>
    <phoneticPr fontId="7" type="noConversion"/>
  </si>
  <si>
    <t>USD 33,120</t>
    <phoneticPr fontId="7" type="noConversion"/>
  </si>
  <si>
    <t>이수환</t>
    <phoneticPr fontId="7" type="noConversion"/>
  </si>
  <si>
    <t>G-Source ll - Part A</t>
    <phoneticPr fontId="7" type="noConversion"/>
  </si>
  <si>
    <t>박두훈</t>
    <phoneticPr fontId="7" type="noConversion"/>
  </si>
  <si>
    <t>RBRconcerto CTD 2식 검교정</t>
    <phoneticPr fontId="7" type="noConversion"/>
  </si>
  <si>
    <t>상품</t>
    <phoneticPr fontId="7" type="noConversion"/>
  </si>
  <si>
    <t>서울대학교</t>
    <phoneticPr fontId="7" type="noConversion"/>
  </si>
  <si>
    <t>최연</t>
    <phoneticPr fontId="7" type="noConversion"/>
  </si>
  <si>
    <t>AR용 Deck unit</t>
    <phoneticPr fontId="7" type="noConversion"/>
  </si>
  <si>
    <t>이학용</t>
    <phoneticPr fontId="7" type="noConversion"/>
  </si>
  <si>
    <t>문홍배</t>
    <phoneticPr fontId="7" type="noConversion"/>
  </si>
  <si>
    <t>하선종</t>
    <phoneticPr fontId="7" type="noConversion"/>
  </si>
  <si>
    <t>최희재</t>
    <phoneticPr fontId="7" type="noConversion"/>
  </si>
  <si>
    <t>UPR x 3ea</t>
    <phoneticPr fontId="7" type="noConversion"/>
  </si>
  <si>
    <t>용역</t>
    <phoneticPr fontId="7" type="noConversion"/>
  </si>
  <si>
    <t>강성화(연구팀)</t>
    <phoneticPr fontId="7" type="noConversion"/>
  </si>
  <si>
    <t>G-Source ll - Part B</t>
    <phoneticPr fontId="7" type="noConversion"/>
  </si>
  <si>
    <t>KIOST</t>
    <phoneticPr fontId="7" type="noConversion"/>
  </si>
  <si>
    <t>구본화</t>
    <phoneticPr fontId="7" type="noConversion"/>
  </si>
  <si>
    <t>파랑글라이더 기상센서(Gill Sensor) x 2ea</t>
    <phoneticPr fontId="7" type="noConversion"/>
  </si>
  <si>
    <t>KHOA</t>
    <phoneticPr fontId="7" type="noConversion"/>
  </si>
  <si>
    <t>이기종</t>
    <phoneticPr fontId="7" type="noConversion"/>
  </si>
  <si>
    <t>해수유동 관측장비 수리(덕적도, 태종대, 강원고성)</t>
    <phoneticPr fontId="7" type="noConversion"/>
  </si>
  <si>
    <t>AADI</t>
    <phoneticPr fontId="7" type="noConversion"/>
  </si>
  <si>
    <t>CT센서 수리 x 2ea</t>
    <phoneticPr fontId="7" type="noConversion"/>
  </si>
  <si>
    <t>KIMST</t>
    <phoneticPr fontId="7" type="noConversion"/>
  </si>
  <si>
    <t>용역(연구과제)</t>
    <phoneticPr fontId="7" type="noConversion"/>
  </si>
  <si>
    <t>-</t>
    <phoneticPr fontId="7" type="noConversion"/>
  </si>
  <si>
    <t>내자</t>
    <phoneticPr fontId="7" type="noConversion"/>
  </si>
  <si>
    <t>실시간과제</t>
    <phoneticPr fontId="7" type="noConversion"/>
  </si>
  <si>
    <t>모태준/이수현/홍아름</t>
    <phoneticPr fontId="7" type="noConversion"/>
  </si>
  <si>
    <t>해상교통 안전확보를 위한 정밀조사측량 기술개발</t>
    <phoneticPr fontId="7" type="noConversion"/>
  </si>
  <si>
    <t>이정훈</t>
    <phoneticPr fontId="7" type="noConversion"/>
  </si>
  <si>
    <t>오션테크</t>
    <phoneticPr fontId="7" type="noConversion"/>
  </si>
  <si>
    <t>-</t>
    <phoneticPr fontId="7" type="noConversion"/>
  </si>
  <si>
    <t>문홍배(연구팀)</t>
    <phoneticPr fontId="7" type="noConversion"/>
  </si>
  <si>
    <t>4/20, 5/20</t>
    <phoneticPr fontId="7" type="noConversion"/>
  </si>
  <si>
    <t>3/29, 5/20</t>
    <phoneticPr fontId="7" type="noConversion"/>
  </si>
  <si>
    <t>확인필요</t>
    <phoneticPr fontId="7" type="noConversion"/>
  </si>
  <si>
    <t>OK</t>
    <phoneticPr fontId="7" type="noConversion"/>
  </si>
  <si>
    <t># 58798</t>
    <phoneticPr fontId="7" type="noConversion"/>
  </si>
  <si>
    <t># 59698</t>
    <phoneticPr fontId="7" type="noConversion"/>
  </si>
  <si>
    <t># 42378 (4개), 58358, 58359, 58360, 58361</t>
    <phoneticPr fontId="7" type="noConversion"/>
  </si>
  <si>
    <t># 57340, 57341, 57342, 57343, 57344, 57345 (수리점검)</t>
    <phoneticPr fontId="7" type="noConversion"/>
  </si>
  <si>
    <t>연구과제</t>
    <phoneticPr fontId="7" type="noConversion"/>
  </si>
  <si>
    <t># 49551, 49550 (2개)</t>
    <phoneticPr fontId="7" type="noConversion"/>
  </si>
  <si>
    <t># 52146, 58643, 58644</t>
    <phoneticPr fontId="7" type="noConversion"/>
  </si>
  <si>
    <t># 58603</t>
    <phoneticPr fontId="7" type="noConversion"/>
  </si>
  <si>
    <t>#56618, 56619</t>
    <phoneticPr fontId="7" type="noConversion"/>
  </si>
  <si>
    <t>#57078</t>
    <phoneticPr fontId="7" type="noConversion"/>
  </si>
  <si>
    <t>3/19 수출</t>
    <phoneticPr fontId="7" type="noConversion"/>
  </si>
  <si>
    <t>국립수산과학원(남해)</t>
    <phoneticPr fontId="7" type="noConversion"/>
  </si>
  <si>
    <t># 58458</t>
    <phoneticPr fontId="7" type="noConversion"/>
  </si>
  <si>
    <t># 55620</t>
    <phoneticPr fontId="7" type="noConversion"/>
  </si>
  <si>
    <t># 54575 , 54576 , 54577</t>
    <phoneticPr fontId="7" type="noConversion"/>
  </si>
  <si>
    <t>이학용</t>
    <phoneticPr fontId="7" type="noConversion"/>
  </si>
  <si>
    <t>오원진</t>
    <phoneticPr fontId="7" type="noConversion"/>
  </si>
  <si>
    <t>OK</t>
    <phoneticPr fontId="7" type="noConversion"/>
  </si>
  <si>
    <t># 59218</t>
    <phoneticPr fontId="7" type="noConversion"/>
  </si>
  <si>
    <t>OK</t>
    <phoneticPr fontId="7" type="noConversion"/>
  </si>
  <si>
    <t># 58602</t>
    <phoneticPr fontId="7" type="noConversion"/>
  </si>
  <si>
    <t># 57981</t>
    <phoneticPr fontId="7" type="noConversion"/>
  </si>
  <si>
    <t># 59260, 59261</t>
    <phoneticPr fontId="7" type="noConversion"/>
  </si>
  <si>
    <t># 59045</t>
    <phoneticPr fontId="7" type="noConversion"/>
  </si>
  <si>
    <t># 58938</t>
    <phoneticPr fontId="7" type="noConversion"/>
  </si>
  <si>
    <t># 59798</t>
    <phoneticPr fontId="7" type="noConversion"/>
  </si>
  <si>
    <t># 59778</t>
    <phoneticPr fontId="7" type="noConversion"/>
  </si>
  <si>
    <t># 60258, 60259</t>
    <phoneticPr fontId="7" type="noConversion"/>
  </si>
  <si>
    <t># 47519</t>
    <phoneticPr fontId="7" type="noConversion"/>
  </si>
  <si>
    <t># 60278</t>
    <phoneticPr fontId="7" type="noConversion"/>
  </si>
  <si>
    <t># 57798, 60560</t>
    <phoneticPr fontId="7" type="noConversion"/>
  </si>
  <si>
    <t>인건비만 있음</t>
    <phoneticPr fontId="7" type="noConversion"/>
  </si>
  <si>
    <t># 59858</t>
    <phoneticPr fontId="7" type="noConversion"/>
  </si>
  <si>
    <t>상품(수출)</t>
    <phoneticPr fontId="7" type="noConversion"/>
  </si>
  <si>
    <t># 60681</t>
    <phoneticPr fontId="7" type="noConversion"/>
  </si>
  <si>
    <t># 58363</t>
    <phoneticPr fontId="7" type="noConversion"/>
  </si>
  <si>
    <t># 47079</t>
    <phoneticPr fontId="7" type="noConversion"/>
  </si>
  <si>
    <t># 60181, 60182</t>
    <phoneticPr fontId="7" type="noConversion"/>
  </si>
  <si>
    <t># 60458, 60478</t>
    <phoneticPr fontId="7" type="noConversion"/>
  </si>
  <si>
    <t>KIGAM</t>
    <phoneticPr fontId="7" type="noConversion"/>
  </si>
  <si>
    <t>KOPRI</t>
    <phoneticPr fontId="7" type="noConversion"/>
  </si>
  <si>
    <t>AR 배터리, Beacon Zinc Anode</t>
    <phoneticPr fontId="7" type="noConversion"/>
  </si>
  <si>
    <t>김영준</t>
    <phoneticPr fontId="7" type="noConversion"/>
  </si>
  <si>
    <t>유재일</t>
    <phoneticPr fontId="7" type="noConversion"/>
  </si>
  <si>
    <t>SIG</t>
    <phoneticPr fontId="7" type="noConversion"/>
  </si>
  <si>
    <t>오션테크</t>
    <phoneticPr fontId="7" type="noConversion"/>
  </si>
  <si>
    <t>Benthos, Metocean</t>
    <phoneticPr fontId="7" type="noConversion"/>
  </si>
  <si>
    <t>상품</t>
    <phoneticPr fontId="7" type="noConversion"/>
  </si>
  <si>
    <t>외자</t>
    <phoneticPr fontId="7" type="noConversion"/>
  </si>
  <si>
    <t>내자</t>
    <phoneticPr fontId="7" type="noConversion"/>
  </si>
  <si>
    <t>EUR 19,000</t>
    <phoneticPr fontId="7" type="noConversion"/>
  </si>
  <si>
    <t>연구팀</t>
    <phoneticPr fontId="7" type="noConversion"/>
  </si>
  <si>
    <t>오원진</t>
    <phoneticPr fontId="7" type="noConversion"/>
  </si>
  <si>
    <t># 60418, 60419</t>
    <phoneticPr fontId="7" type="noConversion"/>
  </si>
  <si>
    <t>OK</t>
    <phoneticPr fontId="7" type="noConversion"/>
  </si>
  <si>
    <t># 60160</t>
    <phoneticPr fontId="7" type="noConversion"/>
  </si>
  <si>
    <t># 60658</t>
    <phoneticPr fontId="7" type="noConversion"/>
  </si>
  <si>
    <t># 59298</t>
    <phoneticPr fontId="7" type="noConversion"/>
  </si>
  <si>
    <t># 60800, 60799, 60163</t>
    <phoneticPr fontId="7" type="noConversion"/>
  </si>
  <si>
    <t># 59263</t>
    <phoneticPr fontId="7" type="noConversion"/>
  </si>
  <si>
    <t># 60358(실제 납품 맞음), 60421, 60452</t>
    <phoneticPr fontId="7" type="noConversion"/>
  </si>
  <si>
    <t>제주남부 부이 보험(20년 1월 사고)</t>
    <phoneticPr fontId="7" type="noConversion"/>
  </si>
  <si>
    <t># 51466, 49358 (3개), 58561, 55158</t>
    <phoneticPr fontId="7" type="noConversion"/>
  </si>
  <si>
    <t># 50819, 58568, 58567</t>
    <phoneticPr fontId="7" type="noConversion"/>
  </si>
  <si>
    <t>상왕등도 부이 보험(20년 11월 사고)</t>
    <phoneticPr fontId="7" type="noConversion"/>
  </si>
  <si>
    <t>제주 중문 부이 보험(20년 8월 사고)</t>
    <phoneticPr fontId="7" type="noConversion"/>
  </si>
  <si>
    <t xml:space="preserve"># 47446, 30866, 55626, 55627, </t>
    <phoneticPr fontId="7" type="noConversion"/>
  </si>
  <si>
    <t># 60898</t>
    <phoneticPr fontId="7" type="noConversion"/>
  </si>
  <si>
    <t>OK</t>
    <phoneticPr fontId="7" type="noConversion"/>
  </si>
  <si>
    <t># 60899, 60900, 60901</t>
    <phoneticPr fontId="7" type="noConversion"/>
  </si>
  <si>
    <t>마린리서치</t>
    <phoneticPr fontId="7" type="noConversion"/>
  </si>
  <si>
    <t>박용희</t>
    <phoneticPr fontId="7" type="noConversion"/>
  </si>
  <si>
    <t>오션테크</t>
    <phoneticPr fontId="7" type="noConversion"/>
  </si>
  <si>
    <t>7125 MBES 수리</t>
    <phoneticPr fontId="7" type="noConversion"/>
  </si>
  <si>
    <t>상품</t>
    <phoneticPr fontId="7" type="noConversion"/>
  </si>
  <si>
    <t>내자</t>
    <phoneticPr fontId="7" type="noConversion"/>
  </si>
  <si>
    <t>이학용</t>
    <phoneticPr fontId="7" type="noConversion"/>
  </si>
  <si>
    <t># 19756 , 53562 , 52180 , 53561 , 53563, 57621, 53560</t>
    <phoneticPr fontId="7" type="noConversion"/>
  </si>
  <si>
    <t># 60558 , 60559</t>
    <phoneticPr fontId="7" type="noConversion"/>
  </si>
  <si>
    <t>KIOST</t>
    <phoneticPr fontId="7" type="noConversion"/>
  </si>
  <si>
    <t>김응</t>
    <phoneticPr fontId="7" type="noConversion"/>
  </si>
  <si>
    <t>이수환</t>
    <phoneticPr fontId="7" type="noConversion"/>
  </si>
  <si>
    <t>Teledyne Webb</t>
    <phoneticPr fontId="7" type="noConversion"/>
  </si>
  <si>
    <t>Underwater Glider</t>
    <phoneticPr fontId="7" type="noConversion"/>
  </si>
  <si>
    <t>상품</t>
    <phoneticPr fontId="7" type="noConversion"/>
  </si>
  <si>
    <t>USD 260,000</t>
    <phoneticPr fontId="7" type="noConversion"/>
  </si>
  <si>
    <t>문홍배</t>
    <phoneticPr fontId="7" type="noConversion"/>
  </si>
  <si>
    <t>내자</t>
    <phoneticPr fontId="7" type="noConversion"/>
  </si>
  <si>
    <t>오원진(문홍배)</t>
    <phoneticPr fontId="7" type="noConversion"/>
  </si>
  <si>
    <t>4/2, 5/28</t>
    <phoneticPr fontId="7" type="noConversion"/>
  </si>
  <si>
    <t>외자계약</t>
    <phoneticPr fontId="7" type="noConversion"/>
  </si>
  <si>
    <t>KOPRI</t>
    <phoneticPr fontId="7" type="noConversion"/>
  </si>
  <si>
    <t>강은철</t>
    <phoneticPr fontId="7" type="noConversion"/>
  </si>
  <si>
    <t>김수관</t>
    <phoneticPr fontId="7" type="noConversion"/>
  </si>
  <si>
    <t>하선종</t>
    <phoneticPr fontId="7" type="noConversion"/>
  </si>
  <si>
    <t>오원진(김진수)</t>
    <phoneticPr fontId="7" type="noConversion"/>
  </si>
  <si>
    <t>아라온호 다중채널 탄성파 탐사 시스템 점검</t>
    <phoneticPr fontId="7" type="noConversion"/>
  </si>
  <si>
    <t>용역건이라서 관련 재고 번호 없음</t>
    <phoneticPr fontId="7" type="noConversion"/>
  </si>
  <si>
    <t>외자계약</t>
    <phoneticPr fontId="7" type="noConversion"/>
  </si>
  <si>
    <t># 59598, 59600</t>
    <phoneticPr fontId="7" type="noConversion"/>
  </si>
  <si>
    <t>KIGAM</t>
    <phoneticPr fontId="7" type="noConversion"/>
  </si>
  <si>
    <t>8채널 수진기 시스템 (8-Channel Streamer System)</t>
    <phoneticPr fontId="7" type="noConversion"/>
  </si>
  <si>
    <t>8채널 수진기 시스템 (8-Channel Streamer System)</t>
    <phoneticPr fontId="7" type="noConversion"/>
  </si>
  <si>
    <t>SIG</t>
    <phoneticPr fontId="7" type="noConversion"/>
  </si>
  <si>
    <t>EUR 521</t>
    <phoneticPr fontId="7" type="noConversion"/>
  </si>
  <si>
    <t>EUR 19,000</t>
    <phoneticPr fontId="7" type="noConversion"/>
  </si>
  <si>
    <t>MBES 임대</t>
    <phoneticPr fontId="7" type="noConversion"/>
  </si>
  <si>
    <t>AAT</t>
    <phoneticPr fontId="7" type="noConversion"/>
  </si>
  <si>
    <t>정기현</t>
    <phoneticPr fontId="7" type="noConversion"/>
  </si>
  <si>
    <t>RESON</t>
    <phoneticPr fontId="7" type="noConversion"/>
  </si>
  <si>
    <t>PDS2000 업그레이드</t>
    <phoneticPr fontId="7" type="noConversion"/>
  </si>
  <si>
    <t>배수구1 이전설치</t>
    <phoneticPr fontId="7" type="noConversion"/>
  </si>
  <si>
    <t>Niskin X 2.5L</t>
    <phoneticPr fontId="7" type="noConversion"/>
  </si>
  <si>
    <t>적조발생환경 실시간 현장관측 분석</t>
    <phoneticPr fontId="7" type="noConversion"/>
  </si>
  <si>
    <t>최성후</t>
    <phoneticPr fontId="7" type="noConversion"/>
  </si>
  <si>
    <t>이학용</t>
    <phoneticPr fontId="7" type="noConversion"/>
  </si>
  <si>
    <t>21-155</t>
    <phoneticPr fontId="7" type="noConversion"/>
  </si>
  <si>
    <t>21-158</t>
    <phoneticPr fontId="7" type="noConversion"/>
  </si>
  <si>
    <t>KIOST</t>
    <phoneticPr fontId="7" type="noConversion"/>
  </si>
  <si>
    <t>Underwater Glider</t>
    <phoneticPr fontId="7" type="noConversion"/>
  </si>
  <si>
    <t>Teledyne Webb</t>
    <phoneticPr fontId="7" type="noConversion"/>
  </si>
  <si>
    <t>USD 260,000</t>
    <phoneticPr fontId="7" type="noConversion"/>
  </si>
  <si>
    <t>마이컴테크(소나테크)</t>
    <phoneticPr fontId="7" type="noConversion"/>
  </si>
  <si>
    <t>TC4032-2 x 3ea</t>
    <phoneticPr fontId="7" type="noConversion"/>
  </si>
  <si>
    <t>USD 4,500</t>
    <phoneticPr fontId="7" type="noConversion"/>
  </si>
  <si>
    <t>삼척해양연구센터 연안 해양환경조사</t>
    <phoneticPr fontId="7" type="noConversion"/>
  </si>
  <si>
    <t>남동해수산연구소</t>
    <phoneticPr fontId="7" type="noConversion"/>
  </si>
  <si>
    <t>이인석</t>
    <phoneticPr fontId="7" type="noConversion"/>
  </si>
  <si>
    <t>RBRconcerto CTD 부속품 교체 및 검교정</t>
    <phoneticPr fontId="7" type="noConversion"/>
  </si>
  <si>
    <t>파랑글라이더 센서 임차 용역</t>
    <phoneticPr fontId="7" type="noConversion"/>
  </si>
  <si>
    <t>무인팀(황유진)</t>
    <phoneticPr fontId="7" type="noConversion"/>
  </si>
  <si>
    <t>Teledyne Webb/오션테크</t>
    <phoneticPr fontId="7" type="noConversion"/>
  </si>
  <si>
    <t>KHOA</t>
    <phoneticPr fontId="7" type="noConversion"/>
  </si>
  <si>
    <t>이기종</t>
    <phoneticPr fontId="7" type="noConversion"/>
  </si>
  <si>
    <t>한광남</t>
    <phoneticPr fontId="7" type="noConversion"/>
  </si>
  <si>
    <t>HF Radar 보험(인천항 대부도)</t>
    <phoneticPr fontId="7" type="noConversion"/>
  </si>
  <si>
    <t>HF Radar 보험(목포항 달리도)</t>
    <phoneticPr fontId="7" type="noConversion"/>
  </si>
  <si>
    <t>교본초 조위관측소 보험</t>
    <phoneticPr fontId="7" type="noConversion"/>
  </si>
  <si>
    <t>상품</t>
    <phoneticPr fontId="7" type="noConversion"/>
  </si>
  <si>
    <t>강성화(연구팀)</t>
    <phoneticPr fontId="7" type="noConversion"/>
  </si>
  <si>
    <t>강성화(하선종)</t>
    <phoneticPr fontId="7" type="noConversion"/>
  </si>
  <si>
    <t>21-143</t>
    <phoneticPr fontId="7" type="noConversion"/>
  </si>
  <si>
    <t>KOPRI</t>
    <phoneticPr fontId="7" type="noConversion"/>
  </si>
  <si>
    <t>USD 33,120</t>
    <phoneticPr fontId="7" type="noConversion"/>
  </si>
  <si>
    <t>USD 4,968</t>
    <phoneticPr fontId="7" type="noConversion"/>
  </si>
  <si>
    <t>2021.06.08 청구</t>
    <phoneticPr fontId="7" type="noConversion"/>
  </si>
  <si>
    <t>씨텍</t>
    <phoneticPr fontId="7" type="noConversion"/>
  </si>
  <si>
    <t>마린리서치</t>
    <phoneticPr fontId="7" type="noConversion"/>
  </si>
  <si>
    <t>KHOA</t>
    <phoneticPr fontId="7" type="noConversion"/>
  </si>
  <si>
    <t>이기종</t>
    <phoneticPr fontId="7" type="noConversion"/>
  </si>
  <si>
    <t>오션테크</t>
    <phoneticPr fontId="7" type="noConversion"/>
  </si>
  <si>
    <t>매월리 해수유동관측소 이설</t>
    <phoneticPr fontId="7" type="noConversion"/>
  </si>
  <si>
    <t>용역</t>
    <phoneticPr fontId="7" type="noConversion"/>
  </si>
  <si>
    <t>RBR CTD 수리</t>
    <phoneticPr fontId="7" type="noConversion"/>
  </si>
  <si>
    <t>STING 구매</t>
    <phoneticPr fontId="7" type="noConversion"/>
  </si>
  <si>
    <t>박용희</t>
    <phoneticPr fontId="7" type="noConversion"/>
  </si>
  <si>
    <t>상품</t>
    <phoneticPr fontId="7" type="noConversion"/>
  </si>
  <si>
    <t>배성은</t>
    <phoneticPr fontId="7" type="noConversion"/>
  </si>
  <si>
    <t>RBR / 오션사이언스</t>
    <phoneticPr fontId="7" type="noConversion"/>
  </si>
  <si>
    <t>이학용</t>
    <phoneticPr fontId="7" type="noConversion"/>
  </si>
  <si>
    <t>Microsec</t>
    <phoneticPr fontId="7" type="noConversion"/>
  </si>
  <si>
    <t>하선종</t>
    <phoneticPr fontId="7" type="noConversion"/>
  </si>
  <si>
    <t>내자</t>
    <phoneticPr fontId="7" type="noConversion"/>
  </si>
  <si>
    <t>내자</t>
    <phoneticPr fontId="7" type="noConversion"/>
  </si>
  <si>
    <t>황유진(연구팀)</t>
    <phoneticPr fontId="7" type="noConversion"/>
  </si>
  <si>
    <t># 60018 , 60019</t>
    <phoneticPr fontId="7" type="noConversion"/>
  </si>
  <si>
    <t>확인중</t>
    <phoneticPr fontId="7" type="noConversion"/>
  </si>
  <si>
    <t>-</t>
    <phoneticPr fontId="7" type="noConversion"/>
  </si>
  <si>
    <t># 60199 , 60200 , 60201 , 60202</t>
    <phoneticPr fontId="7" type="noConversion"/>
  </si>
  <si>
    <t>R500</t>
    <phoneticPr fontId="7" type="noConversion"/>
  </si>
  <si>
    <t>김재균</t>
    <phoneticPr fontId="7" type="noConversion"/>
  </si>
  <si>
    <t>박경수</t>
    <phoneticPr fontId="7" type="noConversion"/>
  </si>
  <si>
    <t>Wave glider를 이용한 외해역 유해적조모니터링</t>
    <phoneticPr fontId="7" type="noConversion"/>
  </si>
  <si>
    <t>USD 12,285</t>
    <phoneticPr fontId="7" type="noConversion"/>
  </si>
  <si>
    <t>원천기술개발사업 2차년도</t>
    <phoneticPr fontId="7" type="noConversion"/>
  </si>
  <si>
    <t>유효재</t>
    <phoneticPr fontId="7" type="noConversion"/>
  </si>
  <si>
    <t>에이앤비시스</t>
    <phoneticPr fontId="7" type="noConversion"/>
  </si>
  <si>
    <t>6/7, 6/10</t>
    <phoneticPr fontId="7" type="noConversion"/>
  </si>
  <si>
    <t>6/7, 6/8</t>
    <phoneticPr fontId="7" type="noConversion"/>
  </si>
  <si>
    <t>#61081, 61080, 61079</t>
    <phoneticPr fontId="7" type="noConversion"/>
  </si>
  <si>
    <t>내자</t>
    <phoneticPr fontId="7" type="noConversion"/>
  </si>
  <si>
    <t>용역(연구과제)</t>
    <phoneticPr fontId="7" type="noConversion"/>
  </si>
  <si>
    <t># 58626, 60878</t>
    <phoneticPr fontId="7" type="noConversion"/>
  </si>
  <si>
    <t>OK</t>
    <phoneticPr fontId="7" type="noConversion"/>
  </si>
  <si>
    <t># 61358</t>
    <phoneticPr fontId="7" type="noConversion"/>
  </si>
  <si>
    <t>아라종합기술</t>
    <phoneticPr fontId="7" type="noConversion"/>
  </si>
  <si>
    <t>K-water</t>
    <phoneticPr fontId="7" type="noConversion"/>
  </si>
  <si>
    <t>윤현진</t>
    <phoneticPr fontId="7" type="noConversion"/>
  </si>
  <si>
    <t>넥셀</t>
    <phoneticPr fontId="7" type="noConversion"/>
  </si>
  <si>
    <t>국산 865 Battery</t>
    <phoneticPr fontId="7" type="noConversion"/>
  </si>
  <si>
    <t>해양2000호 자력계 윈치 수리</t>
    <phoneticPr fontId="7" type="noConversion"/>
  </si>
  <si>
    <t>강성화</t>
    <phoneticPr fontId="7" type="noConversion"/>
  </si>
  <si>
    <t>김병남</t>
    <phoneticPr fontId="7" type="noConversion"/>
  </si>
  <si>
    <t>INSEA Core part 1</t>
    <phoneticPr fontId="7" type="noConversion"/>
  </si>
  <si>
    <t>송유재</t>
    <phoneticPr fontId="7" type="noConversion"/>
  </si>
  <si>
    <t>수중음향통신모뎀</t>
    <phoneticPr fontId="7" type="noConversion"/>
  </si>
  <si>
    <t>지구자기탐사 장비 구매 및 설치</t>
    <phoneticPr fontId="7" type="noConversion"/>
  </si>
  <si>
    <t>Water sampler, Messenger</t>
    <phoneticPr fontId="7" type="noConversion"/>
  </si>
  <si>
    <t>홍도웅</t>
    <phoneticPr fontId="7" type="noConversion"/>
  </si>
  <si>
    <t>Solo T x 6ea</t>
    <phoneticPr fontId="7" type="noConversion"/>
  </si>
  <si>
    <t>문흥수</t>
    <phoneticPr fontId="7" type="noConversion"/>
  </si>
  <si>
    <t>Benthos/넥셀</t>
    <phoneticPr fontId="7" type="noConversion"/>
  </si>
  <si>
    <t>이상욱</t>
    <phoneticPr fontId="7" type="noConversion"/>
  </si>
  <si>
    <t>콜롬비아 ODA</t>
    <phoneticPr fontId="7" type="noConversion"/>
  </si>
  <si>
    <t>DCP 임대</t>
    <phoneticPr fontId="7" type="noConversion"/>
  </si>
  <si>
    <t>최재석</t>
    <phoneticPr fontId="7" type="noConversion"/>
  </si>
  <si>
    <t>21-169</t>
    <phoneticPr fontId="7" type="noConversion"/>
  </si>
  <si>
    <t>KOPRI</t>
    <phoneticPr fontId="7" type="noConversion"/>
  </si>
  <si>
    <t>IR-7300</t>
    <phoneticPr fontId="7" type="noConversion"/>
  </si>
  <si>
    <t>IR-7300</t>
    <phoneticPr fontId="7" type="noConversion"/>
  </si>
  <si>
    <t>Metocean</t>
    <phoneticPr fontId="7" type="noConversion"/>
  </si>
  <si>
    <t>USD4,500</t>
    <phoneticPr fontId="7" type="noConversion"/>
  </si>
  <si>
    <t>USD675</t>
    <phoneticPr fontId="7" type="noConversion"/>
  </si>
  <si>
    <t>2021.06.28 청구</t>
    <phoneticPr fontId="7" type="noConversion"/>
  </si>
  <si>
    <t>5/21, 6/16</t>
    <phoneticPr fontId="7" type="noConversion"/>
  </si>
  <si>
    <t>군산대학교</t>
    <phoneticPr fontId="7" type="noConversion"/>
  </si>
  <si>
    <t>UTS-9500</t>
    <phoneticPr fontId="7" type="noConversion"/>
  </si>
  <si>
    <t>Seagard RCM SW</t>
    <phoneticPr fontId="7" type="noConversion"/>
  </si>
  <si>
    <t>자기 저장 도플러 유속계 구매</t>
    <phoneticPr fontId="7" type="noConversion"/>
  </si>
  <si>
    <t>인하대 산협단</t>
    <phoneticPr fontId="7" type="noConversion"/>
  </si>
  <si>
    <t>304 CTD 검교정</t>
    <phoneticPr fontId="7" type="noConversion"/>
  </si>
  <si>
    <t>인하대</t>
    <phoneticPr fontId="7" type="noConversion"/>
  </si>
  <si>
    <t># 58159</t>
    <phoneticPr fontId="7" type="noConversion"/>
  </si>
  <si>
    <t># 58158</t>
    <phoneticPr fontId="7" type="noConversion"/>
  </si>
  <si>
    <t>황유진(이기욱)</t>
    <phoneticPr fontId="7" type="noConversion"/>
  </si>
  <si>
    <t>하선종</t>
    <phoneticPr fontId="7" type="noConversion"/>
  </si>
  <si>
    <t>오원진(하선종)</t>
    <phoneticPr fontId="7" type="noConversion"/>
  </si>
  <si>
    <t>안영모</t>
    <phoneticPr fontId="7" type="noConversion"/>
  </si>
  <si>
    <t>오원진(하선종)</t>
    <phoneticPr fontId="7" type="noConversion"/>
  </si>
  <si>
    <t>강성화(영업팀)</t>
    <phoneticPr fontId="7" type="noConversion"/>
  </si>
  <si>
    <t>황유진(이학용)</t>
    <phoneticPr fontId="7" type="noConversion"/>
  </si>
  <si>
    <t>5/24,  6/29</t>
    <phoneticPr fontId="7" type="noConversion"/>
  </si>
  <si>
    <t>6/28,</t>
    <phoneticPr fontId="7" type="noConversion"/>
  </si>
  <si>
    <t>#61658</t>
    <phoneticPr fontId="7" type="noConversion"/>
  </si>
  <si>
    <t>#61338,  61339, 61340</t>
    <phoneticPr fontId="7" type="noConversion"/>
  </si>
  <si>
    <t xml:space="preserve"># 60378, 60380  </t>
    <phoneticPr fontId="7" type="noConversion"/>
  </si>
  <si>
    <t>WG용 기상센서 구매</t>
    <phoneticPr fontId="7" type="noConversion"/>
  </si>
  <si>
    <t>Core liner</t>
    <phoneticPr fontId="7" type="noConversion"/>
  </si>
  <si>
    <t>EDL1020</t>
    <phoneticPr fontId="7" type="noConversion"/>
  </si>
  <si>
    <t>베트남 ODA</t>
    <phoneticPr fontId="7" type="noConversion"/>
  </si>
  <si>
    <t>케이앤텍</t>
    <phoneticPr fontId="7" type="noConversion"/>
  </si>
  <si>
    <t>충남대학교(KIOST)</t>
    <phoneticPr fontId="7" type="noConversion"/>
  </si>
  <si>
    <t>김동균</t>
    <phoneticPr fontId="7" type="noConversion"/>
  </si>
  <si>
    <t>김승섭(윤현진)</t>
    <phoneticPr fontId="7" type="noConversion"/>
  </si>
  <si>
    <t>INSEA Core part 2</t>
    <phoneticPr fontId="7" type="noConversion"/>
  </si>
  <si>
    <t>Falmat 수중케이블 50m_</t>
    <phoneticPr fontId="7" type="noConversion"/>
  </si>
  <si>
    <t>정직한테크</t>
    <phoneticPr fontId="7" type="noConversion"/>
  </si>
  <si>
    <t>박상옥</t>
    <phoneticPr fontId="7" type="noConversion"/>
  </si>
  <si>
    <t>지오시스템리서치(충남대학교)</t>
    <phoneticPr fontId="7" type="noConversion"/>
  </si>
  <si>
    <t>씨캠(수중생태기술)</t>
    <phoneticPr fontId="7" type="noConversion"/>
  </si>
  <si>
    <t>#59820, 59821, 59822, 59823</t>
    <phoneticPr fontId="7" type="noConversion"/>
  </si>
  <si>
    <t>#61841, 61842</t>
    <phoneticPr fontId="7" type="noConversion"/>
  </si>
  <si>
    <t>#61659</t>
    <phoneticPr fontId="7" type="noConversion"/>
  </si>
  <si>
    <t>#62059, 62060</t>
    <phoneticPr fontId="7" type="noConversion"/>
  </si>
  <si>
    <t>#62018</t>
    <phoneticPr fontId="7" type="noConversion"/>
  </si>
  <si>
    <t>G-Source II Part C</t>
    <phoneticPr fontId="7" type="noConversion"/>
  </si>
  <si>
    <t>Sunburst</t>
    <phoneticPr fontId="7" type="noConversion"/>
  </si>
  <si>
    <t>용존이산화탄소측정센서 구매</t>
    <phoneticPr fontId="7" type="noConversion"/>
  </si>
  <si>
    <t>상품</t>
    <phoneticPr fontId="7" type="noConversion"/>
  </si>
  <si>
    <t>-</t>
    <phoneticPr fontId="7" type="noConversion"/>
  </si>
  <si>
    <t>내자</t>
    <phoneticPr fontId="7" type="noConversion"/>
  </si>
  <si>
    <t>강한구</t>
    <phoneticPr fontId="7" type="noConversion"/>
  </si>
  <si>
    <t>오션테크</t>
    <phoneticPr fontId="7" type="noConversion"/>
  </si>
  <si>
    <t>연안기상관측장비 On-call(2분기)</t>
    <phoneticPr fontId="7" type="noConversion"/>
  </si>
  <si>
    <t>용역</t>
    <phoneticPr fontId="7" type="noConversion"/>
  </si>
  <si>
    <t>태안발전본부</t>
    <phoneticPr fontId="7" type="noConversion"/>
  </si>
  <si>
    <t>고재민</t>
    <phoneticPr fontId="7" type="noConversion"/>
  </si>
  <si>
    <t>해수온도 연속측정설비 수시점검</t>
    <phoneticPr fontId="7" type="noConversion"/>
  </si>
  <si>
    <t>하선종</t>
    <phoneticPr fontId="7" type="noConversion"/>
  </si>
  <si>
    <t>파랑글라이더 및 파랑글라이더 센서 임차</t>
    <phoneticPr fontId="7" type="noConversion"/>
  </si>
  <si>
    <t>비용처리 건이라 재고 번호 없음</t>
  </si>
  <si>
    <t>테라시스템</t>
    <phoneticPr fontId="7" type="noConversion"/>
  </si>
  <si>
    <t>권명구</t>
    <phoneticPr fontId="7" type="noConversion"/>
  </si>
  <si>
    <t>TC4034-1</t>
    <phoneticPr fontId="7" type="noConversion"/>
  </si>
  <si>
    <t>파랑글라이더시스템</t>
    <phoneticPr fontId="7" type="noConversion"/>
  </si>
  <si>
    <t xml:space="preserve"> </t>
    <phoneticPr fontId="7" type="noConversion"/>
  </si>
  <si>
    <t>5/14, 6/25</t>
    <phoneticPr fontId="7" type="noConversion"/>
  </si>
  <si>
    <t>4/9, 7/5, 7/8</t>
    <phoneticPr fontId="7" type="noConversion"/>
  </si>
  <si>
    <t>경상대학교</t>
    <phoneticPr fontId="7" type="noConversion"/>
  </si>
  <si>
    <t>강명희</t>
    <phoneticPr fontId="7" type="noConversion"/>
  </si>
  <si>
    <t>수온수압계</t>
    <phoneticPr fontId="7" type="noConversion"/>
  </si>
  <si>
    <t>정종민</t>
    <phoneticPr fontId="7" type="noConversion"/>
  </si>
  <si>
    <t>Rubber Cord with terminals</t>
    <phoneticPr fontId="7" type="noConversion"/>
  </si>
  <si>
    <t>상품</t>
    <phoneticPr fontId="7" type="noConversion"/>
  </si>
  <si>
    <t>-</t>
    <phoneticPr fontId="7" type="noConversion"/>
  </si>
  <si>
    <t>하선종</t>
    <phoneticPr fontId="7" type="noConversion"/>
  </si>
  <si>
    <t>서울대학교</t>
    <phoneticPr fontId="7" type="noConversion"/>
  </si>
  <si>
    <t>오치현</t>
    <phoneticPr fontId="7" type="noConversion"/>
  </si>
  <si>
    <t>Chesapeake</t>
    <phoneticPr fontId="7" type="noConversion"/>
  </si>
  <si>
    <t>Sediment trap 부품</t>
    <phoneticPr fontId="7" type="noConversion"/>
  </si>
  <si>
    <t>한국해양대학교</t>
    <phoneticPr fontId="7" type="noConversion"/>
  </si>
  <si>
    <t>실험실습기자재 탄성파탐사 자료수집장치</t>
    <phoneticPr fontId="7" type="noConversion"/>
  </si>
  <si>
    <t>2022.01.11</t>
    <phoneticPr fontId="7" type="noConversion"/>
  </si>
  <si>
    <t>문홍배(오원진)</t>
    <phoneticPr fontId="7" type="noConversion"/>
  </si>
  <si>
    <t>4/2, 7/14</t>
    <phoneticPr fontId="7" type="noConversion"/>
  </si>
  <si>
    <t>신가덕도 CT 센서 수리</t>
    <phoneticPr fontId="7" type="noConversion"/>
  </si>
  <si>
    <t>7/9, 7/13</t>
    <phoneticPr fontId="7" type="noConversion"/>
  </si>
  <si>
    <t>4/9, 7/5, 7/16</t>
    <phoneticPr fontId="7" type="noConversion"/>
  </si>
  <si>
    <t>7/5, 7,13</t>
    <phoneticPr fontId="7" type="noConversion"/>
  </si>
  <si>
    <t>R2K , Releaseit</t>
    <phoneticPr fontId="7" type="noConversion"/>
  </si>
  <si>
    <t>센서 검교정</t>
    <phoneticPr fontId="7" type="noConversion"/>
  </si>
  <si>
    <t>강석구</t>
    <phoneticPr fontId="7" type="noConversion"/>
  </si>
  <si>
    <t>권효근</t>
    <phoneticPr fontId="7" type="noConversion"/>
  </si>
  <si>
    <t>허기영</t>
    <phoneticPr fontId="7" type="noConversion"/>
  </si>
  <si>
    <t>박영규</t>
    <phoneticPr fontId="7" type="noConversion"/>
  </si>
  <si>
    <t>민홍식</t>
    <phoneticPr fontId="7" type="noConversion"/>
  </si>
  <si>
    <t>손문호</t>
    <phoneticPr fontId="7" type="noConversion"/>
  </si>
  <si>
    <t>KIOST</t>
    <phoneticPr fontId="7" type="noConversion"/>
  </si>
  <si>
    <t>권재일</t>
    <phoneticPr fontId="7" type="noConversion"/>
  </si>
  <si>
    <t>개체기반 연속 생태자료 확보기술 연구(대문어/대게)</t>
    <phoneticPr fontId="7" type="noConversion"/>
  </si>
  <si>
    <t>#62402</t>
    <phoneticPr fontId="7" type="noConversion"/>
  </si>
  <si>
    <t>용역(임차)</t>
    <phoneticPr fontId="7" type="noConversion"/>
  </si>
  <si>
    <t>정우영</t>
    <phoneticPr fontId="7" type="noConversion"/>
  </si>
  <si>
    <t>모크네스 네트 버켓 수리</t>
    <phoneticPr fontId="7" type="noConversion"/>
  </si>
  <si>
    <t>UPR</t>
    <phoneticPr fontId="7" type="noConversion"/>
  </si>
  <si>
    <t>유이선</t>
    <phoneticPr fontId="7" type="noConversion"/>
  </si>
  <si>
    <t>Altimeter &amp; Depth sensor</t>
    <phoneticPr fontId="7" type="noConversion"/>
  </si>
  <si>
    <t>오션</t>
    <phoneticPr fontId="7" type="noConversion"/>
  </si>
  <si>
    <t>강규태</t>
    <phoneticPr fontId="7" type="noConversion"/>
  </si>
  <si>
    <t>UPR 3식</t>
    <phoneticPr fontId="7" type="noConversion"/>
  </si>
  <si>
    <t>박성훈</t>
    <phoneticPr fontId="7" type="noConversion"/>
  </si>
  <si>
    <t>LED Sealite</t>
    <phoneticPr fontId="7" type="noConversion"/>
  </si>
  <si>
    <t>김경수</t>
    <phoneticPr fontId="7" type="noConversion"/>
  </si>
  <si>
    <r>
      <t>제주대산학협력단</t>
    </r>
    <r>
      <rPr>
        <sz val="8"/>
        <color theme="1"/>
        <rFont val="맑은 고딕"/>
        <family val="3"/>
        <charset val="129"/>
        <scheme val="minor"/>
      </rPr>
      <t>(인피니티오션)</t>
    </r>
    <phoneticPr fontId="7" type="noConversion"/>
  </si>
  <si>
    <t>백년기술</t>
    <phoneticPr fontId="7" type="noConversion"/>
  </si>
  <si>
    <t>김선미</t>
    <phoneticPr fontId="7" type="noConversion"/>
  </si>
  <si>
    <t>Hydro Wiper</t>
    <phoneticPr fontId="7" type="noConversion"/>
  </si>
  <si>
    <t>상품</t>
    <phoneticPr fontId="7" type="noConversion"/>
  </si>
  <si>
    <t>-</t>
    <phoneticPr fontId="7" type="noConversion"/>
  </si>
  <si>
    <t>오원진</t>
    <phoneticPr fontId="7" type="noConversion"/>
  </si>
  <si>
    <t>마산지방해양수산청</t>
    <phoneticPr fontId="7" type="noConversion"/>
  </si>
  <si>
    <t>내자</t>
    <phoneticPr fontId="7" type="noConversion"/>
  </si>
  <si>
    <t>#62078</t>
    <phoneticPr fontId="7" type="noConversion"/>
  </si>
  <si>
    <t>소나테크</t>
    <phoneticPr fontId="7" type="noConversion"/>
  </si>
  <si>
    <t>고정밀 모션센서 대여</t>
    <phoneticPr fontId="7" type="noConversion"/>
  </si>
  <si>
    <t>이원희</t>
    <phoneticPr fontId="7" type="noConversion"/>
  </si>
  <si>
    <t>하선종(사업팀)</t>
    <phoneticPr fontId="7" type="noConversion"/>
  </si>
  <si>
    <t>세명정공(퍼스텍)</t>
    <phoneticPr fontId="7" type="noConversion"/>
  </si>
  <si>
    <t>이학용</t>
    <phoneticPr fontId="7" type="noConversion"/>
  </si>
  <si>
    <t>오원진(이기욱)</t>
    <phoneticPr fontId="7" type="noConversion"/>
  </si>
  <si>
    <t>Optode 4531 5set</t>
    <phoneticPr fontId="7" type="noConversion"/>
  </si>
  <si>
    <t>4/9, 7/17, 7/19</t>
    <phoneticPr fontId="7" type="noConversion"/>
  </si>
  <si>
    <t>UPR 4식</t>
    <phoneticPr fontId="7" type="noConversion"/>
  </si>
  <si>
    <t>지디엘</t>
    <phoneticPr fontId="7" type="noConversion"/>
  </si>
  <si>
    <t>양석원</t>
    <phoneticPr fontId="7" type="noConversion"/>
  </si>
  <si>
    <t>뉴마린엔지니어링</t>
    <phoneticPr fontId="7" type="noConversion"/>
  </si>
  <si>
    <t>문상욱</t>
    <phoneticPr fontId="7" type="noConversion"/>
  </si>
  <si>
    <t>Datawell(오션테크)</t>
    <phoneticPr fontId="7" type="noConversion"/>
  </si>
  <si>
    <t>Datawell 파고부이 점검</t>
    <phoneticPr fontId="7" type="noConversion"/>
  </si>
  <si>
    <t># 62439</t>
    <phoneticPr fontId="7" type="noConversion"/>
  </si>
  <si>
    <t># 62552 , 62553 , 62554</t>
    <phoneticPr fontId="7" type="noConversion"/>
  </si>
  <si>
    <t># 60198</t>
    <phoneticPr fontId="7" type="noConversion"/>
  </si>
  <si>
    <t>Datawell / 오션사이언스</t>
    <phoneticPr fontId="7" type="noConversion"/>
  </si>
  <si>
    <t>이영철</t>
    <phoneticPr fontId="7" type="noConversion"/>
  </si>
  <si>
    <t>ETRI</t>
    <phoneticPr fontId="7" type="noConversion"/>
  </si>
  <si>
    <t>김성복</t>
    <phoneticPr fontId="7" type="noConversion"/>
  </si>
  <si>
    <t>#62438</t>
    <phoneticPr fontId="7" type="noConversion"/>
  </si>
  <si>
    <t>Thermistor String</t>
    <phoneticPr fontId="7" type="noConversion"/>
  </si>
  <si>
    <t>대성아이엔디</t>
    <phoneticPr fontId="7" type="noConversion"/>
  </si>
  <si>
    <t>김경필</t>
    <phoneticPr fontId="7" type="noConversion"/>
  </si>
  <si>
    <t>Geospectrum</t>
    <phoneticPr fontId="7" type="noConversion"/>
  </si>
  <si>
    <t>Hydrophone(M18C-4)</t>
    <phoneticPr fontId="7" type="noConversion"/>
  </si>
  <si>
    <t>RJE</t>
    <phoneticPr fontId="7" type="noConversion"/>
  </si>
  <si>
    <t>박준석</t>
    <phoneticPr fontId="7" type="noConversion"/>
  </si>
  <si>
    <t>강유속 부이용 자기위치 발신장치</t>
    <phoneticPr fontId="7" type="noConversion"/>
  </si>
  <si>
    <t>강유속 관측시스템 Web-Based Monitoring</t>
    <phoneticPr fontId="7" type="noConversion"/>
  </si>
  <si>
    <t>신영홍</t>
    <phoneticPr fontId="7" type="noConversion"/>
  </si>
  <si>
    <t>육상용 중력계 Upgrade</t>
    <phoneticPr fontId="7" type="noConversion"/>
  </si>
  <si>
    <t>상품</t>
    <phoneticPr fontId="7" type="noConversion"/>
  </si>
  <si>
    <t>-</t>
    <phoneticPr fontId="7" type="noConversion"/>
  </si>
  <si>
    <t>외자</t>
    <phoneticPr fontId="7" type="noConversion"/>
  </si>
  <si>
    <t>USD 21,950</t>
    <phoneticPr fontId="7" type="noConversion"/>
  </si>
  <si>
    <t>국립수산과학원</t>
    <phoneticPr fontId="7" type="noConversion"/>
  </si>
  <si>
    <t>오션테크</t>
    <phoneticPr fontId="7" type="noConversion"/>
  </si>
  <si>
    <t>용역</t>
    <phoneticPr fontId="7" type="noConversion"/>
  </si>
  <si>
    <t>내자</t>
    <phoneticPr fontId="7" type="noConversion"/>
  </si>
  <si>
    <t>황유진(연구팀)</t>
    <phoneticPr fontId="7" type="noConversion"/>
  </si>
  <si>
    <t>한국엠에이</t>
    <phoneticPr fontId="7" type="noConversion"/>
  </si>
  <si>
    <t>서정민</t>
    <phoneticPr fontId="7" type="noConversion"/>
  </si>
  <si>
    <t>Sparker-electrode (ELC820)</t>
    <phoneticPr fontId="7" type="noConversion"/>
  </si>
  <si>
    <t>윤석현</t>
    <phoneticPr fontId="7" type="noConversion"/>
  </si>
  <si>
    <t>하선종</t>
    <phoneticPr fontId="7" type="noConversion"/>
  </si>
  <si>
    <t>이학용</t>
    <phoneticPr fontId="7" type="noConversion"/>
  </si>
  <si>
    <t>안양대학교</t>
    <phoneticPr fontId="7" type="noConversion"/>
  </si>
  <si>
    <t>이무준</t>
    <phoneticPr fontId="7" type="noConversion"/>
  </si>
  <si>
    <t>21-182</t>
    <phoneticPr fontId="7" type="noConversion"/>
  </si>
  <si>
    <t>KOPRI</t>
    <phoneticPr fontId="7" type="noConversion"/>
  </si>
  <si>
    <t>R2K</t>
    <phoneticPr fontId="7" type="noConversion"/>
  </si>
  <si>
    <t>USD 12,285</t>
    <phoneticPr fontId="7" type="noConversion"/>
  </si>
  <si>
    <t>USD 1,842.75</t>
    <phoneticPr fontId="7" type="noConversion"/>
  </si>
  <si>
    <t>21.08.02 청구</t>
    <phoneticPr fontId="7" type="noConversion"/>
  </si>
  <si>
    <t>MIT</t>
    <phoneticPr fontId="7" type="noConversion"/>
  </si>
  <si>
    <t>SeaSPY2</t>
    <phoneticPr fontId="7" type="noConversion"/>
  </si>
  <si>
    <t>HYDRINS</t>
    <phoneticPr fontId="7" type="noConversion"/>
  </si>
  <si>
    <t>조위계 2개</t>
    <phoneticPr fontId="7" type="noConversion"/>
  </si>
  <si>
    <t># 62758, 62759</t>
    <phoneticPr fontId="7" type="noConversion"/>
  </si>
  <si>
    <t>울릉군청</t>
    <phoneticPr fontId="7" type="noConversion"/>
  </si>
  <si>
    <t>이순혁</t>
    <phoneticPr fontId="7" type="noConversion"/>
  </si>
  <si>
    <t>독도 파랑정보시스템 점검</t>
    <phoneticPr fontId="7" type="noConversion"/>
  </si>
  <si>
    <t>우민수</t>
    <phoneticPr fontId="7" type="noConversion"/>
  </si>
  <si>
    <t>㈜오셔닉</t>
    <phoneticPr fontId="7" type="noConversion"/>
  </si>
  <si>
    <t>㈜오션</t>
    <phoneticPr fontId="7" type="noConversion"/>
  </si>
  <si>
    <t>Falmet cable 115m</t>
    <phoneticPr fontId="7" type="noConversion"/>
  </si>
  <si>
    <t>김현우</t>
    <phoneticPr fontId="7" type="noConversion"/>
  </si>
  <si>
    <t>윤진선</t>
    <phoneticPr fontId="7" type="noConversion"/>
  </si>
  <si>
    <t>Wave Unit (3식)</t>
    <phoneticPr fontId="7" type="noConversion"/>
  </si>
  <si>
    <t>최준호</t>
    <phoneticPr fontId="7" type="noConversion"/>
  </si>
  <si>
    <t>Hydro-Wiper for the Cycolps-7 3식</t>
    <phoneticPr fontId="7" type="noConversion"/>
  </si>
  <si>
    <t>장석</t>
    <phoneticPr fontId="7" type="noConversion"/>
  </si>
  <si>
    <t>상품</t>
    <phoneticPr fontId="7" type="noConversion"/>
  </si>
  <si>
    <t>내자</t>
    <phoneticPr fontId="7" type="noConversion"/>
  </si>
  <si>
    <t>황유진(하선종)</t>
    <phoneticPr fontId="7" type="noConversion"/>
  </si>
  <si>
    <t>KIOST(울릉)</t>
    <phoneticPr fontId="7" type="noConversion"/>
  </si>
  <si>
    <t>소나테크</t>
    <phoneticPr fontId="7" type="noConversion"/>
  </si>
  <si>
    <t>무인수상정 임대료</t>
    <phoneticPr fontId="7" type="noConversion"/>
  </si>
  <si>
    <t>내자</t>
    <phoneticPr fontId="7" type="noConversion"/>
  </si>
  <si>
    <t>상품</t>
    <phoneticPr fontId="7" type="noConversion"/>
  </si>
  <si>
    <t>-</t>
    <phoneticPr fontId="7" type="noConversion"/>
  </si>
  <si>
    <t>관리팀</t>
    <phoneticPr fontId="7" type="noConversion"/>
  </si>
  <si>
    <t># 62658 , 62659 , 62660 , 62661</t>
    <phoneticPr fontId="7" type="noConversion"/>
  </si>
  <si>
    <t># 62760</t>
    <phoneticPr fontId="7" type="noConversion"/>
  </si>
  <si>
    <t>바른컴퍼니</t>
    <phoneticPr fontId="7" type="noConversion"/>
  </si>
  <si>
    <t>UST21</t>
    <phoneticPr fontId="7" type="noConversion"/>
  </si>
  <si>
    <t>KOPRI</t>
    <phoneticPr fontId="7" type="noConversion"/>
  </si>
  <si>
    <t>지오시스템리서치</t>
    <phoneticPr fontId="7" type="noConversion"/>
  </si>
  <si>
    <t>KIOST</t>
    <phoneticPr fontId="7" type="noConversion"/>
  </si>
  <si>
    <t>서울대</t>
    <phoneticPr fontId="7" type="noConversion"/>
  </si>
  <si>
    <t>미래해양</t>
    <phoneticPr fontId="7" type="noConversion"/>
  </si>
  <si>
    <t>국립수산과학원</t>
    <phoneticPr fontId="7" type="noConversion"/>
  </si>
  <si>
    <t>상품</t>
    <phoneticPr fontId="7" type="noConversion"/>
  </si>
  <si>
    <t>내자</t>
    <phoneticPr fontId="7" type="noConversion"/>
  </si>
  <si>
    <t>하선종</t>
    <phoneticPr fontId="7" type="noConversion"/>
  </si>
  <si>
    <t>GNM</t>
    <phoneticPr fontId="7" type="noConversion"/>
  </si>
  <si>
    <t>서정우</t>
    <phoneticPr fontId="7" type="noConversion"/>
  </si>
  <si>
    <t>AADI</t>
    <phoneticPr fontId="7" type="noConversion"/>
  </si>
  <si>
    <t>포항조위관측소용 수온염분계</t>
    <phoneticPr fontId="7" type="noConversion"/>
  </si>
  <si>
    <t>글라스부이(Glass Flotation) x 12</t>
    <phoneticPr fontId="7" type="noConversion"/>
  </si>
  <si>
    <t>이학용</t>
    <phoneticPr fontId="7" type="noConversion"/>
  </si>
  <si>
    <t>이지연</t>
    <phoneticPr fontId="7" type="noConversion"/>
  </si>
  <si>
    <t>Nautilus</t>
    <phoneticPr fontId="7" type="noConversion"/>
  </si>
  <si>
    <t>수중커넥터 및 케이블</t>
    <phoneticPr fontId="7" type="noConversion"/>
  </si>
  <si>
    <t>이수환</t>
    <phoneticPr fontId="7" type="noConversion"/>
  </si>
  <si>
    <t>Core liner x 10</t>
    <phoneticPr fontId="7" type="noConversion"/>
  </si>
  <si>
    <t>황유진</t>
    <phoneticPr fontId="7" type="noConversion"/>
  </si>
  <si>
    <t>Mooring System</t>
    <phoneticPr fontId="7" type="noConversion"/>
  </si>
  <si>
    <t>이미애</t>
    <phoneticPr fontId="7" type="noConversion"/>
  </si>
  <si>
    <t>Beacon IR, RCM11 zinc</t>
    <phoneticPr fontId="7" type="noConversion"/>
  </si>
  <si>
    <t>내자</t>
    <phoneticPr fontId="7" type="noConversion"/>
  </si>
  <si>
    <t>김경수</t>
    <phoneticPr fontId="7" type="noConversion"/>
  </si>
  <si>
    <t>주희태</t>
    <phoneticPr fontId="7" type="noConversion"/>
  </si>
  <si>
    <t>용역</t>
    <phoneticPr fontId="7" type="noConversion"/>
  </si>
  <si>
    <t>황유진(연구팀)</t>
    <phoneticPr fontId="7" type="noConversion"/>
  </si>
  <si>
    <t>유이선</t>
    <phoneticPr fontId="7" type="noConversion"/>
  </si>
  <si>
    <t>오원진(문홍배)</t>
    <phoneticPr fontId="7" type="noConversion"/>
  </si>
  <si>
    <t>Sparker Electrode 외</t>
    <phoneticPr fontId="7" type="noConversion"/>
  </si>
  <si>
    <t>채수기 10L x 12, 유량계 x 7</t>
    <phoneticPr fontId="7" type="noConversion"/>
  </si>
  <si>
    <t>UPR 4대</t>
    <phoneticPr fontId="7" type="noConversion"/>
  </si>
  <si>
    <t>탁도계(RBRsolo Tu) 검교정</t>
    <phoneticPr fontId="7" type="noConversion"/>
  </si>
  <si>
    <t>UPR 1대</t>
    <phoneticPr fontId="7" type="noConversion"/>
  </si>
  <si>
    <t>7/6, 8/10</t>
    <phoneticPr fontId="7" type="noConversion"/>
  </si>
  <si>
    <t>5L 채수기 및 메신저</t>
    <phoneticPr fontId="7" type="noConversion"/>
  </si>
  <si>
    <t>Hydro wiper</t>
    <phoneticPr fontId="7" type="noConversion"/>
  </si>
  <si>
    <t>Solo T</t>
    <phoneticPr fontId="7" type="noConversion"/>
  </si>
  <si>
    <t>Battery Kit with controller</t>
    <phoneticPr fontId="7" type="noConversion"/>
  </si>
  <si>
    <t>RBR Solo D 부품</t>
    <phoneticPr fontId="7" type="noConversion"/>
  </si>
  <si>
    <t>2021년 해양기상관측장비 유지보수 관리</t>
    <phoneticPr fontId="7" type="noConversion"/>
  </si>
  <si>
    <t>Core liner x 100</t>
    <phoneticPr fontId="7" type="noConversion"/>
  </si>
  <si>
    <t>Acoustic Release (R2K, R12K)</t>
    <phoneticPr fontId="7" type="noConversion"/>
  </si>
  <si>
    <t>USD 28,845</t>
    <phoneticPr fontId="7" type="noConversion"/>
  </si>
  <si>
    <t>김한수</t>
    <phoneticPr fontId="7" type="noConversion"/>
  </si>
  <si>
    <t>Wave Unit 3 set</t>
    <phoneticPr fontId="7" type="noConversion"/>
  </si>
  <si>
    <t>4117DR</t>
    <phoneticPr fontId="7" type="noConversion"/>
  </si>
  <si>
    <t># 63100</t>
    <phoneticPr fontId="7" type="noConversion"/>
  </si>
  <si>
    <t>김동국</t>
    <phoneticPr fontId="7" type="noConversion"/>
  </si>
  <si>
    <t>Deep Current Sensor 구매</t>
    <phoneticPr fontId="7" type="noConversion"/>
  </si>
  <si>
    <t>남극 빙저호 퇴적물 시추기 설계</t>
    <phoneticPr fontId="7" type="noConversion"/>
  </si>
  <si>
    <t>전찬형</t>
    <phoneticPr fontId="7" type="noConversion"/>
  </si>
  <si>
    <t>곽호제</t>
    <phoneticPr fontId="7" type="noConversion"/>
  </si>
  <si>
    <t>#61966</t>
    <phoneticPr fontId="7" type="noConversion"/>
  </si>
  <si>
    <t>#57639</t>
    <phoneticPr fontId="7" type="noConversion"/>
  </si>
  <si>
    <t>#63138</t>
    <phoneticPr fontId="7" type="noConversion"/>
  </si>
  <si>
    <t>#61205, 61206, 61207</t>
    <phoneticPr fontId="7" type="noConversion"/>
  </si>
  <si>
    <t>#61208, 61209, 61210, 61211</t>
    <phoneticPr fontId="7" type="noConversion"/>
  </si>
  <si>
    <t>지질재해.산업자원연구소 고정밀 중력측정기 구매</t>
    <phoneticPr fontId="7" type="noConversion"/>
  </si>
  <si>
    <t>UPR x 4</t>
    <phoneticPr fontId="7" type="noConversion"/>
  </si>
  <si>
    <t>2030RC Flowmeter</t>
    <phoneticPr fontId="7" type="noConversion"/>
  </si>
  <si>
    <t>-</t>
    <phoneticPr fontId="7" type="noConversion"/>
  </si>
  <si>
    <t>22.3월말</t>
    <phoneticPr fontId="7" type="noConversion"/>
  </si>
  <si>
    <t>-</t>
    <phoneticPr fontId="7" type="noConversion"/>
  </si>
  <si>
    <t>OK</t>
    <phoneticPr fontId="7" type="noConversion"/>
  </si>
  <si>
    <t>#63198</t>
    <phoneticPr fontId="7" type="noConversion"/>
  </si>
  <si>
    <t>#62761</t>
    <phoneticPr fontId="7" type="noConversion"/>
  </si>
  <si>
    <t># 61938, 61939</t>
    <phoneticPr fontId="7" type="noConversion"/>
  </si>
  <si>
    <t># 61318, 61319, 61320, 61321, 61322, 61323</t>
    <phoneticPr fontId="7" type="noConversion"/>
  </si>
  <si>
    <t>21-154</t>
    <phoneticPr fontId="7" type="noConversion"/>
  </si>
  <si>
    <t>2021.08.26  청구</t>
    <phoneticPr fontId="7" type="noConversion"/>
  </si>
  <si>
    <t>Niskin sampler 5L</t>
    <phoneticPr fontId="7" type="noConversion"/>
  </si>
  <si>
    <t>온누리호 PCO2 시스템 오바홀 제작</t>
    <phoneticPr fontId="7" type="noConversion"/>
  </si>
  <si>
    <t>흑암등표 파고부이 축전지 구매</t>
    <phoneticPr fontId="7" type="noConversion"/>
  </si>
  <si>
    <t>모크니스 부품</t>
    <phoneticPr fontId="7" type="noConversion"/>
  </si>
  <si>
    <t>UPRF 수리</t>
    <phoneticPr fontId="7" type="noConversion"/>
  </si>
  <si>
    <t>Spare parts for Acoustic Release &amp; RCM</t>
    <phoneticPr fontId="7" type="noConversion"/>
  </si>
  <si>
    <t>해양과학기지 예정지역 해저지형조사</t>
    <phoneticPr fontId="7" type="noConversion"/>
  </si>
  <si>
    <t>송규민</t>
    <phoneticPr fontId="7" type="noConversion"/>
  </si>
  <si>
    <t>안테나 케이블</t>
    <phoneticPr fontId="7" type="noConversion"/>
  </si>
  <si>
    <t xml:space="preserve">#20820 </t>
    <phoneticPr fontId="7" type="noConversion"/>
  </si>
  <si>
    <t>아라온호 PCo2 System 부품</t>
    <phoneticPr fontId="7" type="noConversion"/>
  </si>
  <si>
    <t>마린앤</t>
    <phoneticPr fontId="7" type="noConversion"/>
  </si>
  <si>
    <t>완도내만 파고관측 용역</t>
    <phoneticPr fontId="7" type="noConversion"/>
  </si>
  <si>
    <t>Turnaround kit x 2ea</t>
    <phoneticPr fontId="7" type="noConversion"/>
  </si>
  <si>
    <t>-</t>
    <phoneticPr fontId="7" type="noConversion"/>
  </si>
  <si>
    <t>OK</t>
    <phoneticPr fontId="7" type="noConversion"/>
  </si>
  <si>
    <r>
      <t xml:space="preserve">용역건이라서 관련 재고 번호 없음 </t>
    </r>
    <r>
      <rPr>
        <b/>
        <sz val="10"/>
        <color rgb="FF7030A0"/>
        <rFont val="맑은 고딕"/>
        <family val="3"/>
        <charset val="129"/>
        <scheme val="minor"/>
      </rPr>
      <t># 63218 (프레임)</t>
    </r>
    <phoneticPr fontId="7" type="noConversion"/>
  </si>
  <si>
    <t># 63101</t>
    <phoneticPr fontId="7" type="noConversion"/>
  </si>
  <si>
    <t># 59158</t>
    <phoneticPr fontId="7" type="noConversion"/>
  </si>
  <si>
    <t>용역건이라서 관련 재고번호 없음</t>
    <phoneticPr fontId="7" type="noConversion"/>
  </si>
  <si>
    <t># 62118, 62119, 62120, 62121, 62122</t>
    <phoneticPr fontId="7" type="noConversion"/>
  </si>
  <si>
    <t xml:space="preserve"> </t>
    <phoneticPr fontId="7" type="noConversion"/>
  </si>
  <si>
    <t># 61438, 61439, 61440, 61441, 61442, 61443</t>
    <phoneticPr fontId="7" type="noConversion"/>
  </si>
  <si>
    <t>용역</t>
    <phoneticPr fontId="7" type="noConversion"/>
  </si>
  <si>
    <t>-</t>
    <phoneticPr fontId="7" type="noConversion"/>
  </si>
  <si>
    <t xml:space="preserve">#48218,  49738,  61818  </t>
    <phoneticPr fontId="7" type="noConversion"/>
  </si>
  <si>
    <t>OK</t>
    <phoneticPr fontId="7" type="noConversion"/>
  </si>
  <si>
    <t>확인필요</t>
    <phoneticPr fontId="7" type="noConversion"/>
  </si>
  <si>
    <t># 62698</t>
    <phoneticPr fontId="7" type="noConversion"/>
  </si>
  <si>
    <t># 62898</t>
    <phoneticPr fontId="7" type="noConversion"/>
  </si>
  <si>
    <t># 61213</t>
    <phoneticPr fontId="7" type="noConversion"/>
  </si>
  <si>
    <t># 59259</t>
    <phoneticPr fontId="7" type="noConversion"/>
  </si>
  <si>
    <t># 61214, 61215, 61216, 61217</t>
    <phoneticPr fontId="7" type="noConversion"/>
  </si>
  <si>
    <t>#58758 (오션데모 수리비용)</t>
    <phoneticPr fontId="7" type="noConversion"/>
  </si>
  <si>
    <t>최희진</t>
    <phoneticPr fontId="7" type="noConversion"/>
  </si>
  <si>
    <t>황유진(하선종)</t>
    <phoneticPr fontId="7" type="noConversion"/>
  </si>
  <si>
    <t>황유진(무인팀)</t>
    <phoneticPr fontId="7" type="noConversion"/>
  </si>
  <si>
    <t>오션테크</t>
    <phoneticPr fontId="7" type="noConversion"/>
  </si>
  <si>
    <t>R12K x2</t>
    <phoneticPr fontId="7" type="noConversion"/>
  </si>
  <si>
    <t>황유진</t>
    <phoneticPr fontId="7" type="noConversion"/>
  </si>
  <si>
    <t>나형술</t>
    <phoneticPr fontId="7" type="noConversion"/>
  </si>
  <si>
    <t>경원산업</t>
    <phoneticPr fontId="7" type="noConversion"/>
  </si>
  <si>
    <t>김득만</t>
    <phoneticPr fontId="7" type="noConversion"/>
  </si>
  <si>
    <t>TC4038</t>
    <phoneticPr fontId="7" type="noConversion"/>
  </si>
  <si>
    <t>#62899</t>
    <phoneticPr fontId="7" type="noConversion"/>
  </si>
  <si>
    <t>EMA for Sonarwiz</t>
    <phoneticPr fontId="7" type="noConversion"/>
  </si>
  <si>
    <t>자력계 수리 운임</t>
    <phoneticPr fontId="7" type="noConversion"/>
  </si>
  <si>
    <t>황근춘</t>
    <phoneticPr fontId="7" type="noConversion"/>
  </si>
  <si>
    <t>Acoustic Release (R2K) x 5ea</t>
    <phoneticPr fontId="7" type="noConversion"/>
  </si>
  <si>
    <t>USD 65,675</t>
    <phoneticPr fontId="7" type="noConversion"/>
  </si>
  <si>
    <t>김 응</t>
    <phoneticPr fontId="7" type="noConversion"/>
  </si>
  <si>
    <t>Wave unit 4식</t>
    <phoneticPr fontId="7" type="noConversion"/>
  </si>
  <si>
    <t>#63584 (20개), 63585 (60개)</t>
    <phoneticPr fontId="7" type="noConversion"/>
  </si>
  <si>
    <t>#63258</t>
    <phoneticPr fontId="7" type="noConversion"/>
  </si>
  <si>
    <t>영업부 
1차확인</t>
    <phoneticPr fontId="7" type="noConversion"/>
  </si>
  <si>
    <t>#63588 , 63589</t>
    <phoneticPr fontId="7" type="noConversion"/>
  </si>
  <si>
    <t>#60159</t>
    <phoneticPr fontId="7" type="noConversion"/>
  </si>
  <si>
    <t>#63298, 63299, 63300</t>
    <phoneticPr fontId="7" type="noConversion"/>
  </si>
  <si>
    <t>#63038</t>
    <phoneticPr fontId="7" type="noConversion"/>
  </si>
  <si>
    <t>#60438~60449</t>
    <phoneticPr fontId="7" type="noConversion"/>
  </si>
  <si>
    <t>이기종</t>
    <phoneticPr fontId="7" type="noConversion"/>
  </si>
  <si>
    <t>오션테크</t>
    <phoneticPr fontId="7" type="noConversion"/>
  </si>
  <si>
    <t>상품</t>
    <phoneticPr fontId="7" type="noConversion"/>
  </si>
  <si>
    <t>내자</t>
    <phoneticPr fontId="7" type="noConversion"/>
  </si>
  <si>
    <t># 11716</t>
    <phoneticPr fontId="7" type="noConversion"/>
  </si>
  <si>
    <t>인하대학교</t>
    <phoneticPr fontId="7" type="noConversion"/>
  </si>
  <si>
    <t>김수관</t>
    <phoneticPr fontId="7" type="noConversion"/>
  </si>
  <si>
    <t>송진일</t>
    <phoneticPr fontId="7" type="noConversion"/>
  </si>
  <si>
    <t>G GUN 부속품</t>
    <phoneticPr fontId="7" type="noConversion"/>
  </si>
  <si>
    <t>PDS2000 재구매</t>
    <phoneticPr fontId="7" type="noConversion"/>
  </si>
  <si>
    <t>오원진(문홍배)</t>
    <phoneticPr fontId="7" type="noConversion"/>
  </si>
  <si>
    <t>문홍배</t>
    <phoneticPr fontId="7" type="noConversion"/>
  </si>
  <si>
    <t>외자</t>
    <phoneticPr fontId="7" type="noConversion"/>
  </si>
  <si>
    <t xml:space="preserve">USD 31,630.15 </t>
    <phoneticPr fontId="7" type="noConversion"/>
  </si>
  <si>
    <t>올포랜드(세광종합기술단)</t>
    <phoneticPr fontId="7" type="noConversion"/>
  </si>
  <si>
    <t>조성훈</t>
    <phoneticPr fontId="7" type="noConversion"/>
  </si>
  <si>
    <t>장남도</t>
    <phoneticPr fontId="7" type="noConversion"/>
  </si>
  <si>
    <t>T-20 수리</t>
    <phoneticPr fontId="7" type="noConversion"/>
  </si>
  <si>
    <t>Spare parts</t>
    <phoneticPr fontId="7" type="noConversion"/>
  </si>
  <si>
    <t>인하대학교(인천항만공사)</t>
    <phoneticPr fontId="7" type="noConversion"/>
  </si>
  <si>
    <t>T-50R 수리</t>
    <phoneticPr fontId="7" type="noConversion"/>
  </si>
  <si>
    <t>제엽</t>
    <phoneticPr fontId="7" type="noConversion"/>
  </si>
  <si>
    <t>TC4034-5</t>
    <phoneticPr fontId="7" type="noConversion"/>
  </si>
  <si>
    <t>신아영</t>
    <phoneticPr fontId="7" type="noConversion"/>
  </si>
  <si>
    <t>CTD 장비 임대</t>
    <phoneticPr fontId="7" type="noConversion"/>
  </si>
  <si>
    <t>KHOA(동해)</t>
    <phoneticPr fontId="7" type="noConversion"/>
  </si>
  <si>
    <t>고준철</t>
    <phoneticPr fontId="7" type="noConversion"/>
  </si>
  <si>
    <t>CT센서 3식 검교정</t>
    <phoneticPr fontId="7" type="noConversion"/>
  </si>
  <si>
    <t>세광종합기술단(올포랜드)</t>
    <phoneticPr fontId="7" type="noConversion"/>
  </si>
  <si>
    <t>실시간 무인관측기기(wave glider 등)를 이용한 해양기상자료 수집,분석(저염수)</t>
    <phoneticPr fontId="7" type="noConversion"/>
  </si>
  <si>
    <t>레이다식 조위계(VegaPlus65)</t>
    <phoneticPr fontId="7" type="noConversion"/>
  </si>
  <si>
    <t>육군교육사령부</t>
    <phoneticPr fontId="7" type="noConversion"/>
  </si>
  <si>
    <t>박도훈</t>
    <phoneticPr fontId="7" type="noConversion"/>
  </si>
  <si>
    <t>HV cable 150m</t>
    <phoneticPr fontId="7" type="noConversion"/>
  </si>
  <si>
    <t>Sparker electrode(ELP1250) 2식</t>
    <phoneticPr fontId="7" type="noConversion"/>
  </si>
  <si>
    <t>지귀표 등표 관측환경 개선</t>
    <phoneticPr fontId="7" type="noConversion"/>
  </si>
  <si>
    <t>Underwater &amp; connectors</t>
    <phoneticPr fontId="7" type="noConversion"/>
  </si>
  <si>
    <t>Wave Glider solar Panel 교체</t>
    <phoneticPr fontId="7" type="noConversion"/>
  </si>
  <si>
    <t>지뢰탐지드론 임차</t>
    <phoneticPr fontId="7" type="noConversion"/>
  </si>
  <si>
    <t>DCS 4420</t>
    <phoneticPr fontId="7" type="noConversion"/>
  </si>
  <si>
    <t>사업팀</t>
    <phoneticPr fontId="7" type="noConversion"/>
  </si>
  <si>
    <t>Sound source</t>
    <phoneticPr fontId="7" type="noConversion"/>
  </si>
  <si>
    <t>스파커 케이블 수리 키트</t>
    <phoneticPr fontId="7" type="noConversion"/>
  </si>
  <si>
    <t>#63840, 63841, 63842</t>
    <phoneticPr fontId="7" type="noConversion"/>
  </si>
  <si>
    <t>HF radar 보험(평택항 서부두)</t>
    <phoneticPr fontId="7" type="noConversion"/>
  </si>
  <si>
    <t>KHOA</t>
    <phoneticPr fontId="7" type="noConversion"/>
  </si>
  <si>
    <t>이기종</t>
    <phoneticPr fontId="7" type="noConversion"/>
  </si>
  <si>
    <t>오션테크</t>
    <phoneticPr fontId="7" type="noConversion"/>
  </si>
  <si>
    <t>HF Radar 보험(인천 송도)</t>
    <phoneticPr fontId="7" type="noConversion"/>
  </si>
  <si>
    <t>상품</t>
    <phoneticPr fontId="7" type="noConversion"/>
  </si>
  <si>
    <t>강성화(연구팀)</t>
    <phoneticPr fontId="7" type="noConversion"/>
  </si>
  <si>
    <t>8/11, 9/15</t>
    <phoneticPr fontId="7" type="noConversion"/>
  </si>
  <si>
    <t>한원엔지니어링(삼원중공업)</t>
    <phoneticPr fontId="7" type="noConversion"/>
  </si>
  <si>
    <t>홍다운(하선종)</t>
    <phoneticPr fontId="7" type="noConversion"/>
  </si>
  <si>
    <t>자동기상관측장비</t>
    <phoneticPr fontId="7" type="noConversion"/>
  </si>
  <si>
    <t>MOCNESS 부품</t>
    <phoneticPr fontId="7" type="noConversion"/>
  </si>
  <si>
    <t>플랑크톤 채집기</t>
    <phoneticPr fontId="7" type="noConversion"/>
  </si>
  <si>
    <t>Box Corer</t>
    <phoneticPr fontId="7" type="noConversion"/>
  </si>
  <si>
    <t>Epibenthic Sledge</t>
    <phoneticPr fontId="7" type="noConversion"/>
  </si>
  <si>
    <t>드렛지</t>
    <phoneticPr fontId="7" type="noConversion"/>
  </si>
  <si>
    <t>SM Grab</t>
    <phoneticPr fontId="7" type="noConversion"/>
  </si>
  <si>
    <t>INSEA Core part 3</t>
    <phoneticPr fontId="7" type="noConversion"/>
  </si>
  <si>
    <t>언더캐리지 유압장치 보호용 릴리프 밸브</t>
    <phoneticPr fontId="7" type="noConversion"/>
  </si>
  <si>
    <t>여태경</t>
    <phoneticPr fontId="7" type="noConversion"/>
  </si>
  <si>
    <t>스파커 탄성파 탐사 시스템(SIG Pulse L5) 소모품</t>
    <phoneticPr fontId="7" type="noConversion"/>
  </si>
  <si>
    <t>정성주</t>
    <phoneticPr fontId="7" type="noConversion"/>
  </si>
  <si>
    <t>RBR virtuoso PAR</t>
    <phoneticPr fontId="7" type="noConversion"/>
  </si>
  <si>
    <t>22.02.04</t>
    <phoneticPr fontId="7" type="noConversion"/>
  </si>
  <si>
    <t>홍다운(이학용)</t>
    <phoneticPr fontId="7" type="noConversion"/>
  </si>
  <si>
    <t>이동헌</t>
    <phoneticPr fontId="7" type="noConversion"/>
  </si>
  <si>
    <t>RBR / 오션사이언스</t>
    <phoneticPr fontId="7" type="noConversion"/>
  </si>
  <si>
    <t>오원진(연구팀)</t>
    <phoneticPr fontId="7" type="noConversion"/>
  </si>
  <si>
    <t>㈜에이앤비시스</t>
    <phoneticPr fontId="7" type="noConversion"/>
  </si>
  <si>
    <t>인현산업</t>
    <phoneticPr fontId="7" type="noConversion"/>
  </si>
  <si>
    <t>8/26, 8/27</t>
    <phoneticPr fontId="7" type="noConversion"/>
  </si>
  <si>
    <t>삼성화재</t>
    <phoneticPr fontId="7" type="noConversion"/>
  </si>
  <si>
    <t>Wave Glider 보험(SV3-246)</t>
    <phoneticPr fontId="7" type="noConversion"/>
  </si>
  <si>
    <t>상품</t>
    <phoneticPr fontId="7" type="noConversion"/>
  </si>
  <si>
    <t>오션테크</t>
    <phoneticPr fontId="7" type="noConversion"/>
  </si>
  <si>
    <t>-</t>
    <phoneticPr fontId="7" type="noConversion"/>
  </si>
  <si>
    <t>강성화(무인팀)</t>
    <phoneticPr fontId="7" type="noConversion"/>
  </si>
  <si>
    <t>KOPRI</t>
    <phoneticPr fontId="7" type="noConversion"/>
  </si>
  <si>
    <t>GI SOURCE 355</t>
    <phoneticPr fontId="7" type="noConversion"/>
  </si>
  <si>
    <t>외자</t>
    <phoneticPr fontId="7" type="noConversion"/>
  </si>
  <si>
    <t>USD 93,660</t>
    <phoneticPr fontId="7" type="noConversion"/>
  </si>
  <si>
    <t>국토해양환경기술단</t>
    <phoneticPr fontId="7" type="noConversion"/>
  </si>
  <si>
    <t>DTI-300A</t>
    <phoneticPr fontId="7" type="noConversion"/>
  </si>
  <si>
    <t>내자</t>
    <phoneticPr fontId="7" type="noConversion"/>
  </si>
  <si>
    <t>문홍배</t>
    <phoneticPr fontId="7" type="noConversion"/>
  </si>
  <si>
    <t>-</t>
    <phoneticPr fontId="7" type="noConversion"/>
  </si>
  <si>
    <t>OK</t>
    <phoneticPr fontId="7" type="noConversion"/>
  </si>
  <si>
    <t>#63286, 63287</t>
    <phoneticPr fontId="7" type="noConversion"/>
  </si>
  <si>
    <t>수량 불일치</t>
    <phoneticPr fontId="7" type="noConversion"/>
  </si>
  <si>
    <t>Turnaround kit x 4ea</t>
    <phoneticPr fontId="7" type="noConversion"/>
  </si>
  <si>
    <t>영업부
확인필요</t>
    <phoneticPr fontId="7" type="noConversion"/>
  </si>
  <si>
    <t>#63587, 63586</t>
    <phoneticPr fontId="7" type="noConversion"/>
  </si>
  <si>
    <t>#57658</t>
    <phoneticPr fontId="7" type="noConversion"/>
  </si>
  <si>
    <t>용역</t>
    <phoneticPr fontId="7" type="noConversion"/>
  </si>
  <si>
    <t>오셔닉</t>
    <phoneticPr fontId="7" type="noConversion"/>
  </si>
  <si>
    <t>양은진</t>
    <phoneticPr fontId="7" type="noConversion"/>
  </si>
  <si>
    <t>김종훈</t>
    <phoneticPr fontId="7" type="noConversion"/>
  </si>
  <si>
    <t>CTD</t>
    <phoneticPr fontId="7" type="noConversion"/>
  </si>
  <si>
    <t>R2K x 2ea</t>
    <phoneticPr fontId="7" type="noConversion"/>
  </si>
  <si>
    <t>USD 24,570</t>
    <phoneticPr fontId="7" type="noConversion"/>
  </si>
  <si>
    <t>G SOURCE II spare part</t>
    <phoneticPr fontId="7" type="noConversion"/>
  </si>
  <si>
    <t>8/11, 9/25</t>
    <phoneticPr fontId="7" type="noConversion"/>
  </si>
  <si>
    <t>지오테크시스템</t>
    <phoneticPr fontId="7" type="noConversion"/>
  </si>
  <si>
    <t>송지석</t>
    <phoneticPr fontId="7" type="noConversion"/>
  </si>
  <si>
    <t>중력자료 모델링 장치 부품</t>
    <phoneticPr fontId="7" type="noConversion"/>
  </si>
  <si>
    <t>#62558</t>
    <phoneticPr fontId="7" type="noConversion"/>
  </si>
  <si>
    <t>OK</t>
    <phoneticPr fontId="7" type="noConversion"/>
  </si>
  <si>
    <t>박기홍</t>
    <phoneticPr fontId="7" type="noConversion"/>
  </si>
  <si>
    <t>아라온호 pCO2용 유량계</t>
    <phoneticPr fontId="7" type="noConversion"/>
  </si>
  <si>
    <t>상품</t>
    <phoneticPr fontId="7" type="noConversion"/>
  </si>
  <si>
    <t>-</t>
    <phoneticPr fontId="7" type="noConversion"/>
  </si>
  <si>
    <t>하선종</t>
    <phoneticPr fontId="7" type="noConversion"/>
  </si>
  <si>
    <t>세광종합기술단</t>
    <phoneticPr fontId="7" type="noConversion"/>
  </si>
  <si>
    <t>박미연</t>
    <phoneticPr fontId="7" type="noConversion"/>
  </si>
  <si>
    <t>오션테크</t>
    <phoneticPr fontId="7" type="noConversion"/>
  </si>
  <si>
    <t>내자</t>
    <phoneticPr fontId="7" type="noConversion"/>
  </si>
  <si>
    <t>박정은</t>
    <phoneticPr fontId="7" type="noConversion"/>
  </si>
  <si>
    <t>KIOST</t>
    <phoneticPr fontId="7" type="noConversion"/>
  </si>
  <si>
    <t>박준성</t>
    <phoneticPr fontId="7" type="noConversion"/>
  </si>
  <si>
    <t>Benthos</t>
    <phoneticPr fontId="7" type="noConversion"/>
  </si>
  <si>
    <t>오원진</t>
    <phoneticPr fontId="7" type="noConversion"/>
  </si>
  <si>
    <t>KHOA</t>
    <phoneticPr fontId="7" type="noConversion"/>
  </si>
  <si>
    <t>제주해협 보험</t>
    <phoneticPr fontId="7" type="noConversion"/>
  </si>
  <si>
    <t>#63579</t>
    <phoneticPr fontId="7" type="noConversion"/>
  </si>
  <si>
    <t>#63578</t>
    <phoneticPr fontId="7" type="noConversion"/>
  </si>
  <si>
    <t>#62220</t>
    <phoneticPr fontId="7" type="noConversion"/>
  </si>
  <si>
    <t>#63918~63936</t>
    <phoneticPr fontId="7" type="noConversion"/>
  </si>
  <si>
    <t>#63278, 63279, 63280, 63281</t>
    <phoneticPr fontId="7" type="noConversion"/>
  </si>
  <si>
    <t>#63282, 63283, 63284, 63285</t>
    <phoneticPr fontId="7" type="noConversion"/>
  </si>
  <si>
    <t>#62198, 62199, 62200</t>
    <phoneticPr fontId="7" type="noConversion"/>
  </si>
  <si>
    <t>21-199</t>
    <phoneticPr fontId="7" type="noConversion"/>
  </si>
  <si>
    <t>21.09.29 청구</t>
    <phoneticPr fontId="7" type="noConversion"/>
  </si>
  <si>
    <t>KHOA(남해소)</t>
    <phoneticPr fontId="7" type="noConversion"/>
  </si>
  <si>
    <t>SeaSPY2 수리</t>
    <phoneticPr fontId="7" type="noConversion"/>
  </si>
  <si>
    <t>해상풍력단지 해상실험 데이터 획득</t>
    <phoneticPr fontId="7" type="noConversion"/>
  </si>
  <si>
    <t>한양대학교</t>
    <phoneticPr fontId="7" type="noConversion"/>
  </si>
  <si>
    <t>최지웅</t>
    <phoneticPr fontId="7" type="noConversion"/>
  </si>
  <si>
    <t>황정수</t>
    <phoneticPr fontId="7" type="noConversion"/>
  </si>
  <si>
    <t>박창배</t>
    <phoneticPr fontId="7" type="noConversion"/>
  </si>
  <si>
    <t>CT4319</t>
    <phoneticPr fontId="7" type="noConversion"/>
  </si>
  <si>
    <t>T50-R 수리</t>
    <phoneticPr fontId="7" type="noConversion"/>
  </si>
  <si>
    <t>로고스웨어</t>
    <phoneticPr fontId="7" type="noConversion"/>
  </si>
  <si>
    <t>김동현</t>
    <phoneticPr fontId="7" type="noConversion"/>
  </si>
  <si>
    <t>2021.10.01</t>
    <phoneticPr fontId="7" type="noConversion"/>
  </si>
  <si>
    <t>2021.10.01</t>
    <phoneticPr fontId="7" type="noConversion"/>
  </si>
  <si>
    <t>9/14, 9/29</t>
    <phoneticPr fontId="7" type="noConversion"/>
  </si>
  <si>
    <t>전남대</t>
    <phoneticPr fontId="7" type="noConversion"/>
  </si>
  <si>
    <t>자력계 보상판매</t>
    <phoneticPr fontId="7" type="noConversion"/>
  </si>
  <si>
    <t>이학용(박정은)</t>
    <phoneticPr fontId="7" type="noConversion"/>
  </si>
  <si>
    <t>Lithuim Battery</t>
    <phoneticPr fontId="7" type="noConversion"/>
  </si>
  <si>
    <t>Underwater cable</t>
    <phoneticPr fontId="7" type="noConversion"/>
  </si>
  <si>
    <t>최병주</t>
    <phoneticPr fontId="7" type="noConversion"/>
  </si>
  <si>
    <t>수중케이블 및 수중커넥터 &amp; 등명기</t>
    <phoneticPr fontId="7" type="noConversion"/>
  </si>
  <si>
    <t>최요한</t>
    <phoneticPr fontId="7" type="noConversion"/>
  </si>
  <si>
    <t>R500 Battery Kit</t>
    <phoneticPr fontId="7" type="noConversion"/>
  </si>
  <si>
    <t>INSEA Core part 4</t>
    <phoneticPr fontId="7" type="noConversion"/>
  </si>
  <si>
    <t>#64198, 64199, 64200</t>
    <phoneticPr fontId="7" type="noConversion"/>
  </si>
  <si>
    <t>소프트웨어</t>
    <phoneticPr fontId="7" type="noConversion"/>
  </si>
  <si>
    <t>9/28, 10/7</t>
    <phoneticPr fontId="7" type="noConversion"/>
  </si>
  <si>
    <t>9/29, 10/7</t>
    <phoneticPr fontId="7" type="noConversion"/>
  </si>
  <si>
    <t>이재익</t>
    <phoneticPr fontId="7" type="noConversion"/>
  </si>
  <si>
    <t>최재훈</t>
    <phoneticPr fontId="7" type="noConversion"/>
  </si>
  <si>
    <t>지음향인자 측정 센서 및 치구(INSEA)</t>
    <phoneticPr fontId="7" type="noConversion"/>
  </si>
  <si>
    <t>UCM 1식</t>
    <phoneticPr fontId="7" type="noConversion"/>
  </si>
  <si>
    <t>Falmat 수중 케이블 80m</t>
    <phoneticPr fontId="7" type="noConversion"/>
  </si>
  <si>
    <t>#64219</t>
    <phoneticPr fontId="7" type="noConversion"/>
  </si>
  <si>
    <t>6/28, 10/8</t>
    <phoneticPr fontId="7" type="noConversion"/>
  </si>
  <si>
    <t>홍다운(무인팀)</t>
    <phoneticPr fontId="7" type="noConversion"/>
  </si>
  <si>
    <t>오션테크</t>
    <phoneticPr fontId="7" type="noConversion"/>
  </si>
  <si>
    <t>유민엽</t>
    <phoneticPr fontId="7" type="noConversion"/>
  </si>
  <si>
    <t>미래해양</t>
    <phoneticPr fontId="7" type="noConversion"/>
  </si>
  <si>
    <t>상품</t>
    <phoneticPr fontId="7" type="noConversion"/>
  </si>
  <si>
    <t>-</t>
    <phoneticPr fontId="7" type="noConversion"/>
  </si>
  <si>
    <t># 58558, 58627</t>
    <phoneticPr fontId="7" type="noConversion"/>
  </si>
  <si>
    <t>연안기상관측장비 On-call(3분기)</t>
    <phoneticPr fontId="7" type="noConversion"/>
  </si>
  <si>
    <t>신창웅</t>
    <phoneticPr fontId="7" type="noConversion"/>
  </si>
  <si>
    <t>강화대교 조위관측소 해양조사장비 이전 및 재설치</t>
    <phoneticPr fontId="7" type="noConversion"/>
  </si>
  <si>
    <t>#63478</t>
    <phoneticPr fontId="7" type="noConversion"/>
  </si>
  <si>
    <t>6/29, 10/13</t>
    <phoneticPr fontId="7" type="noConversion"/>
  </si>
  <si>
    <t>T20-P Tx cable</t>
    <phoneticPr fontId="7" type="noConversion"/>
  </si>
  <si>
    <t>황규하</t>
    <phoneticPr fontId="7" type="noConversion"/>
  </si>
  <si>
    <t>양승진</t>
    <phoneticPr fontId="7" type="noConversion"/>
  </si>
  <si>
    <t>Core liner 20ea</t>
    <phoneticPr fontId="7" type="noConversion"/>
  </si>
  <si>
    <t>Sparker Power Supplies - Pulse L5</t>
    <phoneticPr fontId="7" type="noConversion"/>
  </si>
  <si>
    <t xml:space="preserve">EUR 66,490 </t>
    <phoneticPr fontId="7" type="noConversion"/>
  </si>
  <si>
    <t>Thermistor String 수리</t>
    <phoneticPr fontId="7" type="noConversion"/>
  </si>
  <si>
    <t>세광종합기술단</t>
    <phoneticPr fontId="7" type="noConversion"/>
  </si>
  <si>
    <t>문광석</t>
    <phoneticPr fontId="7" type="noConversion"/>
  </si>
  <si>
    <t>수중위치반응기</t>
    <phoneticPr fontId="7" type="noConversion"/>
  </si>
  <si>
    <t>상품</t>
    <phoneticPr fontId="7" type="noConversion"/>
  </si>
  <si>
    <t>-</t>
    <phoneticPr fontId="7" type="noConversion"/>
  </si>
  <si>
    <t>KIOST</t>
    <phoneticPr fontId="7" type="noConversion"/>
  </si>
  <si>
    <t>김병남</t>
    <phoneticPr fontId="7" type="noConversion"/>
  </si>
  <si>
    <t>RTSYS Stake 수리</t>
    <phoneticPr fontId="7" type="noConversion"/>
  </si>
  <si>
    <t>KHOA</t>
    <phoneticPr fontId="7" type="noConversion"/>
  </si>
  <si>
    <t>박세영</t>
    <phoneticPr fontId="7" type="noConversion"/>
  </si>
  <si>
    <t>황유진(이학용)</t>
    <phoneticPr fontId="7" type="noConversion"/>
  </si>
  <si>
    <t>오션테크</t>
    <phoneticPr fontId="7" type="noConversion"/>
  </si>
  <si>
    <t>이기욱</t>
    <phoneticPr fontId="7" type="noConversion"/>
  </si>
  <si>
    <t>하선종(이기욱)</t>
    <phoneticPr fontId="7" type="noConversion"/>
  </si>
  <si>
    <t>남해동부 해양관측부이 보험</t>
    <phoneticPr fontId="7" type="noConversion"/>
  </si>
  <si>
    <t>#64379</t>
    <phoneticPr fontId="7" type="noConversion"/>
  </si>
  <si>
    <t>Parts for G.GUN parallel cluster</t>
    <phoneticPr fontId="7" type="noConversion"/>
  </si>
  <si>
    <t>#64399</t>
    <phoneticPr fontId="7" type="noConversion"/>
  </si>
  <si>
    <t>9/16, 10/21</t>
    <phoneticPr fontId="7" type="noConversion"/>
  </si>
  <si>
    <t>10/20, 10/21</t>
    <phoneticPr fontId="7" type="noConversion"/>
  </si>
  <si>
    <t>10/18, 10/21</t>
    <phoneticPr fontId="7" type="noConversion"/>
  </si>
  <si>
    <t>일렉툴스(대우ENC)</t>
    <phoneticPr fontId="7" type="noConversion"/>
  </si>
  <si>
    <t>해수온도 연속측정설비 예비품</t>
    <phoneticPr fontId="7" type="noConversion"/>
  </si>
  <si>
    <t>멀티빔</t>
    <phoneticPr fontId="7" type="noConversion"/>
  </si>
  <si>
    <t>한민희</t>
    <phoneticPr fontId="7" type="noConversion"/>
  </si>
  <si>
    <t>Parts for Deck Unit (2)</t>
    <phoneticPr fontId="7" type="noConversion"/>
  </si>
  <si>
    <t>천일씨아이</t>
    <phoneticPr fontId="7" type="noConversion"/>
  </si>
  <si>
    <t>손민경</t>
    <phoneticPr fontId="7" type="noConversion"/>
  </si>
  <si>
    <t>Niskin 5L</t>
    <phoneticPr fontId="7" type="noConversion"/>
  </si>
  <si>
    <t>#64518, 64519, 64520, 64521</t>
    <phoneticPr fontId="7" type="noConversion"/>
  </si>
  <si>
    <t>#64499</t>
    <phoneticPr fontId="7" type="noConversion"/>
  </si>
  <si>
    <t>#64378</t>
    <phoneticPr fontId="7" type="noConversion"/>
  </si>
  <si>
    <t>#63486, 63487, 63488, 63489</t>
    <phoneticPr fontId="7" type="noConversion"/>
  </si>
  <si>
    <t>9/28, 10/27</t>
    <phoneticPr fontId="7" type="noConversion"/>
  </si>
  <si>
    <t>안테나 현장설치 지원</t>
    <phoneticPr fontId="7" type="noConversion"/>
  </si>
  <si>
    <t>광양 조위관측소 시설 개선 및 장비구매</t>
    <phoneticPr fontId="7" type="noConversion"/>
  </si>
  <si>
    <t>전투실험용 지뢰탐지드론 임차</t>
    <phoneticPr fontId="7" type="noConversion"/>
  </si>
  <si>
    <t>무인팀</t>
    <phoneticPr fontId="7" type="noConversion"/>
  </si>
  <si>
    <t xml:space="preserve">Magdrone </t>
    <phoneticPr fontId="7" type="noConversion"/>
  </si>
  <si>
    <t xml:space="preserve"> EUR 1,330</t>
    <phoneticPr fontId="7" type="noConversion"/>
  </si>
  <si>
    <t>홍다운(이기욱)</t>
    <phoneticPr fontId="7" type="noConversion"/>
  </si>
  <si>
    <t>SENSYS</t>
    <phoneticPr fontId="7" type="noConversion"/>
  </si>
  <si>
    <t>주수현</t>
    <phoneticPr fontId="7" type="noConversion"/>
  </si>
  <si>
    <t xml:space="preserve"> 10/21, 10/26</t>
    <phoneticPr fontId="7" type="noConversion"/>
  </si>
  <si>
    <t>더원코퍼레이션(KIGAM)</t>
    <phoneticPr fontId="7" type="noConversion"/>
  </si>
  <si>
    <t>김영환</t>
    <phoneticPr fontId="7" type="noConversion"/>
  </si>
  <si>
    <t>Parts for Deck Unit (3)</t>
    <phoneticPr fontId="7" type="noConversion"/>
  </si>
  <si>
    <t>FSI 센서 프레임 제작</t>
    <phoneticPr fontId="7" type="noConversion"/>
  </si>
  <si>
    <t>#64622</t>
    <phoneticPr fontId="7" type="noConversion"/>
  </si>
  <si>
    <t>#64621</t>
    <phoneticPr fontId="7" type="noConversion"/>
  </si>
  <si>
    <t>#64619</t>
    <phoneticPr fontId="7" type="noConversion"/>
  </si>
  <si>
    <t>대한과학</t>
    <phoneticPr fontId="7" type="noConversion"/>
  </si>
  <si>
    <t>김길선</t>
    <phoneticPr fontId="7" type="noConversion"/>
  </si>
  <si>
    <t>국산 메신져</t>
    <phoneticPr fontId="7" type="noConversion"/>
  </si>
  <si>
    <t>해양과학기지 물품구매</t>
    <phoneticPr fontId="7" type="noConversion"/>
  </si>
  <si>
    <t>4/5, 11/4</t>
    <phoneticPr fontId="7" type="noConversion"/>
  </si>
  <si>
    <t>인코르인터네셔널</t>
    <phoneticPr fontId="7" type="noConversion"/>
  </si>
  <si>
    <t>중력계 부품</t>
    <phoneticPr fontId="7" type="noConversion"/>
  </si>
  <si>
    <t># 62564, 62563</t>
    <phoneticPr fontId="7" type="noConversion"/>
  </si>
  <si>
    <t>용역이라 재고번호 없음</t>
    <phoneticPr fontId="7" type="noConversion"/>
  </si>
  <si>
    <t># 64422</t>
    <phoneticPr fontId="7" type="noConversion"/>
  </si>
  <si>
    <t>외자건이라 재고번호 없음</t>
    <phoneticPr fontId="7" type="noConversion"/>
  </si>
  <si>
    <t>재고번호 없음(소액의 소프트웨어 업그레이드 건)</t>
    <phoneticPr fontId="7" type="noConversion"/>
  </si>
  <si>
    <t># 63678, 63679, 63680</t>
    <phoneticPr fontId="7" type="noConversion"/>
  </si>
  <si>
    <t>304 CTD 수리</t>
    <phoneticPr fontId="7" type="noConversion"/>
  </si>
  <si>
    <t>수중자율기뢰탐색체 해상시험지원</t>
    <phoneticPr fontId="7" type="noConversion"/>
  </si>
  <si>
    <t>LIGNex1</t>
    <phoneticPr fontId="7" type="noConversion"/>
  </si>
  <si>
    <t>#64698</t>
    <phoneticPr fontId="7" type="noConversion"/>
  </si>
  <si>
    <t>이호현</t>
    <phoneticPr fontId="7" type="noConversion"/>
  </si>
  <si>
    <t>304CTD 수리</t>
    <phoneticPr fontId="7" type="noConversion"/>
  </si>
  <si>
    <t>신재혁</t>
    <phoneticPr fontId="7" type="noConversion"/>
  </si>
  <si>
    <t>#42378</t>
    <phoneticPr fontId="7" type="noConversion"/>
  </si>
  <si>
    <t>#49958</t>
    <phoneticPr fontId="7" type="noConversion"/>
  </si>
  <si>
    <t>Waverider DWR-G4</t>
    <phoneticPr fontId="7" type="noConversion"/>
  </si>
  <si>
    <t>가스 분석기 (LI-850) 및 Serial integration</t>
    <phoneticPr fontId="7" type="noConversion"/>
  </si>
  <si>
    <t>허상도</t>
    <phoneticPr fontId="7" type="noConversion"/>
  </si>
  <si>
    <t>이대혁</t>
    <phoneticPr fontId="7" type="noConversion"/>
  </si>
  <si>
    <t>6/23, 11/8</t>
    <phoneticPr fontId="7" type="noConversion"/>
  </si>
  <si>
    <t>6/25, 11/10</t>
    <phoneticPr fontId="7" type="noConversion"/>
  </si>
  <si>
    <t>9/16, 11/9</t>
    <phoneticPr fontId="7" type="noConversion"/>
  </si>
  <si>
    <t>4/12, 11/9</t>
    <phoneticPr fontId="7" type="noConversion"/>
  </si>
  <si>
    <t>#64680</t>
    <phoneticPr fontId="7" type="noConversion"/>
  </si>
  <si>
    <t>#64679, 64681</t>
    <phoneticPr fontId="7" type="noConversion"/>
  </si>
  <si>
    <t>#64708</t>
    <phoneticPr fontId="7" type="noConversion"/>
  </si>
  <si>
    <t>#64620, 64618</t>
    <phoneticPr fontId="7" type="noConversion"/>
  </si>
  <si>
    <t>#64239</t>
    <phoneticPr fontId="7" type="noConversion"/>
  </si>
  <si>
    <t>UPR 2식</t>
    <phoneticPr fontId="7" type="noConversion"/>
  </si>
  <si>
    <t>#62983</t>
    <phoneticPr fontId="7" type="noConversion"/>
  </si>
  <si>
    <t>#61918</t>
    <phoneticPr fontId="7" type="noConversion"/>
  </si>
  <si>
    <t>Contros CO2 소모품</t>
    <phoneticPr fontId="7" type="noConversion"/>
  </si>
  <si>
    <t>안테나 케이블 75m</t>
    <phoneticPr fontId="7" type="noConversion"/>
  </si>
  <si>
    <t>김주형</t>
    <phoneticPr fontId="7" type="noConversion"/>
  </si>
  <si>
    <t># 64078</t>
    <phoneticPr fontId="7" type="noConversion"/>
  </si>
  <si>
    <t>용역 수행</t>
    <phoneticPr fontId="7" type="noConversion"/>
  </si>
  <si>
    <t>-</t>
    <phoneticPr fontId="7" type="noConversion"/>
  </si>
  <si>
    <t>OK</t>
    <phoneticPr fontId="7" type="noConversion"/>
  </si>
  <si>
    <t xml:space="preserve"> </t>
    <phoneticPr fontId="7" type="noConversion"/>
  </si>
  <si>
    <t># 63538</t>
    <phoneticPr fontId="7" type="noConversion"/>
  </si>
  <si>
    <t># 63398</t>
    <phoneticPr fontId="7" type="noConversion"/>
  </si>
  <si>
    <t>결산시 확인예정</t>
    <phoneticPr fontId="7" type="noConversion"/>
  </si>
  <si>
    <t>-</t>
    <phoneticPr fontId="7" type="noConversion"/>
  </si>
  <si>
    <t>심윤송 부장님 차량사고 관련</t>
    <phoneticPr fontId="7" type="noConversion"/>
  </si>
  <si>
    <t>연구과제</t>
    <phoneticPr fontId="7" type="noConversion"/>
  </si>
  <si>
    <t>용역</t>
    <phoneticPr fontId="7" type="noConversion"/>
  </si>
  <si>
    <t>OK</t>
    <phoneticPr fontId="7" type="noConversion"/>
  </si>
  <si>
    <t>점검보고서 확인(국내진행)</t>
    <phoneticPr fontId="7" type="noConversion"/>
  </si>
  <si>
    <t>용역이라 재고번호 없음(MK-Ⅲ sn.30960)</t>
    <phoneticPr fontId="7" type="noConversion"/>
  </si>
  <si>
    <t>용역(인건비, 임차료)</t>
    <phoneticPr fontId="7" type="noConversion"/>
  </si>
  <si>
    <t># 60279</t>
    <phoneticPr fontId="7" type="noConversion"/>
  </si>
  <si>
    <t># 62978</t>
    <phoneticPr fontId="7" type="noConversion"/>
  </si>
  <si>
    <t># 62938, 62939</t>
    <phoneticPr fontId="7" type="noConversion"/>
  </si>
  <si>
    <t># 61199, 61200, 61201, 61202</t>
    <phoneticPr fontId="7" type="noConversion"/>
  </si>
  <si>
    <t># 63784</t>
    <phoneticPr fontId="7" type="noConversion"/>
  </si>
  <si>
    <t># 64019</t>
    <phoneticPr fontId="7" type="noConversion"/>
  </si>
  <si>
    <t># 56218, 56238, 57351, 57662, 57663, 58624, 58738, 59580, 61798, 61799, 61800, 63858, 63859, 63860</t>
    <phoneticPr fontId="7" type="noConversion"/>
  </si>
  <si>
    <t>무통관/입고 미생성</t>
    <phoneticPr fontId="7" type="noConversion"/>
  </si>
  <si>
    <t xml:space="preserve"> </t>
    <phoneticPr fontId="7" type="noConversion"/>
  </si>
  <si>
    <t>외자</t>
    <phoneticPr fontId="7" type="noConversion"/>
  </si>
  <si>
    <t>#21-296 세광종합기술단과 나눠서 청구</t>
    <phoneticPr fontId="7" type="noConversion"/>
  </si>
  <si>
    <t>#21-290 올포랜드와 나눠서 청구</t>
    <phoneticPr fontId="7" type="noConversion"/>
  </si>
  <si>
    <t>OK</t>
    <phoneticPr fontId="7" type="noConversion"/>
  </si>
  <si>
    <t>용역/프레임제작(인현산업)</t>
    <phoneticPr fontId="7" type="noConversion"/>
  </si>
  <si>
    <t>-</t>
    <phoneticPr fontId="7" type="noConversion"/>
  </si>
  <si>
    <t>프레임 제작및 교체작업 인현산업에서 진행/인현산업 금액X</t>
    <phoneticPr fontId="7" type="noConversion"/>
  </si>
  <si>
    <t>결산시 확인예정</t>
    <phoneticPr fontId="7" type="noConversion"/>
  </si>
  <si>
    <t># 63484, 63485</t>
    <phoneticPr fontId="7" type="noConversion"/>
  </si>
  <si>
    <t># 62559, 62560</t>
    <phoneticPr fontId="7" type="noConversion"/>
  </si>
  <si>
    <t>아직 입고전</t>
    <phoneticPr fontId="7" type="noConversion"/>
  </si>
  <si>
    <t>실제 전남대 검교정건</t>
    <phoneticPr fontId="7" type="noConversion"/>
  </si>
  <si>
    <t># 30798 (2개)</t>
    <phoneticPr fontId="7" type="noConversion"/>
  </si>
  <si>
    <t>임차료 및 출장비</t>
    <phoneticPr fontId="7" type="noConversion"/>
  </si>
  <si>
    <t>용역</t>
    <phoneticPr fontId="7" type="noConversion"/>
  </si>
  <si>
    <t>출장비 외/관로 상단 거치대, 난간 제작(인현산업)</t>
    <phoneticPr fontId="7" type="noConversion"/>
  </si>
  <si>
    <t>관로 상단 거치대 및 난간제작 인현산업에서 진행/인현산업 금액X</t>
    <phoneticPr fontId="7" type="noConversion"/>
  </si>
  <si>
    <t>내년 센서 검교정 금액</t>
    <phoneticPr fontId="7" type="noConversion"/>
  </si>
  <si>
    <t>한진중공업</t>
    <phoneticPr fontId="7" type="noConversion"/>
  </si>
  <si>
    <t>정상기</t>
    <phoneticPr fontId="7" type="noConversion"/>
  </si>
  <si>
    <t>pCO2 system 부품</t>
    <phoneticPr fontId="7" type="noConversion"/>
  </si>
  <si>
    <t>#63490, 63491, 63492</t>
    <phoneticPr fontId="7" type="noConversion"/>
  </si>
  <si>
    <t># 57639</t>
    <phoneticPr fontId="7" type="noConversion"/>
  </si>
  <si>
    <t># 64038</t>
    <phoneticPr fontId="7" type="noConversion"/>
  </si>
  <si>
    <t>용역</t>
    <phoneticPr fontId="7" type="noConversion"/>
  </si>
  <si>
    <t># 65018</t>
    <phoneticPr fontId="7" type="noConversion"/>
  </si>
  <si>
    <t># 64025, 65000, 65001</t>
    <phoneticPr fontId="7" type="noConversion"/>
  </si>
  <si>
    <t>용역</t>
    <phoneticPr fontId="7" type="noConversion"/>
  </si>
  <si>
    <t># 65020, 65022, 65023, 65024</t>
    <phoneticPr fontId="7" type="noConversion"/>
  </si>
  <si>
    <t># 61706</t>
    <phoneticPr fontId="7" type="noConversion"/>
  </si>
  <si>
    <t>DCS 6개, CT 5개 확인 및 재고번호 업데이트완료  (이학용, 11월 18일 작성)</t>
    <phoneticPr fontId="7" type="noConversion"/>
  </si>
  <si>
    <t>김현유</t>
    <phoneticPr fontId="7" type="noConversion"/>
  </si>
  <si>
    <t>자력계 글래디오미터 업그레이드</t>
    <phoneticPr fontId="7" type="noConversion"/>
  </si>
  <si>
    <t>콜롬비아ODA 예비품 건, 비용처리를 위해 계약한 건으로 DB#없음</t>
    <phoneticPr fontId="7" type="noConversion"/>
  </si>
  <si>
    <t>#6417</t>
    <phoneticPr fontId="7" type="noConversion"/>
  </si>
  <si>
    <t>재고번호 없음</t>
    <phoneticPr fontId="7" type="noConversion"/>
  </si>
  <si>
    <t>#63937</t>
    <phoneticPr fontId="7" type="noConversion"/>
  </si>
  <si>
    <t>Metering Flow Switch와 Flowmeter가 같은 품목인가요? 네</t>
    <phoneticPr fontId="7" type="noConversion"/>
  </si>
  <si>
    <t xml:space="preserve">MCDLS-F, MCDLS-M 재고번호 있나요? </t>
    <phoneticPr fontId="7" type="noConversion"/>
  </si>
  <si>
    <t>8/2, 11/15</t>
    <phoneticPr fontId="7" type="noConversion"/>
  </si>
  <si>
    <t>8/3, 11/18</t>
    <phoneticPr fontId="7" type="noConversion"/>
  </si>
  <si>
    <t>11/17,</t>
    <phoneticPr fontId="7" type="noConversion"/>
  </si>
  <si>
    <t># 64098, 65043, 64522, 64523</t>
    <phoneticPr fontId="7" type="noConversion"/>
  </si>
  <si>
    <t>21-280</t>
    <phoneticPr fontId="7" type="noConversion"/>
  </si>
  <si>
    <t>21.11.12 청구</t>
    <phoneticPr fontId="7" type="noConversion"/>
  </si>
  <si>
    <t>21-242</t>
    <phoneticPr fontId="7" type="noConversion"/>
  </si>
  <si>
    <t>KIGAM</t>
    <phoneticPr fontId="7" type="noConversion"/>
  </si>
  <si>
    <t>육상용 중력계 upgrade</t>
    <phoneticPr fontId="7" type="noConversion"/>
  </si>
  <si>
    <t>USD 21,950.00</t>
    <phoneticPr fontId="7" type="noConversion"/>
  </si>
  <si>
    <t>USD 65,675.00</t>
    <phoneticPr fontId="7" type="noConversion"/>
  </si>
  <si>
    <t>USD 6,567.50</t>
    <phoneticPr fontId="7" type="noConversion"/>
  </si>
  <si>
    <t>USD 3,135.00</t>
    <phoneticPr fontId="7" type="noConversion"/>
  </si>
  <si>
    <t>21.11.19 청구</t>
    <phoneticPr fontId="7" type="noConversion"/>
  </si>
  <si>
    <t>YES</t>
    <phoneticPr fontId="7" type="noConversion"/>
  </si>
  <si>
    <t>USD 552,000</t>
    <phoneticPr fontId="2" type="noConversion"/>
  </si>
  <si>
    <t xml:space="preserve">GeoEel  </t>
    <phoneticPr fontId="2" type="noConversion"/>
  </si>
  <si>
    <t>USD 27,600</t>
    <phoneticPr fontId="2" type="noConversion"/>
  </si>
  <si>
    <t xml:space="preserve">WAVEX system </t>
    <phoneticPr fontId="2" type="noConversion"/>
  </si>
  <si>
    <t>Miros</t>
    <phoneticPr fontId="2" type="noConversion"/>
  </si>
  <si>
    <t>NOK 604,800</t>
    <phoneticPr fontId="2" type="noConversion"/>
  </si>
  <si>
    <t>Mini Gun Array</t>
    <phoneticPr fontId="2" type="noConversion"/>
  </si>
  <si>
    <t>USD 68,996</t>
    <phoneticPr fontId="2" type="noConversion"/>
  </si>
  <si>
    <t xml:space="preserve">SEAL 점검 </t>
    <phoneticPr fontId="2" type="noConversion"/>
  </si>
  <si>
    <t>USD 27,330</t>
    <phoneticPr fontId="2" type="noConversion"/>
  </si>
  <si>
    <t>Marine Sources Spare parts</t>
    <phoneticPr fontId="2" type="noConversion"/>
  </si>
  <si>
    <t>USD 42,950</t>
    <phoneticPr fontId="2" type="noConversion"/>
  </si>
  <si>
    <t>한국표준과학연구원(KRISS)</t>
    <phoneticPr fontId="2" type="noConversion"/>
  </si>
  <si>
    <t>Hydrophone(TC4034-3),Preamp(EC6081)</t>
    <phoneticPr fontId="2" type="noConversion"/>
  </si>
  <si>
    <t>Eur 6,532</t>
    <phoneticPr fontId="2" type="noConversion"/>
  </si>
  <si>
    <t xml:space="preserve">Mini GI Gun </t>
    <phoneticPr fontId="2" type="noConversion"/>
  </si>
  <si>
    <t>USD 43,500</t>
    <phoneticPr fontId="2" type="noConversion"/>
  </si>
  <si>
    <t>Hydrophone (TC4032-2)-4ea 외</t>
    <phoneticPr fontId="2" type="noConversion"/>
  </si>
  <si>
    <t>EUR 14,086</t>
    <phoneticPr fontId="2" type="noConversion"/>
  </si>
  <si>
    <t>표층수온염분측정기(PCO2)</t>
    <phoneticPr fontId="2" type="noConversion"/>
  </si>
  <si>
    <t>GNM(GO)</t>
    <phoneticPr fontId="2" type="noConversion"/>
  </si>
  <si>
    <t>USD 220,000</t>
    <phoneticPr fontId="2" type="noConversion"/>
  </si>
  <si>
    <t>자동기상관측장치(AWS2700)</t>
    <phoneticPr fontId="2" type="noConversion"/>
  </si>
  <si>
    <t>NOK 537,000</t>
    <phoneticPr fontId="2" type="noConversion"/>
  </si>
  <si>
    <t>SeaguardII DCP DW</t>
    <phoneticPr fontId="2" type="noConversion"/>
  </si>
  <si>
    <t>NOK 326,000</t>
    <phoneticPr fontId="2" type="noConversion"/>
  </si>
  <si>
    <t>Air Gun Parts</t>
    <phoneticPr fontId="2" type="noConversion"/>
  </si>
  <si>
    <t>USD 22,061</t>
    <phoneticPr fontId="2" type="noConversion"/>
  </si>
  <si>
    <t>Gun system part</t>
    <phoneticPr fontId="2" type="noConversion"/>
  </si>
  <si>
    <t>USD 33,921</t>
    <phoneticPr fontId="2" type="noConversion"/>
  </si>
  <si>
    <t>Gun Controller PC</t>
    <phoneticPr fontId="2" type="noConversion"/>
  </si>
  <si>
    <t>USD 11,022</t>
    <phoneticPr fontId="2" type="noConversion"/>
  </si>
  <si>
    <t>Tow Ring</t>
    <phoneticPr fontId="2" type="noConversion"/>
  </si>
  <si>
    <t>USD 6,420</t>
    <phoneticPr fontId="2" type="noConversion"/>
  </si>
  <si>
    <t>NaviPac/NaviEdit upgrade</t>
    <phoneticPr fontId="2" type="noConversion"/>
  </si>
  <si>
    <t xml:space="preserve">A.R Deck Unit </t>
    <phoneticPr fontId="2" type="noConversion"/>
  </si>
  <si>
    <t>USD 13,000</t>
    <phoneticPr fontId="2" type="noConversion"/>
  </si>
  <si>
    <t>GPS Beacon (IR-7300)</t>
    <phoneticPr fontId="2" type="noConversion"/>
  </si>
  <si>
    <t>USD 4,500</t>
    <phoneticPr fontId="2" type="noConversion"/>
  </si>
  <si>
    <t>Rtsys</t>
    <phoneticPr fontId="2" type="noConversion"/>
  </si>
  <si>
    <t>Altimeter PSA-916</t>
    <phoneticPr fontId="2" type="noConversion"/>
  </si>
  <si>
    <t>USD 3,100</t>
    <phoneticPr fontId="2" type="noConversion"/>
  </si>
  <si>
    <t>TV Grap 수리</t>
    <phoneticPr fontId="2" type="noConversion"/>
  </si>
  <si>
    <t>ZLS Corporation</t>
    <phoneticPr fontId="2" type="noConversion"/>
  </si>
  <si>
    <t>USD 105,954</t>
    <phoneticPr fontId="2" type="noConversion"/>
  </si>
  <si>
    <t>OMI</t>
    <phoneticPr fontId="2" type="noConversion"/>
  </si>
  <si>
    <t>USD 186,000</t>
    <phoneticPr fontId="2" type="noConversion"/>
  </si>
  <si>
    <t xml:space="preserve">Mocness Termination kit </t>
    <phoneticPr fontId="2" type="noConversion"/>
  </si>
  <si>
    <t>USD 6,000</t>
    <phoneticPr fontId="2" type="noConversion"/>
  </si>
  <si>
    <t>EUR 6,712</t>
    <phoneticPr fontId="2" type="noConversion"/>
  </si>
  <si>
    <t xml:space="preserve">SeaCam </t>
    <phoneticPr fontId="2" type="noConversion"/>
  </si>
  <si>
    <t>SF2 signal 이용료</t>
    <phoneticPr fontId="2" type="noConversion"/>
  </si>
  <si>
    <t>C&amp;C Technologies</t>
    <phoneticPr fontId="2" type="noConversion"/>
  </si>
  <si>
    <t xml:space="preserve">Underwater Camera &amp; Light </t>
    <phoneticPr fontId="2" type="noConversion"/>
  </si>
  <si>
    <t>Deepsea Power</t>
    <phoneticPr fontId="2" type="noConversion"/>
  </si>
  <si>
    <t>USD 9,585</t>
    <phoneticPr fontId="2" type="noConversion"/>
  </si>
  <si>
    <t>Eur 6,022</t>
    <phoneticPr fontId="2" type="noConversion"/>
  </si>
  <si>
    <t>Concerto CTD repair</t>
    <phoneticPr fontId="2" type="noConversion"/>
  </si>
  <si>
    <t>USD 4,330</t>
    <phoneticPr fontId="2" type="noConversion"/>
  </si>
  <si>
    <t>ARIS Rotator</t>
    <phoneticPr fontId="2" type="noConversion"/>
  </si>
  <si>
    <t>USD 35,105</t>
    <phoneticPr fontId="2" type="noConversion"/>
  </si>
  <si>
    <t>OK</t>
    <phoneticPr fontId="7" type="noConversion"/>
  </si>
  <si>
    <t>KHOA</t>
    <phoneticPr fontId="7" type="noConversion"/>
  </si>
  <si>
    <t>-</t>
    <phoneticPr fontId="7" type="noConversion"/>
  </si>
  <si>
    <t>황유진(홍아름,허신)</t>
    <phoneticPr fontId="7" type="noConversion"/>
  </si>
  <si>
    <t>블록형 다목적 해양관측 플랫폼 및 운용기술 개발 기획연구</t>
    <phoneticPr fontId="7" type="noConversion"/>
  </si>
  <si>
    <t>용역</t>
    <phoneticPr fontId="7" type="noConversion"/>
  </si>
  <si>
    <t>오션테크</t>
    <phoneticPr fontId="7" type="noConversion"/>
  </si>
  <si>
    <t>엠타이드 오프쇼어</t>
    <phoneticPr fontId="7" type="noConversion"/>
  </si>
  <si>
    <t>문성덕</t>
    <phoneticPr fontId="7" type="noConversion"/>
  </si>
  <si>
    <t>GMX 501</t>
    <phoneticPr fontId="7" type="noConversion"/>
  </si>
  <si>
    <t>Gill</t>
    <phoneticPr fontId="7" type="noConversion"/>
  </si>
  <si>
    <t>상품</t>
    <phoneticPr fontId="7" type="noConversion"/>
  </si>
  <si>
    <t>문홍배</t>
    <phoneticPr fontId="7" type="noConversion"/>
  </si>
  <si>
    <t>오션사이언스</t>
    <phoneticPr fontId="7" type="noConversion"/>
  </si>
  <si>
    <t>하선종</t>
    <phoneticPr fontId="7" type="noConversion"/>
  </si>
  <si>
    <t>KIOST</t>
    <phoneticPr fontId="7" type="noConversion"/>
  </si>
  <si>
    <t>허기영</t>
    <phoneticPr fontId="7" type="noConversion"/>
  </si>
  <si>
    <t>Spare Electronic board for Controller</t>
    <phoneticPr fontId="7" type="noConversion"/>
  </si>
  <si>
    <t>오원진(이기욱)</t>
    <phoneticPr fontId="7" type="noConversion"/>
  </si>
  <si>
    <t>KHOA(서해)</t>
    <phoneticPr fontId="7" type="noConversion"/>
  </si>
  <si>
    <t>황유진(하선종)</t>
    <phoneticPr fontId="7" type="noConversion"/>
  </si>
  <si>
    <t>대선조선</t>
    <phoneticPr fontId="7" type="noConversion"/>
  </si>
  <si>
    <t>경상대 새바다호 수온염분 측정기</t>
    <phoneticPr fontId="7" type="noConversion"/>
  </si>
  <si>
    <t>경상대 새바다호 자동기상 관측장비</t>
    <phoneticPr fontId="7" type="noConversion"/>
  </si>
  <si>
    <t>국립수산과학원</t>
    <phoneticPr fontId="7" type="noConversion"/>
  </si>
  <si>
    <t>유효재</t>
    <phoneticPr fontId="7" type="noConversion"/>
  </si>
  <si>
    <t>오원진</t>
    <phoneticPr fontId="7" type="noConversion"/>
  </si>
  <si>
    <t>송규민</t>
    <phoneticPr fontId="7" type="noConversion"/>
  </si>
  <si>
    <t>이승용</t>
    <phoneticPr fontId="7" type="noConversion"/>
  </si>
  <si>
    <t>레이저 조위계 수리 및 업그레이드</t>
    <phoneticPr fontId="7" type="noConversion"/>
  </si>
  <si>
    <t>세광종합기술단</t>
    <phoneticPr fontId="7" type="noConversion"/>
  </si>
  <si>
    <t>웨이브글라이더 점검 및 유지보수</t>
    <phoneticPr fontId="7" type="noConversion"/>
  </si>
  <si>
    <t>이시백</t>
    <phoneticPr fontId="7" type="noConversion"/>
  </si>
  <si>
    <t>이기욱, 무인팀</t>
    <phoneticPr fontId="7" type="noConversion"/>
  </si>
  <si>
    <t>박성은</t>
    <phoneticPr fontId="7" type="noConversion"/>
  </si>
  <si>
    <t>황유진(연구팀)</t>
    <phoneticPr fontId="7" type="noConversion"/>
  </si>
  <si>
    <t>1.2L Niskin sampler</t>
    <phoneticPr fontId="7" type="noConversion"/>
  </si>
  <si>
    <t>-</t>
    <phoneticPr fontId="7" type="noConversion"/>
  </si>
  <si>
    <t># 65078, 65079</t>
    <phoneticPr fontId="7" type="noConversion"/>
  </si>
  <si>
    <t>출고신청 진행(황유진, 11.26)</t>
    <phoneticPr fontId="7" type="noConversion"/>
  </si>
  <si>
    <t>RBRconcerto CTD 2대 수리</t>
    <phoneticPr fontId="7" type="noConversion"/>
  </si>
  <si>
    <t>11/30,</t>
    <phoneticPr fontId="7" type="noConversion"/>
  </si>
  <si>
    <t>덕성기업</t>
    <phoneticPr fontId="7" type="noConversion"/>
  </si>
  <si>
    <t>대영지오발파</t>
    <phoneticPr fontId="7" type="noConversion"/>
  </si>
  <si>
    <t>김만섭</t>
    <phoneticPr fontId="7" type="noConversion"/>
  </si>
  <si>
    <t>임예지</t>
    <phoneticPr fontId="7" type="noConversion"/>
  </si>
  <si>
    <t>Beacon assembly (PS-200)</t>
    <phoneticPr fontId="7" type="noConversion"/>
  </si>
  <si>
    <t>Vented Tide 센서 수리</t>
    <phoneticPr fontId="7" type="noConversion"/>
  </si>
  <si>
    <t>TC4033-1</t>
    <phoneticPr fontId="7" type="noConversion"/>
  </si>
  <si>
    <t>AR R2K</t>
    <phoneticPr fontId="7" type="noConversion"/>
  </si>
  <si>
    <t>RBR duo CT</t>
    <phoneticPr fontId="7" type="noConversion"/>
  </si>
  <si>
    <t>Seaguard2 DCP 보상판매</t>
    <phoneticPr fontId="7" type="noConversion"/>
  </si>
  <si>
    <t>Wave Unit 4식</t>
    <phoneticPr fontId="7" type="noConversion"/>
  </si>
  <si>
    <t>수인테크</t>
    <phoneticPr fontId="7" type="noConversion"/>
  </si>
  <si>
    <t>KIOST</t>
    <phoneticPr fontId="7" type="noConversion"/>
  </si>
  <si>
    <t>박형준</t>
    <phoneticPr fontId="7" type="noConversion"/>
  </si>
  <si>
    <t>송규민</t>
    <phoneticPr fontId="7" type="noConversion"/>
  </si>
  <si>
    <t>오션테크</t>
    <phoneticPr fontId="7" type="noConversion"/>
  </si>
  <si>
    <t>Seaguard RCM SW</t>
    <phoneticPr fontId="7" type="noConversion"/>
  </si>
  <si>
    <t>Gun Diver</t>
    <phoneticPr fontId="7" type="noConversion"/>
  </si>
  <si>
    <t>UPR x 4ea</t>
    <phoneticPr fontId="7" type="noConversion"/>
  </si>
  <si>
    <t>상품</t>
    <phoneticPr fontId="7" type="noConversion"/>
  </si>
  <si>
    <t>-</t>
    <phoneticPr fontId="7" type="noConversion"/>
  </si>
  <si>
    <t>하선종</t>
    <phoneticPr fontId="7" type="noConversion"/>
  </si>
  <si>
    <t>KIOST</t>
    <phoneticPr fontId="7" type="noConversion"/>
  </si>
  <si>
    <t>금병철</t>
    <phoneticPr fontId="7" type="noConversion"/>
  </si>
  <si>
    <t>C-Nav DGPS</t>
    <phoneticPr fontId="7" type="noConversion"/>
  </si>
  <si>
    <t>-</t>
    <phoneticPr fontId="7" type="noConversion"/>
  </si>
  <si>
    <t>박정은</t>
    <phoneticPr fontId="7" type="noConversion"/>
  </si>
  <si>
    <t>RBRsolo Tu used</t>
    <phoneticPr fontId="7" type="noConversion"/>
  </si>
  <si>
    <t>상품</t>
    <phoneticPr fontId="7" type="noConversion"/>
  </si>
  <si>
    <t>11/16, 11/30</t>
    <phoneticPr fontId="7" type="noConversion"/>
  </si>
  <si>
    <t>T.Webb</t>
    <phoneticPr fontId="7" type="noConversion"/>
  </si>
  <si>
    <t>T.Benthos</t>
    <phoneticPr fontId="7" type="noConversion"/>
  </si>
  <si>
    <t>심해용 음향이탈기 (R12K)</t>
    <phoneticPr fontId="7" type="noConversion"/>
  </si>
  <si>
    <t>Biospherical PAR</t>
    <phoneticPr fontId="7" type="noConversion"/>
  </si>
  <si>
    <t>#65343</t>
    <phoneticPr fontId="7" type="noConversion"/>
  </si>
  <si>
    <t>삭제/안테나로 나눠서 계약</t>
    <phoneticPr fontId="7" type="noConversion"/>
  </si>
  <si>
    <t>Innomar 설치지원</t>
    <phoneticPr fontId="7" type="noConversion"/>
  </si>
  <si>
    <t>#65358</t>
    <phoneticPr fontId="7" type="noConversion"/>
  </si>
  <si>
    <t>OK</t>
    <phoneticPr fontId="7" type="noConversion"/>
  </si>
  <si>
    <t># 62498
62499
62500
62501
62502
62503
62504
62505
62506
62507
62508
62509, 
62099, 
62102, 
62100, 
62104, 
62103, 
62101, 
61298, 
61299, 
61300, 
61301, 
61302, 
61303, 
62182, 
62183, 
62184, 
62185, 
62186, 
62187, 
62798, 
62799, 
62800, 
62801, 
62802, 
62803, 
63908, 
63907, 
63906,
63905, 
63904, 
63903, 
63902, 
63901, 
63900, 
63899, 
63898, 
62641, 
63749, 
63748, 
63747, 
63746, 
63745, 
63744, 
63743, 
63742, 
63741, 
63740, 
63739, 
63738, 
61058, 
61059, 
61060, 
61061, 
61062, 
61063, 
63761, 
63760, 
63759, 
63758, 
63757, 
63756, 
63755, 
63754, 
63753, 
63752, 
63751, 
63750, 
61599, 
61600, 
61601, 
61602, 
61603, 
61604, 
63480, 
63481, 
63482, 
63483, 
61203, 
61204, 
63914, 
63913, 
63912, 
63911, 
63910, 
63909</t>
    <phoneticPr fontId="7" type="noConversion"/>
  </si>
  <si>
    <t>Sylence LP(수중음향 레코더)</t>
    <phoneticPr fontId="7" type="noConversion"/>
  </si>
  <si>
    <t>박진혁</t>
    <phoneticPr fontId="7" type="noConversion"/>
  </si>
  <si>
    <t xml:space="preserve">#65344  </t>
    <phoneticPr fontId="7" type="noConversion"/>
  </si>
  <si>
    <t>Wave Unit 4 식</t>
    <phoneticPr fontId="7" type="noConversion"/>
  </si>
  <si>
    <t>RBRsolo T 10식</t>
    <phoneticPr fontId="7" type="noConversion"/>
  </si>
  <si>
    <t>RBRduet TD tide, RBRvirtuoso Tu</t>
    <phoneticPr fontId="7" type="noConversion"/>
  </si>
  <si>
    <t>과학기지 물품구매 28종</t>
    <phoneticPr fontId="7" type="noConversion"/>
  </si>
  <si>
    <t>해양현상 검증을 위한 관측시스템 수립 및 용역(양자강 저염수)</t>
    <phoneticPr fontId="7" type="noConversion"/>
  </si>
  <si>
    <r>
      <t xml:space="preserve">실시간 무인관측기기(wave glider 등)를 이용한 </t>
    </r>
    <r>
      <rPr>
        <b/>
        <sz val="10"/>
        <color theme="1"/>
        <rFont val="맑은 고딕"/>
        <family val="3"/>
        <charset val="129"/>
        <scheme val="minor"/>
      </rPr>
      <t>태풍시</t>
    </r>
    <r>
      <rPr>
        <sz val="10"/>
        <color theme="1"/>
        <rFont val="맑은 고딕"/>
        <family val="3"/>
        <charset val="129"/>
        <scheme val="minor"/>
      </rPr>
      <t xml:space="preserve"> 해양기상자료 수집,분석</t>
    </r>
    <phoneticPr fontId="7" type="noConversion"/>
  </si>
  <si>
    <t>Codar HF radar system 설치 지원</t>
    <phoneticPr fontId="7" type="noConversion"/>
  </si>
  <si>
    <t># 65498, 65499</t>
    <phoneticPr fontId="7" type="noConversion"/>
  </si>
  <si>
    <t>3/4, 12/13</t>
    <phoneticPr fontId="7" type="noConversion"/>
  </si>
  <si>
    <t>2/25, 12/13</t>
    <phoneticPr fontId="7" type="noConversion"/>
  </si>
  <si>
    <t>#63458(브라켓), 65478, 65479</t>
    <phoneticPr fontId="7" type="noConversion"/>
  </si>
  <si>
    <t>올리브마린</t>
    <phoneticPr fontId="7" type="noConversion"/>
  </si>
  <si>
    <t>백세훈</t>
    <phoneticPr fontId="7" type="noConversion"/>
  </si>
  <si>
    <t>이호영</t>
    <phoneticPr fontId="7" type="noConversion"/>
  </si>
  <si>
    <t>김윤칠</t>
    <phoneticPr fontId="7" type="noConversion"/>
  </si>
  <si>
    <t>류현지</t>
    <phoneticPr fontId="7" type="noConversion"/>
  </si>
  <si>
    <t>C-Nav GNSS 안테나</t>
    <phoneticPr fontId="7" type="noConversion"/>
  </si>
  <si>
    <t>Zinc x 30ea</t>
    <phoneticPr fontId="7" type="noConversion"/>
  </si>
  <si>
    <t>울산 연안방재 수위계 수리</t>
    <phoneticPr fontId="7" type="noConversion"/>
  </si>
  <si>
    <t>pCO2용 Flowmeter 1차</t>
    <phoneticPr fontId="7" type="noConversion"/>
  </si>
  <si>
    <t>pCO2용 Main Equilibrator</t>
    <phoneticPr fontId="7" type="noConversion"/>
  </si>
  <si>
    <t>pCO2용 Secondary Equilibrator</t>
    <phoneticPr fontId="7" type="noConversion"/>
  </si>
  <si>
    <t>제주해양수산연구원</t>
    <phoneticPr fontId="7" type="noConversion"/>
  </si>
  <si>
    <t>김순찬</t>
    <phoneticPr fontId="7" type="noConversion"/>
  </si>
  <si>
    <t>Calibration for Wave Glider</t>
    <phoneticPr fontId="7" type="noConversion"/>
  </si>
  <si>
    <t>용역건이라 재고번호 없음</t>
    <phoneticPr fontId="7" type="noConversion"/>
  </si>
  <si>
    <t>2/25, 12/15</t>
    <phoneticPr fontId="7" type="noConversion"/>
  </si>
  <si>
    <t>3/5, 12/15</t>
    <phoneticPr fontId="7" type="noConversion"/>
  </si>
  <si>
    <t>pCO2용 Flowmeter 2차</t>
    <phoneticPr fontId="7" type="noConversion"/>
  </si>
  <si>
    <t>대천해수욕장 해양관측부이 복구(보험)</t>
    <phoneticPr fontId="7" type="noConversion"/>
  </si>
  <si>
    <t>7/8, 12/21</t>
    <phoneticPr fontId="7" type="noConversion"/>
  </si>
  <si>
    <t>3/31, 12/17</t>
    <phoneticPr fontId="7" type="noConversion"/>
  </si>
  <si>
    <t>4/1, 12/21</t>
    <phoneticPr fontId="7" type="noConversion"/>
  </si>
  <si>
    <t>스타원전자(퍼스텍)</t>
    <phoneticPr fontId="7" type="noConversion"/>
  </si>
  <si>
    <t>동해수산연구소</t>
    <phoneticPr fontId="7" type="noConversion"/>
  </si>
  <si>
    <t>수중글라이더 서버 계정 개통</t>
    <phoneticPr fontId="7" type="noConversion"/>
  </si>
  <si>
    <t>INBUS, 등부표 긴급점검 정산</t>
    <phoneticPr fontId="7" type="noConversion"/>
  </si>
  <si>
    <t>연안기상관측장비 On-Call(4분기)</t>
    <phoneticPr fontId="7" type="noConversion"/>
  </si>
  <si>
    <t>홍아름</t>
    <phoneticPr fontId="7" type="noConversion"/>
  </si>
  <si>
    <t>17인치 Glass Buoy x 4ea</t>
    <phoneticPr fontId="7" type="noConversion"/>
  </si>
  <si>
    <t>박훈</t>
    <phoneticPr fontId="7" type="noConversion"/>
  </si>
  <si>
    <t>최희찬</t>
    <phoneticPr fontId="7" type="noConversion"/>
  </si>
  <si>
    <t>과학기지 DB 데이터 처리</t>
    <phoneticPr fontId="7" type="noConversion"/>
  </si>
  <si>
    <t>하선종(황유진)</t>
    <phoneticPr fontId="7" type="noConversion"/>
  </si>
  <si>
    <t>안상석</t>
    <phoneticPr fontId="7" type="noConversion"/>
  </si>
  <si>
    <t>#65543. 65544</t>
    <phoneticPr fontId="7" type="noConversion"/>
  </si>
  <si>
    <t>#65558</t>
    <phoneticPr fontId="7" type="noConversion"/>
  </si>
  <si>
    <t xml:space="preserve"># 65058 </t>
    <phoneticPr fontId="7" type="noConversion"/>
  </si>
  <si>
    <t xml:space="preserve"># 65219 </t>
    <phoneticPr fontId="7" type="noConversion"/>
  </si>
  <si>
    <t>#65538, 65539, 65540, 65541</t>
    <phoneticPr fontId="7" type="noConversion"/>
  </si>
  <si>
    <t>#64578</t>
    <phoneticPr fontId="7" type="noConversion"/>
  </si>
  <si>
    <t>#65220</t>
    <phoneticPr fontId="7" type="noConversion"/>
  </si>
  <si>
    <t xml:space="preserve"># 65220  </t>
    <phoneticPr fontId="7" type="noConversion"/>
  </si>
  <si>
    <t>외자계약</t>
  </si>
  <si>
    <t>4/2, 12/22</t>
    <phoneticPr fontId="7" type="noConversion"/>
  </si>
  <si>
    <t>-</t>
    <phoneticPr fontId="7" type="noConversion"/>
  </si>
  <si>
    <t xml:space="preserve"> </t>
    <phoneticPr fontId="7" type="noConversion"/>
  </si>
  <si>
    <t>4/21, 12/23</t>
    <phoneticPr fontId="7" type="noConversion"/>
  </si>
  <si>
    <t>수중글라이더 서버 사용료</t>
    <phoneticPr fontId="7" type="noConversion"/>
  </si>
  <si>
    <t>생일도 해양관측부이 긴급점검</t>
    <phoneticPr fontId="7" type="noConversion"/>
  </si>
  <si>
    <t>출장비를 케이블항목으로 변경하여 지출하는 건</t>
    <phoneticPr fontId="7" type="noConversion"/>
  </si>
  <si>
    <t>박정은(유정연)</t>
    <phoneticPr fontId="7" type="noConversion"/>
  </si>
  <si>
    <t>21-268</t>
    <phoneticPr fontId="7" type="noConversion"/>
  </si>
  <si>
    <t>21-119</t>
    <phoneticPr fontId="7" type="noConversion"/>
  </si>
  <si>
    <t>21-367</t>
    <phoneticPr fontId="7" type="noConversion"/>
  </si>
  <si>
    <t>KIGAM</t>
    <phoneticPr fontId="7" type="noConversion"/>
  </si>
  <si>
    <t>지진계(BlueSeis-3A)</t>
    <phoneticPr fontId="7" type="noConversion"/>
  </si>
  <si>
    <t>Ixblue</t>
  </si>
  <si>
    <t>EUR 58,000</t>
    <phoneticPr fontId="7" type="noConversion"/>
  </si>
  <si>
    <t>Benthos</t>
    <phoneticPr fontId="7" type="noConversion"/>
  </si>
  <si>
    <t>Acoustic Release (R2K, R12K)</t>
  </si>
  <si>
    <t>USD 28,845</t>
    <phoneticPr fontId="7" type="noConversion"/>
  </si>
  <si>
    <t>USD 2884.50</t>
    <phoneticPr fontId="7" type="noConversion"/>
  </si>
  <si>
    <t>USD 13,020</t>
    <phoneticPr fontId="7" type="noConversion"/>
  </si>
  <si>
    <t>Magdrone</t>
    <phoneticPr fontId="7" type="noConversion"/>
  </si>
  <si>
    <t>SENSYS</t>
  </si>
  <si>
    <t>EUR 1,330.00</t>
    <phoneticPr fontId="7" type="noConversion"/>
  </si>
  <si>
    <t>Zpulse DCS4830, CT4319A</t>
    <phoneticPr fontId="7" type="noConversion"/>
  </si>
  <si>
    <t>방수 커넥터 및 케이블</t>
    <phoneticPr fontId="7" type="noConversion"/>
  </si>
  <si>
    <t>TC4032-2 and TL8140</t>
    <phoneticPr fontId="7" type="noConversion"/>
  </si>
  <si>
    <t>Parts for Deck Unit (1)</t>
    <phoneticPr fontId="7" type="noConversion"/>
  </si>
  <si>
    <t>5/10, 12/24</t>
    <phoneticPr fontId="7" type="noConversion"/>
  </si>
  <si>
    <t>시화조력 파고파향관측망 제조구매설치</t>
    <phoneticPr fontId="7" type="noConversion"/>
  </si>
  <si>
    <t>7/12, 12/24</t>
    <phoneticPr fontId="7" type="noConversion"/>
  </si>
  <si>
    <t>해양관측부이 수리 및 검교정</t>
    <phoneticPr fontId="7" type="noConversion"/>
  </si>
  <si>
    <t>UTS-9500</t>
    <phoneticPr fontId="7" type="noConversion"/>
  </si>
  <si>
    <t>4/7, 12/23</t>
    <phoneticPr fontId="7" type="noConversion"/>
  </si>
  <si>
    <t>4/9, 12/23</t>
    <phoneticPr fontId="7" type="noConversion"/>
  </si>
  <si>
    <t>4/21, 12/23</t>
    <phoneticPr fontId="7" type="noConversion"/>
  </si>
  <si>
    <t>순천만 조위관측소 이설 장비 구매</t>
    <phoneticPr fontId="7" type="noConversion"/>
  </si>
  <si>
    <t>물품(MOCNESS 채집통 및 배터리팩)</t>
    <phoneticPr fontId="7" type="noConversion"/>
  </si>
  <si>
    <t>채수기 부품</t>
    <phoneticPr fontId="7" type="noConversion"/>
  </si>
  <si>
    <t>압력식 조위계 성능검사 및 검교정</t>
    <phoneticPr fontId="7" type="noConversion"/>
  </si>
  <si>
    <t>안테나 케이블</t>
    <phoneticPr fontId="7" type="noConversion"/>
  </si>
  <si>
    <t>AWS 검교정</t>
    <phoneticPr fontId="7" type="noConversion"/>
  </si>
  <si>
    <t>22년 1월 말 물건 입고 예정..</t>
    <phoneticPr fontId="7" type="noConversion"/>
  </si>
  <si>
    <t xml:space="preserve"> EUR 9,635.00</t>
    <phoneticPr fontId="7" type="noConversion"/>
  </si>
  <si>
    <t>#65718</t>
    <phoneticPr fontId="7" type="noConversion"/>
  </si>
  <si>
    <t>#65398, 65399, 65400, 65401</t>
    <phoneticPr fontId="7" type="noConversion"/>
  </si>
  <si>
    <t>#65740</t>
    <phoneticPr fontId="7" type="noConversion"/>
  </si>
  <si>
    <t>#61218</t>
    <phoneticPr fontId="7" type="noConversion"/>
  </si>
  <si>
    <t>#65719</t>
    <phoneticPr fontId="7" type="noConversion"/>
  </si>
  <si>
    <t>#63958</t>
    <phoneticPr fontId="7" type="noConversion"/>
  </si>
  <si>
    <t>#63799</t>
    <phoneticPr fontId="7" type="noConversion"/>
  </si>
  <si>
    <t>#64303</t>
    <phoneticPr fontId="7" type="noConversion"/>
  </si>
  <si>
    <t>#63878, 63879, 63880, 63881, 63882</t>
    <phoneticPr fontId="7" type="noConversion"/>
  </si>
  <si>
    <t>#52996, 64058</t>
    <phoneticPr fontId="7" type="noConversion"/>
  </si>
  <si>
    <t>#1757</t>
    <phoneticPr fontId="7" type="noConversion"/>
  </si>
  <si>
    <t>#65443</t>
    <phoneticPr fontId="7" type="noConversion"/>
  </si>
  <si>
    <t>#59258, 43380</t>
    <phoneticPr fontId="7" type="noConversion"/>
  </si>
  <si>
    <t>#64339</t>
    <phoneticPr fontId="7" type="noConversion"/>
  </si>
  <si>
    <t>출고 신청 완료(21/12/30)</t>
    <phoneticPr fontId="7" type="noConversion"/>
  </si>
  <si>
    <t>4/26, 11/3, 12/28</t>
    <phoneticPr fontId="7" type="noConversion"/>
  </si>
  <si>
    <t>4/27, 11/5, 12/29</t>
    <phoneticPr fontId="7" type="noConversion"/>
  </si>
  <si>
    <t>12/30,</t>
    <phoneticPr fontId="7" type="noConversion"/>
  </si>
  <si>
    <t>12/24, 12/27</t>
    <phoneticPr fontId="7" type="noConversion"/>
  </si>
  <si>
    <t>11/26, 12/29</t>
    <phoneticPr fontId="7" type="noConversion"/>
  </si>
  <si>
    <t>5/7, 12/23</t>
    <phoneticPr fontId="7" type="noConversion"/>
  </si>
  <si>
    <t>엔지니어링(해양)</t>
    <phoneticPr fontId="7" type="noConversion"/>
  </si>
  <si>
    <t>#65819, 65820, 65821</t>
    <phoneticPr fontId="7" type="noConversion"/>
  </si>
  <si>
    <t>#65720</t>
    <phoneticPr fontId="7" type="noConversion"/>
  </si>
  <si>
    <t>#63638, 63978</t>
    <phoneticPr fontId="7" type="noConversion"/>
  </si>
  <si>
    <t>실물 납품 x</t>
    <phoneticPr fontId="7" type="noConversion"/>
  </si>
  <si>
    <t>#60120, 61278, 61605, 61680, 61681, 61686, 61961, 61962, 62159, 62278, 62299, 62300, 62541, 62542, 62583, 62998, 62999, 63000</t>
    <phoneticPr fontId="7" type="noConversion"/>
  </si>
  <si>
    <t>배터리팩, zinc등 다른 품목이 더 있는 것 같습니다. - 서비스로 제공한 물품입니다</t>
    <phoneticPr fontId="7" type="noConversion"/>
  </si>
  <si>
    <t>#62058</t>
    <phoneticPr fontId="7" type="noConversion"/>
  </si>
  <si>
    <t>#63099</t>
    <phoneticPr fontId="7" type="noConversion"/>
  </si>
  <si>
    <t>#53198</t>
    <phoneticPr fontId="7" type="noConversion"/>
  </si>
  <si>
    <r>
      <t xml:space="preserve"># 58340, 59038, </t>
    </r>
    <r>
      <rPr>
        <b/>
        <strike/>
        <sz val="10"/>
        <color rgb="FF7030A0"/>
        <rFont val="맑은 고딕"/>
        <family val="3"/>
        <charset val="129"/>
        <scheme val="minor"/>
      </rPr>
      <t>59078</t>
    </r>
    <phoneticPr fontId="7" type="noConversion"/>
  </si>
  <si>
    <t># 45738 (2개)</t>
    <phoneticPr fontId="7" type="noConversion"/>
  </si>
  <si>
    <t>UPR x 9ea</t>
    <phoneticPr fontId="7" type="noConversion"/>
  </si>
  <si>
    <t>용역건이며.. DB번호는 위탁재고임 (하선종확인 220107)</t>
    <phoneticPr fontId="7" type="noConversion"/>
  </si>
  <si>
    <t>이상없음 (하선종확인 220107)</t>
    <phoneticPr fontId="7" type="noConversion"/>
  </si>
  <si>
    <t>DB 59078은 삭제요망 (하선종확인 220107)</t>
    <phoneticPr fontId="7" type="noConversion"/>
  </si>
  <si>
    <t>2020년 조치한 출장비 일부(1차) 결제 받음. 교체품목이 있지만 영택에서 물품 입고시 따로 입고를 안 잡았음 (하선종확인 220107)</t>
    <phoneticPr fontId="7" type="noConversion"/>
  </si>
  <si>
    <t>2016년에 지오에 실제로 판매한 물품을 임대 계약으로 처리했었음. 따라서 물품의 최종위치는 오션테크가 되야 할 듯~ (하선종확인 220107)</t>
    <phoneticPr fontId="7" type="noConversion"/>
  </si>
  <si>
    <t>2020년 조치한 출장비 일부(2차) 결제 받음. 교체품목이 있지만 영택에서 물품 입고시 따로 입고를 안 잡았음 (하선종확인 220107)</t>
    <phoneticPr fontId="7" type="noConversion"/>
  </si>
  <si>
    <t>실제 계약 및 납품 수량은 9개입니다. 계약 내용 수정해 놨습니다 (하선종확인 220107)</t>
    <phoneticPr fontId="7" type="noConversion"/>
  </si>
  <si>
    <t>제조사 점검 결과 수리불가로 새제품을 똑같은 시리얼번호로 구매함. 조사협회와는 시리얼이 같아서 수리한 걸로 계약함 (하선종확인 220107)</t>
    <phoneticPr fontId="7" type="noConversion"/>
  </si>
  <si>
    <t>용역건으로 재고번호 해당없음</t>
    <phoneticPr fontId="7" type="noConversion"/>
  </si>
  <si>
    <t>IR-7300 징크 1개는 비공식재고로 납품함 (하선종확인 220107)</t>
    <phoneticPr fontId="7" type="noConversion"/>
  </si>
  <si>
    <t>실장님이 비공식으로 인수한 Falmat 케이블 판매함, 재고번호 없음 (하선종확인 220107)</t>
    <phoneticPr fontId="7" type="noConversion"/>
  </si>
  <si>
    <t>DB #20839는 선조치 후 나중에 처리해 주었음 (하선종확인 220107)</t>
    <phoneticPr fontId="7" type="noConversion"/>
  </si>
  <si>
    <t>22.1/6</t>
    <phoneticPr fontId="7" type="noConversion"/>
  </si>
  <si>
    <t>22.1/3</t>
    <phoneticPr fontId="7" type="noConversion"/>
  </si>
  <si>
    <t>22.1/6</t>
    <phoneticPr fontId="7" type="noConversion"/>
  </si>
  <si>
    <t>OK</t>
    <phoneticPr fontId="7" type="noConversion"/>
  </si>
  <si>
    <t>22.1/11</t>
    <phoneticPr fontId="7" type="noConversion"/>
  </si>
  <si>
    <t>22.1/14</t>
    <phoneticPr fontId="7" type="noConversion"/>
  </si>
  <si>
    <t>22.1/7</t>
    <phoneticPr fontId="7" type="noConversion"/>
  </si>
  <si>
    <t>수중위치반응기 및 추적장치</t>
    <phoneticPr fontId="7" type="noConversion"/>
  </si>
  <si>
    <t>미래해양(국토해양환경기술단)</t>
    <phoneticPr fontId="7" type="noConversion"/>
  </si>
  <si>
    <t>김성철</t>
    <phoneticPr fontId="7" type="noConversion"/>
  </si>
  <si>
    <t>엠에스티(동문시스텍)</t>
    <phoneticPr fontId="7" type="noConversion"/>
  </si>
  <si>
    <t># 58320, 61678, 61699, 64541</t>
    <phoneticPr fontId="7" type="noConversion"/>
  </si>
  <si>
    <t># 58319, 61678, 61679, 61698, 64540</t>
    <phoneticPr fontId="7" type="noConversion"/>
  </si>
  <si>
    <t>영업부
추가확인필요</t>
    <phoneticPr fontId="7" type="noConversion"/>
  </si>
  <si>
    <t>사업팀(고태호)</t>
    <phoneticPr fontId="7" type="noConversion"/>
  </si>
  <si>
    <t>#62201, 62202, 62203</t>
    <phoneticPr fontId="7" type="noConversion"/>
  </si>
  <si>
    <t>#65418, 65744,</t>
    <phoneticPr fontId="7" type="noConversion"/>
  </si>
  <si>
    <t>#65778</t>
    <phoneticPr fontId="7" type="noConversion"/>
  </si>
  <si>
    <t>2022년 입고 예정</t>
    <phoneticPr fontId="7" type="noConversion"/>
  </si>
  <si>
    <t>용역 건으로 재고번호 해당없음</t>
    <phoneticPr fontId="7" type="noConversion"/>
  </si>
  <si>
    <t>#62998, 62999</t>
    <phoneticPr fontId="7" type="noConversion"/>
  </si>
  <si>
    <t>#11716</t>
    <phoneticPr fontId="7" type="noConversion"/>
  </si>
  <si>
    <t xml:space="preserve">#59238  </t>
    <phoneticPr fontId="7" type="noConversion"/>
  </si>
  <si>
    <t># 63590 , 63591</t>
    <phoneticPr fontId="7" type="noConversion"/>
  </si>
  <si>
    <t>#65542</t>
    <phoneticPr fontId="7" type="noConversion"/>
  </si>
  <si>
    <t>#62806</t>
    <phoneticPr fontId="7" type="noConversion"/>
  </si>
  <si>
    <t>#65938, 65939</t>
    <phoneticPr fontId="7" type="noConversion"/>
  </si>
  <si>
    <t xml:space="preserve">#21245  </t>
    <phoneticPr fontId="7" type="noConversion"/>
  </si>
  <si>
    <t>실제 물건은 2022년 입고 및 납품 예정</t>
    <phoneticPr fontId="7" type="noConversion"/>
  </si>
  <si>
    <t>2022년 입고 및 납품 예정</t>
    <phoneticPr fontId="7" type="noConversion"/>
  </si>
  <si>
    <t>2022년 입고</t>
    <phoneticPr fontId="7" type="noConversion"/>
  </si>
  <si>
    <t>OK</t>
    <phoneticPr fontId="7" type="noConversion"/>
  </si>
  <si>
    <t># 43158</t>
    <phoneticPr fontId="7" type="noConversion"/>
  </si>
  <si>
    <t>#62420</t>
    <phoneticPr fontId="7" type="noConversion"/>
  </si>
  <si>
    <t>문홍배(신용은)</t>
    <phoneticPr fontId="7" type="noConversion"/>
  </si>
  <si>
    <t xml:space="preserve">교체품목 있는지 확인부탁드립니다./교체품목은 있으나 수리부품이라 입고잡기 애매함 </t>
    <phoneticPr fontId="7" type="noConversion"/>
  </si>
  <si>
    <t xml:space="preserve">교체품목은 있으나 수리부품이라 입고잡기 애매함  </t>
    <phoneticPr fontId="7" type="noConversion"/>
  </si>
  <si>
    <t>제조사 수리 완료후 문제가 발생하여 재 입고됨 DB#64838 (하선종확인 220107)/수리하였으니 다시 문제가 생겨서 재 입고되면서 DB 번호가 재생산되었고, 아직 청구하지 못함</t>
    <phoneticPr fontId="7" type="noConversion"/>
  </si>
  <si>
    <t>미입고/완제품에 부품으로 납품처리완료/부품입고 후 교체예정</t>
    <phoneticPr fontId="7" type="noConversion"/>
  </si>
  <si>
    <t>OK</t>
    <phoneticPr fontId="7" type="noConversion"/>
  </si>
  <si>
    <t>#57378, 57379</t>
    <phoneticPr fontId="7" type="noConversion"/>
  </si>
  <si>
    <t>다운 확인(220119)</t>
    <phoneticPr fontId="7" type="noConversion"/>
  </si>
  <si>
    <t>다운확인 ; 4식 먼저 납품, 6식은 2022년 납품 예정 (220119)</t>
    <phoneticPr fontId="7" type="noConversion"/>
  </si>
  <si>
    <t># 63598, 62838</t>
    <phoneticPr fontId="7" type="noConversion"/>
  </si>
  <si>
    <t>#18065 (오션데모)-예산부족 및 신품 구매시 기간이 안 맞아서 가지고 있는 거 파는 개념으로 정리..</t>
    <phoneticPr fontId="7" type="noConversion"/>
  </si>
  <si>
    <t>소모성재고로 수리하여 재고번호 없음</t>
    <phoneticPr fontId="7" type="noConversion"/>
  </si>
  <si>
    <t>하선종 확인</t>
    <phoneticPr fontId="7" type="noConversion"/>
  </si>
  <si>
    <t>#63658</t>
    <phoneticPr fontId="7" type="noConversion"/>
  </si>
  <si>
    <t>계약취소</t>
    <phoneticPr fontId="7" type="noConversion"/>
  </si>
  <si>
    <t>수출(외자 계약) / #51011, #51012</t>
    <phoneticPr fontId="7" type="noConversion"/>
  </si>
  <si>
    <t>내용 업데이트 완료(다운, 21.01.19)</t>
    <phoneticPr fontId="7" type="noConversion"/>
  </si>
  <si>
    <t>내용 업데이트 완료(21.01.19)</t>
    <phoneticPr fontId="7" type="noConversion"/>
  </si>
  <si>
    <t>내용 업데이트 완료(이학용, 21.01.19)</t>
    <phoneticPr fontId="7" type="noConversion"/>
  </si>
  <si>
    <t>9월 27일 날짜로 출고신청 완료 (이학용, 21.11.18)</t>
    <phoneticPr fontId="7" type="noConversion"/>
  </si>
  <si>
    <t>5월 18일 날짜로 출고요청 완료 (이학용, 21.11.18)</t>
    <phoneticPr fontId="7" type="noConversion"/>
  </si>
  <si>
    <t>7월 23일 날짜로 출고 신청 완료 (이학용, 21.11.18)</t>
    <phoneticPr fontId="7" type="noConversion"/>
  </si>
  <si>
    <t>확인완료(1/20)</t>
    <phoneticPr fontId="7" type="noConversion"/>
  </si>
  <si>
    <t>용역건임 (문홍배확인 1/20)</t>
    <phoneticPr fontId="7" type="noConversion"/>
  </si>
  <si>
    <t>보험</t>
    <phoneticPr fontId="7" type="noConversion"/>
  </si>
  <si>
    <t>업데이트 완료(1/20)</t>
    <phoneticPr fontId="7" type="noConversion"/>
  </si>
  <si>
    <t>1/25 납품 예정</t>
    <phoneticPr fontId="7" type="noConversion"/>
  </si>
  <si>
    <t>확인 완료(1/20)</t>
    <phoneticPr fontId="7" type="noConversion"/>
  </si>
  <si>
    <t>루딕스 개통비용, DB없음</t>
    <phoneticPr fontId="7" type="noConversion"/>
  </si>
  <si>
    <t>출고신청 완료 (21.01.20)</t>
    <phoneticPr fontId="7" type="noConversion"/>
  </si>
  <si>
    <t>출고신청되어있는데요,,,(1/20 확인)</t>
    <phoneticPr fontId="7" type="noConversion"/>
  </si>
  <si>
    <t>이상없음(문홍배 확인 1/20)</t>
    <phoneticPr fontId="7" type="noConversion"/>
  </si>
  <si>
    <t>확인완료(문홍배 1/20)</t>
    <phoneticPr fontId="7" type="noConversion"/>
  </si>
  <si>
    <t>이상없음(문홍배 1/20)</t>
    <phoneticPr fontId="7" type="noConversion"/>
  </si>
  <si>
    <t>사업팀에서 출고 완료했다고 확인 받음(이학용, 22.01.20)</t>
  </si>
  <si>
    <t>3월20일 날짜로 출고 신청 완료(박정은, 22.01.20)</t>
    <phoneticPr fontId="7" type="noConversion"/>
  </si>
  <si>
    <t>7월 29일 날짜로 출고신청완료(박정은 22/1/20)</t>
    <phoneticPr fontId="7" type="noConversion"/>
  </si>
  <si>
    <t>이상없음 (하선종확인 220107)/11월9일 날짜로 출고신청 완료(박정은 22/01/20)</t>
    <phoneticPr fontId="7" type="noConversion"/>
  </si>
  <si>
    <t>8월 26일 날짜로 출고신청 완료(박정은 22/01/20)</t>
    <phoneticPr fontId="7" type="noConversion"/>
  </si>
  <si>
    <t>박정은 확인 (22/01/20)</t>
    <phoneticPr fontId="7" type="noConversion"/>
  </si>
  <si>
    <t># 34659 (2개), 60818 (4개), 59818, #39340</t>
    <phoneticPr fontId="7" type="noConversion"/>
  </si>
  <si>
    <t>사업팀과 재고번호 확인 완료(이학용, 22.01.20)</t>
    <phoneticPr fontId="7" type="noConversion"/>
  </si>
  <si>
    <t>사업팀에서 관리팀에 확인하였는데 입출고 잡을 필요 없다고 답변 받았다고 함</t>
    <phoneticPr fontId="7" type="noConversion"/>
  </si>
  <si>
    <t>사업팀 확인 (이학용, 21.01.20)</t>
    <phoneticPr fontId="7" type="noConversion"/>
  </si>
  <si>
    <t>#66127</t>
    <phoneticPr fontId="7" type="noConversion"/>
  </si>
  <si>
    <t>OK</t>
    <phoneticPr fontId="7" type="noConversion"/>
  </si>
  <si>
    <t>OK</t>
    <phoneticPr fontId="7" type="noConversion"/>
  </si>
  <si>
    <t>이부장확인</t>
    <phoneticPr fontId="7" type="noConversion"/>
  </si>
  <si>
    <t>소모품계정 물품</t>
    <phoneticPr fontId="7" type="noConversion"/>
  </si>
  <si>
    <t xml:space="preserve">#66129/ 나머지는 2022년 입고 </t>
    <phoneticPr fontId="7" type="noConversion"/>
  </si>
  <si>
    <t>영해기점(소령도) 조위계 케이블 2식</t>
    <phoneticPr fontId="7" type="noConversion"/>
  </si>
  <si>
    <t>출고처리OK</t>
    <phoneticPr fontId="7" type="noConversion"/>
  </si>
  <si>
    <t>영업부 재고번호 기재</t>
    <phoneticPr fontId="7" type="noConversion"/>
  </si>
  <si>
    <t>누락된것 (관리부추가)</t>
    <phoneticPr fontId="7" type="noConversion"/>
  </si>
  <si>
    <t>Ok</t>
    <phoneticPr fontId="7" type="noConversion"/>
  </si>
  <si>
    <t>계약# 입력OK</t>
    <phoneticPr fontId="7" type="noConversion"/>
  </si>
  <si>
    <t>원가없는재고OK</t>
    <phoneticPr fontId="7" type="noConversion"/>
  </si>
  <si>
    <t>확인OK</t>
    <phoneticPr fontId="7" type="noConversion"/>
  </si>
  <si>
    <t>확인OK</t>
    <phoneticPr fontId="7" type="noConversion"/>
  </si>
  <si>
    <t>재확인필요</t>
    <phoneticPr fontId="7" type="noConversion"/>
  </si>
  <si>
    <t>확인OK</t>
    <phoneticPr fontId="7" type="noConversion"/>
  </si>
  <si>
    <t>출고처리OK</t>
    <phoneticPr fontId="7" type="noConversion"/>
  </si>
  <si>
    <t>일단OK</t>
    <phoneticPr fontId="7" type="noConversion"/>
  </si>
  <si>
    <t>확인OK</t>
    <phoneticPr fontId="7" type="noConversion"/>
  </si>
  <si>
    <t>출고처리OK</t>
    <phoneticPr fontId="7" type="noConversion"/>
  </si>
  <si>
    <t>LED Sealite Cable</t>
    <phoneticPr fontId="7" type="noConversion"/>
  </si>
  <si>
    <t>22.1/22</t>
    <phoneticPr fontId="7" type="noConversion"/>
  </si>
  <si>
    <t>22.1/21</t>
    <phoneticPr fontId="7" type="noConversion"/>
  </si>
  <si>
    <t>확인Ok</t>
    <phoneticPr fontId="7" type="noConversion"/>
  </si>
  <si>
    <t>확인OK</t>
    <phoneticPr fontId="7" type="noConversion"/>
  </si>
  <si>
    <t>확인OK</t>
    <phoneticPr fontId="7" type="noConversion"/>
  </si>
  <si>
    <t>해당건이 #64838??아닌데</t>
    <phoneticPr fontId="7" type="noConversion"/>
  </si>
  <si>
    <t># 54567, 54568, 54569, 54570, 54571, 54572, 54573, 54574, 61198</t>
    <phoneticPr fontId="7" type="noConversion"/>
  </si>
  <si>
    <t>확인OK</t>
    <phoneticPr fontId="7" type="noConversion"/>
  </si>
  <si>
    <t>65512, 65513, 65518, 65519</t>
    <phoneticPr fontId="7" type="noConversion"/>
  </si>
  <si>
    <r>
      <t xml:space="preserve">용역건/ </t>
    </r>
    <r>
      <rPr>
        <b/>
        <sz val="10"/>
        <color rgb="FFFF0000"/>
        <rFont val="맑은 고딕"/>
        <family val="3"/>
        <charset val="129"/>
        <scheme val="minor"/>
      </rPr>
      <t>#65098(4분기청구)</t>
    </r>
    <r>
      <rPr>
        <b/>
        <sz val="10"/>
        <color theme="1"/>
        <rFont val="맑은 고딕"/>
        <family val="3"/>
        <charset val="129"/>
        <scheme val="minor"/>
      </rPr>
      <t>,</t>
    </r>
    <phoneticPr fontId="7" type="noConversion"/>
  </si>
  <si>
    <t>영택 거래처원장</t>
    <phoneticPr fontId="7" type="noConversion"/>
  </si>
  <si>
    <t>취소OK</t>
    <phoneticPr fontId="7" type="noConversion"/>
  </si>
  <si>
    <r>
      <rPr>
        <b/>
        <sz val="10"/>
        <color rgb="FFFF0000"/>
        <rFont val="맑은 고딕"/>
        <family val="3"/>
        <charset val="129"/>
        <scheme val="minor"/>
      </rPr>
      <t>확인OK</t>
    </r>
    <r>
      <rPr>
        <b/>
        <sz val="10"/>
        <color theme="5"/>
        <rFont val="맑은 고딕"/>
        <family val="3"/>
        <charset val="129"/>
        <scheme val="minor"/>
      </rPr>
      <t xml:space="preserve"> #39340 서비스 차원으로 제공(2021.01.20.)_김진수 차장님 확인완료</t>
    </r>
    <phoneticPr fontId="7" type="noConversion"/>
  </si>
  <si>
    <t>확인OK</t>
    <phoneticPr fontId="7" type="noConversion"/>
  </si>
  <si>
    <t>확인OK</t>
    <phoneticPr fontId="7" type="noConversion"/>
  </si>
  <si>
    <t>재확인필요</t>
    <phoneticPr fontId="7" type="noConversion"/>
  </si>
  <si>
    <t xml:space="preserve"> 21년 2월AS포함?</t>
    <phoneticPr fontId="7" type="noConversion"/>
  </si>
  <si>
    <t>확인OK</t>
    <phoneticPr fontId="7" type="noConversion"/>
  </si>
  <si>
    <t>출고처리OK</t>
    <phoneticPr fontId="7" type="noConversion"/>
  </si>
  <si>
    <t>추가품목 더 있을듯…수리비청구</t>
    <phoneticPr fontId="7" type="noConversion"/>
  </si>
  <si>
    <r>
      <t xml:space="preserve">#62420, </t>
    </r>
    <r>
      <rPr>
        <b/>
        <sz val="10"/>
        <color rgb="FFFF0000"/>
        <rFont val="맑은 고딕"/>
        <family val="3"/>
        <charset val="129"/>
        <scheme val="minor"/>
      </rPr>
      <t>#47861가 맞음_22.01.23정정</t>
    </r>
    <phoneticPr fontId="7" type="noConversion"/>
  </si>
  <si>
    <t>#58978(하우징3개), 50998, 51000, 51002</t>
    <phoneticPr fontId="7" type="noConversion"/>
  </si>
  <si>
    <t>확인OK</t>
    <phoneticPr fontId="7" type="noConversion"/>
  </si>
  <si>
    <t>확인OK</t>
    <phoneticPr fontId="7" type="noConversion"/>
  </si>
  <si>
    <t>고은확인</t>
    <phoneticPr fontId="7" type="noConversion"/>
  </si>
  <si>
    <r>
      <t># 61718</t>
    </r>
    <r>
      <rPr>
        <b/>
        <sz val="10"/>
        <color rgb="FF7030A0"/>
        <rFont val="맑은 고딕"/>
        <family val="3"/>
        <charset val="129"/>
        <scheme val="minor"/>
      </rPr>
      <t xml:space="preserve"> (해당과업건 점검3회차랑 상계처리)</t>
    </r>
    <phoneticPr fontId="7" type="noConversion"/>
  </si>
  <si>
    <t># 61858, 61859, 61860, 61861, 61862, 61863, 61864, 61865, 61866, 61867, 61868, 61869, 61870, 61871, 61872, 61873, 61874, 61875, 61876, 61877</t>
    <phoneticPr fontId="7" type="noConversion"/>
  </si>
  <si>
    <t>확인OK</t>
    <phoneticPr fontId="7" type="noConversion"/>
  </si>
  <si>
    <t>22.01.25 추가</t>
    <phoneticPr fontId="7" type="noConversion"/>
  </si>
  <si>
    <t>품목3개 단가없음</t>
    <phoneticPr fontId="7" type="noConversion"/>
  </si>
  <si>
    <t>다른물품투입없는지?</t>
    <phoneticPr fontId="7" type="noConversion"/>
  </si>
  <si>
    <t>확인OK</t>
    <phoneticPr fontId="7" type="noConversion"/>
  </si>
  <si>
    <t>확인OK</t>
    <phoneticPr fontId="7" type="noConversion"/>
  </si>
  <si>
    <t>확인OK</t>
    <phoneticPr fontId="7" type="noConversion"/>
  </si>
  <si>
    <t>확인OK</t>
    <phoneticPr fontId="7" type="noConversion"/>
  </si>
  <si>
    <t>Niskin 5L - 2대</t>
    <phoneticPr fontId="7" type="noConversion"/>
  </si>
  <si>
    <t>확인OK</t>
    <phoneticPr fontId="7" type="noConversion"/>
  </si>
  <si>
    <t>확인OK</t>
    <phoneticPr fontId="7" type="noConversion"/>
  </si>
  <si>
    <t>확인OK</t>
    <phoneticPr fontId="7" type="noConversion"/>
  </si>
  <si>
    <t>#65298, 66199</t>
    <phoneticPr fontId="7" type="noConversion"/>
  </si>
  <si>
    <t>10/22, 22.1/25</t>
    <phoneticPr fontId="7" type="noConversion"/>
  </si>
  <si>
    <t>22.1/12</t>
    <phoneticPr fontId="7" type="noConversion"/>
  </si>
  <si>
    <t>22.1/25</t>
    <phoneticPr fontId="7" type="noConversion"/>
  </si>
  <si>
    <t>#60162, 60499, 61006,  61007,61008,61009,61010, 61011, 61012, 61778, 61898,  61899,61902,61903, 62038, 62039,  62301, 62318, 62398 , 62400, 64220</t>
    <phoneticPr fontId="7" type="noConversion"/>
  </si>
  <si>
    <t>22.1/25</t>
    <phoneticPr fontId="7" type="noConversion"/>
  </si>
  <si>
    <t>22.2/4</t>
    <phoneticPr fontId="7" type="noConversion"/>
  </si>
  <si>
    <t>#57103 청구여부</t>
    <phoneticPr fontId="7" type="noConversion"/>
  </si>
  <si>
    <t># 50959</t>
    <phoneticPr fontId="7" type="noConversion"/>
  </si>
  <si>
    <r>
      <t xml:space="preserve"># 58478, </t>
    </r>
    <r>
      <rPr>
        <b/>
        <sz val="10"/>
        <color rgb="FFFF0000"/>
        <rFont val="맑은 고딕"/>
        <family val="3"/>
        <charset val="129"/>
        <scheme val="minor"/>
      </rPr>
      <t>59198</t>
    </r>
    <r>
      <rPr>
        <b/>
        <sz val="10"/>
        <color theme="1"/>
        <rFont val="맑은 고딕"/>
        <family val="3"/>
        <charset val="129"/>
        <scheme val="minor"/>
      </rPr>
      <t>, 57718, 57719, 57720, 57721, 57722, 58958, 58959, 58600, 58601</t>
    </r>
    <phoneticPr fontId="7" type="noConversion"/>
  </si>
  <si>
    <t># 54598, 60129</t>
    <phoneticPr fontId="7" type="noConversion"/>
  </si>
  <si>
    <r>
      <rPr>
        <b/>
        <sz val="10"/>
        <color rgb="FFFF0000"/>
        <rFont val="맑은 고딕"/>
        <family val="3"/>
        <charset val="129"/>
        <scheme val="minor"/>
      </rPr>
      <t># 59579</t>
    </r>
    <r>
      <rPr>
        <b/>
        <sz val="10"/>
        <color theme="1"/>
        <rFont val="맑은 고딕"/>
        <family val="3"/>
        <charset val="129"/>
        <scheme val="minor"/>
      </rPr>
      <t>, 59442, 59443</t>
    </r>
    <r>
      <rPr>
        <b/>
        <sz val="10"/>
        <color rgb="FFFF0000"/>
        <rFont val="맑은 고딕"/>
        <family val="3"/>
        <charset val="129"/>
        <scheme val="minor"/>
      </rPr>
      <t>, 60260</t>
    </r>
    <phoneticPr fontId="7" type="noConversion"/>
  </si>
  <si>
    <r>
      <rPr>
        <b/>
        <sz val="10"/>
        <color rgb="FFFF0000"/>
        <rFont val="맑은 고딕"/>
        <family val="3"/>
        <charset val="129"/>
        <scheme val="minor"/>
      </rPr>
      <t># 60298 , 60299 ,  60300 , 60301 , 60302</t>
    </r>
    <r>
      <rPr>
        <b/>
        <sz val="10"/>
        <color theme="1"/>
        <rFont val="맑은 고딕"/>
        <family val="3"/>
        <charset val="129"/>
        <scheme val="minor"/>
      </rPr>
      <t>,</t>
    </r>
    <r>
      <rPr>
        <b/>
        <sz val="10"/>
        <color rgb="FF7030A0"/>
        <rFont val="맑은 고딕"/>
        <family val="3"/>
        <charset val="129"/>
        <scheme val="minor"/>
      </rPr>
      <t xml:space="preserve"> </t>
    </r>
    <r>
      <rPr>
        <b/>
        <sz val="10"/>
        <color rgb="FFFF0000"/>
        <rFont val="맑은 고딕"/>
        <family val="3"/>
        <charset val="129"/>
        <scheme val="minor"/>
      </rPr>
      <t>60798</t>
    </r>
    <phoneticPr fontId="7" type="noConversion"/>
  </si>
  <si>
    <t>미출고건 다수있음…출고신청요망</t>
    <phoneticPr fontId="7" type="noConversion"/>
  </si>
  <si>
    <t>확인OK</t>
    <phoneticPr fontId="7" type="noConversion"/>
  </si>
  <si>
    <t>확인필요</t>
    <phoneticPr fontId="7" type="noConversion"/>
  </si>
  <si>
    <t>61138, 61139</t>
    <phoneticPr fontId="7" type="noConversion"/>
  </si>
  <si>
    <t># 61258, 61621</t>
    <phoneticPr fontId="7" type="noConversion"/>
  </si>
  <si>
    <t>#61993, 61994, 61995, 61996, 61997, 61998, 61999, 62000, 62001, 62002</t>
    <phoneticPr fontId="7" type="noConversion"/>
  </si>
  <si>
    <t>미출고건들 다수 보여짐/ 출고신청 마무리필요</t>
    <phoneticPr fontId="7" type="noConversion"/>
  </si>
  <si>
    <t># 64024 로 수정함</t>
    <phoneticPr fontId="7" type="noConversion"/>
  </si>
  <si>
    <t>#63493, 63494, 63495, 63496</t>
    <phoneticPr fontId="7" type="noConversion"/>
  </si>
  <si>
    <t>확인OK</t>
    <phoneticPr fontId="7" type="noConversion"/>
  </si>
  <si>
    <r>
      <rPr>
        <b/>
        <sz val="10"/>
        <color rgb="FFFF0000"/>
        <rFont val="맑은 고딕"/>
        <family val="3"/>
        <charset val="129"/>
        <scheme val="minor"/>
      </rPr>
      <t>#61478, 61498,</t>
    </r>
    <r>
      <rPr>
        <b/>
        <sz val="10"/>
        <color theme="1"/>
        <rFont val="맑은 고딕"/>
        <family val="3"/>
        <charset val="129"/>
        <scheme val="minor"/>
      </rPr>
      <t xml:space="preserve"> </t>
    </r>
    <r>
      <rPr>
        <b/>
        <sz val="10"/>
        <color rgb="FFFF0000"/>
        <rFont val="맑은 고딕"/>
        <family val="3"/>
        <charset val="129"/>
        <scheme val="minor"/>
      </rPr>
      <t>#64358, 64359</t>
    </r>
    <phoneticPr fontId="7" type="noConversion"/>
  </si>
  <si>
    <t>64558, 64559</t>
    <phoneticPr fontId="7" type="noConversion"/>
  </si>
  <si>
    <t>계약번호방에 거래명세표 보완필요</t>
    <phoneticPr fontId="7" type="noConversion"/>
  </si>
  <si>
    <t>확인OK</t>
    <phoneticPr fontId="7" type="noConversion"/>
  </si>
  <si>
    <t>확인OK</t>
    <phoneticPr fontId="7" type="noConversion"/>
  </si>
  <si>
    <t>원가는 비용처리</t>
    <phoneticPr fontId="7" type="noConversion"/>
  </si>
  <si>
    <t>데모용으로 남아있는제품</t>
    <phoneticPr fontId="7" type="noConversion"/>
  </si>
  <si>
    <t>64801~64822, 66100</t>
    <phoneticPr fontId="7" type="noConversion"/>
  </si>
  <si>
    <t>확인OK</t>
    <phoneticPr fontId="7" type="noConversion"/>
  </si>
  <si>
    <t>누락건 확인필요</t>
    <phoneticPr fontId="7" type="noConversion"/>
  </si>
  <si>
    <t>확인OK</t>
    <phoneticPr fontId="7" type="noConversion"/>
  </si>
  <si>
    <t>확인OK</t>
    <phoneticPr fontId="7" type="noConversion"/>
  </si>
  <si>
    <t>#49021, 65438, 65439, 65440, 65441</t>
    <phoneticPr fontId="7" type="noConversion"/>
  </si>
  <si>
    <t>확인OK</t>
    <phoneticPr fontId="7" type="noConversion"/>
  </si>
  <si>
    <t>확인OK</t>
    <phoneticPr fontId="7" type="noConversion"/>
  </si>
  <si>
    <t>확인OK</t>
    <phoneticPr fontId="7" type="noConversion"/>
  </si>
  <si>
    <t>22.2/8</t>
    <phoneticPr fontId="7" type="noConversion"/>
  </si>
  <si>
    <t>9/17, 22.1/7</t>
    <phoneticPr fontId="7" type="noConversion"/>
  </si>
  <si>
    <t>9/17, 22.2/10</t>
    <phoneticPr fontId="7" type="noConversion"/>
  </si>
  <si>
    <t>오셔너트코리아(조사협회 소령도)</t>
    <phoneticPr fontId="7" type="noConversion"/>
  </si>
  <si>
    <t xml:space="preserve">#57378, 57379 (출고신청 해야함) #105건과 중복 </t>
    <phoneticPr fontId="7" type="noConversion"/>
  </si>
  <si>
    <t>61102, 61103이 맞음</t>
    <phoneticPr fontId="7" type="noConversion"/>
  </si>
  <si>
    <t>220216 하선종최종확인</t>
    <phoneticPr fontId="7" type="noConversion"/>
  </si>
  <si>
    <t>그룹,ERP수정완료</t>
    <phoneticPr fontId="7" type="noConversion"/>
  </si>
  <si>
    <t xml:space="preserve"># 59438     </t>
    <phoneticPr fontId="7" type="noConversion"/>
  </si>
  <si>
    <t>원가가없음</t>
    <phoneticPr fontId="7" type="noConversion"/>
  </si>
  <si>
    <t>심부장님께 재문의필요</t>
    <phoneticPr fontId="7" type="noConversion"/>
  </si>
  <si>
    <t>용역건이라서 관련 재고 번호 없음 / 소모성배터리만 보임</t>
    <phoneticPr fontId="7" type="noConversion"/>
  </si>
  <si>
    <t>20년기말재고</t>
    <phoneticPr fontId="7" type="noConversion"/>
  </si>
  <si>
    <t>관리부 
추적필요</t>
    <phoneticPr fontId="7" type="noConversion"/>
  </si>
  <si>
    <t>상품</t>
    <phoneticPr fontId="7" type="noConversion"/>
  </si>
  <si>
    <t>"</t>
    <phoneticPr fontId="7" type="noConversion"/>
  </si>
  <si>
    <t>"</t>
    <phoneticPr fontId="7" type="noConversion"/>
  </si>
  <si>
    <t>납품확인서 체크필요</t>
    <phoneticPr fontId="7" type="noConversion"/>
  </si>
  <si>
    <t>57358, 66288, 66289</t>
    <phoneticPr fontId="7" type="noConversion"/>
  </si>
  <si>
    <t>확인OK</t>
    <phoneticPr fontId="7" type="noConversion"/>
  </si>
  <si>
    <t>22.2/16</t>
    <phoneticPr fontId="7" type="noConversion"/>
  </si>
  <si>
    <t>22.2/15</t>
    <phoneticPr fontId="7" type="noConversion"/>
  </si>
  <si>
    <t>22.1/5</t>
    <phoneticPr fontId="7" type="noConversion"/>
  </si>
  <si>
    <t>61918~9,61682~5,61687~92, 62238, 65038~9</t>
    <phoneticPr fontId="7" type="noConversion"/>
  </si>
  <si>
    <t># 61038, 61540</t>
    <phoneticPr fontId="7" type="noConversion"/>
  </si>
  <si>
    <t>#61978, 61979, 61980, 61981, 61982, 61983, 61984, 61985, 61986, 61987, 61988, 69190, 61991, 61992</t>
    <phoneticPr fontId="7" type="noConversion"/>
  </si>
  <si>
    <r>
      <t>#</t>
    </r>
    <r>
      <rPr>
        <b/>
        <sz val="10"/>
        <color rgb="FFFF0000"/>
        <rFont val="맑은 고딕"/>
        <family val="3"/>
        <charset val="129"/>
        <scheme val="minor"/>
      </rPr>
      <t xml:space="preserve"> 28359, 35861</t>
    </r>
    <r>
      <rPr>
        <b/>
        <sz val="10"/>
        <color theme="1"/>
        <rFont val="맑은 고딕"/>
        <family val="3"/>
        <charset val="129"/>
        <scheme val="minor"/>
      </rPr>
      <t xml:space="preserve">, </t>
    </r>
    <r>
      <rPr>
        <b/>
        <sz val="10"/>
        <color rgb="FFFF0000"/>
        <rFont val="맑은 고딕"/>
        <family val="3"/>
        <charset val="129"/>
        <scheme val="minor"/>
      </rPr>
      <t>42478</t>
    </r>
    <r>
      <rPr>
        <b/>
        <sz val="10"/>
        <color theme="1"/>
        <rFont val="맑은 고딕"/>
        <family val="3"/>
        <charset val="129"/>
        <scheme val="minor"/>
      </rPr>
      <t xml:space="preserve">, </t>
    </r>
    <r>
      <rPr>
        <b/>
        <sz val="10"/>
        <color rgb="FFFF0000"/>
        <rFont val="맑은 고딕"/>
        <family val="3"/>
        <charset val="129"/>
        <scheme val="minor"/>
      </rPr>
      <t>55628</t>
    </r>
    <r>
      <rPr>
        <b/>
        <sz val="10"/>
        <color theme="1"/>
        <rFont val="맑은 고딕"/>
        <family val="3"/>
        <charset val="129"/>
        <scheme val="minor"/>
      </rPr>
      <t xml:space="preserve">, </t>
    </r>
    <r>
      <rPr>
        <b/>
        <sz val="10"/>
        <color rgb="FFFF0000"/>
        <rFont val="맑은 고딕"/>
        <family val="3"/>
        <charset val="129"/>
        <scheme val="minor"/>
      </rPr>
      <t>55629, 55630, 55631</t>
    </r>
    <r>
      <rPr>
        <b/>
        <sz val="10"/>
        <color theme="1"/>
        <rFont val="맑은 고딕"/>
        <family val="3"/>
        <charset val="129"/>
        <scheme val="minor"/>
      </rPr>
      <t xml:space="preserve">, </t>
    </r>
    <r>
      <rPr>
        <b/>
        <sz val="10"/>
        <color rgb="FFFF0000"/>
        <rFont val="맑은 고딕"/>
        <family val="3"/>
        <charset val="129"/>
        <scheme val="minor"/>
      </rPr>
      <t>55959</t>
    </r>
    <r>
      <rPr>
        <b/>
        <sz val="10"/>
        <color theme="1"/>
        <rFont val="맑은 고딕"/>
        <family val="3"/>
        <charset val="129"/>
        <scheme val="minor"/>
      </rPr>
      <t xml:space="preserve">, </t>
    </r>
    <r>
      <rPr>
        <b/>
        <sz val="10"/>
        <color rgb="FFFF0000"/>
        <rFont val="맑은 고딕"/>
        <family val="3"/>
        <charset val="129"/>
        <scheme val="minor"/>
      </rPr>
      <t>58622, 58623</t>
    </r>
    <r>
      <rPr>
        <b/>
        <sz val="10"/>
        <color theme="1"/>
        <rFont val="맑은 고딕"/>
        <family val="3"/>
        <charset val="129"/>
        <scheme val="minor"/>
      </rPr>
      <t xml:space="preserve">, </t>
    </r>
    <r>
      <rPr>
        <b/>
        <sz val="10"/>
        <color rgb="FFFF0000"/>
        <rFont val="맑은 고딕"/>
        <family val="3"/>
        <charset val="129"/>
        <scheme val="minor"/>
      </rPr>
      <t>59439</t>
    </r>
    <r>
      <rPr>
        <b/>
        <sz val="10"/>
        <color theme="1"/>
        <rFont val="맑은 고딕"/>
        <family val="3"/>
        <charset val="129"/>
        <scheme val="minor"/>
      </rPr>
      <t xml:space="preserve">, 59998, </t>
    </r>
    <r>
      <rPr>
        <b/>
        <sz val="10"/>
        <color rgb="FFFF0000"/>
        <rFont val="맑은 고딕"/>
        <family val="3"/>
        <charset val="129"/>
        <scheme val="minor"/>
      </rPr>
      <t>60578</t>
    </r>
    <r>
      <rPr>
        <b/>
        <sz val="10"/>
        <color theme="1"/>
        <rFont val="맑은 고딕"/>
        <family val="3"/>
        <charset val="129"/>
        <scheme val="minor"/>
      </rPr>
      <t>,</t>
    </r>
    <r>
      <rPr>
        <b/>
        <sz val="10"/>
        <color rgb="FFFF0000"/>
        <rFont val="맑은 고딕"/>
        <family val="3"/>
        <charset val="129"/>
        <scheme val="minor"/>
      </rPr>
      <t xml:space="preserve"> 63219</t>
    </r>
    <phoneticPr fontId="7" type="noConversion"/>
  </si>
  <si>
    <t>57358, 55632, 45738,42658, 41049, 49021</t>
    <phoneticPr fontId="7" type="noConversion"/>
  </si>
  <si>
    <t># 60450 , 60498 , 61919</t>
    <phoneticPr fontId="7" type="noConversion"/>
  </si>
  <si>
    <t># 62738, 63520</t>
    <phoneticPr fontId="7" type="noConversion"/>
  </si>
  <si>
    <t># 60420, 61100, 61101</t>
    <phoneticPr fontId="7" type="noConversion"/>
  </si>
  <si>
    <t>49021(8)</t>
    <phoneticPr fontId="7" type="noConversion"/>
  </si>
  <si>
    <t># 58238, 58239, 58240, 58258, 58259, 58260, 58261, 59740</t>
    <phoneticPr fontId="7" type="noConversion"/>
  </si>
  <si>
    <t># 21256, 21259, 21260</t>
    <phoneticPr fontId="7" type="noConversion"/>
  </si>
  <si>
    <t>데모용 -지오장기대여</t>
    <phoneticPr fontId="7" type="noConversion"/>
  </si>
  <si>
    <t>Ok</t>
    <phoneticPr fontId="7" type="noConversion"/>
  </si>
  <si>
    <t>확인완료된 재고번호</t>
    <phoneticPr fontId="7" type="noConversion"/>
  </si>
  <si>
    <t>61258 판매정리함</t>
    <phoneticPr fontId="7" type="noConversion"/>
  </si>
  <si>
    <t>확인OK</t>
    <phoneticPr fontId="7" type="noConversion"/>
  </si>
  <si>
    <t>63843, 65480, 65481</t>
    <phoneticPr fontId="7" type="noConversion"/>
  </si>
  <si>
    <t>22.2/22</t>
    <phoneticPr fontId="7" type="noConversion"/>
  </si>
  <si>
    <r>
      <t xml:space="preserve">#59878, </t>
    </r>
    <r>
      <rPr>
        <b/>
        <strike/>
        <sz val="10"/>
        <color rgb="FFFF0000"/>
        <rFont val="맑은 고딕"/>
        <family val="3"/>
        <charset val="129"/>
        <scheme val="minor"/>
      </rPr>
      <t>59179 (무상수리인가요??)</t>
    </r>
    <phoneticPr fontId="7" type="noConversion"/>
  </si>
  <si>
    <t>내역확인OK</t>
    <phoneticPr fontId="7" type="noConversion"/>
  </si>
  <si>
    <t>내역확인OK</t>
    <phoneticPr fontId="7" type="noConversion"/>
  </si>
  <si>
    <r>
      <t xml:space="preserve"># 59678, </t>
    </r>
    <r>
      <rPr>
        <b/>
        <sz val="10"/>
        <color rgb="FFFF0000"/>
        <rFont val="맑은 고딕"/>
        <family val="3"/>
        <charset val="129"/>
        <scheme val="minor"/>
      </rPr>
      <t>60579</t>
    </r>
    <phoneticPr fontId="7" type="noConversion"/>
  </si>
  <si>
    <t>30700 임대</t>
    <phoneticPr fontId="7" type="noConversion"/>
  </si>
  <si>
    <t># 60398 배터리팩</t>
    <phoneticPr fontId="7" type="noConversion"/>
  </si>
  <si>
    <t>22.07.25</t>
    <phoneticPr fontId="7" type="noConversion"/>
  </si>
  <si>
    <t>#58321, 58322, 58323, 58324, 58325, 59478, 59479, 61678, 61700, 65119</t>
    <phoneticPr fontId="7" type="noConversion"/>
  </si>
  <si>
    <t>확인OK</t>
    <phoneticPr fontId="7" type="noConversion"/>
  </si>
  <si>
    <t># 61840, 60618(국산 배터리팩 4ea)</t>
    <phoneticPr fontId="7" type="noConversion"/>
  </si>
  <si>
    <t>내역확인OK</t>
    <phoneticPr fontId="7" type="noConversion"/>
  </si>
  <si>
    <t># 62781, 62782, 62783, 62784, 62785, 62786 , 62539 , 62958 , 62959, 32601</t>
    <phoneticPr fontId="7" type="noConversion"/>
  </si>
  <si>
    <t>#64538, 64539, 65545(계류자재)</t>
    <phoneticPr fontId="7" type="noConversion"/>
  </si>
  <si>
    <t>확인OK</t>
    <phoneticPr fontId="7" type="noConversion"/>
  </si>
  <si>
    <t>원가x 소모품</t>
    <phoneticPr fontId="7" type="noConversion"/>
  </si>
  <si>
    <t>내역확인OK</t>
    <phoneticPr fontId="7" type="noConversion"/>
  </si>
  <si>
    <t>내역확인OK</t>
    <phoneticPr fontId="7" type="noConversion"/>
  </si>
  <si>
    <t>확인OK</t>
    <phoneticPr fontId="7" type="noConversion"/>
  </si>
  <si>
    <r>
      <t>용역건으로 재고번호 해당없음</t>
    </r>
    <r>
      <rPr>
        <b/>
        <sz val="10"/>
        <color rgb="FFFF0000"/>
        <rFont val="맑은 고딕"/>
        <family val="3"/>
        <charset val="129"/>
        <scheme val="minor"/>
      </rPr>
      <t>/57639(케이블),61105</t>
    </r>
    <phoneticPr fontId="7" type="noConversion"/>
  </si>
  <si>
    <t>프레임수리건</t>
    <phoneticPr fontId="7" type="noConversion"/>
  </si>
  <si>
    <t>프레임수리건 매입x?</t>
    <phoneticPr fontId="7" type="noConversion"/>
  </si>
  <si>
    <t># 63521(브라켓)</t>
    <phoneticPr fontId="7" type="noConversion"/>
  </si>
  <si>
    <t># 63318, #57639 (50m cable)</t>
    <phoneticPr fontId="7" type="noConversion"/>
  </si>
  <si>
    <t>65278~65290, 65040</t>
    <phoneticPr fontId="7" type="noConversion"/>
  </si>
  <si>
    <t>#61212 , #60618, #26223, #7338</t>
    <phoneticPr fontId="7" type="noConversion"/>
  </si>
  <si>
    <t>#59938, 하우징(인현산업-소모품비)</t>
    <phoneticPr fontId="7" type="noConversion"/>
  </si>
  <si>
    <t>Ok</t>
    <phoneticPr fontId="7" type="noConversion"/>
  </si>
  <si>
    <t>#32226, 32607, 63479, 64159</t>
    <phoneticPr fontId="7" type="noConversion"/>
  </si>
  <si>
    <r>
      <rPr>
        <b/>
        <sz val="10"/>
        <color rgb="FFFF0000"/>
        <rFont val="맑은 고딕"/>
        <family val="3"/>
        <charset val="129"/>
        <scheme val="minor"/>
      </rPr>
      <t>#63500 (수량9개</t>
    </r>
    <r>
      <rPr>
        <b/>
        <sz val="10"/>
        <color theme="1"/>
        <rFont val="맑은 고딕"/>
        <family val="3"/>
        <charset val="129"/>
        <scheme val="minor"/>
      </rPr>
      <t xml:space="preserve">), 26223 (수량10개), </t>
    </r>
    <r>
      <rPr>
        <b/>
        <sz val="10"/>
        <color rgb="FFFF0000"/>
        <rFont val="맑은 고딕"/>
        <family val="3"/>
        <charset val="129"/>
        <scheme val="minor"/>
      </rPr>
      <t>26222(수량10개)</t>
    </r>
    <r>
      <rPr>
        <b/>
        <sz val="10"/>
        <color theme="1"/>
        <rFont val="맑은 고딕"/>
        <family val="3"/>
        <charset val="129"/>
        <scheme val="minor"/>
      </rPr>
      <t>, 34421(수량30개)</t>
    </r>
    <phoneticPr fontId="7" type="noConversion"/>
  </si>
  <si>
    <t>실제거래건아님?</t>
    <phoneticPr fontId="7" type="noConversion"/>
  </si>
  <si>
    <t>22년 입고 후 납품</t>
    <phoneticPr fontId="7" type="noConversion"/>
  </si>
  <si>
    <t>#65348</t>
    <phoneticPr fontId="7" type="noConversion"/>
  </si>
  <si>
    <r>
      <rPr>
        <b/>
        <sz val="10"/>
        <color rgb="FFFF0000"/>
        <rFont val="맑은 고딕"/>
        <family val="3"/>
        <charset val="129"/>
        <scheme val="minor"/>
      </rPr>
      <t>#65359, 64978, 64423, 64138,</t>
    </r>
    <r>
      <rPr>
        <b/>
        <sz val="10"/>
        <color theme="1"/>
        <rFont val="맑은 고딕"/>
        <family val="3"/>
        <charset val="129"/>
        <scheme val="minor"/>
      </rPr>
      <t xml:space="preserve"> </t>
    </r>
    <phoneticPr fontId="7" type="noConversion"/>
  </si>
  <si>
    <t>Falmat 맞는거지?</t>
    <phoneticPr fontId="7" type="noConversion"/>
  </si>
  <si>
    <t>장비는 워런티 수리 #61839, 60158</t>
    <phoneticPr fontId="7" type="noConversion"/>
  </si>
  <si>
    <t>재고물품 대여후 수익</t>
    <phoneticPr fontId="7" type="noConversion"/>
  </si>
  <si>
    <t>#64140</t>
    <phoneticPr fontId="7" type="noConversion"/>
  </si>
  <si>
    <t>확인필요</t>
    <phoneticPr fontId="7" type="noConversion"/>
  </si>
  <si>
    <t>#63998, 65019, 65178, 65458, 65743, 65780</t>
    <phoneticPr fontId="7" type="noConversion"/>
  </si>
  <si>
    <t>확인OK</t>
    <phoneticPr fontId="7" type="noConversion"/>
  </si>
  <si>
    <t>선수금</t>
    <phoneticPr fontId="7" type="noConversion"/>
  </si>
  <si>
    <t># 64141, 64142, 64143, 64144, 64145, 59398, 45559, 61122, 59394, 64146, 64147</t>
    <phoneticPr fontId="7" type="noConversion"/>
  </si>
  <si>
    <t>#63819, 20839(비공식재고)</t>
    <phoneticPr fontId="7" type="noConversion"/>
  </si>
  <si>
    <t>일부는 22년 입고</t>
    <phoneticPr fontId="7" type="noConversion"/>
  </si>
  <si>
    <t>추가확인필요</t>
    <phoneticPr fontId="7" type="noConversion"/>
  </si>
  <si>
    <t>22.2/25</t>
    <phoneticPr fontId="7" type="noConversion"/>
  </si>
  <si>
    <t>DB 10983 (sn 54139)는 인천대 납품건였음..</t>
    <phoneticPr fontId="7" type="noConversion"/>
  </si>
  <si>
    <r>
      <t xml:space="preserve">65378, 32782, </t>
    </r>
    <r>
      <rPr>
        <b/>
        <sz val="10"/>
        <color rgb="FFFF0000"/>
        <rFont val="맑은 고딕"/>
        <family val="3"/>
        <charset val="129"/>
        <scheme val="minor"/>
      </rPr>
      <t>RBR virtuoso Tu(오션이엔지에서 받았던 비공식 재고 sn.54139)</t>
    </r>
    <phoneticPr fontId="7" type="noConversion"/>
  </si>
  <si>
    <t>선수금</t>
    <phoneticPr fontId="7" type="noConversion"/>
  </si>
  <si>
    <t>확인OK</t>
    <phoneticPr fontId="7" type="noConversion"/>
  </si>
  <si>
    <t xml:space="preserve">내년 </t>
    <phoneticPr fontId="7" type="noConversion"/>
  </si>
  <si>
    <r>
      <t>#66099--&gt;</t>
    </r>
    <r>
      <rPr>
        <b/>
        <sz val="10"/>
        <color theme="1"/>
        <rFont val="맑은 고딕"/>
        <family val="3"/>
        <charset val="129"/>
        <scheme val="minor"/>
      </rPr>
      <t xml:space="preserve"> 61820 확인OK</t>
    </r>
    <phoneticPr fontId="7" type="noConversion"/>
  </si>
  <si>
    <r>
      <t>#61820  &gt;</t>
    </r>
    <r>
      <rPr>
        <b/>
        <sz val="10"/>
        <color theme="1"/>
        <rFont val="맑은 고딕"/>
        <family val="3"/>
        <charset val="129"/>
        <scheme val="minor"/>
      </rPr>
      <t xml:space="preserve"> 66099 확인OK</t>
    </r>
    <phoneticPr fontId="7" type="noConversion"/>
  </si>
  <si>
    <t>확인OK</t>
    <phoneticPr fontId="7" type="noConversion"/>
  </si>
  <si>
    <t>선수금</t>
    <phoneticPr fontId="7" type="noConversion"/>
  </si>
  <si>
    <t>#61378, 61622,</t>
    <phoneticPr fontId="7" type="noConversion"/>
  </si>
  <si>
    <t>OK</t>
    <phoneticPr fontId="7" type="noConversion"/>
  </si>
  <si>
    <t>추가확인필요건 있음.. 과학기지팀</t>
    <phoneticPr fontId="7" type="noConversion"/>
  </si>
  <si>
    <t># 65858</t>
    <phoneticPr fontId="7" type="noConversion"/>
  </si>
  <si>
    <t>내년</t>
    <phoneticPr fontId="7" type="noConversion"/>
  </si>
  <si>
    <t>확인OK</t>
    <phoneticPr fontId="7" type="noConversion"/>
  </si>
  <si>
    <t>원가x</t>
    <phoneticPr fontId="7" type="noConversion"/>
  </si>
  <si>
    <t>OK</t>
    <phoneticPr fontId="7" type="noConversion"/>
  </si>
  <si>
    <t>내년</t>
    <phoneticPr fontId="7" type="noConversion"/>
  </si>
  <si>
    <t>판매입력정리완료</t>
    <phoneticPr fontId="7" type="noConversion"/>
  </si>
  <si>
    <t>창고실물도없음..</t>
    <phoneticPr fontId="7" type="noConversion"/>
  </si>
  <si>
    <t>L5 구매를위한 keep</t>
    <phoneticPr fontId="7" type="noConversion"/>
  </si>
  <si>
    <t>58647, 64279, 64139, 66306, 66307</t>
    <phoneticPr fontId="7" type="noConversion"/>
  </si>
  <si>
    <t>합본1차확인</t>
    <phoneticPr fontId="7" type="noConversion"/>
  </si>
  <si>
    <t>엄청많음..뭔소리..</t>
    <phoneticPr fontId="7" type="noConversion"/>
  </si>
  <si>
    <t>확인완료</t>
    <phoneticPr fontId="7" type="noConversion"/>
  </si>
  <si>
    <t>연구팀 조혁만과 확인완료-수량까지</t>
    <phoneticPr fontId="7" type="noConversion"/>
  </si>
  <si>
    <t>Pj건 확인완료</t>
    <phoneticPr fontId="7" type="noConversion"/>
  </si>
  <si>
    <t>하부장 누락건 확인완료(220228)</t>
    <phoneticPr fontId="7" type="noConversion"/>
  </si>
  <si>
    <t>확인OK</t>
    <phoneticPr fontId="7" type="noConversion"/>
  </si>
  <si>
    <t># 63838, 64799, 64918, 65360</t>
    <phoneticPr fontId="7" type="noConversion"/>
  </si>
  <si>
    <r>
      <t xml:space="preserve">64278, 58646, 66305, </t>
    </r>
    <r>
      <rPr>
        <b/>
        <sz val="10"/>
        <rFont val="맑은 고딕"/>
        <family val="3"/>
        <charset val="129"/>
        <scheme val="minor"/>
      </rPr>
      <t>64798</t>
    </r>
    <phoneticPr fontId="7" type="noConversion"/>
  </si>
  <si>
    <t>220228 학용답변 : #57103 건은 청구하지 않습니다. (당시 하선종 부장 지시로 다른 물품 구매시 #57103에 해당되는 금액 감안해서 견적서 발송하기로 하였음)</t>
    <phoneticPr fontId="7" type="noConversion"/>
  </si>
  <si>
    <t>220228 학용답변:  #49021, 8개 누락되었습니다. (포함되는것이 맞습니다)</t>
    <phoneticPr fontId="7" type="noConversion"/>
  </si>
  <si>
    <r>
      <t xml:space="preserve">220228 학용답변 : </t>
    </r>
    <r>
      <rPr>
        <b/>
        <sz val="10"/>
        <color rgb="FFFF0000"/>
        <rFont val="맑은 고딕"/>
        <family val="3"/>
        <charset val="129"/>
        <scheme val="minor"/>
      </rPr>
      <t>#64801~#64811, #64813~64822 , #66100 이 포함되어야 합니다.</t>
    </r>
    <phoneticPr fontId="7" type="noConversion"/>
  </si>
  <si>
    <t>확인OK</t>
    <phoneticPr fontId="7" type="noConversion"/>
  </si>
  <si>
    <t>60518(함체)</t>
    <phoneticPr fontId="7" type="noConversion"/>
  </si>
  <si>
    <t>#62518,60778, 
60538, 
60178, 
59940, 
59658, 
59399, 
58645, 
56862, 
56578, 
56020, 
55961, 
55925, 
55624, 
55623, 
54713, 
50818, 
49021, 
42678, 
42658, 
41198, 
28359, 
23695</t>
    <phoneticPr fontId="7" type="noConversion"/>
  </si>
  <si>
    <t># 59384 59385 59390 59978 59999 60000 60001 60002 60003 60004 60005 60006 60079 60318 60319 60359 60698 60738 61398 61399 61638 61639 61640 62139 63178 66101 66238 66239 66240</t>
    <phoneticPr fontId="7" type="noConversion"/>
  </si>
  <si>
    <t>물건 입고 x (소프트웨어 업그레이드) # 8910</t>
    <phoneticPr fontId="7" type="noConversion"/>
  </si>
  <si>
    <t>내용 업데이트 #8910 나머지 하나는 확인불가(22.03.02 재윤)</t>
    <phoneticPr fontId="7" type="noConversion"/>
  </si>
  <si>
    <t xml:space="preserve">확인 완료(이재윤, 22.03.02) </t>
    <phoneticPr fontId="7" type="noConversion"/>
  </si>
  <si>
    <t xml:space="preserve">제조사 Falmat 확인 완료(이재윤, 22.03.02) </t>
    <phoneticPr fontId="7" type="noConversion"/>
  </si>
  <si>
    <t>실장님 확인완료사항(이재윤,22.03.02)</t>
    <phoneticPr fontId="7" type="noConversion"/>
  </si>
  <si>
    <r>
      <t>#65818,</t>
    </r>
    <r>
      <rPr>
        <b/>
        <sz val="10"/>
        <color rgb="FFFF0000"/>
        <rFont val="맑은 고딕"/>
        <family val="3"/>
        <charset val="129"/>
        <scheme val="minor"/>
      </rPr>
      <t xml:space="preserve"> 65198,</t>
    </r>
    <r>
      <rPr>
        <b/>
        <sz val="10"/>
        <color theme="1"/>
        <rFont val="맑은 고딕"/>
        <family val="3"/>
        <charset val="129"/>
        <scheme val="minor"/>
      </rPr>
      <t xml:space="preserve"> </t>
    </r>
    <r>
      <rPr>
        <b/>
        <sz val="10"/>
        <color rgb="FFFF0000"/>
        <rFont val="맑은 고딕"/>
        <family val="3"/>
        <charset val="129"/>
        <scheme val="minor"/>
      </rPr>
      <t>64718</t>
    </r>
    <r>
      <rPr>
        <b/>
        <sz val="10"/>
        <color theme="1"/>
        <rFont val="맑은 고딕"/>
        <family val="3"/>
        <charset val="129"/>
        <scheme val="minor"/>
      </rPr>
      <t>, 66118, 66126,</t>
    </r>
    <r>
      <rPr>
        <b/>
        <sz val="10"/>
        <color rgb="FFFF0000"/>
        <rFont val="맑은 고딕"/>
        <family val="3"/>
        <charset val="129"/>
        <scheme val="minor"/>
      </rPr>
      <t xml:space="preserve"> 61013, 61014, 61015, 61016,</t>
    </r>
    <r>
      <rPr>
        <b/>
        <sz val="10"/>
        <color theme="1"/>
        <rFont val="맑은 고딕"/>
        <family val="3"/>
        <charset val="129"/>
        <scheme val="minor"/>
      </rPr>
      <t xml:space="preserve"> 66128, 66162, 66163</t>
    </r>
    <phoneticPr fontId="7" type="noConversion"/>
  </si>
  <si>
    <t>재고번호 업데이트 완료(이재윤,22.03.02)</t>
    <phoneticPr fontId="7" type="noConversion"/>
  </si>
  <si>
    <t>육군교육사령부</t>
    <phoneticPr fontId="7" type="noConversion"/>
  </si>
  <si>
    <t>문차장님과 확인 완료(이재윤,220302)</t>
    <phoneticPr fontId="7" type="noConversion"/>
  </si>
  <si>
    <t>실제 납품 X</t>
    <phoneticPr fontId="7" type="noConversion"/>
  </si>
  <si>
    <t>확인OK</t>
    <phoneticPr fontId="7" type="noConversion"/>
  </si>
  <si>
    <t>확인필요/다운? 무인팀?</t>
    <phoneticPr fontId="7" type="noConversion"/>
  </si>
  <si>
    <t>확인 완료(이재윤, 22.03.02) with 홍배차장</t>
    <phoneticPr fontId="7" type="noConversion"/>
  </si>
  <si>
    <t>확인OK</t>
    <phoneticPr fontId="7" type="noConversion"/>
  </si>
  <si>
    <t>확인완료(문홍배 3/2)</t>
    <phoneticPr fontId="7" type="noConversion"/>
  </si>
  <si>
    <t>누락건 확인필요/ 유정연차장 내용알고있음</t>
    <phoneticPr fontId="7" type="noConversion"/>
  </si>
  <si>
    <t>오션데모 탁도계를 빌려서 사용중 고장이 나서, 지오에서 비용부담한것</t>
    <phoneticPr fontId="7" type="noConversion"/>
  </si>
  <si>
    <t>확인OK</t>
    <phoneticPr fontId="7" type="noConversion"/>
  </si>
  <si>
    <t>57798 확인하였음</t>
    <phoneticPr fontId="7" type="noConversion"/>
  </si>
  <si>
    <t>외자계약</t>
    <phoneticPr fontId="7" type="noConversion"/>
  </si>
  <si>
    <t>합본추가 OK</t>
    <phoneticPr fontId="7" type="noConversion"/>
  </si>
  <si>
    <t>합본추가 OK</t>
    <phoneticPr fontId="7" type="noConversion"/>
  </si>
  <si>
    <t>합본추가 OK</t>
    <phoneticPr fontId="7" type="noConversion"/>
  </si>
  <si>
    <t>59678 자체수리였음..(심부장님)</t>
    <phoneticPr fontId="7" type="noConversion"/>
  </si>
  <si>
    <t>63858~860/ 58624 합본에 추가</t>
    <phoneticPr fontId="7" type="noConversion"/>
  </si>
  <si>
    <t>확인OK</t>
    <phoneticPr fontId="7" type="noConversion"/>
  </si>
  <si>
    <t>누락건 확인필요/문성주차장</t>
    <phoneticPr fontId="7" type="noConversion"/>
  </si>
  <si>
    <t>66222~66225 잔존물있음
/판매용은아님(데모로사용예정)</t>
    <phoneticPr fontId="7" type="noConversion"/>
  </si>
  <si>
    <t>22.3/3</t>
    <phoneticPr fontId="7" type="noConversion"/>
  </si>
  <si>
    <t>22.3/14</t>
    <phoneticPr fontId="7" type="noConversion"/>
  </si>
  <si>
    <t>상품</t>
    <phoneticPr fontId="7" type="noConversion"/>
  </si>
  <si>
    <t>합본확인-없음/ Ok</t>
    <phoneticPr fontId="7" type="noConversion"/>
  </si>
  <si>
    <t>합본확인-없음/ Ok</t>
    <phoneticPr fontId="7" type="noConversion"/>
  </si>
  <si>
    <t>시건 실물확인완료_김병태,박민수</t>
    <phoneticPr fontId="7" type="noConversion"/>
  </si>
  <si>
    <t>HyperSAS 납품OK (이수현부장)</t>
    <phoneticPr fontId="7" type="noConversion"/>
  </si>
  <si>
    <t>29675(일부)</t>
    <phoneticPr fontId="7" type="noConversion"/>
  </si>
  <si>
    <t>합본에 기말재고 Ok</t>
    <phoneticPr fontId="7" type="noConversion"/>
  </si>
  <si>
    <t>22년청구</t>
    <phoneticPr fontId="7" type="noConversion"/>
  </si>
  <si>
    <t>22년청구</t>
    <phoneticPr fontId="7" type="noConversion"/>
  </si>
  <si>
    <t>#8712</t>
    <phoneticPr fontId="7" type="noConversion"/>
  </si>
  <si>
    <t>원가가너무적음-센서 연결됨</t>
    <phoneticPr fontId="7" type="noConversion"/>
  </si>
  <si>
    <t>추가건 정리됨</t>
    <phoneticPr fontId="7" type="noConversion"/>
  </si>
  <si>
    <t>62418, 62419</t>
    <phoneticPr fontId="7" type="noConversion"/>
  </si>
  <si>
    <t>R500, R2K, UTS-9500</t>
    <phoneticPr fontId="7" type="noConversion"/>
  </si>
  <si>
    <t>기말재고</t>
    <phoneticPr fontId="7" type="noConversion"/>
  </si>
  <si>
    <t>기말재고</t>
    <phoneticPr fontId="7" type="noConversion"/>
  </si>
  <si>
    <t>커넥터류사용</t>
    <phoneticPr fontId="7" type="noConversion"/>
  </si>
  <si>
    <t>공사</t>
    <phoneticPr fontId="7" type="noConversion"/>
  </si>
  <si>
    <t>22년 4/11</t>
    <phoneticPr fontId="7" type="noConversion"/>
  </si>
  <si>
    <t>탐해3 AutoPro 장비</t>
    <phoneticPr fontId="7" type="noConversion"/>
  </si>
  <si>
    <t>10/29, 22.04,15,</t>
    <phoneticPr fontId="7" type="noConversion"/>
  </si>
  <si>
    <t>22년 4/22</t>
    <phoneticPr fontId="7" type="noConversion"/>
  </si>
  <si>
    <t>USD 2,457</t>
    <phoneticPr fontId="7" type="noConversion"/>
  </si>
  <si>
    <t>22.04.29 청구</t>
    <phoneticPr fontId="7" type="noConversion"/>
  </si>
  <si>
    <t>내자건인데…수수료받는건</t>
    <phoneticPr fontId="7" type="noConversion"/>
  </si>
  <si>
    <t>Sercel?</t>
    <phoneticPr fontId="7" type="noConversion"/>
  </si>
  <si>
    <t>21-326</t>
    <phoneticPr fontId="7" type="noConversion"/>
  </si>
  <si>
    <t>21-322</t>
    <phoneticPr fontId="7" type="noConversion"/>
  </si>
  <si>
    <t>21-288</t>
    <phoneticPr fontId="7" type="noConversion"/>
  </si>
  <si>
    <t>21.12.10 청구</t>
    <phoneticPr fontId="7" type="noConversion"/>
  </si>
  <si>
    <t>22년 2월이후 회신없음</t>
    <phoneticPr fontId="7" type="noConversion"/>
  </si>
  <si>
    <t>7/12, 22년 5/10</t>
    <phoneticPr fontId="7" type="noConversion"/>
  </si>
  <si>
    <t>12/15, 6/10</t>
    <phoneticPr fontId="7" type="noConversion"/>
  </si>
  <si>
    <t>12/10, 22.6/8</t>
    <phoneticPr fontId="7" type="noConversion"/>
  </si>
  <si>
    <t>10/26, 22.3/4</t>
    <phoneticPr fontId="7" type="noConversion"/>
  </si>
  <si>
    <t>22.03/29</t>
    <phoneticPr fontId="7" type="noConversion"/>
  </si>
  <si>
    <t>22.03/31</t>
    <phoneticPr fontId="7" type="noConversion"/>
  </si>
  <si>
    <t>#67842 , 67843, 67844, 67845</t>
    <phoneticPr fontId="7" type="noConversion"/>
  </si>
  <si>
    <t>22.6/28</t>
    <phoneticPr fontId="7" type="noConversion"/>
  </si>
  <si>
    <t>22.7/4</t>
    <phoneticPr fontId="7" type="noConversion"/>
  </si>
  <si>
    <t>22.8/8</t>
    <phoneticPr fontId="7" type="noConversion"/>
  </si>
  <si>
    <t>22.8/10</t>
    <phoneticPr fontId="7" type="noConversion"/>
  </si>
  <si>
    <t>22.3/2</t>
    <phoneticPr fontId="7" type="noConversion"/>
  </si>
  <si>
    <t>7/14, 22.5/12</t>
    <phoneticPr fontId="7" type="noConversion"/>
  </si>
  <si>
    <t>9/28, 12/31</t>
    <phoneticPr fontId="7" type="noConversion"/>
  </si>
  <si>
    <t>22.3/15</t>
    <phoneticPr fontId="7" type="noConversion"/>
  </si>
  <si>
    <t>22.2/18</t>
    <phoneticPr fontId="7" type="noConversion"/>
  </si>
  <si>
    <t>6/22, 22.9/14</t>
    <phoneticPr fontId="7" type="noConversion"/>
  </si>
  <si>
    <t>#66185~66190</t>
    <phoneticPr fontId="7" type="noConversion"/>
  </si>
  <si>
    <t>2022년 입고 및 2023년 납품 예정</t>
    <phoneticPr fontId="7" type="noConversion"/>
  </si>
  <si>
    <t>2022년 입고 및 2023년 납품 예정</t>
    <phoneticPr fontId="7" type="noConversion"/>
  </si>
  <si>
    <t>23년로 납품딜레이</t>
    <phoneticPr fontId="7" type="noConversion"/>
  </si>
  <si>
    <t>66338 22년입고</t>
    <phoneticPr fontId="7" type="noConversion"/>
  </si>
  <si>
    <t>23년이월</t>
    <phoneticPr fontId="7" type="noConversion"/>
  </si>
  <si>
    <t>"</t>
    <phoneticPr fontId="7" type="noConversion"/>
  </si>
  <si>
    <t>"</t>
    <phoneticPr fontId="7" type="noConversion"/>
  </si>
  <si>
    <t>"</t>
    <phoneticPr fontId="7" type="noConversion"/>
  </si>
  <si>
    <t>11/10, 22년 12/23</t>
    <phoneticPr fontId="7" type="noConversion"/>
  </si>
  <si>
    <t>.3월</t>
  </si>
  <si>
    <t xml:space="preserve"> 납.3월</t>
  </si>
  <si>
    <t xml:space="preserve"> 예.3월</t>
  </si>
  <si>
    <t>, 63495, 63496.3월</t>
  </si>
  <si>
    <t>3, 67844, 67845.3월</t>
  </si>
  <si>
    <t>고번.3월</t>
  </si>
  <si>
    <t>라 .3월</t>
  </si>
  <si>
    <t>입고.3월</t>
  </si>
  <si>
    <t xml:space="preserve"> 65518, 65519.3월</t>
  </si>
  <si>
    <t>통비.3월</t>
  </si>
  <si>
    <t>23년3월</t>
    <phoneticPr fontId="7" type="noConversion"/>
  </si>
  <si>
    <t>23년3월</t>
    <phoneticPr fontId="7" type="noConversion"/>
  </si>
  <si>
    <t>10/29, 22.01/31, 23.01/18</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</si>
</sst>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24" formatCode="\$#,##0_);[Red]\(\$#,##0\)"/>
    <numFmt numFmtId="176" formatCode="m&quot;월&quot;\ d&quot;일&quot;;@"/>
    <numFmt numFmtId="177" formatCode="m&quot;/&quot;d;@"/>
    <numFmt numFmtId="178" formatCode="#,##0.00_);[Red]\(#,##0.00\)"/>
    <numFmt numFmtId="179" formatCode="mm&quot;월&quot;\ dd&quot;일&quot;"/>
    <numFmt numFmtId="180" formatCode="_-[$€-C07]\ * #,##0_-;\-[$€-C07]\ * #,##0_-;_-[$€-C07]\ * &quot;-&quot;_-;_-@_-"/>
    <numFmt numFmtId="181" formatCode="_-[$$-409]* #,##0.00_ ;_-[$$-409]* \-#,##0.00\ ;_-[$$-409]* &quot;-&quot;??_ ;_-@_ "/>
    <numFmt numFmtId="182" formatCode="yyyy&quot;년&quot;\ m&quot;월&quot;\ d&quot;일&quot;;@"/>
  </numFmts>
  <fonts count="45">
    <font>
      <sz val="11"/>
      <color theme="1"/>
      <name val="맑은 고딕"/>
      <family val="2"/>
      <charset val="129"/>
      <scheme val="minor"/>
    </font>
    <font>
      <sz val="11"/>
      <color theme="1"/>
      <name val="맑은 고딕"/>
      <family val="2"/>
      <charset val="129"/>
      <scheme val="minor"/>
    </font>
    <font>
      <sz val="8"/>
      <name val="돋움"/>
      <family val="3"/>
      <charset val="129"/>
    </font>
    <font>
      <sz val="9"/>
      <color indexed="81"/>
      <name val="Tahoma"/>
      <family val="2"/>
    </font>
    <font>
      <b/>
      <sz val="9"/>
      <color indexed="81"/>
      <name val="Tahoma"/>
      <family val="2"/>
    </font>
    <font>
      <sz val="9"/>
      <color indexed="81"/>
      <name val="돋움"/>
      <family val="3"/>
      <charset val="129"/>
    </font>
    <font>
      <b/>
      <sz val="9"/>
      <color indexed="81"/>
      <name val="돋움"/>
      <family val="3"/>
      <charset val="129"/>
    </font>
    <font>
      <sz val="8"/>
      <name val="맑은 고딕"/>
      <family val="2"/>
      <charset val="129"/>
      <scheme val="minor"/>
    </font>
    <font>
      <sz val="11"/>
      <name val="돋움"/>
      <family val="3"/>
      <charset val="129"/>
    </font>
    <font>
      <sz val="11"/>
      <color theme="1"/>
      <name val="맑은 고딕"/>
      <family val="3"/>
      <charset val="129"/>
      <scheme val="minor"/>
    </font>
    <font>
      <sz val="10"/>
      <color theme="1"/>
      <name val="맑은 고딕"/>
      <family val="3"/>
      <charset val="129"/>
      <scheme val="minor"/>
    </font>
    <font>
      <b/>
      <sz val="10"/>
      <color theme="1"/>
      <name val="맑은 고딕"/>
      <family val="3"/>
      <charset val="129"/>
      <scheme val="minor"/>
    </font>
    <font>
      <sz val="9"/>
      <color theme="1"/>
      <name val="맑은 고딕"/>
      <family val="3"/>
      <charset val="129"/>
      <scheme val="minor"/>
    </font>
    <font>
      <sz val="11"/>
      <name val="맑은 고딕"/>
      <family val="3"/>
      <charset val="129"/>
      <scheme val="minor"/>
    </font>
    <font>
      <b/>
      <sz val="14"/>
      <name val="맑은 고딕"/>
      <family val="3"/>
      <charset val="129"/>
      <scheme val="minor"/>
    </font>
    <font>
      <b/>
      <sz val="11"/>
      <color rgb="FFFF0000"/>
      <name val="맑은 고딕"/>
      <family val="3"/>
      <charset val="129"/>
      <scheme val="minor"/>
    </font>
    <font>
      <b/>
      <sz val="11"/>
      <name val="맑은 고딕"/>
      <family val="3"/>
      <charset val="129"/>
      <scheme val="minor"/>
    </font>
    <font>
      <sz val="11"/>
      <color rgb="FF00B050"/>
      <name val="맑은 고딕"/>
      <family val="3"/>
      <charset val="129"/>
      <scheme val="minor"/>
    </font>
    <font>
      <sz val="10"/>
      <color rgb="FFFF0000"/>
      <name val="맑은 고딕"/>
      <family val="3"/>
      <charset val="129"/>
      <scheme val="minor"/>
    </font>
    <font>
      <sz val="10"/>
      <name val="맑은 고딕"/>
      <family val="3"/>
      <charset val="129"/>
      <scheme val="minor"/>
    </font>
    <font>
      <b/>
      <sz val="10"/>
      <color rgb="FFFF0000"/>
      <name val="맑은 고딕"/>
      <family val="3"/>
      <charset val="129"/>
      <scheme val="minor"/>
    </font>
    <font>
      <b/>
      <sz val="10"/>
      <name val="맑은 고딕"/>
      <family val="3"/>
      <charset val="129"/>
      <scheme val="minor"/>
    </font>
    <font>
      <strike/>
      <sz val="10"/>
      <color theme="1"/>
      <name val="맑은 고딕"/>
      <family val="3"/>
      <charset val="129"/>
      <scheme val="minor"/>
    </font>
    <font>
      <strike/>
      <sz val="11"/>
      <color theme="1"/>
      <name val="맑은 고딕"/>
      <family val="3"/>
      <charset val="129"/>
      <scheme val="minor"/>
    </font>
    <font>
      <b/>
      <sz val="10"/>
      <color rgb="FF7030A0"/>
      <name val="맑은 고딕"/>
      <family val="3"/>
      <charset val="129"/>
      <scheme val="minor"/>
    </font>
    <font>
      <sz val="8"/>
      <color theme="1"/>
      <name val="맑은 고딕"/>
      <family val="3"/>
      <charset val="129"/>
      <scheme val="minor"/>
    </font>
    <font>
      <b/>
      <strike/>
      <sz val="10"/>
      <color theme="1"/>
      <name val="맑은 고딕"/>
      <family val="3"/>
      <charset val="129"/>
      <scheme val="minor"/>
    </font>
    <font>
      <b/>
      <sz val="11"/>
      <color theme="1"/>
      <name val="맑은 고딕"/>
      <family val="3"/>
      <charset val="129"/>
      <scheme val="minor"/>
    </font>
    <font>
      <sz val="11"/>
      <name val="맑은 고딕"/>
      <family val="3"/>
      <charset val="129"/>
      <scheme val="major"/>
    </font>
    <font>
      <b/>
      <sz val="11"/>
      <name val="맑은 고딕"/>
      <family val="3"/>
      <charset val="129"/>
      <scheme val="major"/>
    </font>
    <font>
      <b/>
      <sz val="11"/>
      <color rgb="FFFF0000"/>
      <name val="맑은 고딕"/>
      <family val="3"/>
      <charset val="129"/>
      <scheme val="major"/>
    </font>
    <font>
      <b/>
      <sz val="11"/>
      <color rgb="FF0070C0"/>
      <name val="맑은 고딕"/>
      <family val="3"/>
      <charset val="129"/>
      <scheme val="major"/>
    </font>
    <font>
      <sz val="11"/>
      <color rgb="FFFF0000"/>
      <name val="맑은 고딕"/>
      <family val="3"/>
      <charset val="129"/>
      <scheme val="major"/>
    </font>
    <font>
      <sz val="11"/>
      <color theme="1"/>
      <name val="맑은 고딕"/>
      <family val="3"/>
      <charset val="129"/>
      <scheme val="major"/>
    </font>
    <font>
      <b/>
      <strike/>
      <sz val="10"/>
      <color rgb="FF7030A0"/>
      <name val="맑은 고딕"/>
      <family val="3"/>
      <charset val="129"/>
      <scheme val="minor"/>
    </font>
    <font>
      <b/>
      <strike/>
      <sz val="10"/>
      <color rgb="FFFF0000"/>
      <name val="맑은 고딕"/>
      <family val="3"/>
      <charset val="129"/>
      <scheme val="minor"/>
    </font>
    <font>
      <b/>
      <sz val="10"/>
      <color rgb="FF00B0F0"/>
      <name val="맑은 고딕"/>
      <family val="3"/>
      <charset val="129"/>
      <scheme val="minor"/>
    </font>
    <font>
      <b/>
      <sz val="10"/>
      <color theme="5"/>
      <name val="맑은 고딕"/>
      <family val="3"/>
      <charset val="129"/>
      <scheme val="minor"/>
    </font>
    <font>
      <u/>
      <sz val="11"/>
      <color theme="10"/>
      <name val="맑은 고딕"/>
      <family val="2"/>
      <charset val="129"/>
      <scheme val="minor"/>
    </font>
    <font>
      <strike/>
      <sz val="8"/>
      <color rgb="FFFF0000"/>
      <name val="맑은 고딕"/>
      <family val="3"/>
      <charset val="129"/>
      <scheme val="minor"/>
    </font>
    <font>
      <strike/>
      <sz val="10"/>
      <color rgb="FFFF0000"/>
      <name val="맑은 고딕"/>
      <family val="3"/>
      <charset val="129"/>
      <scheme val="minor"/>
    </font>
    <font>
      <strike/>
      <sz val="11"/>
      <color rgb="FFFF0000"/>
      <name val="맑은 고딕"/>
      <family val="3"/>
      <charset val="129"/>
      <scheme val="minor"/>
    </font>
    <font>
      <b/>
      <sz val="10"/>
      <color theme="8"/>
      <name val="맑은 고딕"/>
      <family val="3"/>
      <charset val="129"/>
      <scheme val="minor"/>
    </font>
    <font>
      <b/>
      <u/>
      <sz val="10"/>
      <color theme="1"/>
      <name val="맑은 고딕"/>
      <family val="3"/>
      <charset val="129"/>
      <scheme val="minor"/>
    </font>
    <font>
      <b/>
      <sz val="9"/>
      <color rgb="FFFF0000"/>
      <name val="맑은 고딕"/>
      <family val="3"/>
      <charset val="129"/>
      <scheme val="minor"/>
    </font>
  </fonts>
  <fills count="1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9" tint="0.39997558519241921"/>
        <bgColor indexed="64"/>
      </patternFill>
    </fill>
  </fills>
  <borders count="26">
    <border>
      <left/>
      <right/>
      <top/>
      <bottom/>
      <diagonal/>
    </border>
    <border>
      <left/>
      <right/>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style="thin">
        <color theme="0" tint="-0.34998626667073579"/>
      </left>
      <right style="thin">
        <color theme="0" tint="-0.24994659260841701"/>
      </right>
      <top style="thin">
        <color theme="0" tint="-0.34998626667073579"/>
      </top>
      <bottom style="thin">
        <color theme="0" tint="-0.24994659260841701"/>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medium">
        <color theme="0" tint="-0.14996795556505021"/>
      </top>
      <bottom style="medium">
        <color theme="0" tint="-0.14996795556505021"/>
      </bottom>
      <diagonal/>
    </border>
  </borders>
  <cellStyleXfs count="6">
    <xf numFmtId="0" fontId="0" fillId="0" borderId="0">
      <alignment vertical="center"/>
    </xf>
    <xf numFmtId="41" fontId="1" fillId="0" borderId="0" applyFont="0" applyFill="0" applyBorder="0" applyAlignment="0" applyProtection="0">
      <alignment vertical="center"/>
    </xf>
    <xf numFmtId="0" fontId="8" fillId="0" borderId="0">
      <alignment vertical="center"/>
    </xf>
    <xf numFmtId="41" fontId="1" fillId="0" borderId="0" applyFont="0" applyFill="0" applyBorder="0" applyAlignment="0" applyProtection="0">
      <alignment vertical="center"/>
    </xf>
    <xf numFmtId="0" fontId="9" fillId="0" borderId="0">
      <alignment vertical="center"/>
    </xf>
    <xf numFmtId="0" fontId="38" fillId="0" borderId="0" applyNumberFormat="0" applyFill="0" applyBorder="0" applyAlignment="0" applyProtection="0">
      <alignment vertical="center"/>
    </xf>
  </cellStyleXfs>
  <cellXfs count="308">
    <xf numFmtId="0" fontId="0" fillId="0" borderId="0" xfId="0">
      <alignment vertical="center"/>
    </xf>
    <xf numFmtId="0" fontId="10"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13" fillId="0" borderId="0" xfId="0" applyFont="1" applyAlignment="1">
      <alignment horizontal="center" vertical="center"/>
    </xf>
    <xf numFmtId="0" fontId="13" fillId="0" borderId="1" xfId="0" applyFont="1" applyBorder="1" applyAlignment="1">
      <alignment horizontal="center" vertical="center"/>
    </xf>
    <xf numFmtId="41" fontId="13" fillId="0" borderId="1" xfId="1" applyFont="1" applyBorder="1" applyAlignment="1">
      <alignment horizontal="center" vertical="center"/>
    </xf>
    <xf numFmtId="176" fontId="13" fillId="0" borderId="1" xfId="0" applyNumberFormat="1" applyFont="1" applyBorder="1" applyAlignment="1">
      <alignment horizontal="center" vertical="center"/>
    </xf>
    <xf numFmtId="0" fontId="15" fillId="0" borderId="1" xfId="0" applyFont="1" applyBorder="1" applyAlignment="1">
      <alignment horizontal="center" vertical="center"/>
    </xf>
    <xf numFmtId="0" fontId="12" fillId="11" borderId="1" xfId="0" applyFont="1" applyFill="1" applyBorder="1" applyAlignment="1">
      <alignment horizontal="center" vertical="center"/>
    </xf>
    <xf numFmtId="0" fontId="12" fillId="12" borderId="1" xfId="0" applyFont="1" applyFill="1" applyBorder="1" applyAlignment="1">
      <alignment horizontal="left" vertical="center"/>
    </xf>
    <xf numFmtId="178" fontId="15" fillId="0" borderId="1" xfId="0" applyNumberFormat="1" applyFont="1" applyBorder="1" applyAlignment="1">
      <alignment horizontal="center" vertical="center"/>
    </xf>
    <xf numFmtId="0" fontId="16"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178" fontId="16" fillId="2" borderId="1" xfId="0" applyNumberFormat="1" applyFont="1" applyFill="1" applyBorder="1" applyAlignment="1">
      <alignment horizontal="center" vertical="center"/>
    </xf>
    <xf numFmtId="0" fontId="13" fillId="0" borderId="2" xfId="0" applyFont="1" applyBorder="1" applyAlignment="1">
      <alignment horizontal="center" vertical="center"/>
    </xf>
    <xf numFmtId="41" fontId="10" fillId="0" borderId="0" xfId="1" applyFont="1" applyFill="1" applyAlignment="1">
      <alignment horizontal="center" vertical="center"/>
    </xf>
    <xf numFmtId="41" fontId="9" fillId="0" borderId="0" xfId="1" applyFont="1" applyAlignment="1">
      <alignment horizontal="center" vertical="center"/>
    </xf>
    <xf numFmtId="176" fontId="15" fillId="2" borderId="1" xfId="0" applyNumberFormat="1" applyFont="1" applyFill="1" applyBorder="1" applyAlignment="1">
      <alignment horizontal="center" vertical="center"/>
    </xf>
    <xf numFmtId="177" fontId="15" fillId="0" borderId="1" xfId="0" applyNumberFormat="1" applyFont="1" applyBorder="1" applyAlignment="1">
      <alignment horizontal="left" vertical="center"/>
    </xf>
    <xf numFmtId="41" fontId="10" fillId="0" borderId="0" xfId="1" applyFont="1" applyAlignment="1">
      <alignment horizontal="center" vertical="center"/>
    </xf>
    <xf numFmtId="0" fontId="20" fillId="0" borderId="1" xfId="0" applyFont="1" applyBorder="1" applyAlignment="1">
      <alignment horizontal="center" vertical="center"/>
    </xf>
    <xf numFmtId="0" fontId="19" fillId="0" borderId="1" xfId="0" applyFont="1" applyBorder="1" applyAlignment="1">
      <alignment horizontal="center" vertical="center"/>
    </xf>
    <xf numFmtId="0" fontId="21" fillId="4" borderId="2" xfId="0" applyFont="1" applyFill="1" applyBorder="1" applyAlignment="1">
      <alignment horizontal="center" vertical="center"/>
    </xf>
    <xf numFmtId="41" fontId="10" fillId="0" borderId="0" xfId="1" applyFont="1" applyFill="1" applyAlignment="1">
      <alignment horizontal="right" vertical="center"/>
    </xf>
    <xf numFmtId="41" fontId="19" fillId="0" borderId="0" xfId="1" applyFont="1" applyFill="1" applyAlignment="1">
      <alignment horizontal="center" vertical="center"/>
    </xf>
    <xf numFmtId="49" fontId="16" fillId="0" borderId="0" xfId="0" applyNumberFormat="1" applyFont="1" applyAlignment="1">
      <alignment horizontal="center" vertical="center"/>
    </xf>
    <xf numFmtId="0" fontId="27" fillId="0" borderId="0" xfId="0" applyFont="1" applyAlignment="1">
      <alignment horizontal="center"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left" vertical="center"/>
    </xf>
    <xf numFmtId="0" fontId="28" fillId="0" borderId="0" xfId="0" applyFont="1" applyAlignment="1">
      <alignment horizontal="center" vertical="center"/>
    </xf>
    <xf numFmtId="178" fontId="28" fillId="0" borderId="0" xfId="0" applyNumberFormat="1" applyFont="1" applyAlignment="1">
      <alignment horizontal="center" vertical="center"/>
    </xf>
    <xf numFmtId="182" fontId="28" fillId="0" borderId="0" xfId="0" applyNumberFormat="1"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182" fontId="29" fillId="0" borderId="0" xfId="0" applyNumberFormat="1" applyFont="1" applyAlignment="1">
      <alignment horizontal="center" vertical="center"/>
    </xf>
    <xf numFmtId="0" fontId="28" fillId="0" borderId="0" xfId="0" applyFont="1" applyAlignment="1">
      <alignment horizontal="left" vertical="center"/>
    </xf>
    <xf numFmtId="24" fontId="28" fillId="0" borderId="0" xfId="0" applyNumberFormat="1" applyFont="1" applyAlignment="1">
      <alignment horizontal="center" vertical="center"/>
    </xf>
    <xf numFmtId="178" fontId="28" fillId="5" borderId="0" xfId="0" applyNumberFormat="1" applyFont="1" applyFill="1" applyAlignment="1">
      <alignment horizontal="center" vertical="center"/>
    </xf>
    <xf numFmtId="179" fontId="30" fillId="0" borderId="0" xfId="0" applyNumberFormat="1" applyFont="1" applyAlignment="1">
      <alignment horizontal="center" vertical="center"/>
    </xf>
    <xf numFmtId="0" fontId="31" fillId="0" borderId="0" xfId="0" applyFont="1">
      <alignment vertical="center"/>
    </xf>
    <xf numFmtId="0" fontId="31" fillId="0" borderId="0" xfId="0" applyFont="1" applyAlignment="1">
      <alignment horizontal="left" vertical="center"/>
    </xf>
    <xf numFmtId="0" fontId="31" fillId="0" borderId="0" xfId="0" applyFont="1" applyAlignment="1">
      <alignment horizontal="center" vertical="center"/>
    </xf>
    <xf numFmtId="24" fontId="31" fillId="0" borderId="0" xfId="0" applyNumberFormat="1" applyFont="1" applyAlignment="1">
      <alignment horizontal="center" vertical="center"/>
    </xf>
    <xf numFmtId="0" fontId="28" fillId="6" borderId="0" xfId="0" applyFont="1" applyFill="1" applyAlignment="1">
      <alignment horizontal="left" vertical="center"/>
    </xf>
    <xf numFmtId="24" fontId="29" fillId="0" borderId="0" xfId="0" applyNumberFormat="1" applyFont="1" applyAlignment="1">
      <alignment horizontal="center" vertical="center"/>
    </xf>
    <xf numFmtId="178" fontId="29" fillId="0" borderId="0" xfId="0" applyNumberFormat="1" applyFont="1" applyAlignment="1">
      <alignment horizontal="center" vertical="center"/>
    </xf>
    <xf numFmtId="0" fontId="29" fillId="0" borderId="1" xfId="0" applyFont="1" applyBorder="1" applyAlignment="1">
      <alignment horizontal="center" vertical="center"/>
    </xf>
    <xf numFmtId="49" fontId="28" fillId="8" borderId="3" xfId="0" applyNumberFormat="1" applyFont="1" applyFill="1" applyBorder="1" applyAlignment="1">
      <alignment horizontal="center" vertical="center"/>
    </xf>
    <xf numFmtId="0" fontId="28" fillId="8" borderId="3" xfId="0" applyFont="1" applyFill="1" applyBorder="1" applyAlignment="1">
      <alignment horizontal="center" vertical="center"/>
    </xf>
    <xf numFmtId="0" fontId="28" fillId="8" borderId="3" xfId="0" applyFont="1" applyFill="1" applyBorder="1" applyAlignment="1">
      <alignment horizontal="left" vertical="center"/>
    </xf>
    <xf numFmtId="0" fontId="28" fillId="8" borderId="0" xfId="0" applyFont="1" applyFill="1" applyAlignment="1">
      <alignment horizontal="center" vertical="center"/>
    </xf>
    <xf numFmtId="41" fontId="28" fillId="8" borderId="3" xfId="1" applyFont="1" applyFill="1" applyBorder="1" applyAlignment="1">
      <alignment horizontal="right" vertical="center"/>
    </xf>
    <xf numFmtId="178" fontId="28" fillId="8" borderId="0" xfId="0" applyNumberFormat="1" applyFont="1" applyFill="1" applyAlignment="1">
      <alignment horizontal="center" vertical="center"/>
    </xf>
    <xf numFmtId="182" fontId="28" fillId="8" borderId="0" xfId="0" applyNumberFormat="1" applyFont="1" applyFill="1" applyAlignment="1">
      <alignment horizontal="center" vertical="center"/>
    </xf>
    <xf numFmtId="0" fontId="30" fillId="8" borderId="0" xfId="0" applyFont="1" applyFill="1" applyAlignment="1">
      <alignment horizontal="center" vertical="center"/>
    </xf>
    <xf numFmtId="0" fontId="28" fillId="8" borderId="0" xfId="0" applyFont="1" applyFill="1" applyAlignment="1">
      <alignment horizontal="left" vertical="center"/>
    </xf>
    <xf numFmtId="0" fontId="28" fillId="8" borderId="0" xfId="0" applyFont="1" applyFill="1">
      <alignment vertical="center"/>
    </xf>
    <xf numFmtId="49" fontId="28" fillId="9" borderId="3" xfId="0" applyNumberFormat="1" applyFont="1" applyFill="1" applyBorder="1" applyAlignment="1">
      <alignment horizontal="center" vertical="center"/>
    </xf>
    <xf numFmtId="0" fontId="28" fillId="9" borderId="3" xfId="0" applyFont="1" applyFill="1" applyBorder="1" applyAlignment="1">
      <alignment horizontal="center" vertical="center"/>
    </xf>
    <xf numFmtId="0" fontId="28" fillId="9" borderId="3" xfId="0" applyFont="1" applyFill="1" applyBorder="1" applyAlignment="1">
      <alignment horizontal="left" vertical="center"/>
    </xf>
    <xf numFmtId="41" fontId="28" fillId="9" borderId="3" xfId="1" applyFont="1" applyFill="1" applyBorder="1" applyAlignment="1">
      <alignment horizontal="right" vertical="center"/>
    </xf>
    <xf numFmtId="178" fontId="28" fillId="9" borderId="3" xfId="0" applyNumberFormat="1" applyFont="1" applyFill="1" applyBorder="1" applyAlignment="1">
      <alignment horizontal="center" vertical="center"/>
    </xf>
    <xf numFmtId="182" fontId="28" fillId="9" borderId="3" xfId="0" applyNumberFormat="1" applyFont="1" applyFill="1" applyBorder="1" applyAlignment="1">
      <alignment horizontal="center" vertical="center"/>
    </xf>
    <xf numFmtId="0" fontId="30" fillId="9" borderId="6" xfId="0" applyFont="1" applyFill="1" applyBorder="1" applyAlignment="1">
      <alignment horizontal="center" vertical="center"/>
    </xf>
    <xf numFmtId="0" fontId="30" fillId="9" borderId="5" xfId="0" applyFont="1" applyFill="1" applyBorder="1" applyAlignment="1">
      <alignment horizontal="center" vertical="center"/>
    </xf>
    <xf numFmtId="182" fontId="28" fillId="9" borderId="7" xfId="0" applyNumberFormat="1" applyFont="1" applyFill="1" applyBorder="1" applyAlignment="1">
      <alignment horizontal="center" vertical="center"/>
    </xf>
    <xf numFmtId="0" fontId="28" fillId="9" borderId="0" xfId="0" applyFont="1" applyFill="1" applyAlignment="1">
      <alignment horizontal="left" vertical="center"/>
    </xf>
    <xf numFmtId="0" fontId="28" fillId="9" borderId="0" xfId="0" applyFont="1" applyFill="1">
      <alignment vertical="center"/>
    </xf>
    <xf numFmtId="0" fontId="28" fillId="7" borderId="0" xfId="0" applyFont="1" applyFill="1">
      <alignment vertical="center"/>
    </xf>
    <xf numFmtId="0" fontId="28" fillId="7" borderId="0" xfId="0" applyFont="1" applyFill="1" applyAlignment="1">
      <alignment horizontal="left" vertical="center"/>
    </xf>
    <xf numFmtId="0" fontId="28" fillId="7" borderId="0" xfId="0" applyFont="1" applyFill="1" applyAlignment="1">
      <alignment horizontal="center" vertical="center"/>
    </xf>
    <xf numFmtId="178" fontId="28" fillId="7" borderId="0" xfId="0" applyNumberFormat="1" applyFont="1" applyFill="1" applyAlignment="1">
      <alignment horizontal="center" vertical="center"/>
    </xf>
    <xf numFmtId="182" fontId="28" fillId="7" borderId="0" xfId="0" applyNumberFormat="1" applyFont="1" applyFill="1" applyAlignment="1">
      <alignment horizontal="center" vertical="center"/>
    </xf>
    <xf numFmtId="0" fontId="30" fillId="7" borderId="0" xfId="0" applyFont="1" applyFill="1" applyAlignment="1">
      <alignment horizontal="center" vertical="center"/>
    </xf>
    <xf numFmtId="0" fontId="28" fillId="7" borderId="9" xfId="0" applyFont="1" applyFill="1" applyBorder="1" applyAlignment="1">
      <alignment horizontal="left" vertical="center"/>
    </xf>
    <xf numFmtId="49" fontId="28" fillId="7" borderId="8" xfId="0" applyNumberFormat="1" applyFont="1" applyFill="1" applyBorder="1" applyAlignment="1">
      <alignment horizontal="center" vertical="center"/>
    </xf>
    <xf numFmtId="0" fontId="28" fillId="7" borderId="9" xfId="0" applyFont="1" applyFill="1" applyBorder="1" applyAlignment="1">
      <alignment horizontal="center" vertical="center"/>
    </xf>
    <xf numFmtId="0" fontId="28" fillId="7" borderId="10" xfId="0" applyFont="1" applyFill="1" applyBorder="1">
      <alignment vertical="center"/>
    </xf>
    <xf numFmtId="41" fontId="28" fillId="7" borderId="10" xfId="0" applyNumberFormat="1" applyFont="1" applyFill="1" applyBorder="1" applyAlignment="1">
      <alignment horizontal="right" vertical="center"/>
    </xf>
    <xf numFmtId="14" fontId="28" fillId="7" borderId="4" xfId="0" applyNumberFormat="1" applyFont="1" applyFill="1" applyBorder="1" applyAlignment="1">
      <alignment horizontal="center" vertical="center"/>
    </xf>
    <xf numFmtId="0" fontId="30" fillId="7" borderId="4" xfId="0" applyFont="1" applyFill="1" applyBorder="1" applyAlignment="1">
      <alignment horizontal="center" vertical="center"/>
    </xf>
    <xf numFmtId="0" fontId="30" fillId="7" borderId="10" xfId="0" applyFont="1" applyFill="1" applyBorder="1" applyAlignment="1">
      <alignment horizontal="center" vertical="center"/>
    </xf>
    <xf numFmtId="0" fontId="28" fillId="7" borderId="10" xfId="0" applyFont="1" applyFill="1" applyBorder="1" applyAlignment="1">
      <alignment horizontal="left" vertical="center"/>
    </xf>
    <xf numFmtId="49" fontId="28" fillId="7" borderId="11" xfId="0" applyNumberFormat="1" applyFont="1" applyFill="1" applyBorder="1" applyAlignment="1">
      <alignment horizontal="center" vertical="center"/>
    </xf>
    <xf numFmtId="0" fontId="28" fillId="7" borderId="12" xfId="0" applyFont="1" applyFill="1" applyBorder="1" applyAlignment="1">
      <alignment horizontal="center" vertical="center"/>
    </xf>
    <xf numFmtId="0" fontId="28" fillId="7" borderId="12" xfId="0" applyFont="1" applyFill="1" applyBorder="1" applyAlignment="1">
      <alignment horizontal="left" vertical="center"/>
    </xf>
    <xf numFmtId="0" fontId="28" fillId="7" borderId="12" xfId="0" applyFont="1" applyFill="1" applyBorder="1">
      <alignment vertical="center"/>
    </xf>
    <xf numFmtId="41" fontId="28" fillId="7" borderId="12" xfId="0" applyNumberFormat="1" applyFont="1" applyFill="1" applyBorder="1" applyAlignment="1">
      <alignment horizontal="right" vertical="center"/>
    </xf>
    <xf numFmtId="0" fontId="30" fillId="7" borderId="12" xfId="0" applyFont="1" applyFill="1" applyBorder="1" applyAlignment="1">
      <alignment horizontal="center" vertical="center"/>
    </xf>
    <xf numFmtId="49" fontId="28" fillId="7" borderId="3" xfId="0" applyNumberFormat="1" applyFont="1" applyFill="1" applyBorder="1" applyAlignment="1">
      <alignment horizontal="center" vertical="center"/>
    </xf>
    <xf numFmtId="0" fontId="28" fillId="7" borderId="3" xfId="0" applyFont="1" applyFill="1" applyBorder="1" applyAlignment="1">
      <alignment horizontal="center" vertical="center"/>
    </xf>
    <xf numFmtId="0" fontId="28" fillId="7" borderId="3" xfId="0" applyFont="1" applyFill="1" applyBorder="1" applyAlignment="1">
      <alignment horizontal="left" vertical="center"/>
    </xf>
    <xf numFmtId="41" fontId="28" fillId="7" borderId="13" xfId="0" applyNumberFormat="1" applyFont="1" applyFill="1" applyBorder="1" applyAlignment="1">
      <alignment horizontal="right" vertical="center"/>
    </xf>
    <xf numFmtId="0" fontId="30" fillId="7" borderId="13" xfId="0" applyFont="1" applyFill="1" applyBorder="1" applyAlignment="1">
      <alignment horizontal="center" vertical="center"/>
    </xf>
    <xf numFmtId="0" fontId="28" fillId="7" borderId="13" xfId="0" applyFont="1" applyFill="1" applyBorder="1" applyAlignment="1">
      <alignment horizontal="left" vertical="center"/>
    </xf>
    <xf numFmtId="0" fontId="28" fillId="7" borderId="13" xfId="0" applyFont="1" applyFill="1" applyBorder="1">
      <alignment vertical="center"/>
    </xf>
    <xf numFmtId="49" fontId="28" fillId="0" borderId="3" xfId="0" applyNumberFormat="1" applyFont="1" applyBorder="1" applyAlignment="1">
      <alignment horizontal="center" vertical="center"/>
    </xf>
    <xf numFmtId="0" fontId="28" fillId="0" borderId="3" xfId="0" applyFont="1" applyBorder="1" applyAlignment="1">
      <alignment horizontal="center" vertical="center"/>
    </xf>
    <xf numFmtId="0" fontId="28" fillId="0" borderId="3" xfId="0" applyFont="1" applyBorder="1" applyAlignment="1">
      <alignment horizontal="left" vertical="center"/>
    </xf>
    <xf numFmtId="41" fontId="28" fillId="0" borderId="3" xfId="1" applyFont="1" applyBorder="1" applyAlignment="1">
      <alignment horizontal="right" vertical="center"/>
    </xf>
    <xf numFmtId="14" fontId="28" fillId="0" borderId="3" xfId="0" applyNumberFormat="1" applyFont="1" applyBorder="1" applyAlignment="1">
      <alignment horizontal="center" vertical="center"/>
    </xf>
    <xf numFmtId="182" fontId="28" fillId="0" borderId="3" xfId="0" applyNumberFormat="1" applyFont="1" applyBorder="1" applyAlignment="1">
      <alignment horizontal="center" vertical="center"/>
    </xf>
    <xf numFmtId="176" fontId="28" fillId="0" borderId="3" xfId="0" applyNumberFormat="1" applyFont="1" applyBorder="1" applyAlignment="1">
      <alignment horizontal="center" vertical="center"/>
    </xf>
    <xf numFmtId="177" fontId="28" fillId="3" borderId="3" xfId="0" applyNumberFormat="1" applyFont="1" applyFill="1" applyBorder="1" applyAlignment="1">
      <alignment horizontal="center" vertical="center"/>
    </xf>
    <xf numFmtId="178" fontId="28" fillId="0" borderId="3" xfId="0" applyNumberFormat="1" applyFont="1" applyBorder="1" applyAlignment="1">
      <alignment horizontal="left" vertical="center"/>
    </xf>
    <xf numFmtId="0" fontId="29" fillId="0" borderId="3" xfId="0" applyFont="1" applyBorder="1" applyAlignment="1">
      <alignment horizontal="center" vertical="center"/>
    </xf>
    <xf numFmtId="49" fontId="28" fillId="10" borderId="3" xfId="0" applyNumberFormat="1" applyFont="1" applyFill="1" applyBorder="1" applyAlignment="1">
      <alignment horizontal="center" vertical="center"/>
    </xf>
    <xf numFmtId="0" fontId="28" fillId="10" borderId="3" xfId="0" applyFont="1" applyFill="1" applyBorder="1" applyAlignment="1">
      <alignment horizontal="center" vertical="center"/>
    </xf>
    <xf numFmtId="0" fontId="28" fillId="10" borderId="3" xfId="0" applyFont="1" applyFill="1" applyBorder="1" applyAlignment="1">
      <alignment horizontal="left" vertical="center"/>
    </xf>
    <xf numFmtId="41" fontId="28" fillId="10" borderId="3" xfId="1" applyFont="1" applyFill="1" applyBorder="1" applyAlignment="1">
      <alignment horizontal="right" vertical="center"/>
    </xf>
    <xf numFmtId="14" fontId="28" fillId="10" borderId="3" xfId="0" applyNumberFormat="1" applyFont="1" applyFill="1" applyBorder="1" applyAlignment="1">
      <alignment horizontal="center" vertical="center"/>
    </xf>
    <xf numFmtId="0" fontId="30" fillId="10" borderId="0" xfId="0" applyFont="1" applyFill="1" applyAlignment="1">
      <alignment horizontal="center" vertical="center"/>
    </xf>
    <xf numFmtId="182" fontId="28" fillId="10" borderId="3" xfId="0" applyNumberFormat="1" applyFont="1" applyFill="1" applyBorder="1" applyAlignment="1">
      <alignment horizontal="center" vertical="center"/>
    </xf>
    <xf numFmtId="176" fontId="28" fillId="10" borderId="3" xfId="0" applyNumberFormat="1" applyFont="1" applyFill="1" applyBorder="1" applyAlignment="1">
      <alignment horizontal="center" vertical="center"/>
    </xf>
    <xf numFmtId="176" fontId="28" fillId="10" borderId="0" xfId="0" applyNumberFormat="1" applyFont="1" applyFill="1" applyAlignment="1">
      <alignment horizontal="center" vertical="center"/>
    </xf>
    <xf numFmtId="177" fontId="28" fillId="10" borderId="0" xfId="0" applyNumberFormat="1" applyFont="1" applyFill="1" applyAlignment="1">
      <alignment horizontal="center" vertical="center"/>
    </xf>
    <xf numFmtId="0" fontId="28" fillId="10" borderId="0" xfId="0" applyFont="1" applyFill="1" applyAlignment="1">
      <alignment horizontal="left" vertical="center"/>
    </xf>
    <xf numFmtId="0" fontId="28" fillId="10" borderId="0" xfId="0" applyFont="1" applyFill="1" applyAlignment="1">
      <alignment horizontal="center" vertical="center"/>
    </xf>
    <xf numFmtId="178" fontId="28" fillId="10" borderId="0" xfId="0" applyNumberFormat="1" applyFont="1" applyFill="1" applyAlignment="1">
      <alignment horizontal="left" vertical="center"/>
    </xf>
    <xf numFmtId="0" fontId="29" fillId="10" borderId="0" xfId="0" applyFont="1" applyFill="1" applyAlignment="1">
      <alignment horizontal="center" vertical="center"/>
    </xf>
    <xf numFmtId="0" fontId="30" fillId="0" borderId="3" xfId="0" applyFont="1" applyBorder="1" applyAlignment="1">
      <alignment horizontal="center" vertical="center"/>
    </xf>
    <xf numFmtId="41" fontId="28" fillId="7" borderId="3" xfId="1" applyFont="1" applyFill="1" applyBorder="1" applyAlignment="1">
      <alignment horizontal="right" vertical="center"/>
    </xf>
    <xf numFmtId="178" fontId="28" fillId="7" borderId="14" xfId="0" applyNumberFormat="1" applyFont="1" applyFill="1" applyBorder="1" applyAlignment="1">
      <alignment horizontal="center" vertical="center"/>
    </xf>
    <xf numFmtId="182" fontId="28" fillId="7" borderId="3" xfId="0" applyNumberFormat="1" applyFont="1" applyFill="1" applyBorder="1" applyAlignment="1">
      <alignment horizontal="center" vertical="center"/>
    </xf>
    <xf numFmtId="0" fontId="30" fillId="7" borderId="3" xfId="0" applyFont="1" applyFill="1" applyBorder="1" applyAlignment="1">
      <alignment horizontal="center" vertical="center"/>
    </xf>
    <xf numFmtId="0" fontId="28" fillId="2" borderId="0" xfId="0" applyFont="1" applyFill="1">
      <alignment vertical="center"/>
    </xf>
    <xf numFmtId="14" fontId="28" fillId="7" borderId="0" xfId="0" applyNumberFormat="1" applyFont="1" applyFill="1">
      <alignment vertical="center"/>
    </xf>
    <xf numFmtId="0" fontId="28" fillId="9" borderId="0" xfId="0" applyFont="1" applyFill="1" applyAlignment="1">
      <alignment horizontal="center" vertical="center"/>
    </xf>
    <xf numFmtId="178" fontId="28" fillId="9" borderId="14" xfId="0" applyNumberFormat="1" applyFont="1" applyFill="1" applyBorder="1" applyAlignment="1">
      <alignment horizontal="center" vertical="center"/>
    </xf>
    <xf numFmtId="0" fontId="30" fillId="9" borderId="3" xfId="0" applyFont="1" applyFill="1" applyBorder="1" applyAlignment="1">
      <alignment horizontal="center" vertical="center"/>
    </xf>
    <xf numFmtId="178" fontId="28" fillId="9" borderId="0" xfId="0" applyNumberFormat="1" applyFont="1" applyFill="1" applyAlignment="1">
      <alignment horizontal="center" vertical="center"/>
    </xf>
    <xf numFmtId="0" fontId="30" fillId="9" borderId="0" xfId="0" applyFont="1" applyFill="1" applyAlignment="1">
      <alignment horizontal="center" vertical="center"/>
    </xf>
    <xf numFmtId="182" fontId="28" fillId="9" borderId="0" xfId="0" applyNumberFormat="1" applyFont="1" applyFill="1" applyAlignment="1">
      <alignment horizontal="center" vertical="center"/>
    </xf>
    <xf numFmtId="0" fontId="28" fillId="7" borderId="1" xfId="0" applyFont="1" applyFill="1" applyBorder="1">
      <alignment vertical="center"/>
    </xf>
    <xf numFmtId="49" fontId="28" fillId="7" borderId="15" xfId="0" applyNumberFormat="1" applyFont="1" applyFill="1" applyBorder="1" applyAlignment="1">
      <alignment horizontal="center" vertical="center"/>
    </xf>
    <xf numFmtId="0" fontId="28" fillId="7" borderId="15" xfId="0" applyFont="1" applyFill="1" applyBorder="1" applyAlignment="1">
      <alignment horizontal="center" vertical="center"/>
    </xf>
    <xf numFmtId="0" fontId="28" fillId="7" borderId="15" xfId="0" applyFont="1" applyFill="1" applyBorder="1" applyAlignment="1">
      <alignment horizontal="left" vertical="center"/>
    </xf>
    <xf numFmtId="41" fontId="28" fillId="7" borderId="15" xfId="1" applyFont="1" applyFill="1" applyBorder="1" applyAlignment="1">
      <alignment horizontal="right" vertical="center"/>
    </xf>
    <xf numFmtId="178" fontId="28" fillId="7" borderId="1" xfId="0" applyNumberFormat="1" applyFont="1" applyFill="1" applyBorder="1" applyAlignment="1">
      <alignment horizontal="center" vertical="center"/>
    </xf>
    <xf numFmtId="182" fontId="28" fillId="7" borderId="1" xfId="0" applyNumberFormat="1" applyFont="1" applyFill="1" applyBorder="1" applyAlignment="1">
      <alignment horizontal="center" vertical="center"/>
    </xf>
    <xf numFmtId="0" fontId="30" fillId="7" borderId="15" xfId="0" applyFont="1" applyFill="1" applyBorder="1" applyAlignment="1">
      <alignment horizontal="center" vertical="center"/>
    </xf>
    <xf numFmtId="0" fontId="30" fillId="7" borderId="1" xfId="0" applyFont="1" applyFill="1" applyBorder="1" applyAlignment="1">
      <alignment horizontal="center" vertical="center"/>
    </xf>
    <xf numFmtId="0" fontId="28" fillId="7" borderId="1" xfId="0" applyFont="1" applyFill="1" applyBorder="1" applyAlignment="1">
      <alignment horizontal="left" vertical="center"/>
    </xf>
    <xf numFmtId="49" fontId="28" fillId="0" borderId="16" xfId="0" applyNumberFormat="1" applyFont="1" applyBorder="1" applyAlignment="1">
      <alignment horizontal="center" vertical="center"/>
    </xf>
    <xf numFmtId="0" fontId="28" fillId="0" borderId="16" xfId="0" applyFont="1" applyBorder="1" applyAlignment="1">
      <alignment horizontal="center" vertical="center"/>
    </xf>
    <xf numFmtId="0" fontId="28" fillId="0" borderId="16" xfId="0" applyFont="1" applyBorder="1" applyAlignment="1">
      <alignment horizontal="left" vertical="center"/>
    </xf>
    <xf numFmtId="41" fontId="28" fillId="0" borderId="2" xfId="1" applyFont="1" applyBorder="1" applyAlignment="1">
      <alignment horizontal="right" vertical="center"/>
    </xf>
    <xf numFmtId="0" fontId="30" fillId="0" borderId="2" xfId="0" applyFont="1" applyBorder="1" applyAlignment="1">
      <alignment horizontal="center" vertical="center"/>
    </xf>
    <xf numFmtId="0" fontId="28" fillId="2" borderId="1" xfId="0" applyFont="1" applyFill="1" applyBorder="1">
      <alignment vertical="center"/>
    </xf>
    <xf numFmtId="49" fontId="28" fillId="7" borderId="17" xfId="0" applyNumberFormat="1" applyFont="1" applyFill="1" applyBorder="1" applyAlignment="1">
      <alignment horizontal="center" vertical="center"/>
    </xf>
    <xf numFmtId="0" fontId="28" fillId="7" borderId="17" xfId="0" applyFont="1" applyFill="1" applyBorder="1" applyAlignment="1">
      <alignment horizontal="center" vertical="center"/>
    </xf>
    <xf numFmtId="0" fontId="28" fillId="7" borderId="17" xfId="0" applyFont="1" applyFill="1" applyBorder="1" applyAlignment="1">
      <alignment horizontal="left" vertical="center"/>
    </xf>
    <xf numFmtId="49" fontId="28" fillId="7" borderId="2" xfId="0" applyNumberFormat="1" applyFont="1" applyFill="1" applyBorder="1" applyAlignment="1">
      <alignment horizontal="center" vertical="center"/>
    </xf>
    <xf numFmtId="0" fontId="28" fillId="7" borderId="2" xfId="0" applyFont="1" applyFill="1" applyBorder="1" applyAlignment="1">
      <alignment horizontal="center" vertical="center"/>
    </xf>
    <xf numFmtId="0" fontId="28" fillId="7" borderId="2" xfId="0" applyFont="1" applyFill="1" applyBorder="1" applyAlignment="1">
      <alignment horizontal="left" vertical="center"/>
    </xf>
    <xf numFmtId="41" fontId="28" fillId="7" borderId="2" xfId="1" applyFont="1" applyFill="1" applyBorder="1" applyAlignment="1">
      <alignment horizontal="right" vertical="center"/>
    </xf>
    <xf numFmtId="3" fontId="28" fillId="7" borderId="0" xfId="0" applyNumberFormat="1" applyFont="1" applyFill="1" applyAlignment="1">
      <alignment horizontal="right" vertical="center"/>
    </xf>
    <xf numFmtId="0" fontId="28" fillId="9" borderId="0" xfId="0" applyFont="1" applyFill="1" applyAlignment="1">
      <alignment horizontal="right" vertical="center"/>
    </xf>
    <xf numFmtId="0" fontId="28" fillId="2" borderId="0" xfId="0" applyFont="1" applyFill="1" applyAlignment="1">
      <alignment horizontal="left" vertical="center"/>
    </xf>
    <xf numFmtId="0" fontId="28" fillId="2" borderId="0" xfId="0" applyFont="1" applyFill="1" applyAlignment="1">
      <alignment horizontal="center" vertical="center"/>
    </xf>
    <xf numFmtId="178" fontId="28" fillId="2" borderId="0" xfId="0" applyNumberFormat="1" applyFont="1" applyFill="1" applyAlignment="1">
      <alignment horizontal="center" vertical="center"/>
    </xf>
    <xf numFmtId="182" fontId="28" fillId="2" borderId="0" xfId="0" applyNumberFormat="1" applyFont="1" applyFill="1" applyAlignment="1">
      <alignment horizontal="center" vertical="center"/>
    </xf>
    <xf numFmtId="0" fontId="30" fillId="2" borderId="0" xfId="0" applyFont="1" applyFill="1" applyAlignment="1">
      <alignment horizontal="center" vertical="center"/>
    </xf>
    <xf numFmtId="178" fontId="28" fillId="10" borderId="0" xfId="0" applyNumberFormat="1" applyFont="1" applyFill="1" applyAlignment="1">
      <alignment horizontal="center" vertical="center"/>
    </xf>
    <xf numFmtId="182" fontId="28" fillId="10" borderId="0" xfId="0" applyNumberFormat="1" applyFont="1" applyFill="1" applyAlignment="1">
      <alignment horizontal="center" vertical="center"/>
    </xf>
    <xf numFmtId="0" fontId="28" fillId="10" borderId="0" xfId="0" applyFont="1" applyFill="1">
      <alignment vertical="center"/>
    </xf>
    <xf numFmtId="178" fontId="32" fillId="7" borderId="0" xfId="0" applyNumberFormat="1" applyFont="1" applyFill="1" applyAlignment="1">
      <alignment horizontal="center" vertical="center"/>
    </xf>
    <xf numFmtId="49" fontId="28" fillId="2" borderId="3" xfId="0" applyNumberFormat="1" applyFont="1" applyFill="1" applyBorder="1" applyAlignment="1">
      <alignment horizontal="center" vertical="center"/>
    </xf>
    <xf numFmtId="0" fontId="28" fillId="2" borderId="3" xfId="0" applyFont="1" applyFill="1" applyBorder="1" applyAlignment="1">
      <alignment horizontal="center" vertical="center"/>
    </xf>
    <xf numFmtId="0" fontId="28" fillId="2" borderId="3" xfId="0" applyFont="1" applyFill="1" applyBorder="1" applyAlignment="1">
      <alignment horizontal="left" vertical="center"/>
    </xf>
    <xf numFmtId="41" fontId="28" fillId="2" borderId="3" xfId="1" applyFont="1" applyFill="1" applyBorder="1" applyAlignment="1">
      <alignment horizontal="right" vertical="center"/>
    </xf>
    <xf numFmtId="0" fontId="28" fillId="0" borderId="0" xfId="0" applyFont="1" applyAlignment="1">
      <alignment horizontal="right" vertical="center"/>
    </xf>
    <xf numFmtId="0" fontId="28" fillId="11" borderId="0" xfId="0" applyFont="1" applyFill="1">
      <alignment vertical="center"/>
    </xf>
    <xf numFmtId="0" fontId="28" fillId="11" borderId="0" xfId="0" applyFont="1" applyFill="1" applyAlignment="1">
      <alignment horizontal="left" vertical="center"/>
    </xf>
    <xf numFmtId="0" fontId="28" fillId="11" borderId="0" xfId="0" applyFont="1" applyFill="1" applyAlignment="1">
      <alignment horizontal="center" vertical="center"/>
    </xf>
    <xf numFmtId="178" fontId="28" fillId="11" borderId="0" xfId="0" applyNumberFormat="1" applyFont="1" applyFill="1" applyAlignment="1">
      <alignment horizontal="center" vertical="center"/>
    </xf>
    <xf numFmtId="182" fontId="28" fillId="11" borderId="0" xfId="0" applyNumberFormat="1" applyFont="1" applyFill="1" applyAlignment="1">
      <alignment horizontal="center" vertical="center"/>
    </xf>
    <xf numFmtId="0" fontId="30" fillId="11" borderId="0" xfId="0" applyFont="1" applyFill="1" applyAlignment="1">
      <alignment horizontal="center" vertical="center"/>
    </xf>
    <xf numFmtId="0" fontId="30" fillId="0" borderId="0" xfId="0" applyFont="1" applyAlignment="1">
      <alignment horizontal="left" vertical="center"/>
    </xf>
    <xf numFmtId="0" fontId="30" fillId="0" borderId="1" xfId="0" applyFont="1" applyBorder="1" applyAlignment="1">
      <alignment horizontal="center" vertical="center"/>
    </xf>
    <xf numFmtId="182" fontId="28" fillId="0" borderId="1" xfId="0" applyNumberFormat="1" applyFont="1" applyBorder="1" applyAlignment="1">
      <alignment horizontal="center" vertical="center"/>
    </xf>
    <xf numFmtId="0" fontId="28" fillId="0" borderId="1" xfId="0" applyFont="1" applyBorder="1" applyAlignment="1">
      <alignment horizontal="left" vertical="center"/>
    </xf>
    <xf numFmtId="0" fontId="28" fillId="0" borderId="1" xfId="0" applyFont="1" applyBorder="1">
      <alignment vertical="center"/>
    </xf>
    <xf numFmtId="178" fontId="28" fillId="0" borderId="0" xfId="0" applyNumberFormat="1" applyFont="1" applyAlignment="1">
      <alignment horizontal="right" vertical="center"/>
    </xf>
    <xf numFmtId="0" fontId="33" fillId="0" borderId="0" xfId="0" applyFont="1" applyAlignment="1">
      <alignment horizontal="center" vertical="center"/>
    </xf>
    <xf numFmtId="0" fontId="33" fillId="0" borderId="0" xfId="0" applyFont="1" applyAlignment="1">
      <alignment horizontal="right" vertical="center"/>
    </xf>
    <xf numFmtId="41" fontId="33" fillId="0" borderId="0" xfId="1" applyFont="1" applyAlignment="1">
      <alignment horizontal="right" vertical="center"/>
    </xf>
    <xf numFmtId="180" fontId="33" fillId="0" borderId="0" xfId="1" applyNumberFormat="1" applyFont="1" applyAlignment="1">
      <alignment horizontal="right" vertical="center"/>
    </xf>
    <xf numFmtId="181" fontId="33" fillId="0" borderId="0" xfId="1" applyNumberFormat="1" applyFont="1" applyAlignment="1">
      <alignment horizontal="right" vertical="center"/>
    </xf>
    <xf numFmtId="41" fontId="33" fillId="0" borderId="0" xfId="1" applyFont="1" applyAlignment="1">
      <alignment horizontal="center" vertical="center"/>
    </xf>
    <xf numFmtId="0" fontId="33" fillId="0" borderId="1" xfId="0" applyFont="1" applyBorder="1" applyAlignment="1">
      <alignment horizontal="center" vertical="center"/>
    </xf>
    <xf numFmtId="41" fontId="33" fillId="0" borderId="1" xfId="1" applyFont="1" applyBorder="1" applyAlignment="1">
      <alignment horizontal="right" vertical="center"/>
    </xf>
    <xf numFmtId="41" fontId="33" fillId="7" borderId="1" xfId="1" applyFont="1" applyFill="1" applyBorder="1" applyAlignment="1">
      <alignment horizontal="right" vertical="center"/>
    </xf>
    <xf numFmtId="181" fontId="33" fillId="0" borderId="0" xfId="1" applyNumberFormat="1" applyFont="1" applyBorder="1" applyAlignment="1">
      <alignment horizontal="center" vertical="center"/>
    </xf>
    <xf numFmtId="41" fontId="33" fillId="0" borderId="0" xfId="1" applyFont="1" applyBorder="1" applyAlignment="1">
      <alignment horizontal="right" vertical="center"/>
    </xf>
    <xf numFmtId="0" fontId="33" fillId="2" borderId="0" xfId="0" applyFont="1" applyFill="1" applyAlignment="1">
      <alignment horizontal="center" vertical="center"/>
    </xf>
    <xf numFmtId="41" fontId="33" fillId="2" borderId="0" xfId="1" applyFont="1" applyFill="1" applyBorder="1" applyAlignment="1">
      <alignment horizontal="right" vertical="center"/>
    </xf>
    <xf numFmtId="0" fontId="33" fillId="11" borderId="0" xfId="0" applyFont="1" applyFill="1" applyAlignment="1">
      <alignment horizontal="center" vertical="center"/>
    </xf>
    <xf numFmtId="41" fontId="33" fillId="11" borderId="0" xfId="1" applyFont="1" applyFill="1" applyAlignment="1">
      <alignment horizontal="right" vertical="center"/>
    </xf>
    <xf numFmtId="0" fontId="33" fillId="7" borderId="0" xfId="0" applyFont="1" applyFill="1" applyAlignment="1">
      <alignment horizontal="center" vertical="center"/>
    </xf>
    <xf numFmtId="41" fontId="33" fillId="7" borderId="0" xfId="1" applyFont="1" applyFill="1" applyAlignment="1">
      <alignment horizontal="right" vertical="center"/>
    </xf>
    <xf numFmtId="178" fontId="32" fillId="0" borderId="0" xfId="0" applyNumberFormat="1" applyFont="1" applyAlignment="1">
      <alignment horizontal="right" vertical="center"/>
    </xf>
    <xf numFmtId="182" fontId="32" fillId="0" borderId="0" xfId="0" applyNumberFormat="1" applyFont="1" applyAlignment="1">
      <alignment horizontal="center" vertical="center"/>
    </xf>
    <xf numFmtId="0" fontId="32" fillId="0" borderId="0" xfId="0" applyFont="1" applyAlignment="1">
      <alignment horizontal="center" vertical="center"/>
    </xf>
    <xf numFmtId="178" fontId="28" fillId="2" borderId="0" xfId="0" applyNumberFormat="1" applyFont="1" applyFill="1" applyAlignment="1">
      <alignment horizontal="right" vertical="center"/>
    </xf>
    <xf numFmtId="0" fontId="28" fillId="2" borderId="0" xfId="0" applyFont="1" applyFill="1" applyAlignment="1">
      <alignment horizontal="right" vertical="center"/>
    </xf>
    <xf numFmtId="0" fontId="28" fillId="0" borderId="0" xfId="0" applyFont="1" applyAlignment="1">
      <alignment horizontal="center" vertical="center" wrapText="1"/>
    </xf>
    <xf numFmtId="0" fontId="10" fillId="0" borderId="0" xfId="0" applyFont="1" applyAlignment="1">
      <alignment horizontal="left" vertical="center"/>
    </xf>
    <xf numFmtId="0" fontId="21" fillId="10" borderId="1" xfId="0" applyFont="1" applyFill="1" applyBorder="1" applyAlignment="1">
      <alignment horizontal="left" vertical="center" wrapText="1"/>
    </xf>
    <xf numFmtId="0" fontId="19" fillId="0" borderId="2" xfId="0" applyFont="1" applyBorder="1" applyAlignment="1">
      <alignment horizontal="left" vertical="center"/>
    </xf>
    <xf numFmtId="0" fontId="21" fillId="11" borderId="2" xfId="0" applyFont="1" applyFill="1" applyBorder="1" applyAlignment="1">
      <alignment horizontal="center" vertical="center"/>
    </xf>
    <xf numFmtId="0" fontId="19" fillId="7" borderId="1" xfId="0" applyFont="1" applyFill="1" applyBorder="1" applyAlignment="1">
      <alignment horizontal="center" vertical="center"/>
    </xf>
    <xf numFmtId="0" fontId="19" fillId="13" borderId="2" xfId="0" applyFont="1" applyFill="1" applyBorder="1" applyAlignment="1">
      <alignment horizontal="center" vertical="center" wrapText="1"/>
    </xf>
    <xf numFmtId="0" fontId="14" fillId="0" borderId="0" xfId="0" applyFont="1" applyAlignment="1">
      <alignment horizontal="left" vertical="center"/>
    </xf>
    <xf numFmtId="0" fontId="9" fillId="0" borderId="0" xfId="0" applyFont="1" applyAlignment="1">
      <alignment horizontal="left" vertical="center"/>
    </xf>
    <xf numFmtId="0" fontId="21" fillId="14" borderId="1" xfId="0" applyFont="1" applyFill="1" applyBorder="1" applyAlignment="1">
      <alignment horizontal="center" vertical="center"/>
    </xf>
    <xf numFmtId="0" fontId="21" fillId="7" borderId="1" xfId="0" applyFont="1" applyFill="1" applyBorder="1" applyAlignment="1">
      <alignment horizontal="center" vertical="center" wrapText="1"/>
    </xf>
    <xf numFmtId="0" fontId="9" fillId="2" borderId="0" xfId="0" applyFont="1" applyFill="1" applyAlignment="1">
      <alignment horizontal="center" vertical="center"/>
    </xf>
    <xf numFmtId="41" fontId="9" fillId="0" borderId="0" xfId="1" applyFont="1" applyFill="1" applyAlignment="1">
      <alignment horizontal="right" vertical="center"/>
    </xf>
    <xf numFmtId="179" fontId="9" fillId="0" borderId="0" xfId="0" applyNumberFormat="1" applyFont="1" applyAlignment="1">
      <alignment horizontal="center" vertical="center"/>
    </xf>
    <xf numFmtId="0" fontId="9" fillId="0" borderId="0" xfId="0" quotePrefix="1" applyFont="1" applyAlignment="1">
      <alignment horizontal="center" vertical="center"/>
    </xf>
    <xf numFmtId="41" fontId="9" fillId="0" borderId="0" xfId="1" applyFont="1" applyAlignment="1">
      <alignment horizontal="right" vertical="center"/>
    </xf>
    <xf numFmtId="0" fontId="27" fillId="2" borderId="0" xfId="0" applyFont="1" applyFill="1" applyAlignment="1">
      <alignment horizontal="center" vertical="center"/>
    </xf>
    <xf numFmtId="41" fontId="9" fillId="2" borderId="0" xfId="1" applyFont="1" applyFill="1" applyAlignment="1">
      <alignment horizontal="right" vertical="center"/>
    </xf>
    <xf numFmtId="179" fontId="9" fillId="2" borderId="0" xfId="0" applyNumberFormat="1" applyFont="1" applyFill="1" applyAlignment="1">
      <alignment horizontal="center" vertical="center"/>
    </xf>
    <xf numFmtId="0" fontId="9" fillId="2" borderId="0" xfId="0" applyFont="1" applyFill="1" applyAlignment="1">
      <alignment horizontal="left" vertical="center"/>
    </xf>
    <xf numFmtId="49" fontId="16" fillId="0" borderId="2" xfId="0" applyNumberFormat="1" applyFont="1" applyFill="1" applyBorder="1" applyAlignment="1">
      <alignment horizontal="center" vertical="center"/>
    </xf>
    <xf numFmtId="0" fontId="16" fillId="0" borderId="2" xfId="0" applyFont="1" applyFill="1" applyBorder="1" applyAlignment="1">
      <alignment horizontal="left" vertical="center"/>
    </xf>
    <xf numFmtId="0" fontId="16" fillId="0" borderId="2" xfId="0" applyFont="1" applyFill="1" applyBorder="1" applyAlignment="1">
      <alignment horizontal="center" vertical="center"/>
    </xf>
    <xf numFmtId="41" fontId="16" fillId="0" borderId="2" xfId="1" applyFont="1" applyFill="1" applyBorder="1" applyAlignment="1">
      <alignment horizontal="center" vertical="center"/>
    </xf>
    <xf numFmtId="176" fontId="16" fillId="0" borderId="2" xfId="0" applyNumberFormat="1" applyFont="1" applyFill="1" applyBorder="1" applyAlignment="1">
      <alignment horizontal="center" vertical="center"/>
    </xf>
    <xf numFmtId="177" fontId="16" fillId="0" borderId="2" xfId="0" applyNumberFormat="1" applyFont="1" applyFill="1" applyBorder="1" applyAlignment="1">
      <alignment horizontal="center" vertical="center"/>
    </xf>
    <xf numFmtId="0" fontId="21" fillId="0" borderId="2" xfId="0" applyFont="1" applyFill="1" applyBorder="1" applyAlignment="1">
      <alignment horizontal="center" vertical="center"/>
    </xf>
    <xf numFmtId="178" fontId="16" fillId="0" borderId="2" xfId="0" applyNumberFormat="1" applyFont="1" applyFill="1" applyBorder="1" applyAlignment="1">
      <alignment horizontal="center" vertical="center"/>
    </xf>
    <xf numFmtId="0" fontId="16" fillId="0" borderId="2"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0" fillId="0" borderId="2" xfId="0" applyFont="1" applyFill="1" applyBorder="1" applyAlignment="1">
      <alignment horizontal="center" vertical="center"/>
    </xf>
    <xf numFmtId="0" fontId="19" fillId="0" borderId="2" xfId="0" applyFont="1" applyFill="1" applyBorder="1" applyAlignment="1">
      <alignment horizontal="center" vertical="center" wrapText="1"/>
    </xf>
    <xf numFmtId="0" fontId="19" fillId="0" borderId="2" xfId="0" applyFont="1" applyFill="1" applyBorder="1" applyAlignment="1">
      <alignment horizontal="left" vertical="center"/>
    </xf>
    <xf numFmtId="0" fontId="13" fillId="0" borderId="2" xfId="0" applyFont="1" applyFill="1" applyBorder="1" applyAlignment="1">
      <alignment horizontal="center" vertical="center"/>
    </xf>
    <xf numFmtId="0" fontId="11" fillId="0" borderId="0" xfId="0" applyFont="1" applyFill="1" applyAlignment="1">
      <alignment horizontal="center" vertical="center"/>
    </xf>
    <xf numFmtId="0" fontId="10" fillId="0" borderId="0" xfId="0" applyFont="1" applyFill="1" applyAlignment="1">
      <alignment horizontal="left" vertical="center"/>
    </xf>
    <xf numFmtId="0" fontId="10" fillId="0" borderId="0" xfId="0" applyFont="1" applyFill="1" applyAlignment="1">
      <alignment horizontal="center" vertical="center"/>
    </xf>
    <xf numFmtId="0" fontId="10" fillId="0" borderId="0" xfId="0" quotePrefix="1" applyFont="1" applyFill="1" applyAlignment="1">
      <alignment horizontal="center" vertical="center"/>
    </xf>
    <xf numFmtId="179" fontId="10" fillId="0" borderId="0" xfId="0" applyNumberFormat="1" applyFont="1" applyFill="1" applyAlignment="1">
      <alignment horizontal="center" vertical="center"/>
    </xf>
    <xf numFmtId="0" fontId="18" fillId="0" borderId="0" xfId="0" applyFont="1" applyFill="1" applyAlignment="1">
      <alignment horizontal="center" vertical="center"/>
    </xf>
    <xf numFmtId="0" fontId="9" fillId="0" borderId="0" xfId="0" applyFont="1" applyFill="1" applyAlignment="1">
      <alignment horizontal="center" vertical="center"/>
    </xf>
    <xf numFmtId="0" fontId="24" fillId="0" borderId="0" xfId="0" applyFont="1" applyFill="1" applyAlignment="1">
      <alignment horizontal="center" vertical="center"/>
    </xf>
    <xf numFmtId="3" fontId="10" fillId="0" borderId="0" xfId="0" quotePrefix="1" applyNumberFormat="1" applyFont="1" applyFill="1" applyAlignment="1">
      <alignment horizontal="center" vertical="center"/>
    </xf>
    <xf numFmtId="0" fontId="20" fillId="0" borderId="0" xfId="0" applyFont="1" applyFill="1" applyAlignment="1">
      <alignment horizontal="center" vertical="center"/>
    </xf>
    <xf numFmtId="0" fontId="20" fillId="0" borderId="0" xfId="0" applyFont="1" applyFill="1" applyAlignment="1">
      <alignment horizontal="left" vertical="center"/>
    </xf>
    <xf numFmtId="0" fontId="18" fillId="0" borderId="0" xfId="0" applyFont="1" applyFill="1" applyAlignment="1">
      <alignment horizontal="left" vertical="center"/>
    </xf>
    <xf numFmtId="0" fontId="21" fillId="0" borderId="0" xfId="0" applyFont="1" applyFill="1" applyAlignment="1">
      <alignment horizontal="center" vertical="center"/>
    </xf>
    <xf numFmtId="0" fontId="26" fillId="0" borderId="0" xfId="0" applyFont="1" applyFill="1" applyAlignment="1">
      <alignment horizontal="center" vertical="center"/>
    </xf>
    <xf numFmtId="0" fontId="11" fillId="0" borderId="0" xfId="0" applyFont="1" applyFill="1" applyAlignment="1">
      <alignment horizontal="left" vertical="center"/>
    </xf>
    <xf numFmtId="0" fontId="19" fillId="0" borderId="0" xfId="0" applyFont="1" applyFill="1" applyAlignment="1">
      <alignment horizontal="left" vertical="center"/>
    </xf>
    <xf numFmtId="0" fontId="19" fillId="0" borderId="0" xfId="0" quotePrefix="1" applyFont="1" applyFill="1" applyAlignment="1">
      <alignment horizontal="center" vertical="center"/>
    </xf>
    <xf numFmtId="0" fontId="19" fillId="0" borderId="0" xfId="0" applyFont="1" applyFill="1" applyAlignment="1">
      <alignment horizontal="center" vertical="center"/>
    </xf>
    <xf numFmtId="179" fontId="19" fillId="0" borderId="0" xfId="0" applyNumberFormat="1" applyFont="1" applyFill="1" applyAlignment="1">
      <alignment horizontal="center" vertical="center"/>
    </xf>
    <xf numFmtId="0" fontId="13" fillId="0" borderId="0" xfId="0" applyFont="1" applyFill="1" applyAlignment="1">
      <alignment horizontal="center" vertical="center"/>
    </xf>
    <xf numFmtId="0" fontId="11" fillId="0" borderId="0" xfId="0" applyFont="1" applyFill="1" applyAlignment="1">
      <alignment horizontal="left" vertical="center" wrapText="1"/>
    </xf>
    <xf numFmtId="179" fontId="10" fillId="0" borderId="0" xfId="0" quotePrefix="1" applyNumberFormat="1" applyFont="1" applyFill="1" applyAlignment="1">
      <alignment horizontal="center" vertical="center"/>
    </xf>
    <xf numFmtId="0" fontId="27" fillId="0" borderId="0" xfId="0" applyFont="1" applyFill="1" applyAlignment="1">
      <alignment horizontal="center" vertical="center"/>
    </xf>
    <xf numFmtId="0" fontId="42" fillId="0" borderId="0" xfId="0" applyFont="1" applyFill="1" applyAlignment="1">
      <alignment horizontal="center" vertical="center"/>
    </xf>
    <xf numFmtId="0" fontId="10" fillId="0" borderId="0" xfId="0" applyFont="1" applyFill="1" applyAlignment="1">
      <alignment horizontal="left" vertical="center" wrapText="1"/>
    </xf>
    <xf numFmtId="0" fontId="10" fillId="0" borderId="25" xfId="0" applyFont="1" applyFill="1" applyBorder="1" applyAlignment="1">
      <alignment horizontal="center" vertical="center"/>
    </xf>
    <xf numFmtId="0" fontId="20" fillId="0" borderId="25" xfId="0" applyFont="1" applyFill="1" applyBorder="1" applyAlignment="1">
      <alignment horizontal="center" vertical="center"/>
    </xf>
    <xf numFmtId="0" fontId="11" fillId="0" borderId="25" xfId="0" applyFont="1" applyFill="1" applyBorder="1" applyAlignment="1">
      <alignment horizontal="center" vertical="center"/>
    </xf>
    <xf numFmtId="0" fontId="20" fillId="0" borderId="25" xfId="0" applyFont="1" applyFill="1" applyBorder="1" applyAlignment="1">
      <alignment horizontal="left" vertical="center"/>
    </xf>
    <xf numFmtId="0" fontId="24" fillId="0" borderId="25" xfId="0" applyFont="1" applyFill="1" applyBorder="1" applyAlignment="1">
      <alignment horizontal="center" vertical="center"/>
    </xf>
    <xf numFmtId="0" fontId="37" fillId="0" borderId="0" xfId="0" applyFont="1" applyFill="1" applyAlignment="1">
      <alignment horizontal="left" vertical="center"/>
    </xf>
    <xf numFmtId="0" fontId="22" fillId="0" borderId="0" xfId="0" applyFont="1" applyFill="1" applyAlignment="1">
      <alignment horizontal="left" vertical="center"/>
    </xf>
    <xf numFmtId="0" fontId="22" fillId="0" borderId="0" xfId="0" applyFont="1" applyFill="1" applyAlignment="1">
      <alignment horizontal="center" vertical="center"/>
    </xf>
    <xf numFmtId="41" fontId="22" fillId="0" borderId="0" xfId="1" applyFont="1" applyFill="1" applyAlignment="1">
      <alignment horizontal="center" vertical="center"/>
    </xf>
    <xf numFmtId="179" fontId="22" fillId="0" borderId="0" xfId="0" applyNumberFormat="1" applyFont="1" applyFill="1" applyAlignment="1">
      <alignment horizontal="center" vertical="center"/>
    </xf>
    <xf numFmtId="0" fontId="23" fillId="0" borderId="0" xfId="0" applyFont="1" applyFill="1" applyAlignment="1">
      <alignment horizontal="center" vertical="center"/>
    </xf>
    <xf numFmtId="0" fontId="39" fillId="0" borderId="0" xfId="0" applyFont="1" applyFill="1" applyAlignment="1">
      <alignment horizontal="center" vertical="center"/>
    </xf>
    <xf numFmtId="0" fontId="40" fillId="0" borderId="0" xfId="0" applyFont="1" applyFill="1" applyAlignment="1">
      <alignment horizontal="left" vertical="center"/>
    </xf>
    <xf numFmtId="0" fontId="41" fillId="0" borderId="0" xfId="0" applyFont="1" applyFill="1" applyAlignment="1">
      <alignment horizontal="center" vertical="center"/>
    </xf>
    <xf numFmtId="3" fontId="11" fillId="0" borderId="0" xfId="0" applyNumberFormat="1" applyFont="1" applyFill="1" applyAlignment="1">
      <alignment horizontal="center" vertical="center"/>
    </xf>
    <xf numFmtId="0" fontId="11" fillId="0" borderId="18" xfId="0" applyFont="1" applyFill="1" applyBorder="1" applyAlignment="1">
      <alignment horizontal="center" vertical="center"/>
    </xf>
    <xf numFmtId="0" fontId="10" fillId="0" borderId="19" xfId="0" applyFont="1" applyFill="1" applyBorder="1" applyAlignment="1">
      <alignment horizontal="left" vertical="center"/>
    </xf>
    <xf numFmtId="0" fontId="10" fillId="0" borderId="19" xfId="0" applyFont="1" applyFill="1" applyBorder="1" applyAlignment="1">
      <alignment horizontal="center" vertical="center"/>
    </xf>
    <xf numFmtId="41" fontId="10" fillId="0" borderId="20" xfId="1" applyFont="1" applyFill="1" applyBorder="1" applyAlignment="1">
      <alignment horizontal="right" vertical="center"/>
    </xf>
    <xf numFmtId="0" fontId="11" fillId="0" borderId="21" xfId="0" applyFont="1" applyFill="1" applyBorder="1" applyAlignment="1">
      <alignment horizontal="center" vertical="center"/>
    </xf>
    <xf numFmtId="0" fontId="10" fillId="0" borderId="22" xfId="0" applyFont="1" applyFill="1" applyBorder="1" applyAlignment="1">
      <alignment horizontal="left" vertical="center"/>
    </xf>
    <xf numFmtId="0" fontId="10" fillId="0" borderId="22" xfId="0" applyFont="1" applyFill="1" applyBorder="1" applyAlignment="1">
      <alignment horizontal="center" vertical="center"/>
    </xf>
    <xf numFmtId="41" fontId="10" fillId="0" borderId="23" xfId="1" applyFont="1" applyFill="1" applyBorder="1" applyAlignment="1">
      <alignment horizontal="center" vertical="center"/>
    </xf>
    <xf numFmtId="179" fontId="10" fillId="0" borderId="0" xfId="0" applyNumberFormat="1" applyFont="1" applyFill="1">
      <alignment vertical="center"/>
    </xf>
    <xf numFmtId="14" fontId="10" fillId="0" borderId="0" xfId="0" applyNumberFormat="1" applyFont="1" applyFill="1" applyAlignment="1">
      <alignment horizontal="center" vertical="center"/>
    </xf>
    <xf numFmtId="0" fontId="9" fillId="0" borderId="0" xfId="0" applyFont="1" applyFill="1" applyAlignment="1">
      <alignment horizontal="left" vertical="center"/>
    </xf>
    <xf numFmtId="0" fontId="11" fillId="0" borderId="0" xfId="0" quotePrefix="1" applyFont="1" applyFill="1" applyAlignment="1">
      <alignment horizontal="center" vertical="center"/>
    </xf>
    <xf numFmtId="0" fontId="12" fillId="0" borderId="0" xfId="0" applyFont="1" applyFill="1" applyAlignment="1">
      <alignment horizontal="center" vertical="center"/>
    </xf>
    <xf numFmtId="3" fontId="20" fillId="0" borderId="0" xfId="0" applyNumberFormat="1" applyFont="1" applyFill="1" applyAlignment="1">
      <alignment horizontal="center" vertical="center"/>
    </xf>
    <xf numFmtId="0" fontId="12" fillId="0" borderId="0" xfId="0" applyFont="1" applyFill="1" applyAlignment="1">
      <alignment horizontal="left" vertical="center"/>
    </xf>
    <xf numFmtId="0" fontId="18" fillId="0" borderId="0" xfId="0" applyFont="1" applyFill="1">
      <alignment vertical="center"/>
    </xf>
    <xf numFmtId="0" fontId="43" fillId="0" borderId="0" xfId="5" applyFont="1" applyFill="1">
      <alignment vertical="center"/>
    </xf>
    <xf numFmtId="0" fontId="9" fillId="0" borderId="0" xfId="0" applyFont="1" applyFill="1" applyAlignment="1">
      <alignment horizontal="right" vertical="center"/>
    </xf>
    <xf numFmtId="41" fontId="18" fillId="0" borderId="0" xfId="1" applyFont="1" applyFill="1" applyAlignment="1">
      <alignment horizontal="center" vertical="center"/>
    </xf>
    <xf numFmtId="3" fontId="20" fillId="0" borderId="0" xfId="0" applyNumberFormat="1" applyFont="1" applyFill="1" applyAlignment="1">
      <alignment horizontal="left" vertical="center"/>
    </xf>
    <xf numFmtId="0" fontId="24" fillId="0" borderId="0" xfId="0" applyFont="1" applyFill="1" applyAlignment="1">
      <alignment horizontal="left" vertical="center"/>
    </xf>
    <xf numFmtId="0" fontId="11" fillId="0" borderId="24" xfId="0" applyFont="1" applyFill="1" applyBorder="1" applyAlignment="1">
      <alignment horizontal="center" vertical="center"/>
    </xf>
    <xf numFmtId="0" fontId="36" fillId="0" borderId="0" xfId="0" applyFont="1" applyFill="1" applyAlignment="1">
      <alignment horizontal="center" vertical="center"/>
    </xf>
    <xf numFmtId="0" fontId="44" fillId="0" borderId="0" xfId="0" applyFont="1" applyFill="1" applyAlignment="1">
      <alignment horizontal="center" vertical="center"/>
    </xf>
  </cellXfs>
  <cellStyles count="6">
    <cellStyle name="쉼표 [0]" xfId="1" builtinId="6"/>
    <cellStyle name="쉼표 [0] 2" xfId="3" xr:uid="{00000000-0005-0000-0000-000001000000}"/>
    <cellStyle name="표준" xfId="0" builtinId="0"/>
    <cellStyle name="표준 10" xfId="4" xr:uid="{00000000-0005-0000-0000-000003000000}"/>
    <cellStyle name="표준 2" xfId="2" xr:uid="{00000000-0005-0000-0000-000004000000}"/>
    <cellStyle name="하이퍼링크" xfId="5"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924"/>
  <sheetViews>
    <sheetView tabSelected="1" zoomScale="115" zoomScaleNormal="115" workbookViewId="0">
      <pane ySplit="3" topLeftCell="A27" activePane="bottomLeft" state="frozen"/>
      <selection pane="bottomLeft" activeCell="AC415" sqref="AC415"/>
    </sheetView>
  </sheetViews>
  <sheetFormatPr defaultColWidth="9" defaultRowHeight="16.5"/>
  <cols>
    <col min="1" max="1" width="4" style="29" customWidth="1"/>
    <col min="2" max="2" width="18" style="218" customWidth="1"/>
    <col min="3" max="3" width="7.5" style="3" customWidth="1"/>
    <col min="4" max="4" width="18.875" style="3" hidden="1" customWidth="1"/>
    <col min="5" max="5" width="31.25" style="3" customWidth="1"/>
    <col min="6" max="6" width="7.25" style="3" customWidth="1"/>
    <col min="7" max="7" width="10.875" style="3" customWidth="1"/>
    <col min="8" max="8" width="5.625" style="3" customWidth="1"/>
    <col min="9" max="9" width="17.25" style="19" customWidth="1"/>
    <col min="10" max="10" width="9.75" style="3" customWidth="1"/>
    <col min="11" max="11" width="9.875" style="3" bestFit="1" customWidth="1"/>
    <col min="12" max="12" width="10.25" style="3" customWidth="1"/>
    <col min="13" max="13" width="8.5" style="3" customWidth="1"/>
    <col min="14" max="14" width="4.25" style="3" customWidth="1"/>
    <col min="15" max="15" width="12.125" style="1" customWidth="1"/>
    <col min="16" max="16" width="9" style="3" hidden="1" customWidth="1"/>
    <col min="17" max="17" width="12.875" style="3" hidden="1" customWidth="1"/>
    <col min="18" max="18" width="13.375" style="3" hidden="1" customWidth="1"/>
    <col min="19" max="22" width="9" style="3" hidden="1" customWidth="1"/>
    <col min="23" max="23" width="14.75" style="3" hidden="1" customWidth="1"/>
    <col min="24" max="24" width="27.875" style="2" hidden="1" customWidth="1"/>
    <col min="25" max="25" width="17.125" style="2" hidden="1" customWidth="1"/>
    <col min="26" max="26" width="0" style="1" hidden="1" customWidth="1"/>
    <col min="27" max="27" width="17" style="1" hidden="1" customWidth="1"/>
    <col min="28" max="28" width="0" style="211" hidden="1" customWidth="1"/>
    <col min="29" max="16384" width="9" style="3"/>
  </cols>
  <sheetData>
    <row r="1" spans="1:30" s="4" customFormat="1" ht="27">
      <c r="A1" s="28"/>
      <c r="B1" s="217" t="s">
        <v>28</v>
      </c>
      <c r="E1" s="5"/>
      <c r="F1" s="5"/>
      <c r="G1" s="5"/>
      <c r="H1" s="5"/>
      <c r="I1" s="6"/>
      <c r="J1" s="7"/>
      <c r="K1" s="7"/>
      <c r="L1" s="20"/>
      <c r="M1" s="21"/>
      <c r="N1" s="8"/>
      <c r="O1" s="23"/>
      <c r="P1" s="8"/>
      <c r="Q1" s="9" t="s">
        <v>402</v>
      </c>
      <c r="R1" s="10" t="s">
        <v>403</v>
      </c>
      <c r="S1" s="11"/>
      <c r="T1" s="5"/>
      <c r="U1" s="12"/>
      <c r="V1" s="12"/>
      <c r="W1" s="13" t="s">
        <v>5</v>
      </c>
      <c r="X1" s="23" t="s">
        <v>2699</v>
      </c>
      <c r="Y1" s="219" t="s">
        <v>2776</v>
      </c>
      <c r="Z1" s="215" t="s">
        <v>2609</v>
      </c>
      <c r="AA1" s="220" t="s">
        <v>1929</v>
      </c>
      <c r="AB1" s="212" t="s">
        <v>1829</v>
      </c>
      <c r="AC1" s="15"/>
    </row>
    <row r="2" spans="1:30" s="5" customFormat="1" ht="31.5" customHeight="1">
      <c r="A2" s="28"/>
      <c r="B2" s="217" t="s">
        <v>28</v>
      </c>
      <c r="C2" s="4"/>
      <c r="I2" s="6"/>
      <c r="O2" s="24"/>
      <c r="Q2" s="14" t="s">
        <v>396</v>
      </c>
      <c r="S2" s="16" t="s">
        <v>6</v>
      </c>
      <c r="X2" s="25" t="s">
        <v>7</v>
      </c>
      <c r="Y2" s="25"/>
      <c r="Z2" s="214" t="s">
        <v>2566</v>
      </c>
      <c r="AA2" s="216" t="s">
        <v>2498</v>
      </c>
      <c r="AB2" s="213"/>
      <c r="AC2" s="17"/>
      <c r="AD2" s="15"/>
    </row>
    <row r="3" spans="1:30" s="243" customFormat="1" ht="30" customHeight="1">
      <c r="A3" s="230" t="s">
        <v>28</v>
      </c>
      <c r="B3" s="231" t="s">
        <v>0</v>
      </c>
      <c r="C3" s="232" t="s">
        <v>1</v>
      </c>
      <c r="D3" s="232" t="s">
        <v>22</v>
      </c>
      <c r="E3" s="232" t="s">
        <v>2</v>
      </c>
      <c r="F3" s="232" t="s">
        <v>3</v>
      </c>
      <c r="G3" s="232" t="s">
        <v>424</v>
      </c>
      <c r="H3" s="232" t="s">
        <v>4</v>
      </c>
      <c r="I3" s="233" t="s">
        <v>8</v>
      </c>
      <c r="J3" s="234" t="s">
        <v>9</v>
      </c>
      <c r="K3" s="234" t="s">
        <v>10</v>
      </c>
      <c r="L3" s="234" t="s">
        <v>11</v>
      </c>
      <c r="M3" s="235" t="s">
        <v>12</v>
      </c>
      <c r="N3" s="232" t="s">
        <v>13</v>
      </c>
      <c r="O3" s="236" t="s">
        <v>510</v>
      </c>
      <c r="P3" s="232" t="s">
        <v>14</v>
      </c>
      <c r="Q3" s="232" t="s">
        <v>15</v>
      </c>
      <c r="R3" s="232" t="s">
        <v>16</v>
      </c>
      <c r="S3" s="237" t="s">
        <v>17</v>
      </c>
      <c r="T3" s="230" t="s">
        <v>18</v>
      </c>
      <c r="U3" s="238" t="s">
        <v>19</v>
      </c>
      <c r="V3" s="238" t="s">
        <v>20</v>
      </c>
      <c r="W3" s="238" t="s">
        <v>21</v>
      </c>
      <c r="X3" s="239" t="s">
        <v>2571</v>
      </c>
      <c r="Y3" s="239" t="s">
        <v>2572</v>
      </c>
      <c r="Z3" s="240"/>
      <c r="AA3" s="241" t="s">
        <v>2676</v>
      </c>
      <c r="AB3" s="242"/>
    </row>
    <row r="4" spans="1:30" s="250" customFormat="1" ht="17.25" customHeight="1">
      <c r="A4" s="244">
        <v>1</v>
      </c>
      <c r="B4" s="245" t="s">
        <v>416</v>
      </c>
      <c r="C4" s="246" t="s">
        <v>505</v>
      </c>
      <c r="D4" s="246" t="s">
        <v>414</v>
      </c>
      <c r="E4" s="246" t="s">
        <v>506</v>
      </c>
      <c r="F4" s="246" t="s">
        <v>405</v>
      </c>
      <c r="G4" s="247" t="s">
        <v>411</v>
      </c>
      <c r="H4" s="246" t="s">
        <v>406</v>
      </c>
      <c r="I4" s="26">
        <v>5821200</v>
      </c>
      <c r="J4" s="248">
        <v>44217</v>
      </c>
      <c r="K4" s="248">
        <v>44316</v>
      </c>
      <c r="L4" s="248">
        <v>44280</v>
      </c>
      <c r="M4" s="248">
        <v>44284</v>
      </c>
      <c r="N4" s="249"/>
      <c r="O4" s="246" t="s">
        <v>507</v>
      </c>
      <c r="P4" s="246"/>
      <c r="Q4" s="246"/>
      <c r="R4" s="246"/>
      <c r="S4" s="246"/>
      <c r="T4" s="246"/>
      <c r="U4" s="246"/>
      <c r="V4" s="246"/>
      <c r="W4" s="246"/>
      <c r="X4" s="244" t="s">
        <v>1338</v>
      </c>
      <c r="Y4" s="244"/>
      <c r="Z4" s="244" t="s">
        <v>1278</v>
      </c>
      <c r="AA4" s="246"/>
      <c r="AB4" s="245"/>
      <c r="AC4" s="246"/>
      <c r="AD4" s="246"/>
    </row>
    <row r="5" spans="1:30" s="250" customFormat="1" ht="17.25" customHeight="1">
      <c r="A5" s="244">
        <v>2</v>
      </c>
      <c r="B5" s="245" t="s">
        <v>407</v>
      </c>
      <c r="C5" s="246" t="s">
        <v>408</v>
      </c>
      <c r="D5" s="246" t="s">
        <v>409</v>
      </c>
      <c r="E5" s="246" t="s">
        <v>508</v>
      </c>
      <c r="F5" s="246" t="s">
        <v>405</v>
      </c>
      <c r="G5" s="247" t="s">
        <v>411</v>
      </c>
      <c r="H5" s="246" t="s">
        <v>406</v>
      </c>
      <c r="I5" s="18">
        <v>16500000</v>
      </c>
      <c r="J5" s="248">
        <v>44201</v>
      </c>
      <c r="K5" s="248">
        <v>44286</v>
      </c>
      <c r="L5" s="248">
        <v>44313</v>
      </c>
      <c r="M5" s="248">
        <v>44314</v>
      </c>
      <c r="N5" s="246"/>
      <c r="O5" s="247" t="s">
        <v>509</v>
      </c>
      <c r="P5" s="246"/>
      <c r="Q5" s="246"/>
      <c r="R5" s="246"/>
      <c r="S5" s="246"/>
      <c r="T5" s="246"/>
      <c r="U5" s="246"/>
      <c r="V5" s="246"/>
      <c r="W5" s="246"/>
      <c r="X5" s="244" t="s">
        <v>1280</v>
      </c>
      <c r="Y5" s="244" t="s">
        <v>2673</v>
      </c>
      <c r="Z5" s="246" t="s">
        <v>1278</v>
      </c>
      <c r="AA5" s="246" t="s">
        <v>2672</v>
      </c>
      <c r="AB5" s="245"/>
      <c r="AC5" s="246"/>
      <c r="AD5" s="246"/>
    </row>
    <row r="6" spans="1:30" s="246" customFormat="1" ht="17.25" customHeight="1">
      <c r="A6" s="244">
        <v>3</v>
      </c>
      <c r="B6" s="245" t="s">
        <v>511</v>
      </c>
      <c r="C6" s="246" t="s">
        <v>512</v>
      </c>
      <c r="D6" s="246" t="s">
        <v>513</v>
      </c>
      <c r="E6" s="246" t="s">
        <v>514</v>
      </c>
      <c r="F6" s="246" t="s">
        <v>515</v>
      </c>
      <c r="G6" s="246" t="s">
        <v>516</v>
      </c>
      <c r="H6" s="246" t="s">
        <v>517</v>
      </c>
      <c r="I6" s="18">
        <v>3960000</v>
      </c>
      <c r="J6" s="248">
        <v>44208</v>
      </c>
      <c r="K6" s="247" t="s">
        <v>411</v>
      </c>
      <c r="L6" s="248">
        <v>44271</v>
      </c>
      <c r="M6" s="248">
        <v>44281</v>
      </c>
      <c r="O6" s="247" t="s">
        <v>509</v>
      </c>
      <c r="X6" s="244" t="s">
        <v>1061</v>
      </c>
      <c r="Y6" s="244"/>
      <c r="Z6" s="244" t="s">
        <v>1278</v>
      </c>
      <c r="AB6" s="245"/>
    </row>
    <row r="7" spans="1:30" s="246" customFormat="1" ht="17.25" customHeight="1">
      <c r="A7" s="244">
        <v>4</v>
      </c>
      <c r="B7" s="245" t="s">
        <v>518</v>
      </c>
      <c r="C7" s="246" t="s">
        <v>520</v>
      </c>
      <c r="D7" s="246" t="s">
        <v>409</v>
      </c>
      <c r="E7" s="245" t="s">
        <v>521</v>
      </c>
      <c r="F7" s="246" t="s">
        <v>519</v>
      </c>
      <c r="G7" s="246" t="s">
        <v>411</v>
      </c>
      <c r="H7" s="246" t="s">
        <v>406</v>
      </c>
      <c r="I7" s="18">
        <v>19657000</v>
      </c>
      <c r="J7" s="248">
        <v>44209</v>
      </c>
      <c r="K7" s="248">
        <v>44329</v>
      </c>
      <c r="L7" s="248">
        <v>44333</v>
      </c>
      <c r="M7" s="248">
        <v>44333</v>
      </c>
      <c r="O7" s="247" t="s">
        <v>545</v>
      </c>
      <c r="X7" s="246" t="s">
        <v>2674</v>
      </c>
      <c r="Z7" s="244" t="s">
        <v>1278</v>
      </c>
      <c r="AB7" s="245"/>
    </row>
    <row r="8" spans="1:30" s="250" customFormat="1" ht="17.25" customHeight="1">
      <c r="A8" s="244">
        <v>5</v>
      </c>
      <c r="B8" s="245" t="s">
        <v>533</v>
      </c>
      <c r="C8" s="246" t="s">
        <v>531</v>
      </c>
      <c r="D8" s="246" t="s">
        <v>532</v>
      </c>
      <c r="E8" s="246" t="s">
        <v>529</v>
      </c>
      <c r="F8" s="246" t="s">
        <v>525</v>
      </c>
      <c r="G8" s="246" t="s">
        <v>411</v>
      </c>
      <c r="H8" s="246" t="s">
        <v>406</v>
      </c>
      <c r="I8" s="18">
        <v>15840000</v>
      </c>
      <c r="J8" s="248">
        <v>44209</v>
      </c>
      <c r="K8" s="248">
        <v>44221</v>
      </c>
      <c r="L8" s="248">
        <v>44210</v>
      </c>
      <c r="M8" s="248">
        <v>44216</v>
      </c>
      <c r="N8" s="246"/>
      <c r="O8" s="246" t="s">
        <v>546</v>
      </c>
      <c r="P8" s="246"/>
      <c r="Q8" s="246"/>
      <c r="R8" s="246"/>
      <c r="S8" s="246"/>
      <c r="T8" s="246"/>
      <c r="U8" s="246"/>
      <c r="V8" s="246"/>
      <c r="W8" s="246"/>
      <c r="X8" s="244" t="s">
        <v>534</v>
      </c>
      <c r="Y8" s="244"/>
      <c r="Z8" s="244" t="s">
        <v>1278</v>
      </c>
      <c r="AA8" s="246" t="s">
        <v>2675</v>
      </c>
      <c r="AB8" s="245"/>
      <c r="AC8" s="246"/>
    </row>
    <row r="9" spans="1:30" s="250" customFormat="1" ht="17.25" customHeight="1">
      <c r="A9" s="244">
        <v>6</v>
      </c>
      <c r="B9" s="245" t="s">
        <v>522</v>
      </c>
      <c r="C9" s="246" t="s">
        <v>530</v>
      </c>
      <c r="D9" s="246" t="s">
        <v>523</v>
      </c>
      <c r="E9" s="246" t="s">
        <v>524</v>
      </c>
      <c r="F9" s="246" t="s">
        <v>525</v>
      </c>
      <c r="G9" s="246" t="s">
        <v>526</v>
      </c>
      <c r="H9" s="246" t="s">
        <v>527</v>
      </c>
      <c r="I9" s="26" t="s">
        <v>528</v>
      </c>
      <c r="J9" s="248">
        <v>44209</v>
      </c>
      <c r="K9" s="248">
        <v>44240</v>
      </c>
      <c r="L9" s="248">
        <v>44210</v>
      </c>
      <c r="M9" s="248">
        <v>44210</v>
      </c>
      <c r="N9" s="246"/>
      <c r="O9" s="246" t="s">
        <v>546</v>
      </c>
      <c r="P9" s="246"/>
      <c r="Q9" s="246"/>
      <c r="R9" s="246"/>
      <c r="S9" s="246"/>
      <c r="T9" s="246"/>
      <c r="U9" s="246"/>
      <c r="V9" s="246"/>
      <c r="W9" s="246"/>
      <c r="X9" s="244" t="s">
        <v>656</v>
      </c>
      <c r="Y9" s="244"/>
      <c r="Z9" s="244" t="s">
        <v>1278</v>
      </c>
      <c r="AA9" s="246"/>
      <c r="AB9" s="245"/>
      <c r="AC9" s="246"/>
    </row>
    <row r="10" spans="1:30" s="250" customFormat="1" ht="17.25" customHeight="1">
      <c r="A10" s="244">
        <v>7</v>
      </c>
      <c r="B10" s="245" t="s">
        <v>535</v>
      </c>
      <c r="C10" s="246" t="s">
        <v>536</v>
      </c>
      <c r="D10" s="246" t="s">
        <v>537</v>
      </c>
      <c r="E10" s="246" t="s">
        <v>538</v>
      </c>
      <c r="F10" s="246" t="s">
        <v>539</v>
      </c>
      <c r="G10" s="246" t="s">
        <v>540</v>
      </c>
      <c r="H10" s="246" t="s">
        <v>541</v>
      </c>
      <c r="I10" s="18">
        <v>14608000</v>
      </c>
      <c r="J10" s="248">
        <v>44210</v>
      </c>
      <c r="K10" s="248">
        <v>44253</v>
      </c>
      <c r="L10" s="248">
        <v>44258</v>
      </c>
      <c r="M10" s="248">
        <v>44259</v>
      </c>
      <c r="N10" s="246"/>
      <c r="O10" s="246" t="s">
        <v>547</v>
      </c>
      <c r="P10" s="246"/>
      <c r="Q10" s="246"/>
      <c r="R10" s="246"/>
      <c r="S10" s="246"/>
      <c r="T10" s="246"/>
      <c r="U10" s="246"/>
      <c r="V10" s="246"/>
      <c r="W10" s="246"/>
      <c r="X10" s="246" t="s">
        <v>779</v>
      </c>
      <c r="Y10" s="246"/>
      <c r="Z10" s="246" t="s">
        <v>1278</v>
      </c>
      <c r="AA10" s="246"/>
      <c r="AB10" s="245"/>
      <c r="AC10" s="246"/>
    </row>
    <row r="11" spans="1:30" s="250" customFormat="1" ht="17.25" customHeight="1">
      <c r="A11" s="244">
        <v>8</v>
      </c>
      <c r="B11" s="245" t="s">
        <v>407</v>
      </c>
      <c r="C11" s="246" t="s">
        <v>542</v>
      </c>
      <c r="D11" s="246" t="s">
        <v>544</v>
      </c>
      <c r="E11" s="246" t="s">
        <v>543</v>
      </c>
      <c r="F11" s="246" t="s">
        <v>405</v>
      </c>
      <c r="G11" s="246" t="s">
        <v>526</v>
      </c>
      <c r="H11" s="246" t="s">
        <v>406</v>
      </c>
      <c r="I11" s="18">
        <v>14993000</v>
      </c>
      <c r="J11" s="248">
        <v>44210</v>
      </c>
      <c r="K11" s="248">
        <v>44224</v>
      </c>
      <c r="L11" s="248">
        <v>44258</v>
      </c>
      <c r="M11" s="248">
        <v>44260</v>
      </c>
      <c r="N11" s="246"/>
      <c r="O11" s="246" t="s">
        <v>507</v>
      </c>
      <c r="P11" s="246"/>
      <c r="Q11" s="246"/>
      <c r="R11" s="246"/>
      <c r="S11" s="246"/>
      <c r="T11" s="246"/>
      <c r="U11" s="246"/>
      <c r="V11" s="246"/>
      <c r="W11" s="246"/>
      <c r="X11" s="244" t="s">
        <v>1279</v>
      </c>
      <c r="Y11" s="244"/>
      <c r="Z11" s="244" t="s">
        <v>1278</v>
      </c>
      <c r="AA11" s="246"/>
      <c r="AB11" s="245"/>
    </row>
    <row r="12" spans="1:30" s="250" customFormat="1" ht="17.25" customHeight="1">
      <c r="A12" s="244">
        <v>9</v>
      </c>
      <c r="B12" s="245" t="s">
        <v>548</v>
      </c>
      <c r="C12" s="246" t="s">
        <v>505</v>
      </c>
      <c r="D12" s="246" t="s">
        <v>414</v>
      </c>
      <c r="E12" s="246" t="s">
        <v>549</v>
      </c>
      <c r="F12" s="246" t="s">
        <v>405</v>
      </c>
      <c r="G12" s="246" t="s">
        <v>526</v>
      </c>
      <c r="H12" s="246" t="s">
        <v>406</v>
      </c>
      <c r="I12" s="18">
        <v>8000000</v>
      </c>
      <c r="J12" s="248">
        <v>44211</v>
      </c>
      <c r="K12" s="248">
        <v>44253</v>
      </c>
      <c r="L12" s="248">
        <v>44231</v>
      </c>
      <c r="M12" s="248">
        <v>44232</v>
      </c>
      <c r="N12" s="246"/>
      <c r="O12" s="246" t="s">
        <v>507</v>
      </c>
      <c r="P12" s="246"/>
      <c r="Q12" s="246"/>
      <c r="R12" s="246"/>
      <c r="S12" s="246"/>
      <c r="T12" s="246"/>
      <c r="U12" s="246"/>
      <c r="V12" s="246"/>
      <c r="W12" s="246"/>
      <c r="X12" s="251" t="s">
        <v>1281</v>
      </c>
      <c r="Y12" s="251"/>
      <c r="Z12" s="244" t="s">
        <v>1278</v>
      </c>
      <c r="AA12" s="246"/>
      <c r="AB12" s="245"/>
    </row>
    <row r="13" spans="1:30" s="250" customFormat="1" ht="17.25" customHeight="1">
      <c r="A13" s="244">
        <v>10</v>
      </c>
      <c r="B13" s="245" t="s">
        <v>550</v>
      </c>
      <c r="C13" s="246" t="s">
        <v>554</v>
      </c>
      <c r="D13" s="246" t="s">
        <v>551</v>
      </c>
      <c r="E13" s="246" t="s">
        <v>552</v>
      </c>
      <c r="F13" s="246" t="s">
        <v>519</v>
      </c>
      <c r="G13" s="246" t="s">
        <v>526</v>
      </c>
      <c r="H13" s="246" t="s">
        <v>406</v>
      </c>
      <c r="I13" s="18">
        <v>2037200</v>
      </c>
      <c r="J13" s="248">
        <v>44214</v>
      </c>
      <c r="K13" s="248">
        <v>44214</v>
      </c>
      <c r="L13" s="248">
        <v>44214</v>
      </c>
      <c r="M13" s="248">
        <v>44216</v>
      </c>
      <c r="N13" s="246"/>
      <c r="O13" s="246" t="s">
        <v>571</v>
      </c>
      <c r="P13" s="246"/>
      <c r="Q13" s="246"/>
      <c r="R13" s="246"/>
      <c r="S13" s="246"/>
      <c r="T13" s="246"/>
      <c r="U13" s="246"/>
      <c r="V13" s="246"/>
      <c r="W13" s="246"/>
      <c r="X13" s="244" t="s">
        <v>779</v>
      </c>
      <c r="Y13" s="246"/>
      <c r="Z13" s="244" t="s">
        <v>1278</v>
      </c>
      <c r="AA13" s="246"/>
      <c r="AB13" s="245"/>
    </row>
    <row r="14" spans="1:30" s="250" customFormat="1" ht="17.25" customHeight="1">
      <c r="A14" s="244">
        <v>11</v>
      </c>
      <c r="B14" s="245" t="s">
        <v>550</v>
      </c>
      <c r="C14" s="246" t="s">
        <v>554</v>
      </c>
      <c r="D14" s="246" t="s">
        <v>551</v>
      </c>
      <c r="E14" s="246" t="s">
        <v>553</v>
      </c>
      <c r="F14" s="246" t="s">
        <v>519</v>
      </c>
      <c r="G14" s="246" t="s">
        <v>526</v>
      </c>
      <c r="H14" s="246" t="s">
        <v>406</v>
      </c>
      <c r="I14" s="18">
        <v>1056000</v>
      </c>
      <c r="J14" s="248">
        <v>44214</v>
      </c>
      <c r="K14" s="248">
        <v>44214</v>
      </c>
      <c r="L14" s="248">
        <v>44214</v>
      </c>
      <c r="M14" s="248">
        <v>44216</v>
      </c>
      <c r="N14" s="246"/>
      <c r="O14" s="246" t="s">
        <v>571</v>
      </c>
      <c r="P14" s="246"/>
      <c r="Q14" s="246"/>
      <c r="R14" s="246"/>
      <c r="S14" s="246"/>
      <c r="T14" s="246"/>
      <c r="U14" s="246"/>
      <c r="V14" s="246"/>
      <c r="W14" s="246"/>
      <c r="X14" s="244" t="s">
        <v>779</v>
      </c>
      <c r="Y14" s="246"/>
      <c r="Z14" s="244" t="s">
        <v>1278</v>
      </c>
      <c r="AA14" s="246"/>
      <c r="AB14" s="245"/>
    </row>
    <row r="15" spans="1:30" s="250" customFormat="1" ht="17.25" customHeight="1">
      <c r="A15" s="244">
        <v>12</v>
      </c>
      <c r="B15" s="245" t="s">
        <v>555</v>
      </c>
      <c r="C15" s="246" t="s">
        <v>587</v>
      </c>
      <c r="D15" s="246" t="s">
        <v>556</v>
      </c>
      <c r="E15" s="246" t="s">
        <v>557</v>
      </c>
      <c r="F15" s="246" t="s">
        <v>558</v>
      </c>
      <c r="G15" s="246" t="s">
        <v>526</v>
      </c>
      <c r="H15" s="246" t="s">
        <v>406</v>
      </c>
      <c r="I15" s="26" t="s">
        <v>559</v>
      </c>
      <c r="J15" s="248">
        <v>44215</v>
      </c>
      <c r="K15" s="248">
        <v>44316</v>
      </c>
      <c r="L15" s="246" t="s">
        <v>1199</v>
      </c>
      <c r="M15" s="246" t="s">
        <v>1202</v>
      </c>
      <c r="N15" s="246"/>
      <c r="O15" s="246" t="s">
        <v>588</v>
      </c>
      <c r="P15" s="246"/>
      <c r="Q15" s="246"/>
      <c r="R15" s="246"/>
      <c r="S15" s="246"/>
      <c r="T15" s="246"/>
      <c r="U15" s="246"/>
      <c r="V15" s="246"/>
      <c r="W15" s="246"/>
      <c r="X15" s="244" t="s">
        <v>2611</v>
      </c>
      <c r="Y15" s="244"/>
      <c r="Z15" s="246" t="s">
        <v>2612</v>
      </c>
      <c r="AA15" s="246"/>
      <c r="AB15" s="245"/>
    </row>
    <row r="16" spans="1:30" s="250" customFormat="1" ht="17.25" customHeight="1">
      <c r="A16" s="244">
        <v>13</v>
      </c>
      <c r="B16" s="245" t="s">
        <v>560</v>
      </c>
      <c r="C16" s="246" t="s">
        <v>587</v>
      </c>
      <c r="D16" s="246" t="s">
        <v>561</v>
      </c>
      <c r="E16" s="246" t="s">
        <v>562</v>
      </c>
      <c r="F16" s="246" t="s">
        <v>563</v>
      </c>
      <c r="G16" s="252" t="s">
        <v>1159</v>
      </c>
      <c r="H16" s="246" t="s">
        <v>406</v>
      </c>
      <c r="I16" s="26" t="s">
        <v>577</v>
      </c>
      <c r="J16" s="248">
        <v>44218</v>
      </c>
      <c r="K16" s="248">
        <v>44247</v>
      </c>
      <c r="L16" s="248">
        <v>44322</v>
      </c>
      <c r="M16" s="248">
        <v>44323</v>
      </c>
      <c r="N16" s="246"/>
      <c r="O16" s="246" t="s">
        <v>586</v>
      </c>
      <c r="P16" s="246"/>
      <c r="Q16" s="246"/>
      <c r="R16" s="246"/>
      <c r="S16" s="246"/>
      <c r="T16" s="246"/>
      <c r="U16" s="246"/>
      <c r="V16" s="246"/>
      <c r="W16" s="246"/>
      <c r="X16" s="244" t="s">
        <v>1062</v>
      </c>
      <c r="Y16" s="244"/>
      <c r="Z16" s="244" t="s">
        <v>1278</v>
      </c>
      <c r="AA16" s="246"/>
      <c r="AB16" s="245"/>
    </row>
    <row r="17" spans="1:29" s="250" customFormat="1" ht="17.25" customHeight="1">
      <c r="A17" s="244">
        <v>14</v>
      </c>
      <c r="B17" s="245" t="s">
        <v>565</v>
      </c>
      <c r="C17" s="246" t="s">
        <v>570</v>
      </c>
      <c r="D17" s="246" t="s">
        <v>566</v>
      </c>
      <c r="E17" s="246" t="s">
        <v>567</v>
      </c>
      <c r="F17" s="246" t="s">
        <v>568</v>
      </c>
      <c r="G17" s="247" t="s">
        <v>564</v>
      </c>
      <c r="H17" s="246" t="s">
        <v>569</v>
      </c>
      <c r="I17" s="18">
        <v>1334300</v>
      </c>
      <c r="J17" s="248">
        <v>44215</v>
      </c>
      <c r="K17" s="248">
        <v>44208</v>
      </c>
      <c r="L17" s="248">
        <v>44208</v>
      </c>
      <c r="M17" s="248">
        <v>44230</v>
      </c>
      <c r="N17" s="246"/>
      <c r="O17" s="246" t="s">
        <v>655</v>
      </c>
      <c r="P17" s="246"/>
      <c r="Q17" s="246"/>
      <c r="R17" s="246"/>
      <c r="S17" s="246"/>
      <c r="T17" s="246"/>
      <c r="U17" s="246"/>
      <c r="V17" s="246"/>
      <c r="W17" s="246"/>
      <c r="X17" s="251" t="s">
        <v>1282</v>
      </c>
      <c r="Y17" s="251"/>
      <c r="Z17" s="246" t="s">
        <v>2608</v>
      </c>
      <c r="AA17" s="246"/>
      <c r="AB17" s="245" t="s">
        <v>2473</v>
      </c>
    </row>
    <row r="18" spans="1:29" s="250" customFormat="1" ht="17.25" customHeight="1">
      <c r="A18" s="244">
        <v>15</v>
      </c>
      <c r="B18" s="245" t="s">
        <v>407</v>
      </c>
      <c r="C18" s="246" t="s">
        <v>572</v>
      </c>
      <c r="D18" s="246" t="s">
        <v>573</v>
      </c>
      <c r="E18" s="246" t="s">
        <v>574</v>
      </c>
      <c r="F18" s="246" t="s">
        <v>575</v>
      </c>
      <c r="G18" s="246" t="s">
        <v>576</v>
      </c>
      <c r="H18" s="246" t="s">
        <v>406</v>
      </c>
      <c r="I18" s="18">
        <v>125400000</v>
      </c>
      <c r="J18" s="248">
        <v>44216</v>
      </c>
      <c r="K18" s="248">
        <v>44335</v>
      </c>
      <c r="L18" s="248">
        <v>44285</v>
      </c>
      <c r="M18" s="248">
        <v>44288</v>
      </c>
      <c r="N18" s="246"/>
      <c r="O18" s="246" t="s">
        <v>546</v>
      </c>
      <c r="P18" s="246"/>
      <c r="Q18" s="246"/>
      <c r="R18" s="246"/>
      <c r="S18" s="246"/>
      <c r="T18" s="246"/>
      <c r="U18" s="246"/>
      <c r="V18" s="246"/>
      <c r="W18" s="246"/>
      <c r="X18" s="244" t="s">
        <v>869</v>
      </c>
      <c r="Y18" s="244"/>
      <c r="Z18" s="244" t="s">
        <v>1278</v>
      </c>
      <c r="AA18" s="246" t="s">
        <v>2677</v>
      </c>
      <c r="AB18" s="245"/>
      <c r="AC18" s="246"/>
    </row>
    <row r="19" spans="1:29" s="250" customFormat="1" ht="17.25" customHeight="1">
      <c r="A19" s="244">
        <v>16</v>
      </c>
      <c r="B19" s="245" t="s">
        <v>578</v>
      </c>
      <c r="C19" s="246" t="s">
        <v>585</v>
      </c>
      <c r="D19" s="246" t="s">
        <v>580</v>
      </c>
      <c r="E19" s="246" t="s">
        <v>1340</v>
      </c>
      <c r="F19" s="246" t="s">
        <v>581</v>
      </c>
      <c r="G19" s="246" t="s">
        <v>411</v>
      </c>
      <c r="H19" s="246" t="s">
        <v>582</v>
      </c>
      <c r="I19" s="18">
        <v>42150757</v>
      </c>
      <c r="J19" s="248">
        <v>44216</v>
      </c>
      <c r="K19" s="247" t="s">
        <v>583</v>
      </c>
      <c r="L19" s="246" t="s">
        <v>614</v>
      </c>
      <c r="M19" s="246" t="s">
        <v>616</v>
      </c>
      <c r="N19" s="246"/>
      <c r="O19" s="246" t="s">
        <v>579</v>
      </c>
      <c r="P19" s="246"/>
      <c r="Q19" s="246"/>
      <c r="R19" s="246"/>
      <c r="S19" s="246"/>
      <c r="T19" s="246"/>
      <c r="U19" s="246"/>
      <c r="V19" s="246"/>
      <c r="W19" s="246"/>
      <c r="X19" s="251" t="s">
        <v>1341</v>
      </c>
      <c r="Y19" s="251"/>
      <c r="Z19" s="246" t="s">
        <v>1445</v>
      </c>
      <c r="AA19" s="246" t="s">
        <v>2680</v>
      </c>
      <c r="AB19" s="245"/>
    </row>
    <row r="20" spans="1:29" s="250" customFormat="1" ht="17.25" customHeight="1">
      <c r="A20" s="244">
        <v>17</v>
      </c>
      <c r="B20" s="245" t="s">
        <v>578</v>
      </c>
      <c r="C20" s="246" t="s">
        <v>585</v>
      </c>
      <c r="D20" s="246" t="s">
        <v>580</v>
      </c>
      <c r="E20" s="246" t="s">
        <v>1344</v>
      </c>
      <c r="F20" s="246" t="s">
        <v>581</v>
      </c>
      <c r="G20" s="246" t="s">
        <v>411</v>
      </c>
      <c r="H20" s="246" t="s">
        <v>582</v>
      </c>
      <c r="I20" s="18">
        <v>128912880</v>
      </c>
      <c r="J20" s="248">
        <v>44216</v>
      </c>
      <c r="K20" s="247" t="s">
        <v>583</v>
      </c>
      <c r="L20" s="246" t="s">
        <v>615</v>
      </c>
      <c r="M20" s="246" t="s">
        <v>616</v>
      </c>
      <c r="N20" s="246"/>
      <c r="O20" s="246" t="s">
        <v>584</v>
      </c>
      <c r="P20" s="246"/>
      <c r="Q20" s="246"/>
      <c r="R20" s="246"/>
      <c r="S20" s="246"/>
      <c r="T20" s="246"/>
      <c r="U20" s="246"/>
      <c r="V20" s="246"/>
      <c r="W20" s="246"/>
      <c r="X20" s="251" t="s">
        <v>1345</v>
      </c>
      <c r="Y20" s="244">
        <v>58566</v>
      </c>
      <c r="Z20" s="246" t="s">
        <v>1445</v>
      </c>
      <c r="AA20" s="246" t="s">
        <v>2678</v>
      </c>
      <c r="AB20" s="245"/>
    </row>
    <row r="21" spans="1:29" s="250" customFormat="1" ht="17.25" customHeight="1">
      <c r="A21" s="244">
        <v>18</v>
      </c>
      <c r="B21" s="245" t="s">
        <v>578</v>
      </c>
      <c r="C21" s="246" t="s">
        <v>585</v>
      </c>
      <c r="D21" s="246" t="s">
        <v>580</v>
      </c>
      <c r="E21" s="246" t="s">
        <v>1343</v>
      </c>
      <c r="F21" s="246" t="s">
        <v>581</v>
      </c>
      <c r="G21" s="246" t="s">
        <v>411</v>
      </c>
      <c r="H21" s="246" t="s">
        <v>582</v>
      </c>
      <c r="I21" s="18">
        <v>22861650</v>
      </c>
      <c r="J21" s="248">
        <v>44216</v>
      </c>
      <c r="K21" s="247" t="s">
        <v>583</v>
      </c>
      <c r="L21" s="246" t="s">
        <v>614</v>
      </c>
      <c r="M21" s="248">
        <v>44222</v>
      </c>
      <c r="N21" s="246"/>
      <c r="O21" s="246" t="s">
        <v>2499</v>
      </c>
      <c r="P21" s="246"/>
      <c r="Q21" s="246"/>
      <c r="R21" s="246"/>
      <c r="S21" s="246"/>
      <c r="T21" s="246"/>
      <c r="U21" s="246"/>
      <c r="V21" s="246"/>
      <c r="W21" s="246"/>
      <c r="X21" s="251" t="s">
        <v>1342</v>
      </c>
      <c r="Y21" s="244">
        <v>58899</v>
      </c>
      <c r="Z21" s="246" t="s">
        <v>1445</v>
      </c>
      <c r="AA21" s="246" t="s">
        <v>2679</v>
      </c>
      <c r="AB21" s="245"/>
    </row>
    <row r="22" spans="1:29" s="250" customFormat="1" ht="17.25" customHeight="1">
      <c r="A22" s="244">
        <v>19</v>
      </c>
      <c r="B22" s="245" t="s">
        <v>589</v>
      </c>
      <c r="C22" s="246" t="s">
        <v>596</v>
      </c>
      <c r="D22" s="246" t="s">
        <v>590</v>
      </c>
      <c r="E22" s="246" t="s">
        <v>591</v>
      </c>
      <c r="F22" s="246" t="s">
        <v>519</v>
      </c>
      <c r="G22" s="246" t="s">
        <v>592</v>
      </c>
      <c r="H22" s="246" t="s">
        <v>593</v>
      </c>
      <c r="I22" s="18">
        <v>14337400</v>
      </c>
      <c r="J22" s="248">
        <v>44218</v>
      </c>
      <c r="K22" s="248">
        <v>44242</v>
      </c>
      <c r="L22" s="248">
        <v>44229</v>
      </c>
      <c r="M22" s="248">
        <v>44231</v>
      </c>
      <c r="N22" s="246"/>
      <c r="O22" s="246" t="s">
        <v>594</v>
      </c>
      <c r="P22" s="246"/>
      <c r="Q22" s="246"/>
      <c r="R22" s="246"/>
      <c r="S22" s="246"/>
      <c r="T22" s="246"/>
      <c r="U22" s="246"/>
      <c r="V22" s="246"/>
      <c r="W22" s="246"/>
      <c r="X22" s="244" t="s">
        <v>779</v>
      </c>
      <c r="Y22" s="246"/>
      <c r="Z22" s="244" t="s">
        <v>1278</v>
      </c>
      <c r="AA22" s="246"/>
      <c r="AB22" s="245"/>
    </row>
    <row r="23" spans="1:29" s="250" customFormat="1" ht="17.25" customHeight="1">
      <c r="A23" s="244">
        <v>20</v>
      </c>
      <c r="B23" s="245" t="s">
        <v>595</v>
      </c>
      <c r="C23" s="246" t="s">
        <v>554</v>
      </c>
      <c r="D23" s="246" t="s">
        <v>597</v>
      </c>
      <c r="E23" s="246" t="s">
        <v>601</v>
      </c>
      <c r="F23" s="246" t="s">
        <v>1044</v>
      </c>
      <c r="G23" s="246" t="s">
        <v>592</v>
      </c>
      <c r="H23" s="246" t="s">
        <v>598</v>
      </c>
      <c r="I23" s="18">
        <v>1028500</v>
      </c>
      <c r="J23" s="248">
        <v>44222</v>
      </c>
      <c r="K23" s="247" t="s">
        <v>583</v>
      </c>
      <c r="L23" s="248">
        <v>44222</v>
      </c>
      <c r="M23" s="248">
        <v>44222</v>
      </c>
      <c r="N23" s="246"/>
      <c r="O23" s="246" t="s">
        <v>571</v>
      </c>
      <c r="P23" s="246"/>
      <c r="Q23" s="246"/>
      <c r="R23" s="246"/>
      <c r="S23" s="246"/>
      <c r="T23" s="246"/>
      <c r="U23" s="246"/>
      <c r="V23" s="246"/>
      <c r="W23" s="246"/>
      <c r="X23" s="244" t="s">
        <v>779</v>
      </c>
      <c r="Y23" s="246"/>
      <c r="Z23" s="244" t="s">
        <v>1278</v>
      </c>
      <c r="AA23" s="246"/>
      <c r="AB23" s="245"/>
    </row>
    <row r="24" spans="1:29" s="250" customFormat="1" ht="17.25" customHeight="1">
      <c r="A24" s="244">
        <v>21</v>
      </c>
      <c r="B24" s="245" t="s">
        <v>550</v>
      </c>
      <c r="C24" s="246" t="s">
        <v>585</v>
      </c>
      <c r="D24" s="246" t="s">
        <v>409</v>
      </c>
      <c r="E24" s="246" t="s">
        <v>600</v>
      </c>
      <c r="F24" s="246" t="s">
        <v>1044</v>
      </c>
      <c r="G24" s="246" t="s">
        <v>526</v>
      </c>
      <c r="H24" s="246" t="s">
        <v>406</v>
      </c>
      <c r="I24" s="18">
        <v>2816000</v>
      </c>
      <c r="J24" s="248">
        <v>44217</v>
      </c>
      <c r="K24" s="247" t="s">
        <v>411</v>
      </c>
      <c r="L24" s="248">
        <v>44225</v>
      </c>
      <c r="M24" s="248">
        <v>44230</v>
      </c>
      <c r="N24" s="246"/>
      <c r="O24" s="246" t="s">
        <v>599</v>
      </c>
      <c r="P24" s="246"/>
      <c r="Q24" s="246"/>
      <c r="R24" s="246"/>
      <c r="S24" s="246"/>
      <c r="T24" s="246"/>
      <c r="U24" s="246"/>
      <c r="V24" s="246"/>
      <c r="W24" s="246"/>
      <c r="X24" s="244" t="s">
        <v>779</v>
      </c>
      <c r="Y24" s="246"/>
      <c r="Z24" s="244" t="s">
        <v>1278</v>
      </c>
      <c r="AA24" s="246"/>
      <c r="AB24" s="245"/>
    </row>
    <row r="25" spans="1:29" s="250" customFormat="1" ht="17.25" customHeight="1">
      <c r="A25" s="244">
        <v>22</v>
      </c>
      <c r="B25" s="245" t="s">
        <v>565</v>
      </c>
      <c r="C25" s="246" t="s">
        <v>602</v>
      </c>
      <c r="D25" s="246" t="s">
        <v>603</v>
      </c>
      <c r="E25" s="246" t="s">
        <v>604</v>
      </c>
      <c r="F25" s="246" t="s">
        <v>607</v>
      </c>
      <c r="G25" s="246" t="s">
        <v>605</v>
      </c>
      <c r="H25" s="246" t="s">
        <v>606</v>
      </c>
      <c r="I25" s="18">
        <v>1980000</v>
      </c>
      <c r="J25" s="248">
        <v>44223</v>
      </c>
      <c r="K25" s="247" t="s">
        <v>411</v>
      </c>
      <c r="L25" s="248">
        <v>44265</v>
      </c>
      <c r="M25" s="248">
        <v>44280</v>
      </c>
      <c r="N25" s="246"/>
      <c r="O25" s="246" t="s">
        <v>1027</v>
      </c>
      <c r="P25" s="246"/>
      <c r="Q25" s="246"/>
      <c r="R25" s="246"/>
      <c r="S25" s="246"/>
      <c r="T25" s="246"/>
      <c r="U25" s="246"/>
      <c r="V25" s="246"/>
      <c r="W25" s="246"/>
      <c r="X25" s="244" t="s">
        <v>780</v>
      </c>
      <c r="Y25" s="244"/>
      <c r="Z25" s="244" t="s">
        <v>1278</v>
      </c>
      <c r="AA25" s="246"/>
      <c r="AB25" s="245"/>
      <c r="AC25" s="246"/>
    </row>
    <row r="26" spans="1:29" s="250" customFormat="1" ht="17.25" customHeight="1">
      <c r="A26" s="244">
        <v>23</v>
      </c>
      <c r="B26" s="245" t="s">
        <v>608</v>
      </c>
      <c r="C26" s="246" t="s">
        <v>610</v>
      </c>
      <c r="D26" s="246" t="s">
        <v>409</v>
      </c>
      <c r="E26" s="246" t="s">
        <v>609</v>
      </c>
      <c r="F26" s="246" t="s">
        <v>519</v>
      </c>
      <c r="G26" s="246" t="s">
        <v>526</v>
      </c>
      <c r="H26" s="246" t="s">
        <v>406</v>
      </c>
      <c r="I26" s="18">
        <v>25003000</v>
      </c>
      <c r="J26" s="248">
        <v>44222</v>
      </c>
      <c r="K26" s="248">
        <v>44561</v>
      </c>
      <c r="L26" s="248">
        <v>44545</v>
      </c>
      <c r="M26" s="248">
        <v>44547</v>
      </c>
      <c r="N26" s="246"/>
      <c r="O26" s="246" t="s">
        <v>507</v>
      </c>
      <c r="P26" s="246"/>
      <c r="Q26" s="246"/>
      <c r="R26" s="246"/>
      <c r="S26" s="246"/>
      <c r="T26" s="246"/>
      <c r="U26" s="246"/>
      <c r="V26" s="246"/>
      <c r="W26" s="246"/>
      <c r="X26" s="246" t="s">
        <v>779</v>
      </c>
      <c r="Y26" s="246"/>
      <c r="Z26" s="246" t="s">
        <v>1446</v>
      </c>
      <c r="AA26" s="246"/>
      <c r="AB26" s="245"/>
    </row>
    <row r="27" spans="1:29" s="250" customFormat="1" ht="17.25" customHeight="1">
      <c r="A27" s="244">
        <v>24</v>
      </c>
      <c r="B27" s="245" t="s">
        <v>407</v>
      </c>
      <c r="C27" s="246" t="s">
        <v>611</v>
      </c>
      <c r="D27" s="246" t="s">
        <v>409</v>
      </c>
      <c r="E27" s="246" t="s">
        <v>612</v>
      </c>
      <c r="F27" s="246" t="s">
        <v>405</v>
      </c>
      <c r="G27" s="246" t="s">
        <v>411</v>
      </c>
      <c r="H27" s="246" t="s">
        <v>406</v>
      </c>
      <c r="I27" s="18">
        <v>7296300</v>
      </c>
      <c r="J27" s="248">
        <v>44225</v>
      </c>
      <c r="K27" s="248">
        <v>44255</v>
      </c>
      <c r="L27" s="248">
        <v>44232</v>
      </c>
      <c r="M27" s="248">
        <v>44235</v>
      </c>
      <c r="N27" s="246"/>
      <c r="O27" s="246" t="s">
        <v>613</v>
      </c>
      <c r="P27" s="246"/>
      <c r="Q27" s="246"/>
      <c r="R27" s="246"/>
      <c r="S27" s="246"/>
      <c r="T27" s="246"/>
      <c r="U27" s="246"/>
      <c r="V27" s="246"/>
      <c r="W27" s="246"/>
      <c r="X27" s="244" t="s">
        <v>649</v>
      </c>
      <c r="Y27" s="244"/>
      <c r="Z27" s="246" t="s">
        <v>1278</v>
      </c>
      <c r="AA27" s="246"/>
      <c r="AB27" s="245"/>
    </row>
    <row r="28" spans="1:29" s="250" customFormat="1" ht="17.25" customHeight="1">
      <c r="A28" s="244">
        <v>25</v>
      </c>
      <c r="B28" s="245" t="s">
        <v>617</v>
      </c>
      <c r="C28" s="246" t="s">
        <v>618</v>
      </c>
      <c r="D28" s="246" t="s">
        <v>619</v>
      </c>
      <c r="E28" s="246" t="s">
        <v>621</v>
      </c>
      <c r="F28" s="246" t="s">
        <v>405</v>
      </c>
      <c r="G28" s="246" t="s">
        <v>411</v>
      </c>
      <c r="H28" s="246" t="s">
        <v>406</v>
      </c>
      <c r="I28" s="18">
        <v>377454000</v>
      </c>
      <c r="J28" s="248">
        <v>44225</v>
      </c>
      <c r="K28" s="248">
        <v>44255</v>
      </c>
      <c r="L28" s="246" t="s">
        <v>1126</v>
      </c>
      <c r="M28" s="246" t="s">
        <v>1200</v>
      </c>
      <c r="N28" s="246"/>
      <c r="O28" s="246" t="s">
        <v>620</v>
      </c>
      <c r="P28" s="246"/>
      <c r="Q28" s="246"/>
      <c r="R28" s="246"/>
      <c r="S28" s="246"/>
      <c r="T28" s="246"/>
      <c r="U28" s="246"/>
      <c r="V28" s="246"/>
      <c r="W28" s="246"/>
      <c r="X28" s="244" t="s">
        <v>2633</v>
      </c>
      <c r="Y28" s="244"/>
      <c r="Z28" s="244" t="s">
        <v>1278</v>
      </c>
      <c r="AA28" s="246"/>
      <c r="AB28" s="245"/>
    </row>
    <row r="29" spans="1:29" s="250" customFormat="1" ht="17.25" customHeight="1">
      <c r="A29" s="244">
        <v>26</v>
      </c>
      <c r="B29" s="245" t="s">
        <v>622</v>
      </c>
      <c r="C29" s="246"/>
      <c r="D29" s="246" t="s">
        <v>623</v>
      </c>
      <c r="E29" s="246" t="s">
        <v>624</v>
      </c>
      <c r="F29" s="246" t="s">
        <v>625</v>
      </c>
      <c r="G29" s="246" t="s">
        <v>411</v>
      </c>
      <c r="H29" s="246" t="s">
        <v>626</v>
      </c>
      <c r="I29" s="18">
        <v>34710000</v>
      </c>
      <c r="J29" s="248">
        <v>44209</v>
      </c>
      <c r="K29" s="248">
        <v>44561</v>
      </c>
      <c r="L29" s="246" t="s">
        <v>353</v>
      </c>
      <c r="M29" s="246" t="s">
        <v>353</v>
      </c>
      <c r="N29" s="246"/>
      <c r="O29" s="246" t="s">
        <v>627</v>
      </c>
      <c r="P29" s="246"/>
      <c r="Q29" s="246"/>
      <c r="R29" s="246"/>
      <c r="S29" s="246"/>
      <c r="T29" s="246"/>
      <c r="U29" s="246"/>
      <c r="V29" s="246"/>
      <c r="W29" s="246"/>
      <c r="X29" s="246" t="s">
        <v>779</v>
      </c>
      <c r="Y29" s="246"/>
      <c r="Z29" s="246" t="s">
        <v>1278</v>
      </c>
      <c r="AA29" s="246"/>
      <c r="AB29" s="245"/>
      <c r="AC29" s="246"/>
    </row>
    <row r="30" spans="1:29" s="250" customFormat="1" ht="17.25" customHeight="1">
      <c r="A30" s="244">
        <v>27</v>
      </c>
      <c r="B30" s="245" t="s">
        <v>628</v>
      </c>
      <c r="C30" s="246" t="s">
        <v>629</v>
      </c>
      <c r="D30" s="246" t="s">
        <v>630</v>
      </c>
      <c r="E30" s="246" t="s">
        <v>631</v>
      </c>
      <c r="F30" s="246" t="s">
        <v>632</v>
      </c>
      <c r="G30" s="246" t="s">
        <v>411</v>
      </c>
      <c r="H30" s="246" t="s">
        <v>406</v>
      </c>
      <c r="I30" s="18">
        <v>44000000</v>
      </c>
      <c r="J30" s="248">
        <v>44228</v>
      </c>
      <c r="K30" s="248">
        <v>44347</v>
      </c>
      <c r="L30" s="248">
        <v>44355</v>
      </c>
      <c r="M30" s="248">
        <v>44356</v>
      </c>
      <c r="N30" s="246"/>
      <c r="O30" s="246" t="s">
        <v>1027</v>
      </c>
      <c r="P30" s="246"/>
      <c r="Q30" s="246"/>
      <c r="R30" s="246"/>
      <c r="S30" s="246"/>
      <c r="T30" s="246"/>
      <c r="U30" s="246"/>
      <c r="V30" s="246"/>
      <c r="W30" s="246"/>
      <c r="X30" s="244" t="s">
        <v>1447</v>
      </c>
      <c r="Y30" s="244"/>
      <c r="Z30" s="244" t="s">
        <v>1278</v>
      </c>
      <c r="AA30" s="246"/>
      <c r="AB30" s="245"/>
      <c r="AC30" s="246"/>
    </row>
    <row r="31" spans="1:29" s="250" customFormat="1" ht="17.25" customHeight="1">
      <c r="A31" s="244">
        <v>28</v>
      </c>
      <c r="B31" s="245" t="s">
        <v>633</v>
      </c>
      <c r="C31" s="246" t="s">
        <v>634</v>
      </c>
      <c r="D31" s="246" t="s">
        <v>635</v>
      </c>
      <c r="E31" s="246" t="s">
        <v>636</v>
      </c>
      <c r="F31" s="246" t="s">
        <v>637</v>
      </c>
      <c r="G31" s="246" t="s">
        <v>411</v>
      </c>
      <c r="H31" s="246" t="s">
        <v>406</v>
      </c>
      <c r="I31" s="18">
        <v>4070000</v>
      </c>
      <c r="J31" s="248">
        <v>44228</v>
      </c>
      <c r="K31" s="248">
        <v>44292</v>
      </c>
      <c r="L31" s="248">
        <v>44272</v>
      </c>
      <c r="M31" s="248">
        <v>44279</v>
      </c>
      <c r="N31" s="246"/>
      <c r="O31" s="246" t="s">
        <v>1027</v>
      </c>
      <c r="P31" s="246"/>
      <c r="Q31" s="246"/>
      <c r="R31" s="246"/>
      <c r="S31" s="246"/>
      <c r="T31" s="246"/>
      <c r="U31" s="246"/>
      <c r="V31" s="246"/>
      <c r="W31" s="246"/>
      <c r="X31" s="253" t="s">
        <v>2632</v>
      </c>
      <c r="Y31" s="244" t="s">
        <v>2631</v>
      </c>
      <c r="Z31" s="246" t="s">
        <v>1278</v>
      </c>
      <c r="AA31" s="254" t="s">
        <v>2781</v>
      </c>
      <c r="AB31" s="245"/>
      <c r="AC31" s="246"/>
    </row>
    <row r="32" spans="1:29" s="250" customFormat="1" ht="17.25" customHeight="1">
      <c r="A32" s="244">
        <v>29</v>
      </c>
      <c r="B32" s="245" t="s">
        <v>533</v>
      </c>
      <c r="C32" s="246"/>
      <c r="D32" s="246" t="s">
        <v>404</v>
      </c>
      <c r="E32" s="246" t="s">
        <v>638</v>
      </c>
      <c r="F32" s="246" t="s">
        <v>405</v>
      </c>
      <c r="G32" s="246" t="s">
        <v>639</v>
      </c>
      <c r="H32" s="246" t="s">
        <v>406</v>
      </c>
      <c r="I32" s="18">
        <v>24420000</v>
      </c>
      <c r="J32" s="248">
        <v>44228</v>
      </c>
      <c r="K32" s="248">
        <v>44242</v>
      </c>
      <c r="L32" s="248">
        <v>44237</v>
      </c>
      <c r="M32" s="248">
        <v>44250</v>
      </c>
      <c r="N32" s="246"/>
      <c r="O32" s="246" t="s">
        <v>705</v>
      </c>
      <c r="P32" s="246"/>
      <c r="Q32" s="246"/>
      <c r="R32" s="246"/>
      <c r="S32" s="246"/>
      <c r="T32" s="246"/>
      <c r="U32" s="246"/>
      <c r="V32" s="246"/>
      <c r="W32" s="246"/>
      <c r="X32" s="244" t="s">
        <v>1284</v>
      </c>
      <c r="Y32" s="244"/>
      <c r="Z32" s="244" t="s">
        <v>1278</v>
      </c>
      <c r="AA32" s="246"/>
      <c r="AB32" s="245"/>
      <c r="AC32" s="246"/>
    </row>
    <row r="33" spans="1:29" s="250" customFormat="1" ht="17.25" customHeight="1">
      <c r="A33" s="244">
        <v>30</v>
      </c>
      <c r="B33" s="245" t="s">
        <v>640</v>
      </c>
      <c r="C33" s="246" t="s">
        <v>639</v>
      </c>
      <c r="D33" s="246" t="s">
        <v>409</v>
      </c>
      <c r="E33" s="246" t="s">
        <v>641</v>
      </c>
      <c r="F33" s="246" t="s">
        <v>642</v>
      </c>
      <c r="G33" s="246" t="s">
        <v>639</v>
      </c>
      <c r="H33" s="246" t="s">
        <v>406</v>
      </c>
      <c r="I33" s="18">
        <v>310000000</v>
      </c>
      <c r="J33" s="248">
        <v>44197</v>
      </c>
      <c r="K33" s="248">
        <v>44557</v>
      </c>
      <c r="L33" s="246" t="s">
        <v>2294</v>
      </c>
      <c r="M33" s="246" t="s">
        <v>2294</v>
      </c>
      <c r="N33" s="246"/>
      <c r="O33" s="246" t="s">
        <v>706</v>
      </c>
      <c r="P33" s="246"/>
      <c r="Q33" s="246"/>
      <c r="R33" s="246"/>
      <c r="S33" s="246"/>
      <c r="T33" s="246"/>
      <c r="U33" s="246"/>
      <c r="V33" s="246"/>
      <c r="W33" s="246"/>
      <c r="X33" s="246" t="s">
        <v>1283</v>
      </c>
      <c r="Y33" s="246"/>
      <c r="Z33" s="246" t="s">
        <v>2819</v>
      </c>
      <c r="AA33" s="246"/>
      <c r="AB33" s="245"/>
    </row>
    <row r="34" spans="1:29" s="250" customFormat="1" ht="17.25" customHeight="1">
      <c r="A34" s="244">
        <v>31</v>
      </c>
      <c r="B34" s="245" t="s">
        <v>407</v>
      </c>
      <c r="C34" s="246" t="s">
        <v>643</v>
      </c>
      <c r="D34" s="246" t="s">
        <v>644</v>
      </c>
      <c r="E34" s="246" t="s">
        <v>645</v>
      </c>
      <c r="F34" s="246" t="s">
        <v>646</v>
      </c>
      <c r="G34" s="246" t="s">
        <v>647</v>
      </c>
      <c r="H34" s="246" t="s">
        <v>648</v>
      </c>
      <c r="I34" s="18">
        <v>13503600</v>
      </c>
      <c r="J34" s="248">
        <v>44232</v>
      </c>
      <c r="K34" s="247" t="s">
        <v>411</v>
      </c>
      <c r="L34" s="248">
        <v>44257</v>
      </c>
      <c r="M34" s="248">
        <v>44259</v>
      </c>
      <c r="N34" s="246"/>
      <c r="O34" s="246" t="s">
        <v>613</v>
      </c>
      <c r="P34" s="246"/>
      <c r="Q34" s="246"/>
      <c r="R34" s="246"/>
      <c r="S34" s="246"/>
      <c r="T34" s="246"/>
      <c r="U34" s="246"/>
      <c r="V34" s="246"/>
      <c r="W34" s="246"/>
      <c r="X34" s="244" t="s">
        <v>751</v>
      </c>
      <c r="Y34" s="244"/>
      <c r="Z34" s="246" t="s">
        <v>1278</v>
      </c>
      <c r="AA34" s="246"/>
      <c r="AB34" s="245"/>
    </row>
    <row r="35" spans="1:29" s="250" customFormat="1" ht="17.25" customHeight="1">
      <c r="A35" s="244">
        <v>32</v>
      </c>
      <c r="B35" s="245" t="s">
        <v>535</v>
      </c>
      <c r="C35" s="246" t="s">
        <v>650</v>
      </c>
      <c r="D35" s="246" t="s">
        <v>409</v>
      </c>
      <c r="E35" s="246" t="s">
        <v>651</v>
      </c>
      <c r="F35" s="246" t="s">
        <v>652</v>
      </c>
      <c r="G35" s="246" t="s">
        <v>653</v>
      </c>
      <c r="H35" s="246" t="s">
        <v>654</v>
      </c>
      <c r="I35" s="18">
        <v>3300000</v>
      </c>
      <c r="J35" s="248">
        <v>44232</v>
      </c>
      <c r="K35" s="248">
        <v>44286</v>
      </c>
      <c r="L35" s="248">
        <v>44258</v>
      </c>
      <c r="M35" s="248">
        <v>44259</v>
      </c>
      <c r="N35" s="246"/>
      <c r="O35" s="246" t="s">
        <v>655</v>
      </c>
      <c r="P35" s="246"/>
      <c r="Q35" s="246"/>
      <c r="R35" s="246"/>
      <c r="S35" s="246"/>
      <c r="T35" s="246"/>
      <c r="U35" s="246"/>
      <c r="V35" s="246"/>
      <c r="W35" s="246"/>
      <c r="X35" s="244" t="s">
        <v>1285</v>
      </c>
      <c r="Y35" s="244"/>
      <c r="Z35" s="244" t="s">
        <v>1278</v>
      </c>
      <c r="AA35" s="246"/>
      <c r="AB35" s="245"/>
    </row>
    <row r="36" spans="1:29" s="250" customFormat="1" ht="17.25" customHeight="1">
      <c r="A36" s="244">
        <v>33</v>
      </c>
      <c r="B36" s="245" t="s">
        <v>657</v>
      </c>
      <c r="C36" s="246" t="s">
        <v>658</v>
      </c>
      <c r="D36" s="246" t="s">
        <v>414</v>
      </c>
      <c r="E36" s="246" t="s">
        <v>659</v>
      </c>
      <c r="F36" s="246" t="s">
        <v>660</v>
      </c>
      <c r="G36" s="246" t="s">
        <v>661</v>
      </c>
      <c r="H36" s="246" t="s">
        <v>662</v>
      </c>
      <c r="I36" s="18">
        <v>2574000</v>
      </c>
      <c r="J36" s="248">
        <v>44232</v>
      </c>
      <c r="K36" s="247" t="s">
        <v>411</v>
      </c>
      <c r="L36" s="248">
        <v>44260</v>
      </c>
      <c r="M36" s="248">
        <v>44277</v>
      </c>
      <c r="N36" s="246"/>
      <c r="O36" s="246" t="s">
        <v>754</v>
      </c>
      <c r="P36" s="246"/>
      <c r="Q36" s="246"/>
      <c r="R36" s="246"/>
      <c r="S36" s="246"/>
      <c r="T36" s="246"/>
      <c r="U36" s="246"/>
      <c r="V36" s="246"/>
      <c r="W36" s="246"/>
      <c r="X36" s="244" t="s">
        <v>1286</v>
      </c>
      <c r="Y36" s="244"/>
      <c r="Z36" s="244" t="s">
        <v>1278</v>
      </c>
      <c r="AA36" s="246"/>
      <c r="AB36" s="245"/>
    </row>
    <row r="37" spans="1:29" s="250" customFormat="1" ht="17.25" customHeight="1">
      <c r="A37" s="244">
        <v>34</v>
      </c>
      <c r="B37" s="245" t="s">
        <v>1070</v>
      </c>
      <c r="C37" s="246" t="s">
        <v>668</v>
      </c>
      <c r="D37" s="246" t="s">
        <v>672</v>
      </c>
      <c r="E37" s="246" t="s">
        <v>673</v>
      </c>
      <c r="F37" s="246" t="s">
        <v>660</v>
      </c>
      <c r="G37" s="246" t="s">
        <v>661</v>
      </c>
      <c r="H37" s="246" t="s">
        <v>662</v>
      </c>
      <c r="I37" s="18">
        <v>6380000</v>
      </c>
      <c r="J37" s="248">
        <v>44235</v>
      </c>
      <c r="K37" s="247" t="s">
        <v>411</v>
      </c>
      <c r="L37" s="248">
        <v>44319</v>
      </c>
      <c r="M37" s="248">
        <v>44375</v>
      </c>
      <c r="N37" s="246"/>
      <c r="O37" s="246" t="s">
        <v>753</v>
      </c>
      <c r="P37" s="246"/>
      <c r="Q37" s="246"/>
      <c r="R37" s="246"/>
      <c r="S37" s="246"/>
      <c r="T37" s="246"/>
      <c r="U37" s="246"/>
      <c r="V37" s="246"/>
      <c r="W37" s="246"/>
      <c r="X37" s="244" t="s">
        <v>1287</v>
      </c>
      <c r="Y37" s="244"/>
      <c r="Z37" s="244" t="s">
        <v>1278</v>
      </c>
      <c r="AA37" s="246"/>
      <c r="AB37" s="245"/>
    </row>
    <row r="38" spans="1:29" s="250" customFormat="1" ht="17.25" customHeight="1">
      <c r="A38" s="244">
        <v>35</v>
      </c>
      <c r="B38" s="245" t="s">
        <v>633</v>
      </c>
      <c r="C38" s="246" t="s">
        <v>669</v>
      </c>
      <c r="D38" s="246" t="s">
        <v>672</v>
      </c>
      <c r="E38" s="246" t="s">
        <v>674</v>
      </c>
      <c r="F38" s="246" t="s">
        <v>660</v>
      </c>
      <c r="G38" s="246" t="s">
        <v>661</v>
      </c>
      <c r="H38" s="246" t="s">
        <v>662</v>
      </c>
      <c r="I38" s="18">
        <v>5500000</v>
      </c>
      <c r="J38" s="248">
        <v>44235</v>
      </c>
      <c r="K38" s="247" t="s">
        <v>411</v>
      </c>
      <c r="L38" s="248">
        <v>44251</v>
      </c>
      <c r="M38" s="248">
        <v>44270</v>
      </c>
      <c r="N38" s="246"/>
      <c r="O38" s="246" t="s">
        <v>753</v>
      </c>
      <c r="P38" s="246"/>
      <c r="Q38" s="246"/>
      <c r="R38" s="246"/>
      <c r="S38" s="246"/>
      <c r="T38" s="246"/>
      <c r="U38" s="246"/>
      <c r="V38" s="246"/>
      <c r="W38" s="246"/>
      <c r="X38" s="244" t="s">
        <v>1288</v>
      </c>
      <c r="Y38" s="244"/>
      <c r="Z38" s="246" t="s">
        <v>2607</v>
      </c>
      <c r="AA38" s="255"/>
      <c r="AB38" s="245"/>
    </row>
    <row r="39" spans="1:29" s="250" customFormat="1" ht="17.25" customHeight="1">
      <c r="A39" s="244">
        <v>36</v>
      </c>
      <c r="B39" s="245" t="s">
        <v>663</v>
      </c>
      <c r="C39" s="246"/>
      <c r="D39" s="246" t="s">
        <v>675</v>
      </c>
      <c r="E39" s="246" t="s">
        <v>676</v>
      </c>
      <c r="F39" s="246" t="s">
        <v>660</v>
      </c>
      <c r="G39" s="246" t="s">
        <v>661</v>
      </c>
      <c r="H39" s="246" t="s">
        <v>662</v>
      </c>
      <c r="I39" s="26" t="s">
        <v>683</v>
      </c>
      <c r="J39" s="248">
        <v>44232</v>
      </c>
      <c r="K39" s="247" t="s">
        <v>411</v>
      </c>
      <c r="L39" s="248" t="s">
        <v>1289</v>
      </c>
      <c r="M39" s="248">
        <v>44306</v>
      </c>
      <c r="N39" s="246"/>
      <c r="O39" s="246" t="s">
        <v>753</v>
      </c>
      <c r="P39" s="246"/>
      <c r="Q39" s="246"/>
      <c r="R39" s="246"/>
      <c r="S39" s="246"/>
      <c r="T39" s="246"/>
      <c r="U39" s="246"/>
      <c r="V39" s="246"/>
      <c r="W39" s="246"/>
      <c r="X39" s="251" t="s">
        <v>2606</v>
      </c>
      <c r="Y39" s="251"/>
      <c r="Z39" s="246" t="s">
        <v>2607</v>
      </c>
      <c r="AA39" s="246"/>
      <c r="AB39" s="245" t="s">
        <v>2474</v>
      </c>
    </row>
    <row r="40" spans="1:29" s="250" customFormat="1" ht="17.25" customHeight="1">
      <c r="A40" s="244">
        <v>37</v>
      </c>
      <c r="B40" s="245" t="s">
        <v>1290</v>
      </c>
      <c r="C40" s="246" t="s">
        <v>670</v>
      </c>
      <c r="D40" s="246" t="s">
        <v>677</v>
      </c>
      <c r="E40" s="246" t="s">
        <v>678</v>
      </c>
      <c r="F40" s="246" t="s">
        <v>660</v>
      </c>
      <c r="G40" s="246" t="s">
        <v>661</v>
      </c>
      <c r="H40" s="246" t="s">
        <v>662</v>
      </c>
      <c r="I40" s="18">
        <v>7370000</v>
      </c>
      <c r="J40" s="248">
        <v>44236</v>
      </c>
      <c r="K40" s="247" t="s">
        <v>411</v>
      </c>
      <c r="L40" s="248">
        <v>44249</v>
      </c>
      <c r="M40" s="248">
        <v>44251</v>
      </c>
      <c r="N40" s="246"/>
      <c r="O40" s="246" t="s">
        <v>753</v>
      </c>
      <c r="P40" s="246"/>
      <c r="Q40" s="246"/>
      <c r="R40" s="246"/>
      <c r="S40" s="246"/>
      <c r="T40" s="246"/>
      <c r="U40" s="246"/>
      <c r="V40" s="246"/>
      <c r="W40" s="246"/>
      <c r="X40" s="244" t="s">
        <v>1291</v>
      </c>
      <c r="Y40" s="244"/>
      <c r="Z40" s="246" t="s">
        <v>2576</v>
      </c>
      <c r="AA40" s="255"/>
      <c r="AB40" s="245"/>
    </row>
    <row r="41" spans="1:29" s="250" customFormat="1">
      <c r="A41" s="244">
        <v>38</v>
      </c>
      <c r="B41" s="245" t="s">
        <v>664</v>
      </c>
      <c r="C41" s="246" t="s">
        <v>671</v>
      </c>
      <c r="D41" s="246" t="s">
        <v>677</v>
      </c>
      <c r="E41" s="246" t="s">
        <v>679</v>
      </c>
      <c r="F41" s="246" t="s">
        <v>660</v>
      </c>
      <c r="G41" s="246" t="s">
        <v>661</v>
      </c>
      <c r="H41" s="246" t="s">
        <v>662</v>
      </c>
      <c r="I41" s="18">
        <v>1320000</v>
      </c>
      <c r="J41" s="248">
        <v>44236</v>
      </c>
      <c r="K41" s="247" t="s">
        <v>411</v>
      </c>
      <c r="L41" s="248">
        <v>44281</v>
      </c>
      <c r="M41" s="248">
        <v>44298</v>
      </c>
      <c r="N41" s="246"/>
      <c r="O41" s="246" t="s">
        <v>755</v>
      </c>
      <c r="P41" s="246"/>
      <c r="Q41" s="246"/>
      <c r="R41" s="246"/>
      <c r="S41" s="246"/>
      <c r="T41" s="246"/>
      <c r="U41" s="246"/>
      <c r="V41" s="246"/>
      <c r="W41" s="246"/>
      <c r="X41" s="244" t="s">
        <v>1182</v>
      </c>
      <c r="Y41" s="244"/>
      <c r="Z41" s="244" t="s">
        <v>1278</v>
      </c>
      <c r="AA41" s="246"/>
      <c r="AB41" s="245"/>
    </row>
    <row r="42" spans="1:29" s="250" customFormat="1">
      <c r="A42" s="244">
        <v>39</v>
      </c>
      <c r="B42" s="245" t="s">
        <v>665</v>
      </c>
      <c r="C42" s="246" t="s">
        <v>666</v>
      </c>
      <c r="D42" s="246" t="s">
        <v>675</v>
      </c>
      <c r="E42" s="246" t="s">
        <v>680</v>
      </c>
      <c r="F42" s="246" t="s">
        <v>660</v>
      </c>
      <c r="G42" s="246" t="s">
        <v>661</v>
      </c>
      <c r="H42" s="246" t="s">
        <v>662</v>
      </c>
      <c r="I42" s="18">
        <v>7700000</v>
      </c>
      <c r="J42" s="248">
        <v>44236</v>
      </c>
      <c r="K42" s="247" t="s">
        <v>411</v>
      </c>
      <c r="L42" s="248">
        <v>44243</v>
      </c>
      <c r="M42" s="248">
        <v>44246</v>
      </c>
      <c r="N42" s="246"/>
      <c r="O42" s="246" t="s">
        <v>756</v>
      </c>
      <c r="P42" s="246"/>
      <c r="Q42" s="246"/>
      <c r="R42" s="246"/>
      <c r="S42" s="246"/>
      <c r="T42" s="246"/>
      <c r="U42" s="246"/>
      <c r="V42" s="246"/>
      <c r="W42" s="246"/>
      <c r="X42" s="244" t="s">
        <v>649</v>
      </c>
      <c r="Y42" s="244"/>
      <c r="Z42" s="246" t="s">
        <v>1278</v>
      </c>
      <c r="AA42" s="246"/>
      <c r="AB42" s="245"/>
    </row>
    <row r="43" spans="1:29" s="250" customFormat="1">
      <c r="A43" s="244">
        <v>40</v>
      </c>
      <c r="B43" s="245" t="s">
        <v>665</v>
      </c>
      <c r="C43" s="246" t="s">
        <v>667</v>
      </c>
      <c r="D43" s="246" t="s">
        <v>681</v>
      </c>
      <c r="E43" s="246" t="s">
        <v>682</v>
      </c>
      <c r="F43" s="246" t="s">
        <v>660</v>
      </c>
      <c r="G43" s="246" t="s">
        <v>661</v>
      </c>
      <c r="H43" s="246" t="s">
        <v>662</v>
      </c>
      <c r="I43" s="18">
        <v>7260000</v>
      </c>
      <c r="J43" s="248">
        <v>44236</v>
      </c>
      <c r="K43" s="247" t="s">
        <v>411</v>
      </c>
      <c r="L43" s="248">
        <v>44266</v>
      </c>
      <c r="M43" s="248">
        <v>44270</v>
      </c>
      <c r="N43" s="246"/>
      <c r="O43" s="246" t="s">
        <v>754</v>
      </c>
      <c r="P43" s="246"/>
      <c r="Q43" s="246"/>
      <c r="R43" s="246"/>
      <c r="S43" s="246"/>
      <c r="T43" s="246"/>
      <c r="U43" s="246"/>
      <c r="V43" s="246"/>
      <c r="W43" s="246"/>
      <c r="X43" s="244" t="s">
        <v>1292</v>
      </c>
      <c r="Y43" s="244"/>
      <c r="Z43" s="244" t="s">
        <v>1278</v>
      </c>
      <c r="AA43" s="246"/>
      <c r="AB43" s="245"/>
    </row>
    <row r="44" spans="1:29" s="250" customFormat="1">
      <c r="A44" s="244">
        <v>41</v>
      </c>
      <c r="B44" s="245" t="s">
        <v>684</v>
      </c>
      <c r="C44" s="246" t="s">
        <v>685</v>
      </c>
      <c r="D44" s="246" t="s">
        <v>686</v>
      </c>
      <c r="E44" s="246" t="s">
        <v>687</v>
      </c>
      <c r="F44" s="246" t="s">
        <v>688</v>
      </c>
      <c r="G44" s="246" t="s">
        <v>689</v>
      </c>
      <c r="H44" s="246" t="s">
        <v>690</v>
      </c>
      <c r="I44" s="18">
        <v>15620000</v>
      </c>
      <c r="J44" s="248">
        <v>44243</v>
      </c>
      <c r="K44" s="248">
        <v>44332</v>
      </c>
      <c r="L44" s="246" t="s">
        <v>1149</v>
      </c>
      <c r="M44" s="248">
        <v>44323</v>
      </c>
      <c r="N44" s="246"/>
      <c r="O44" s="246" t="s">
        <v>757</v>
      </c>
      <c r="P44" s="246"/>
      <c r="Q44" s="246"/>
      <c r="R44" s="246"/>
      <c r="S44" s="246"/>
      <c r="T44" s="246"/>
      <c r="U44" s="246"/>
      <c r="V44" s="246"/>
      <c r="W44" s="246"/>
      <c r="X44" s="244" t="s">
        <v>781</v>
      </c>
      <c r="Y44" s="244"/>
      <c r="Z44" s="244" t="s">
        <v>1296</v>
      </c>
      <c r="AA44" s="246"/>
      <c r="AB44" s="245"/>
      <c r="AC44" s="246"/>
    </row>
    <row r="45" spans="1:29" s="250" customFormat="1">
      <c r="A45" s="244">
        <v>42</v>
      </c>
      <c r="B45" s="245" t="s">
        <v>758</v>
      </c>
      <c r="C45" s="246" t="s">
        <v>760</v>
      </c>
      <c r="D45" s="246" t="s">
        <v>761</v>
      </c>
      <c r="E45" s="246" t="s">
        <v>759</v>
      </c>
      <c r="F45" s="246" t="s">
        <v>762</v>
      </c>
      <c r="G45" s="246" t="s">
        <v>526</v>
      </c>
      <c r="H45" s="246" t="s">
        <v>763</v>
      </c>
      <c r="I45" s="18">
        <v>1320000</v>
      </c>
      <c r="J45" s="248">
        <v>44243</v>
      </c>
      <c r="K45" s="247" t="s">
        <v>411</v>
      </c>
      <c r="L45" s="248">
        <v>44243</v>
      </c>
      <c r="M45" s="248">
        <v>44244</v>
      </c>
      <c r="N45" s="246"/>
      <c r="O45" s="246" t="s">
        <v>753</v>
      </c>
      <c r="P45" s="246"/>
      <c r="Q45" s="246"/>
      <c r="R45" s="246"/>
      <c r="S45" s="246"/>
      <c r="T45" s="246"/>
      <c r="U45" s="246"/>
      <c r="V45" s="246"/>
      <c r="W45" s="246"/>
      <c r="X45" s="244" t="s">
        <v>712</v>
      </c>
      <c r="Y45" s="244"/>
      <c r="Z45" s="246" t="s">
        <v>1296</v>
      </c>
      <c r="AA45" s="246"/>
      <c r="AB45" s="245"/>
    </row>
    <row r="46" spans="1:29" s="250" customFormat="1">
      <c r="A46" s="244">
        <v>43</v>
      </c>
      <c r="B46" s="245" t="s">
        <v>692</v>
      </c>
      <c r="C46" s="246"/>
      <c r="D46" s="246" t="s">
        <v>686</v>
      </c>
      <c r="E46" s="246" t="s">
        <v>693</v>
      </c>
      <c r="F46" s="246" t="s">
        <v>688</v>
      </c>
      <c r="G46" s="246" t="s">
        <v>689</v>
      </c>
      <c r="H46" s="246" t="s">
        <v>690</v>
      </c>
      <c r="I46" s="18">
        <v>45100000</v>
      </c>
      <c r="J46" s="248">
        <v>44244</v>
      </c>
      <c r="K46" s="247" t="s">
        <v>411</v>
      </c>
      <c r="L46" s="248">
        <v>44244</v>
      </c>
      <c r="M46" s="248">
        <v>44260</v>
      </c>
      <c r="N46" s="246"/>
      <c r="O46" s="246" t="s">
        <v>691</v>
      </c>
      <c r="P46" s="246"/>
      <c r="Q46" s="246"/>
      <c r="R46" s="246"/>
      <c r="S46" s="246"/>
      <c r="T46" s="246"/>
      <c r="U46" s="246"/>
      <c r="V46" s="246"/>
      <c r="W46" s="246"/>
      <c r="X46" s="256" t="s">
        <v>1356</v>
      </c>
      <c r="Y46" s="256"/>
      <c r="Z46" s="244" t="s">
        <v>1278</v>
      </c>
      <c r="AA46" s="246" t="s">
        <v>2614</v>
      </c>
      <c r="AB46" s="245"/>
      <c r="AC46" s="246"/>
    </row>
    <row r="47" spans="1:29" s="250" customFormat="1">
      <c r="A47" s="244">
        <v>44</v>
      </c>
      <c r="B47" s="245" t="s">
        <v>695</v>
      </c>
      <c r="C47" s="246" t="s">
        <v>696</v>
      </c>
      <c r="D47" s="246" t="s">
        <v>697</v>
      </c>
      <c r="E47" s="246" t="s">
        <v>698</v>
      </c>
      <c r="F47" s="246" t="s">
        <v>694</v>
      </c>
      <c r="G47" s="246" t="s">
        <v>526</v>
      </c>
      <c r="H47" s="246" t="s">
        <v>406</v>
      </c>
      <c r="I47" s="18">
        <v>8800000</v>
      </c>
      <c r="J47" s="248">
        <v>44244</v>
      </c>
      <c r="K47" s="247" t="s">
        <v>411</v>
      </c>
      <c r="L47" s="248">
        <v>44273</v>
      </c>
      <c r="M47" s="248">
        <v>44274</v>
      </c>
      <c r="N47" s="246"/>
      <c r="O47" s="246" t="s">
        <v>753</v>
      </c>
      <c r="P47" s="246"/>
      <c r="Q47" s="246"/>
      <c r="R47" s="246"/>
      <c r="S47" s="246"/>
      <c r="T47" s="246"/>
      <c r="U47" s="246"/>
      <c r="V47" s="246"/>
      <c r="W47" s="246"/>
      <c r="X47" s="244" t="s">
        <v>1297</v>
      </c>
      <c r="Y47" s="244"/>
      <c r="Z47" s="244" t="s">
        <v>1278</v>
      </c>
      <c r="AA47" s="246"/>
      <c r="AB47" s="245"/>
    </row>
    <row r="48" spans="1:29" s="250" customFormat="1">
      <c r="A48" s="244">
        <v>45</v>
      </c>
      <c r="B48" s="245" t="s">
        <v>707</v>
      </c>
      <c r="C48" s="246" t="s">
        <v>708</v>
      </c>
      <c r="D48" s="246" t="s">
        <v>709</v>
      </c>
      <c r="E48" s="246" t="s">
        <v>775</v>
      </c>
      <c r="F48" s="246" t="s">
        <v>710</v>
      </c>
      <c r="G48" s="246" t="s">
        <v>774</v>
      </c>
      <c r="H48" s="246" t="s">
        <v>773</v>
      </c>
      <c r="I48" s="18">
        <v>429066000</v>
      </c>
      <c r="J48" s="248">
        <v>44246</v>
      </c>
      <c r="K48" s="248">
        <v>44536</v>
      </c>
      <c r="L48" s="246" t="s">
        <v>2351</v>
      </c>
      <c r="M48" s="246" t="s">
        <v>2368</v>
      </c>
      <c r="N48" s="246"/>
      <c r="O48" s="246" t="s">
        <v>711</v>
      </c>
      <c r="P48" s="246"/>
      <c r="Q48" s="246"/>
      <c r="R48" s="246"/>
      <c r="S48" s="246"/>
      <c r="T48" s="246"/>
      <c r="U48" s="246"/>
      <c r="V48" s="246"/>
      <c r="W48" s="246"/>
      <c r="X48" s="246" t="s">
        <v>779</v>
      </c>
      <c r="Y48" s="246"/>
      <c r="Z48" s="246" t="s">
        <v>2820</v>
      </c>
      <c r="AA48" s="246"/>
      <c r="AB48" s="245"/>
    </row>
    <row r="49" spans="1:29" s="250" customFormat="1">
      <c r="A49" s="244">
        <v>46</v>
      </c>
      <c r="B49" s="245" t="s">
        <v>699</v>
      </c>
      <c r="C49" s="246" t="s">
        <v>700</v>
      </c>
      <c r="D49" s="246" t="s">
        <v>409</v>
      </c>
      <c r="E49" s="246" t="s">
        <v>701</v>
      </c>
      <c r="F49" s="246" t="s">
        <v>702</v>
      </c>
      <c r="G49" s="247" t="s">
        <v>703</v>
      </c>
      <c r="H49" s="246" t="s">
        <v>704</v>
      </c>
      <c r="I49" s="18">
        <v>1287000</v>
      </c>
      <c r="J49" s="248">
        <v>44243</v>
      </c>
      <c r="K49" s="247" t="s">
        <v>411</v>
      </c>
      <c r="L49" s="248">
        <v>44245</v>
      </c>
      <c r="M49" s="248">
        <v>44273</v>
      </c>
      <c r="N49" s="246"/>
      <c r="O49" s="246" t="s">
        <v>2519</v>
      </c>
      <c r="P49" s="246"/>
      <c r="Q49" s="246"/>
      <c r="R49" s="246"/>
      <c r="S49" s="246"/>
      <c r="T49" s="246"/>
      <c r="U49" s="246"/>
      <c r="V49" s="246"/>
      <c r="W49" s="246"/>
      <c r="X49" s="257" t="s">
        <v>2605</v>
      </c>
      <c r="Y49" s="244"/>
      <c r="Z49" s="246" t="s">
        <v>2576</v>
      </c>
      <c r="AA49" s="246"/>
      <c r="AB49" s="245" t="s">
        <v>2541</v>
      </c>
    </row>
    <row r="50" spans="1:29" s="250" customFormat="1">
      <c r="A50" s="244">
        <v>47</v>
      </c>
      <c r="B50" s="245" t="s">
        <v>713</v>
      </c>
      <c r="C50" s="246" t="s">
        <v>765</v>
      </c>
      <c r="D50" s="246" t="s">
        <v>766</v>
      </c>
      <c r="E50" s="246" t="s">
        <v>767</v>
      </c>
      <c r="F50" s="246" t="s">
        <v>762</v>
      </c>
      <c r="G50" s="247" t="s">
        <v>411</v>
      </c>
      <c r="H50" s="246" t="s">
        <v>763</v>
      </c>
      <c r="I50" s="18">
        <v>24750000</v>
      </c>
      <c r="J50" s="248">
        <v>44246</v>
      </c>
      <c r="K50" s="247" t="s">
        <v>411</v>
      </c>
      <c r="L50" s="248">
        <v>44259</v>
      </c>
      <c r="M50" s="246" t="s">
        <v>1071</v>
      </c>
      <c r="N50" s="246"/>
      <c r="O50" s="246" t="s">
        <v>768</v>
      </c>
      <c r="P50" s="246"/>
      <c r="Q50" s="246"/>
      <c r="R50" s="246"/>
      <c r="S50" s="246"/>
      <c r="T50" s="246"/>
      <c r="U50" s="246"/>
      <c r="V50" s="246"/>
      <c r="W50" s="246"/>
      <c r="X50" s="244" t="s">
        <v>1180</v>
      </c>
      <c r="Y50" s="244"/>
      <c r="Z50" s="244" t="s">
        <v>1298</v>
      </c>
      <c r="AA50" s="246"/>
      <c r="AB50" s="245"/>
    </row>
    <row r="51" spans="1:29" s="250" customFormat="1">
      <c r="A51" s="244">
        <v>48</v>
      </c>
      <c r="B51" s="245" t="s">
        <v>622</v>
      </c>
      <c r="C51" s="246" t="s">
        <v>718</v>
      </c>
      <c r="D51" s="246" t="s">
        <v>714</v>
      </c>
      <c r="E51" s="246" t="s">
        <v>715</v>
      </c>
      <c r="F51" s="246" t="s">
        <v>716</v>
      </c>
      <c r="G51" s="247" t="s">
        <v>411</v>
      </c>
      <c r="H51" s="246" t="s">
        <v>773</v>
      </c>
      <c r="I51" s="18">
        <v>18700000</v>
      </c>
      <c r="J51" s="248">
        <v>44244</v>
      </c>
      <c r="K51" s="247" t="s">
        <v>411</v>
      </c>
      <c r="L51" s="246" t="s">
        <v>353</v>
      </c>
      <c r="M51" s="246" t="s">
        <v>353</v>
      </c>
      <c r="N51" s="246"/>
      <c r="O51" s="246" t="s">
        <v>717</v>
      </c>
      <c r="P51" s="246"/>
      <c r="Q51" s="246"/>
      <c r="R51" s="246"/>
      <c r="S51" s="246"/>
      <c r="T51" s="246"/>
      <c r="U51" s="246"/>
      <c r="V51" s="246"/>
      <c r="W51" s="246"/>
      <c r="X51" s="246" t="s">
        <v>779</v>
      </c>
      <c r="Y51" s="246" t="s">
        <v>2834</v>
      </c>
      <c r="Z51" s="246" t="s">
        <v>1298</v>
      </c>
      <c r="AA51" s="246"/>
      <c r="AB51" s="245"/>
      <c r="AC51" s="246"/>
    </row>
    <row r="52" spans="1:29" s="250" customFormat="1">
      <c r="A52" s="244">
        <v>49</v>
      </c>
      <c r="B52" s="245" t="s">
        <v>719</v>
      </c>
      <c r="C52" s="246" t="s">
        <v>720</v>
      </c>
      <c r="D52" s="246" t="s">
        <v>721</v>
      </c>
      <c r="E52" s="246" t="s">
        <v>722</v>
      </c>
      <c r="F52" s="246" t="s">
        <v>723</v>
      </c>
      <c r="G52" s="246" t="s">
        <v>724</v>
      </c>
      <c r="H52" s="246" t="s">
        <v>725</v>
      </c>
      <c r="I52" s="18">
        <v>3190000</v>
      </c>
      <c r="J52" s="248">
        <v>44249</v>
      </c>
      <c r="K52" s="248">
        <v>44308</v>
      </c>
      <c r="L52" s="248">
        <v>44287</v>
      </c>
      <c r="M52" s="248">
        <v>44291</v>
      </c>
      <c r="N52" s="246"/>
      <c r="O52" s="246" t="s">
        <v>757</v>
      </c>
      <c r="P52" s="246"/>
      <c r="Q52" s="246"/>
      <c r="R52" s="246"/>
      <c r="S52" s="246"/>
      <c r="T52" s="246"/>
      <c r="U52" s="246"/>
      <c r="V52" s="246"/>
      <c r="W52" s="246"/>
      <c r="X52" s="244" t="s">
        <v>849</v>
      </c>
      <c r="Y52" s="244"/>
      <c r="Z52" s="244" t="s">
        <v>1298</v>
      </c>
      <c r="AA52" s="246"/>
      <c r="AB52" s="245"/>
      <c r="AC52" s="246"/>
    </row>
    <row r="53" spans="1:29" s="250" customFormat="1">
      <c r="A53" s="244">
        <v>50</v>
      </c>
      <c r="B53" s="245" t="s">
        <v>726</v>
      </c>
      <c r="C53" s="246" t="s">
        <v>727</v>
      </c>
      <c r="D53" s="246" t="s">
        <v>728</v>
      </c>
      <c r="E53" s="246" t="s">
        <v>729</v>
      </c>
      <c r="F53" s="246" t="s">
        <v>405</v>
      </c>
      <c r="G53" s="246" t="s">
        <v>526</v>
      </c>
      <c r="H53" s="246" t="s">
        <v>406</v>
      </c>
      <c r="I53" s="18">
        <v>5280000</v>
      </c>
      <c r="J53" s="248">
        <v>44251</v>
      </c>
      <c r="K53" s="248">
        <v>44317</v>
      </c>
      <c r="L53" s="248">
        <v>44281</v>
      </c>
      <c r="M53" s="248">
        <v>44286</v>
      </c>
      <c r="N53" s="246"/>
      <c r="O53" s="246" t="s">
        <v>757</v>
      </c>
      <c r="P53" s="246"/>
      <c r="Q53" s="246"/>
      <c r="R53" s="246"/>
      <c r="S53" s="246"/>
      <c r="T53" s="246"/>
      <c r="U53" s="246"/>
      <c r="V53" s="246"/>
      <c r="W53" s="246"/>
      <c r="X53" s="244" t="s">
        <v>848</v>
      </c>
      <c r="Y53" s="244"/>
      <c r="Z53" s="244" t="s">
        <v>1298</v>
      </c>
      <c r="AA53" s="246"/>
      <c r="AB53" s="245"/>
      <c r="AC53" s="246"/>
    </row>
    <row r="54" spans="1:29" s="250" customFormat="1">
      <c r="A54" s="244">
        <v>51</v>
      </c>
      <c r="B54" s="245" t="s">
        <v>407</v>
      </c>
      <c r="C54" s="246" t="s">
        <v>730</v>
      </c>
      <c r="D54" s="246" t="s">
        <v>731</v>
      </c>
      <c r="E54" s="246" t="s">
        <v>732</v>
      </c>
      <c r="F54" s="246" t="s">
        <v>405</v>
      </c>
      <c r="G54" s="246" t="s">
        <v>733</v>
      </c>
      <c r="H54" s="246" t="s">
        <v>406</v>
      </c>
      <c r="I54" s="18">
        <v>24255000</v>
      </c>
      <c r="J54" s="248">
        <v>44251</v>
      </c>
      <c r="K54" s="248">
        <v>44279</v>
      </c>
      <c r="L54" s="248">
        <v>44265</v>
      </c>
      <c r="M54" s="248">
        <v>44267</v>
      </c>
      <c r="N54" s="246"/>
      <c r="O54" s="246" t="s">
        <v>734</v>
      </c>
      <c r="P54" s="246"/>
      <c r="Q54" s="246"/>
      <c r="R54" s="246"/>
      <c r="S54" s="246"/>
      <c r="T54" s="246"/>
      <c r="U54" s="246"/>
      <c r="V54" s="246"/>
      <c r="W54" s="246"/>
      <c r="X54" s="244" t="s">
        <v>851</v>
      </c>
      <c r="Y54" s="244"/>
      <c r="Z54" s="244" t="s">
        <v>1298</v>
      </c>
      <c r="AA54" s="246"/>
      <c r="AB54" s="245"/>
      <c r="AC54" s="246"/>
    </row>
    <row r="55" spans="1:29" s="250" customFormat="1">
      <c r="A55" s="244">
        <v>52</v>
      </c>
      <c r="B55" s="245" t="s">
        <v>533</v>
      </c>
      <c r="C55" s="246" t="s">
        <v>735</v>
      </c>
      <c r="D55" s="246" t="s">
        <v>736</v>
      </c>
      <c r="E55" s="246" t="s">
        <v>737</v>
      </c>
      <c r="F55" s="246" t="s">
        <v>405</v>
      </c>
      <c r="G55" s="246" t="s">
        <v>733</v>
      </c>
      <c r="H55" s="246" t="s">
        <v>406</v>
      </c>
      <c r="I55" s="18">
        <v>9790000</v>
      </c>
      <c r="J55" s="248">
        <v>44246</v>
      </c>
      <c r="K55" s="248">
        <v>44351</v>
      </c>
      <c r="L55" s="248">
        <v>44365</v>
      </c>
      <c r="M55" s="248">
        <v>44377</v>
      </c>
      <c r="N55" s="246"/>
      <c r="O55" s="246" t="s">
        <v>752</v>
      </c>
      <c r="P55" s="246"/>
      <c r="Q55" s="246"/>
      <c r="R55" s="246"/>
      <c r="S55" s="246"/>
      <c r="T55" s="246"/>
      <c r="U55" s="246"/>
      <c r="V55" s="246"/>
      <c r="W55" s="246"/>
      <c r="X55" s="253" t="s">
        <v>1299</v>
      </c>
      <c r="Y55" s="256" t="s">
        <v>2681</v>
      </c>
      <c r="Z55" s="246" t="s">
        <v>1278</v>
      </c>
      <c r="AA55" s="258" t="s">
        <v>2803</v>
      </c>
      <c r="AB55" s="245"/>
    </row>
    <row r="56" spans="1:29" s="250" customFormat="1">
      <c r="A56" s="244">
        <v>53</v>
      </c>
      <c r="B56" s="245" t="s">
        <v>738</v>
      </c>
      <c r="C56" s="246" t="s">
        <v>739</v>
      </c>
      <c r="D56" s="246" t="s">
        <v>415</v>
      </c>
      <c r="E56" s="246" t="s">
        <v>740</v>
      </c>
      <c r="F56" s="246" t="s">
        <v>405</v>
      </c>
      <c r="G56" s="246" t="s">
        <v>741</v>
      </c>
      <c r="H56" s="246" t="s">
        <v>406</v>
      </c>
      <c r="I56" s="18">
        <v>15400000</v>
      </c>
      <c r="J56" s="248">
        <v>44230</v>
      </c>
      <c r="K56" s="248">
        <v>44244</v>
      </c>
      <c r="L56" s="248">
        <v>44270</v>
      </c>
      <c r="M56" s="248">
        <v>44274</v>
      </c>
      <c r="N56" s="246"/>
      <c r="O56" s="246" t="s">
        <v>742</v>
      </c>
      <c r="P56" s="246"/>
      <c r="Q56" s="246"/>
      <c r="R56" s="246"/>
      <c r="S56" s="246"/>
      <c r="T56" s="246"/>
      <c r="U56" s="246"/>
      <c r="V56" s="246"/>
      <c r="W56" s="246"/>
      <c r="X56" s="244" t="s">
        <v>1300</v>
      </c>
      <c r="Y56" s="244"/>
      <c r="Z56" s="244" t="s">
        <v>1278</v>
      </c>
      <c r="AA56" s="246"/>
      <c r="AB56" s="245"/>
    </row>
    <row r="57" spans="1:29" s="250" customFormat="1">
      <c r="A57" s="244">
        <v>54</v>
      </c>
      <c r="B57" s="245" t="s">
        <v>416</v>
      </c>
      <c r="C57" s="246" t="s">
        <v>743</v>
      </c>
      <c r="D57" s="246" t="s">
        <v>1093</v>
      </c>
      <c r="E57" s="246" t="s">
        <v>1091</v>
      </c>
      <c r="F57" s="246" t="s">
        <v>405</v>
      </c>
      <c r="G57" s="246" t="s">
        <v>741</v>
      </c>
      <c r="H57" s="246" t="s">
        <v>745</v>
      </c>
      <c r="I57" s="26" t="s">
        <v>746</v>
      </c>
      <c r="J57" s="248">
        <v>44252</v>
      </c>
      <c r="K57" s="248">
        <v>44408</v>
      </c>
      <c r="L57" s="247" t="s">
        <v>411</v>
      </c>
      <c r="M57" s="247" t="s">
        <v>411</v>
      </c>
      <c r="N57" s="246"/>
      <c r="O57" s="246" t="s">
        <v>547</v>
      </c>
      <c r="P57" s="246"/>
      <c r="Q57" s="246"/>
      <c r="R57" s="246"/>
      <c r="S57" s="246"/>
      <c r="T57" s="246"/>
      <c r="U57" s="246"/>
      <c r="V57" s="246"/>
      <c r="W57" s="246"/>
      <c r="X57" s="246" t="s">
        <v>850</v>
      </c>
      <c r="Y57" s="246"/>
      <c r="Z57" s="246" t="s">
        <v>1298</v>
      </c>
      <c r="AA57" s="246"/>
      <c r="AB57" s="245"/>
      <c r="AC57" s="246"/>
    </row>
    <row r="58" spans="1:29" s="250" customFormat="1">
      <c r="A58" s="244">
        <v>55</v>
      </c>
      <c r="B58" s="245" t="s">
        <v>747</v>
      </c>
      <c r="C58" s="246" t="s">
        <v>770</v>
      </c>
      <c r="D58" s="246" t="s">
        <v>748</v>
      </c>
      <c r="E58" s="246" t="s">
        <v>749</v>
      </c>
      <c r="F58" s="246" t="s">
        <v>750</v>
      </c>
      <c r="G58" s="246" t="s">
        <v>774</v>
      </c>
      <c r="H58" s="246" t="s">
        <v>773</v>
      </c>
      <c r="I58" s="18">
        <v>2381346000</v>
      </c>
      <c r="J58" s="248">
        <v>44253</v>
      </c>
      <c r="K58" s="248">
        <v>44536</v>
      </c>
      <c r="L58" s="246" t="s">
        <v>2350</v>
      </c>
      <c r="M58" s="246" t="s">
        <v>2369</v>
      </c>
      <c r="N58" s="246"/>
      <c r="O58" s="246" t="s">
        <v>764</v>
      </c>
      <c r="P58" s="246"/>
      <c r="Q58" s="246"/>
      <c r="R58" s="246"/>
      <c r="S58" s="246"/>
      <c r="T58" s="246"/>
      <c r="U58" s="246"/>
      <c r="V58" s="246"/>
      <c r="W58" s="246"/>
      <c r="X58" s="244" t="s">
        <v>2610</v>
      </c>
      <c r="Y58" s="244"/>
      <c r="Z58" s="244" t="s">
        <v>2602</v>
      </c>
      <c r="AA58" s="246"/>
      <c r="AB58" s="245"/>
    </row>
    <row r="59" spans="1:29" s="250" customFormat="1">
      <c r="A59" s="244">
        <v>56</v>
      </c>
      <c r="B59" s="245" t="s">
        <v>769</v>
      </c>
      <c r="C59" s="246" t="s">
        <v>771</v>
      </c>
      <c r="D59" s="246" t="s">
        <v>766</v>
      </c>
      <c r="E59" s="246" t="s">
        <v>1744</v>
      </c>
      <c r="F59" s="246" t="s">
        <v>772</v>
      </c>
      <c r="G59" s="246" t="s">
        <v>776</v>
      </c>
      <c r="H59" s="246" t="s">
        <v>763</v>
      </c>
      <c r="I59" s="18">
        <v>434280000</v>
      </c>
      <c r="J59" s="248">
        <v>44257</v>
      </c>
      <c r="K59" s="248">
        <v>44561</v>
      </c>
      <c r="L59" s="246" t="s">
        <v>353</v>
      </c>
      <c r="M59" s="246" t="s">
        <v>353</v>
      </c>
      <c r="N59" s="246"/>
      <c r="O59" s="246" t="s">
        <v>764</v>
      </c>
      <c r="P59" s="246"/>
      <c r="Q59" s="246"/>
      <c r="R59" s="246"/>
      <c r="S59" s="246"/>
      <c r="T59" s="246"/>
      <c r="U59" s="246"/>
      <c r="V59" s="246"/>
      <c r="W59" s="246"/>
      <c r="X59" s="246" t="s">
        <v>2594</v>
      </c>
      <c r="Y59" s="246"/>
      <c r="Z59" s="244" t="s">
        <v>2772</v>
      </c>
      <c r="AA59" s="254" t="s">
        <v>2604</v>
      </c>
      <c r="AB59" s="245"/>
    </row>
    <row r="60" spans="1:29" s="250" customFormat="1">
      <c r="A60" s="244">
        <v>57</v>
      </c>
      <c r="B60" s="245" t="s">
        <v>777</v>
      </c>
      <c r="C60" s="246" t="s">
        <v>765</v>
      </c>
      <c r="D60" s="246" t="s">
        <v>766</v>
      </c>
      <c r="E60" s="246" t="s">
        <v>778</v>
      </c>
      <c r="F60" s="246" t="s">
        <v>762</v>
      </c>
      <c r="G60" s="246" t="s">
        <v>411</v>
      </c>
      <c r="H60" s="246" t="s">
        <v>773</v>
      </c>
      <c r="I60" s="18">
        <v>18800000</v>
      </c>
      <c r="J60" s="248">
        <v>44251</v>
      </c>
      <c r="K60" s="247" t="s">
        <v>411</v>
      </c>
      <c r="L60" s="248">
        <v>44259</v>
      </c>
      <c r="M60" s="246" t="s">
        <v>1071</v>
      </c>
      <c r="N60" s="246"/>
      <c r="O60" s="246" t="s">
        <v>768</v>
      </c>
      <c r="P60" s="246"/>
      <c r="Q60" s="246"/>
      <c r="R60" s="246"/>
      <c r="S60" s="246"/>
      <c r="T60" s="246"/>
      <c r="U60" s="246"/>
      <c r="V60" s="246"/>
      <c r="W60" s="246"/>
      <c r="X60" s="244" t="s">
        <v>1181</v>
      </c>
      <c r="Y60" s="244">
        <v>33759</v>
      </c>
      <c r="Z60" s="244" t="s">
        <v>1298</v>
      </c>
      <c r="AA60" s="244" t="s">
        <v>2814</v>
      </c>
      <c r="AB60" s="245"/>
    </row>
    <row r="61" spans="1:29" s="250" customFormat="1">
      <c r="A61" s="244">
        <v>58</v>
      </c>
      <c r="B61" s="245" t="s">
        <v>782</v>
      </c>
      <c r="C61" s="246" t="s">
        <v>783</v>
      </c>
      <c r="D61" s="246" t="s">
        <v>791</v>
      </c>
      <c r="E61" s="246" t="s">
        <v>784</v>
      </c>
      <c r="F61" s="246" t="s">
        <v>405</v>
      </c>
      <c r="G61" s="246" t="s">
        <v>411</v>
      </c>
      <c r="H61" s="246" t="s">
        <v>406</v>
      </c>
      <c r="I61" s="18">
        <v>3740000</v>
      </c>
      <c r="J61" s="248">
        <v>44259</v>
      </c>
      <c r="K61" s="247" t="s">
        <v>411</v>
      </c>
      <c r="L61" s="248">
        <v>44279</v>
      </c>
      <c r="M61" s="248">
        <v>44281</v>
      </c>
      <c r="N61" s="246"/>
      <c r="O61" s="246" t="s">
        <v>792</v>
      </c>
      <c r="P61" s="246"/>
      <c r="Q61" s="246"/>
      <c r="R61" s="246"/>
      <c r="S61" s="246"/>
      <c r="T61" s="246"/>
      <c r="U61" s="246"/>
      <c r="V61" s="246"/>
      <c r="W61" s="246"/>
      <c r="X61" s="244" t="s">
        <v>1301</v>
      </c>
      <c r="Y61" s="244"/>
      <c r="Z61" s="244" t="s">
        <v>1278</v>
      </c>
      <c r="AA61" s="246"/>
      <c r="AB61" s="245"/>
    </row>
    <row r="62" spans="1:29" s="250" customFormat="1">
      <c r="A62" s="244">
        <v>59</v>
      </c>
      <c r="B62" s="245" t="s">
        <v>785</v>
      </c>
      <c r="C62" s="246" t="s">
        <v>786</v>
      </c>
      <c r="D62" s="246" t="s">
        <v>787</v>
      </c>
      <c r="E62" s="246" t="s">
        <v>788</v>
      </c>
      <c r="F62" s="246" t="s">
        <v>405</v>
      </c>
      <c r="G62" s="246" t="s">
        <v>789</v>
      </c>
      <c r="H62" s="246" t="s">
        <v>406</v>
      </c>
      <c r="I62" s="18">
        <v>5717800</v>
      </c>
      <c r="J62" s="248">
        <v>44258</v>
      </c>
      <c r="K62" s="248">
        <v>44300</v>
      </c>
      <c r="L62" s="246" t="s">
        <v>1201</v>
      </c>
      <c r="M62" s="246" t="s">
        <v>1275</v>
      </c>
      <c r="N62" s="246"/>
      <c r="O62" s="246" t="s">
        <v>790</v>
      </c>
      <c r="P62" s="246"/>
      <c r="Q62" s="246"/>
      <c r="R62" s="246"/>
      <c r="S62" s="246"/>
      <c r="T62" s="246"/>
      <c r="U62" s="246"/>
      <c r="V62" s="246"/>
      <c r="W62" s="246"/>
      <c r="X62" s="244" t="s">
        <v>1063</v>
      </c>
      <c r="Y62" s="244"/>
      <c r="Z62" s="244" t="s">
        <v>1298</v>
      </c>
      <c r="AA62" s="246"/>
      <c r="AB62" s="245"/>
    </row>
    <row r="63" spans="1:29" s="250" customFormat="1">
      <c r="A63" s="244">
        <v>60</v>
      </c>
      <c r="B63" s="245" t="s">
        <v>793</v>
      </c>
      <c r="C63" s="246" t="s">
        <v>794</v>
      </c>
      <c r="D63" s="246" t="s">
        <v>795</v>
      </c>
      <c r="E63" s="246" t="s">
        <v>796</v>
      </c>
      <c r="F63" s="246" t="s">
        <v>797</v>
      </c>
      <c r="G63" s="246" t="s">
        <v>798</v>
      </c>
      <c r="H63" s="246" t="s">
        <v>799</v>
      </c>
      <c r="I63" s="18">
        <v>16280000</v>
      </c>
      <c r="J63" s="248">
        <v>44259</v>
      </c>
      <c r="K63" s="247" t="s">
        <v>411</v>
      </c>
      <c r="L63" s="248">
        <v>44263</v>
      </c>
      <c r="M63" s="248">
        <v>44265</v>
      </c>
      <c r="N63" s="246"/>
      <c r="O63" s="246" t="s">
        <v>800</v>
      </c>
      <c r="P63" s="246"/>
      <c r="Q63" s="246"/>
      <c r="R63" s="246"/>
      <c r="S63" s="246"/>
      <c r="T63" s="246"/>
      <c r="U63" s="246"/>
      <c r="V63" s="246"/>
      <c r="W63" s="246"/>
      <c r="X63" s="244" t="s">
        <v>1302</v>
      </c>
      <c r="Y63" s="244"/>
      <c r="Z63" s="244" t="s">
        <v>1278</v>
      </c>
      <c r="AA63" s="246"/>
      <c r="AB63" s="245"/>
    </row>
    <row r="64" spans="1:29" s="250" customFormat="1">
      <c r="A64" s="244">
        <v>61</v>
      </c>
      <c r="B64" s="245" t="s">
        <v>801</v>
      </c>
      <c r="C64" s="246" t="s">
        <v>802</v>
      </c>
      <c r="D64" s="246" t="s">
        <v>803</v>
      </c>
      <c r="E64" s="246" t="s">
        <v>804</v>
      </c>
      <c r="F64" s="246" t="s">
        <v>797</v>
      </c>
      <c r="G64" s="246" t="s">
        <v>798</v>
      </c>
      <c r="H64" s="246" t="s">
        <v>799</v>
      </c>
      <c r="I64" s="18">
        <v>6600000</v>
      </c>
      <c r="J64" s="248">
        <v>44260</v>
      </c>
      <c r="K64" s="247" t="s">
        <v>411</v>
      </c>
      <c r="L64" s="248">
        <v>44274</v>
      </c>
      <c r="M64" s="248">
        <v>44278</v>
      </c>
      <c r="N64" s="246"/>
      <c r="O64" s="246" t="s">
        <v>805</v>
      </c>
      <c r="P64" s="246"/>
      <c r="Q64" s="246"/>
      <c r="R64" s="246"/>
      <c r="S64" s="246"/>
      <c r="T64" s="246"/>
      <c r="U64" s="246"/>
      <c r="V64" s="246"/>
      <c r="W64" s="246"/>
      <c r="X64" s="258" t="s">
        <v>649</v>
      </c>
      <c r="Y64" s="244"/>
      <c r="Z64" s="246" t="s">
        <v>1767</v>
      </c>
      <c r="AA64" s="246"/>
      <c r="AB64" s="245"/>
    </row>
    <row r="65" spans="1:29" s="250" customFormat="1">
      <c r="A65" s="244">
        <v>62</v>
      </c>
      <c r="B65" s="245" t="s">
        <v>806</v>
      </c>
      <c r="C65" s="246" t="s">
        <v>807</v>
      </c>
      <c r="D65" s="246" t="s">
        <v>677</v>
      </c>
      <c r="E65" s="246" t="s">
        <v>808</v>
      </c>
      <c r="F65" s="246" t="s">
        <v>797</v>
      </c>
      <c r="G65" s="246" t="s">
        <v>798</v>
      </c>
      <c r="H65" s="246" t="s">
        <v>799</v>
      </c>
      <c r="I65" s="18">
        <v>6600000</v>
      </c>
      <c r="J65" s="248">
        <v>44263</v>
      </c>
      <c r="K65" s="247" t="s">
        <v>834</v>
      </c>
      <c r="L65" s="248">
        <v>44264</v>
      </c>
      <c r="M65" s="248">
        <v>44315</v>
      </c>
      <c r="N65" s="246"/>
      <c r="O65" s="246" t="s">
        <v>809</v>
      </c>
      <c r="P65" s="246"/>
      <c r="Q65" s="246"/>
      <c r="R65" s="246"/>
      <c r="S65" s="246"/>
      <c r="T65" s="246"/>
      <c r="U65" s="246"/>
      <c r="V65" s="246"/>
      <c r="W65" s="246"/>
      <c r="X65" s="244" t="s">
        <v>1303</v>
      </c>
      <c r="Y65" s="244"/>
      <c r="Z65" s="244" t="s">
        <v>1278</v>
      </c>
      <c r="AA65" s="246" t="s">
        <v>405</v>
      </c>
      <c r="AB65" s="245"/>
    </row>
    <row r="66" spans="1:29" s="250" customFormat="1">
      <c r="A66" s="244">
        <v>63</v>
      </c>
      <c r="B66" s="245" t="s">
        <v>829</v>
      </c>
      <c r="C66" s="246" t="s">
        <v>830</v>
      </c>
      <c r="D66" s="246" t="s">
        <v>831</v>
      </c>
      <c r="E66" s="246" t="s">
        <v>832</v>
      </c>
      <c r="F66" s="246" t="s">
        <v>825</v>
      </c>
      <c r="G66" s="247" t="s">
        <v>826</v>
      </c>
      <c r="H66" s="246" t="s">
        <v>827</v>
      </c>
      <c r="I66" s="18">
        <v>13200000</v>
      </c>
      <c r="J66" s="248">
        <v>44263</v>
      </c>
      <c r="K66" s="248">
        <v>44305</v>
      </c>
      <c r="L66" s="248">
        <v>44299</v>
      </c>
      <c r="M66" s="248">
        <v>44301</v>
      </c>
      <c r="N66" s="246"/>
      <c r="O66" s="246" t="s">
        <v>833</v>
      </c>
      <c r="P66" s="246"/>
      <c r="Q66" s="246"/>
      <c r="R66" s="246"/>
      <c r="S66" s="246"/>
      <c r="T66" s="246"/>
      <c r="U66" s="246"/>
      <c r="V66" s="246"/>
      <c r="W66" s="246"/>
      <c r="X66" s="244" t="s">
        <v>1304</v>
      </c>
      <c r="Y66" s="244"/>
      <c r="Z66" s="244" t="s">
        <v>2602</v>
      </c>
      <c r="AA66" s="255"/>
      <c r="AB66" s="245"/>
    </row>
    <row r="67" spans="1:29" s="263" customFormat="1" ht="15.75" customHeight="1">
      <c r="A67" s="256">
        <v>64</v>
      </c>
      <c r="B67" s="259" t="s">
        <v>813</v>
      </c>
      <c r="C67" s="260" t="s">
        <v>814</v>
      </c>
      <c r="D67" s="261" t="s">
        <v>815</v>
      </c>
      <c r="E67" s="261" t="s">
        <v>856</v>
      </c>
      <c r="F67" s="261" t="s">
        <v>405</v>
      </c>
      <c r="G67" s="261" t="s">
        <v>411</v>
      </c>
      <c r="H67" s="261" t="s">
        <v>406</v>
      </c>
      <c r="I67" s="27">
        <f>292600000/7*4</f>
        <v>167200000</v>
      </c>
      <c r="J67" s="262">
        <v>44264</v>
      </c>
      <c r="K67" s="262">
        <v>44411</v>
      </c>
      <c r="L67" s="262">
        <v>44407</v>
      </c>
      <c r="M67" s="262">
        <v>44411</v>
      </c>
      <c r="N67" s="261"/>
      <c r="O67" s="261" t="s">
        <v>691</v>
      </c>
      <c r="P67" s="261"/>
      <c r="Q67" s="261"/>
      <c r="R67" s="261"/>
      <c r="S67" s="261"/>
      <c r="T67" s="261"/>
      <c r="U67" s="261"/>
      <c r="V67" s="261"/>
      <c r="W67" s="261"/>
      <c r="X67" s="244" t="s">
        <v>1698</v>
      </c>
      <c r="Y67" s="244"/>
      <c r="Z67" s="256" t="s">
        <v>1768</v>
      </c>
      <c r="AA67" s="261"/>
      <c r="AB67" s="259"/>
      <c r="AC67" s="261"/>
    </row>
    <row r="68" spans="1:29" s="250" customFormat="1">
      <c r="A68" s="244">
        <v>65</v>
      </c>
      <c r="B68" s="245" t="s">
        <v>810</v>
      </c>
      <c r="C68" s="246" t="s">
        <v>811</v>
      </c>
      <c r="D68" s="246" t="s">
        <v>410</v>
      </c>
      <c r="E68" s="246" t="s">
        <v>812</v>
      </c>
      <c r="F68" s="246" t="s">
        <v>405</v>
      </c>
      <c r="G68" s="246" t="s">
        <v>411</v>
      </c>
      <c r="H68" s="246" t="s">
        <v>406</v>
      </c>
      <c r="I68" s="18">
        <v>7040000</v>
      </c>
      <c r="J68" s="248">
        <v>44264</v>
      </c>
      <c r="K68" s="248">
        <v>44302</v>
      </c>
      <c r="L68" s="248">
        <v>44298</v>
      </c>
      <c r="M68" s="248">
        <v>44326</v>
      </c>
      <c r="N68" s="246"/>
      <c r="O68" s="246" t="s">
        <v>742</v>
      </c>
      <c r="P68" s="246"/>
      <c r="Q68" s="246"/>
      <c r="R68" s="246"/>
      <c r="S68" s="246"/>
      <c r="T68" s="246"/>
      <c r="U68" s="246"/>
      <c r="V68" s="246"/>
      <c r="W68" s="246"/>
      <c r="X68" s="244" t="s">
        <v>1305</v>
      </c>
      <c r="Y68" s="244"/>
      <c r="Z68" s="244" t="s">
        <v>1278</v>
      </c>
      <c r="AA68" s="246"/>
      <c r="AB68" s="245"/>
    </row>
    <row r="69" spans="1:29" s="250" customFormat="1" ht="15.75" customHeight="1">
      <c r="A69" s="244">
        <v>66</v>
      </c>
      <c r="B69" s="245" t="s">
        <v>817</v>
      </c>
      <c r="C69" s="246" t="s">
        <v>818</v>
      </c>
      <c r="D69" s="246" t="s">
        <v>819</v>
      </c>
      <c r="E69" s="246" t="s">
        <v>820</v>
      </c>
      <c r="F69" s="246" t="s">
        <v>816</v>
      </c>
      <c r="G69" s="246" t="s">
        <v>411</v>
      </c>
      <c r="H69" s="246" t="s">
        <v>406</v>
      </c>
      <c r="I69" s="18">
        <v>3850000</v>
      </c>
      <c r="J69" s="248">
        <v>44266</v>
      </c>
      <c r="K69" s="248">
        <v>44273</v>
      </c>
      <c r="L69" s="248">
        <v>44270</v>
      </c>
      <c r="M69" s="248">
        <v>44286</v>
      </c>
      <c r="N69" s="246"/>
      <c r="O69" s="246" t="s">
        <v>691</v>
      </c>
      <c r="P69" s="246"/>
      <c r="Q69" s="246"/>
      <c r="R69" s="246"/>
      <c r="S69" s="246"/>
      <c r="T69" s="246"/>
      <c r="U69" s="246"/>
      <c r="V69" s="246"/>
      <c r="W69" s="246"/>
      <c r="X69" s="244" t="s">
        <v>847</v>
      </c>
      <c r="Y69" s="244"/>
      <c r="Z69" s="244" t="s">
        <v>1298</v>
      </c>
      <c r="AA69" s="246"/>
      <c r="AB69" s="245"/>
      <c r="AC69" s="246"/>
    </row>
    <row r="70" spans="1:29" s="250" customFormat="1">
      <c r="A70" s="244">
        <v>67</v>
      </c>
      <c r="B70" s="245" t="s">
        <v>821</v>
      </c>
      <c r="C70" s="246" t="s">
        <v>822</v>
      </c>
      <c r="D70" s="246" t="s">
        <v>823</v>
      </c>
      <c r="E70" s="246" t="s">
        <v>824</v>
      </c>
      <c r="F70" s="246" t="s">
        <v>825</v>
      </c>
      <c r="G70" s="247" t="s">
        <v>826</v>
      </c>
      <c r="H70" s="246" t="s">
        <v>827</v>
      </c>
      <c r="I70" s="18">
        <v>20339000</v>
      </c>
      <c r="J70" s="248">
        <v>44266</v>
      </c>
      <c r="K70" s="248">
        <v>44347</v>
      </c>
      <c r="L70" s="248">
        <v>44343</v>
      </c>
      <c r="M70" s="248">
        <v>44343</v>
      </c>
      <c r="N70" s="246"/>
      <c r="O70" s="246" t="s">
        <v>828</v>
      </c>
      <c r="P70" s="246"/>
      <c r="Q70" s="246"/>
      <c r="R70" s="246"/>
      <c r="S70" s="246"/>
      <c r="T70" s="246"/>
      <c r="U70" s="246"/>
      <c r="V70" s="246"/>
      <c r="W70" s="246"/>
      <c r="X70" s="244" t="s">
        <v>2635</v>
      </c>
      <c r="Y70" s="244"/>
      <c r="Z70" s="246" t="s">
        <v>2602</v>
      </c>
      <c r="AA70" s="246"/>
      <c r="AB70" s="245" t="s">
        <v>2550</v>
      </c>
    </row>
    <row r="71" spans="1:29" s="250" customFormat="1">
      <c r="A71" s="244">
        <v>68</v>
      </c>
      <c r="B71" s="245" t="s">
        <v>835</v>
      </c>
      <c r="C71" s="246" t="s">
        <v>836</v>
      </c>
      <c r="D71" s="246" t="s">
        <v>845</v>
      </c>
      <c r="E71" s="246" t="s">
        <v>844</v>
      </c>
      <c r="F71" s="246" t="s">
        <v>405</v>
      </c>
      <c r="G71" s="247" t="s">
        <v>411</v>
      </c>
      <c r="H71" s="246" t="s">
        <v>406</v>
      </c>
      <c r="I71" s="18">
        <v>18541600</v>
      </c>
      <c r="J71" s="248">
        <v>44266</v>
      </c>
      <c r="K71" s="247" t="s">
        <v>411</v>
      </c>
      <c r="L71" s="248">
        <v>44314</v>
      </c>
      <c r="M71" s="248">
        <v>44316</v>
      </c>
      <c r="N71" s="246"/>
      <c r="O71" s="246" t="s">
        <v>846</v>
      </c>
      <c r="P71" s="246"/>
      <c r="Q71" s="246"/>
      <c r="R71" s="246"/>
      <c r="S71" s="246"/>
      <c r="T71" s="246"/>
      <c r="U71" s="246"/>
      <c r="V71" s="246"/>
      <c r="W71" s="246"/>
      <c r="X71" s="244" t="s">
        <v>1306</v>
      </c>
      <c r="Y71" s="244"/>
      <c r="Z71" s="244" t="s">
        <v>1278</v>
      </c>
      <c r="AA71" s="246"/>
      <c r="AB71" s="245"/>
    </row>
    <row r="72" spans="1:29" s="250" customFormat="1">
      <c r="A72" s="244">
        <v>69</v>
      </c>
      <c r="B72" s="245" t="s">
        <v>835</v>
      </c>
      <c r="C72" s="246" t="s">
        <v>837</v>
      </c>
      <c r="D72" s="246" t="s">
        <v>845</v>
      </c>
      <c r="E72" s="246" t="s">
        <v>843</v>
      </c>
      <c r="F72" s="246" t="s">
        <v>405</v>
      </c>
      <c r="G72" s="247" t="s">
        <v>411</v>
      </c>
      <c r="H72" s="246" t="s">
        <v>406</v>
      </c>
      <c r="I72" s="18">
        <v>7438200</v>
      </c>
      <c r="J72" s="248">
        <v>44266</v>
      </c>
      <c r="K72" s="247" t="s">
        <v>411</v>
      </c>
      <c r="L72" s="248">
        <v>44287</v>
      </c>
      <c r="M72" s="248">
        <v>44291</v>
      </c>
      <c r="N72" s="246"/>
      <c r="O72" s="246" t="s">
        <v>846</v>
      </c>
      <c r="P72" s="246"/>
      <c r="Q72" s="246"/>
      <c r="R72" s="246"/>
      <c r="S72" s="246"/>
      <c r="T72" s="246"/>
      <c r="U72" s="246"/>
      <c r="V72" s="246"/>
      <c r="W72" s="246"/>
      <c r="X72" s="244" t="s">
        <v>945</v>
      </c>
      <c r="Y72" s="244"/>
      <c r="Z72" s="244" t="s">
        <v>1298</v>
      </c>
      <c r="AA72" s="246"/>
      <c r="AB72" s="245"/>
    </row>
    <row r="73" spans="1:29" s="250" customFormat="1">
      <c r="A73" s="244">
        <v>70</v>
      </c>
      <c r="B73" s="245" t="s">
        <v>838</v>
      </c>
      <c r="C73" s="246" t="s">
        <v>839</v>
      </c>
      <c r="D73" s="246" t="s">
        <v>840</v>
      </c>
      <c r="E73" s="246" t="s">
        <v>841</v>
      </c>
      <c r="F73" s="246" t="s">
        <v>405</v>
      </c>
      <c r="G73" s="247" t="s">
        <v>411</v>
      </c>
      <c r="H73" s="246" t="s">
        <v>406</v>
      </c>
      <c r="I73" s="18">
        <v>1320000</v>
      </c>
      <c r="J73" s="248">
        <v>44267</v>
      </c>
      <c r="K73" s="248" t="s">
        <v>842</v>
      </c>
      <c r="L73" s="248">
        <v>44284</v>
      </c>
      <c r="M73" s="248">
        <v>44300</v>
      </c>
      <c r="N73" s="246"/>
      <c r="O73" s="246" t="s">
        <v>742</v>
      </c>
      <c r="P73" s="246"/>
      <c r="Q73" s="246"/>
      <c r="R73" s="246"/>
      <c r="S73" s="246"/>
      <c r="T73" s="246"/>
      <c r="U73" s="246"/>
      <c r="V73" s="246"/>
      <c r="W73" s="246"/>
      <c r="X73" s="253" t="s">
        <v>2671</v>
      </c>
      <c r="Y73" s="244" t="s">
        <v>2768</v>
      </c>
      <c r="Z73" s="244" t="s">
        <v>1298</v>
      </c>
      <c r="AA73" s="258" t="s">
        <v>2769</v>
      </c>
      <c r="AB73" s="245"/>
    </row>
    <row r="74" spans="1:29" s="250" customFormat="1">
      <c r="A74" s="244">
        <v>71</v>
      </c>
      <c r="B74" s="245" t="s">
        <v>738</v>
      </c>
      <c r="C74" s="246" t="s">
        <v>861</v>
      </c>
      <c r="D74" s="246" t="s">
        <v>868</v>
      </c>
      <c r="E74" s="246" t="s">
        <v>863</v>
      </c>
      <c r="F74" s="246" t="s">
        <v>405</v>
      </c>
      <c r="G74" s="247" t="s">
        <v>411</v>
      </c>
      <c r="H74" s="246" t="s">
        <v>406</v>
      </c>
      <c r="I74" s="18">
        <v>2420000</v>
      </c>
      <c r="J74" s="248">
        <v>44271</v>
      </c>
      <c r="K74" s="247" t="s">
        <v>411</v>
      </c>
      <c r="L74" s="248">
        <v>44271</v>
      </c>
      <c r="M74" s="248">
        <v>44299</v>
      </c>
      <c r="N74" s="246"/>
      <c r="O74" s="246" t="s">
        <v>742</v>
      </c>
      <c r="P74" s="246"/>
      <c r="Q74" s="246"/>
      <c r="R74" s="246"/>
      <c r="S74" s="246"/>
      <c r="T74" s="246"/>
      <c r="U74" s="246"/>
      <c r="V74" s="246"/>
      <c r="W74" s="246"/>
      <c r="X74" s="244" t="s">
        <v>1307</v>
      </c>
      <c r="Y74" s="244"/>
      <c r="Z74" s="244" t="s">
        <v>1278</v>
      </c>
      <c r="AA74" s="246"/>
      <c r="AB74" s="245"/>
    </row>
    <row r="75" spans="1:29" s="250" customFormat="1">
      <c r="A75" s="244">
        <v>72</v>
      </c>
      <c r="B75" s="245" t="s">
        <v>738</v>
      </c>
      <c r="C75" s="246" t="s">
        <v>862</v>
      </c>
      <c r="D75" s="246" t="s">
        <v>672</v>
      </c>
      <c r="E75" s="246" t="s">
        <v>864</v>
      </c>
      <c r="F75" s="246" t="s">
        <v>405</v>
      </c>
      <c r="G75" s="247" t="s">
        <v>411</v>
      </c>
      <c r="H75" s="246" t="s">
        <v>406</v>
      </c>
      <c r="I75" s="18">
        <v>1870000</v>
      </c>
      <c r="J75" s="248">
        <v>44271</v>
      </c>
      <c r="K75" s="247" t="s">
        <v>411</v>
      </c>
      <c r="L75" s="248">
        <v>44271</v>
      </c>
      <c r="M75" s="248">
        <v>44295</v>
      </c>
      <c r="N75" s="246"/>
      <c r="O75" s="246" t="s">
        <v>742</v>
      </c>
      <c r="P75" s="246"/>
      <c r="Q75" s="246"/>
      <c r="R75" s="246"/>
      <c r="S75" s="246"/>
      <c r="T75" s="246"/>
      <c r="U75" s="246"/>
      <c r="V75" s="246"/>
      <c r="W75" s="246"/>
      <c r="X75" s="251" t="s">
        <v>2470</v>
      </c>
      <c r="Y75" s="251"/>
      <c r="Z75" s="244" t="s">
        <v>2602</v>
      </c>
      <c r="AA75" s="246"/>
      <c r="AB75" s="245" t="s">
        <v>2475</v>
      </c>
    </row>
    <row r="76" spans="1:29" s="250" customFormat="1">
      <c r="A76" s="244">
        <v>73</v>
      </c>
      <c r="B76" s="245" t="s">
        <v>857</v>
      </c>
      <c r="C76" s="246" t="s">
        <v>858</v>
      </c>
      <c r="D76" s="246" t="s">
        <v>859</v>
      </c>
      <c r="E76" s="246" t="s">
        <v>860</v>
      </c>
      <c r="F76" s="246" t="s">
        <v>405</v>
      </c>
      <c r="G76" s="247" t="s">
        <v>411</v>
      </c>
      <c r="H76" s="246" t="s">
        <v>406</v>
      </c>
      <c r="I76" s="18">
        <v>22000000</v>
      </c>
      <c r="J76" s="248">
        <v>44271</v>
      </c>
      <c r="K76" s="248">
        <v>44301</v>
      </c>
      <c r="L76" s="248">
        <v>44300</v>
      </c>
      <c r="M76" s="248">
        <v>44302</v>
      </c>
      <c r="N76" s="246"/>
      <c r="O76" s="246" t="s">
        <v>865</v>
      </c>
      <c r="P76" s="246"/>
      <c r="Q76" s="246"/>
      <c r="R76" s="246"/>
      <c r="S76" s="246"/>
      <c r="T76" s="246"/>
      <c r="U76" s="246"/>
      <c r="V76" s="246"/>
      <c r="W76" s="246"/>
      <c r="X76" s="244" t="s">
        <v>2497</v>
      </c>
      <c r="Y76" s="244"/>
      <c r="Z76" s="244" t="s">
        <v>2576</v>
      </c>
      <c r="AA76" s="246"/>
      <c r="AB76" s="245" t="s">
        <v>2474</v>
      </c>
    </row>
    <row r="77" spans="1:29" s="250" customFormat="1">
      <c r="A77" s="244">
        <v>74</v>
      </c>
      <c r="B77" s="245" t="s">
        <v>852</v>
      </c>
      <c r="C77" s="246" t="s">
        <v>853</v>
      </c>
      <c r="D77" s="246" t="s">
        <v>744</v>
      </c>
      <c r="E77" s="246" t="s">
        <v>854</v>
      </c>
      <c r="F77" s="246" t="s">
        <v>405</v>
      </c>
      <c r="G77" s="247" t="s">
        <v>411</v>
      </c>
      <c r="H77" s="246" t="s">
        <v>406</v>
      </c>
      <c r="I77" s="18">
        <v>1045000</v>
      </c>
      <c r="J77" s="248">
        <v>44272</v>
      </c>
      <c r="K77" s="248">
        <v>44316</v>
      </c>
      <c r="L77" s="248">
        <v>44291</v>
      </c>
      <c r="M77" s="248">
        <v>44323</v>
      </c>
      <c r="N77" s="246"/>
      <c r="O77" s="246" t="s">
        <v>855</v>
      </c>
      <c r="P77" s="246"/>
      <c r="Q77" s="246"/>
      <c r="R77" s="246"/>
      <c r="S77" s="246"/>
      <c r="T77" s="246"/>
      <c r="U77" s="246"/>
      <c r="V77" s="246"/>
      <c r="W77" s="246"/>
      <c r="X77" s="244" t="s">
        <v>990</v>
      </c>
      <c r="Y77" s="244"/>
      <c r="Z77" s="244" t="s">
        <v>1298</v>
      </c>
      <c r="AA77" s="246"/>
      <c r="AB77" s="245"/>
      <c r="AC77" s="246"/>
    </row>
    <row r="78" spans="1:29" s="250" customFormat="1">
      <c r="A78" s="244">
        <v>75</v>
      </c>
      <c r="B78" s="245" t="s">
        <v>866</v>
      </c>
      <c r="C78" s="246" t="s">
        <v>867</v>
      </c>
      <c r="D78" s="246" t="s">
        <v>815</v>
      </c>
      <c r="E78" s="246" t="s">
        <v>1684</v>
      </c>
      <c r="F78" s="246" t="s">
        <v>405</v>
      </c>
      <c r="G78" s="247" t="s">
        <v>411</v>
      </c>
      <c r="H78" s="246" t="s">
        <v>406</v>
      </c>
      <c r="I78" s="18">
        <v>125400000</v>
      </c>
      <c r="J78" s="248">
        <v>44273</v>
      </c>
      <c r="K78" s="248">
        <v>44392</v>
      </c>
      <c r="L78" s="248">
        <v>44403</v>
      </c>
      <c r="M78" s="248">
        <v>44407</v>
      </c>
      <c r="N78" s="246"/>
      <c r="O78" s="246" t="s">
        <v>691</v>
      </c>
      <c r="P78" s="246"/>
      <c r="Q78" s="246"/>
      <c r="R78" s="246"/>
      <c r="S78" s="246"/>
      <c r="T78" s="246"/>
      <c r="U78" s="246"/>
      <c r="V78" s="246"/>
      <c r="W78" s="246"/>
      <c r="X78" s="244" t="s">
        <v>1629</v>
      </c>
      <c r="Y78" s="244"/>
      <c r="Z78" s="244" t="s">
        <v>1278</v>
      </c>
      <c r="AA78" s="246"/>
      <c r="AB78" s="245"/>
      <c r="AC78" s="246"/>
    </row>
    <row r="79" spans="1:29" s="250" customFormat="1">
      <c r="A79" s="244">
        <v>76</v>
      </c>
      <c r="B79" s="245" t="s">
        <v>870</v>
      </c>
      <c r="C79" s="246" t="s">
        <v>904</v>
      </c>
      <c r="D79" s="246" t="s">
        <v>879</v>
      </c>
      <c r="E79" s="246" t="s">
        <v>880</v>
      </c>
      <c r="F79" s="246" t="s">
        <v>881</v>
      </c>
      <c r="G79" s="246" t="s">
        <v>882</v>
      </c>
      <c r="H79" s="246" t="s">
        <v>883</v>
      </c>
      <c r="I79" s="18">
        <v>717359500</v>
      </c>
      <c r="J79" s="248">
        <v>44273</v>
      </c>
      <c r="K79" s="248">
        <v>44540</v>
      </c>
      <c r="L79" s="246" t="s">
        <v>2428</v>
      </c>
      <c r="M79" s="246" t="s">
        <v>2429</v>
      </c>
      <c r="N79" s="246"/>
      <c r="O79" s="246" t="s">
        <v>884</v>
      </c>
      <c r="P79" s="246"/>
      <c r="Q79" s="246"/>
      <c r="R79" s="246"/>
      <c r="S79" s="246"/>
      <c r="T79" s="246"/>
      <c r="U79" s="246"/>
      <c r="V79" s="246"/>
      <c r="W79" s="246"/>
      <c r="X79" s="246" t="s">
        <v>779</v>
      </c>
      <c r="Y79" s="246"/>
      <c r="Z79" s="246" t="s">
        <v>1277</v>
      </c>
      <c r="AA79" s="246"/>
      <c r="AB79" s="245"/>
    </row>
    <row r="80" spans="1:29" s="250" customFormat="1">
      <c r="A80" s="244">
        <v>77</v>
      </c>
      <c r="B80" s="245" t="s">
        <v>871</v>
      </c>
      <c r="C80" s="246" t="s">
        <v>922</v>
      </c>
      <c r="D80" s="246" t="s">
        <v>677</v>
      </c>
      <c r="E80" s="246" t="s">
        <v>1140</v>
      </c>
      <c r="F80" s="246" t="s">
        <v>405</v>
      </c>
      <c r="G80" s="247" t="s">
        <v>411</v>
      </c>
      <c r="H80" s="246" t="s">
        <v>406</v>
      </c>
      <c r="I80" s="18">
        <v>2904000</v>
      </c>
      <c r="J80" s="248">
        <v>44273</v>
      </c>
      <c r="K80" s="248">
        <v>44316</v>
      </c>
      <c r="L80" s="248">
        <v>44327</v>
      </c>
      <c r="M80" s="248">
        <v>44355</v>
      </c>
      <c r="N80" s="246"/>
      <c r="O80" s="246" t="s">
        <v>923</v>
      </c>
      <c r="P80" s="246"/>
      <c r="Q80" s="246"/>
      <c r="R80" s="246"/>
      <c r="S80" s="246"/>
      <c r="T80" s="246"/>
      <c r="U80" s="246"/>
      <c r="V80" s="246"/>
      <c r="W80" s="246"/>
      <c r="X80" s="244" t="s">
        <v>1308</v>
      </c>
      <c r="Y80" s="244"/>
      <c r="Z80" s="244" t="s">
        <v>1278</v>
      </c>
      <c r="AA80" s="246"/>
      <c r="AB80" s="245"/>
    </row>
    <row r="81" spans="1:29" s="250" customFormat="1">
      <c r="A81" s="244">
        <v>78</v>
      </c>
      <c r="B81" s="245" t="s">
        <v>870</v>
      </c>
      <c r="C81" s="246" t="s">
        <v>903</v>
      </c>
      <c r="D81" s="246" t="s">
        <v>879</v>
      </c>
      <c r="E81" s="246" t="s">
        <v>885</v>
      </c>
      <c r="F81" s="246" t="s">
        <v>881</v>
      </c>
      <c r="G81" s="246" t="s">
        <v>886</v>
      </c>
      <c r="H81" s="246" t="s">
        <v>883</v>
      </c>
      <c r="I81" s="18">
        <v>1101620960</v>
      </c>
      <c r="J81" s="248">
        <v>44274</v>
      </c>
      <c r="K81" s="248">
        <v>44540</v>
      </c>
      <c r="L81" s="246" t="s">
        <v>2373</v>
      </c>
      <c r="M81" s="246" t="s">
        <v>2374</v>
      </c>
      <c r="N81" s="246"/>
      <c r="O81" s="246" t="s">
        <v>887</v>
      </c>
      <c r="P81" s="246"/>
      <c r="Q81" s="246"/>
      <c r="R81" s="246"/>
      <c r="S81" s="246"/>
      <c r="T81" s="246"/>
      <c r="U81" s="246"/>
      <c r="V81" s="246"/>
      <c r="W81" s="246"/>
      <c r="X81" s="246" t="s">
        <v>2787</v>
      </c>
      <c r="Y81" s="246" t="s">
        <v>2773</v>
      </c>
      <c r="Z81" s="244" t="s">
        <v>2772</v>
      </c>
      <c r="AA81" s="258" t="s">
        <v>2821</v>
      </c>
      <c r="AB81" s="245"/>
    </row>
    <row r="82" spans="1:29" s="250" customFormat="1">
      <c r="A82" s="244">
        <v>79</v>
      </c>
      <c r="B82" s="245" t="s">
        <v>872</v>
      </c>
      <c r="C82" s="246" t="s">
        <v>974</v>
      </c>
      <c r="D82" s="246" t="s">
        <v>975</v>
      </c>
      <c r="E82" s="246" t="s">
        <v>888</v>
      </c>
      <c r="F82" s="246" t="s">
        <v>889</v>
      </c>
      <c r="G82" s="246" t="s">
        <v>890</v>
      </c>
      <c r="H82" s="246" t="s">
        <v>883</v>
      </c>
      <c r="I82" s="18">
        <v>34452000</v>
      </c>
      <c r="J82" s="248">
        <v>44277</v>
      </c>
      <c r="K82" s="248">
        <v>44405</v>
      </c>
      <c r="L82" s="248">
        <v>44438</v>
      </c>
      <c r="M82" s="248">
        <v>44439</v>
      </c>
      <c r="N82" s="246"/>
      <c r="O82" s="246" t="s">
        <v>891</v>
      </c>
      <c r="P82" s="246"/>
      <c r="Q82" s="246"/>
      <c r="R82" s="246"/>
      <c r="S82" s="246"/>
      <c r="T82" s="246"/>
      <c r="U82" s="246"/>
      <c r="V82" s="246"/>
      <c r="W82" s="246"/>
      <c r="X82" s="244" t="s">
        <v>2171</v>
      </c>
      <c r="Y82" s="244"/>
      <c r="Z82" s="244" t="s">
        <v>2603</v>
      </c>
      <c r="AA82" s="255"/>
      <c r="AB82" s="245" t="s">
        <v>2540</v>
      </c>
      <c r="AC82" s="246"/>
    </row>
    <row r="83" spans="1:29" s="250" customFormat="1">
      <c r="A83" s="244">
        <v>80</v>
      </c>
      <c r="B83" s="245" t="s">
        <v>870</v>
      </c>
      <c r="C83" s="246" t="s">
        <v>874</v>
      </c>
      <c r="D83" s="246" t="s">
        <v>879</v>
      </c>
      <c r="E83" s="246" t="s">
        <v>892</v>
      </c>
      <c r="F83" s="246" t="s">
        <v>893</v>
      </c>
      <c r="G83" s="247" t="s">
        <v>411</v>
      </c>
      <c r="H83" s="246" t="s">
        <v>883</v>
      </c>
      <c r="I83" s="18">
        <v>2200000</v>
      </c>
      <c r="J83" s="248">
        <v>44277</v>
      </c>
      <c r="K83" s="247" t="s">
        <v>411</v>
      </c>
      <c r="L83" s="248">
        <v>44277</v>
      </c>
      <c r="M83" s="248">
        <v>44285</v>
      </c>
      <c r="N83" s="246"/>
      <c r="O83" s="246" t="s">
        <v>887</v>
      </c>
      <c r="P83" s="246"/>
      <c r="Q83" s="246"/>
      <c r="R83" s="246"/>
      <c r="S83" s="246"/>
      <c r="T83" s="246"/>
      <c r="U83" s="246"/>
      <c r="V83" s="246"/>
      <c r="W83" s="246"/>
      <c r="X83" s="251" t="s">
        <v>1769</v>
      </c>
      <c r="Y83" s="251"/>
      <c r="Z83" s="244" t="s">
        <v>1278</v>
      </c>
      <c r="AA83" s="255"/>
      <c r="AB83" s="245" t="s">
        <v>2553</v>
      </c>
    </row>
    <row r="84" spans="1:29" s="250" customFormat="1">
      <c r="A84" s="244">
        <v>81</v>
      </c>
      <c r="B84" s="245" t="s">
        <v>873</v>
      </c>
      <c r="C84" s="246" t="s">
        <v>924</v>
      </c>
      <c r="D84" s="246" t="s">
        <v>677</v>
      </c>
      <c r="E84" s="246" t="s">
        <v>925</v>
      </c>
      <c r="F84" s="246" t="s">
        <v>405</v>
      </c>
      <c r="G84" s="247" t="s">
        <v>411</v>
      </c>
      <c r="H84" s="246" t="s">
        <v>406</v>
      </c>
      <c r="I84" s="18">
        <v>20900000</v>
      </c>
      <c r="J84" s="248">
        <v>44274</v>
      </c>
      <c r="K84" s="248">
        <v>44377</v>
      </c>
      <c r="L84" s="248">
        <v>44334</v>
      </c>
      <c r="M84" s="248">
        <v>44334</v>
      </c>
      <c r="N84" s="246"/>
      <c r="O84" s="246" t="s">
        <v>923</v>
      </c>
      <c r="P84" s="246"/>
      <c r="Q84" s="246"/>
      <c r="R84" s="246"/>
      <c r="S84" s="246"/>
      <c r="T84" s="246"/>
      <c r="U84" s="246"/>
      <c r="V84" s="246"/>
      <c r="W84" s="246"/>
      <c r="X84" s="244" t="s">
        <v>1309</v>
      </c>
      <c r="Y84" s="244"/>
      <c r="Z84" s="244" t="s">
        <v>1278</v>
      </c>
      <c r="AA84" s="245" t="s">
        <v>2806</v>
      </c>
      <c r="AB84" s="245"/>
    </row>
    <row r="85" spans="1:29" s="250" customFormat="1">
      <c r="A85" s="244">
        <v>82</v>
      </c>
      <c r="B85" s="245" t="s">
        <v>870</v>
      </c>
      <c r="C85" s="246" t="s">
        <v>765</v>
      </c>
      <c r="D85" s="246" t="s">
        <v>409</v>
      </c>
      <c r="E85" s="246" t="s">
        <v>926</v>
      </c>
      <c r="F85" s="246" t="s">
        <v>405</v>
      </c>
      <c r="G85" s="247" t="s">
        <v>411</v>
      </c>
      <c r="H85" s="246" t="s">
        <v>406</v>
      </c>
      <c r="I85" s="18">
        <v>4294500</v>
      </c>
      <c r="J85" s="248">
        <v>44277</v>
      </c>
      <c r="K85" s="248">
        <v>44277</v>
      </c>
      <c r="L85" s="248">
        <v>44284</v>
      </c>
      <c r="M85" s="248">
        <v>44285</v>
      </c>
      <c r="N85" s="246"/>
      <c r="O85" s="246" t="s">
        <v>887</v>
      </c>
      <c r="P85" s="246"/>
      <c r="Q85" s="246"/>
      <c r="R85" s="246"/>
      <c r="S85" s="246"/>
      <c r="T85" s="246"/>
      <c r="U85" s="246"/>
      <c r="V85" s="246"/>
      <c r="W85" s="246"/>
      <c r="X85" s="246" t="s">
        <v>1310</v>
      </c>
      <c r="Y85" s="246"/>
      <c r="Z85" s="246" t="s">
        <v>1298</v>
      </c>
      <c r="AA85" s="246"/>
      <c r="AB85" s="245"/>
    </row>
    <row r="86" spans="1:29" s="250" customFormat="1">
      <c r="A86" s="244">
        <v>83</v>
      </c>
      <c r="B86" s="245" t="s">
        <v>875</v>
      </c>
      <c r="C86" s="246" t="s">
        <v>920</v>
      </c>
      <c r="D86" s="246" t="s">
        <v>677</v>
      </c>
      <c r="E86" s="246" t="s">
        <v>921</v>
      </c>
      <c r="F86" s="246" t="s">
        <v>405</v>
      </c>
      <c r="G86" s="247" t="s">
        <v>411</v>
      </c>
      <c r="H86" s="246" t="s">
        <v>406</v>
      </c>
      <c r="I86" s="18">
        <v>28600000</v>
      </c>
      <c r="J86" s="248">
        <v>44278</v>
      </c>
      <c r="K86" s="248">
        <v>44348</v>
      </c>
      <c r="L86" s="248">
        <v>44337</v>
      </c>
      <c r="M86" s="248">
        <v>44375</v>
      </c>
      <c r="N86" s="246"/>
      <c r="O86" s="246" t="s">
        <v>919</v>
      </c>
      <c r="P86" s="246"/>
      <c r="Q86" s="246"/>
      <c r="R86" s="246"/>
      <c r="S86" s="246"/>
      <c r="T86" s="246"/>
      <c r="U86" s="246"/>
      <c r="V86" s="246"/>
      <c r="W86" s="246"/>
      <c r="X86" s="244" t="s">
        <v>1234</v>
      </c>
      <c r="Y86" s="244"/>
      <c r="Z86" s="244" t="s">
        <v>1298</v>
      </c>
      <c r="AA86" s="246"/>
      <c r="AB86" s="245"/>
      <c r="AC86" s="246"/>
    </row>
    <row r="87" spans="1:29" s="250" customFormat="1">
      <c r="A87" s="244">
        <v>84</v>
      </c>
      <c r="B87" s="245" t="s">
        <v>518</v>
      </c>
      <c r="C87" s="246" t="s">
        <v>876</v>
      </c>
      <c r="D87" s="246" t="s">
        <v>877</v>
      </c>
      <c r="E87" s="246" t="s">
        <v>878</v>
      </c>
      <c r="F87" s="246" t="s">
        <v>893</v>
      </c>
      <c r="G87" s="247" t="s">
        <v>411</v>
      </c>
      <c r="H87" s="246" t="s">
        <v>883</v>
      </c>
      <c r="I87" s="18">
        <v>9570000</v>
      </c>
      <c r="J87" s="248">
        <v>44278</v>
      </c>
      <c r="K87" s="248">
        <v>44377</v>
      </c>
      <c r="L87" s="248">
        <v>44377</v>
      </c>
      <c r="M87" s="248">
        <v>44377</v>
      </c>
      <c r="N87" s="246"/>
      <c r="O87" s="246" t="s">
        <v>894</v>
      </c>
      <c r="P87" s="246"/>
      <c r="Q87" s="246"/>
      <c r="R87" s="246"/>
      <c r="S87" s="246"/>
      <c r="T87" s="246"/>
      <c r="U87" s="246"/>
      <c r="V87" s="246"/>
      <c r="W87" s="246"/>
      <c r="X87" s="251" t="s">
        <v>1770</v>
      </c>
      <c r="Y87" s="251"/>
      <c r="Z87" s="244" t="s">
        <v>1278</v>
      </c>
      <c r="AA87" s="255" t="s">
        <v>1554</v>
      </c>
      <c r="AB87" s="245"/>
    </row>
    <row r="88" spans="1:29" s="250" customFormat="1">
      <c r="A88" s="244">
        <v>85</v>
      </c>
      <c r="B88" s="245" t="s">
        <v>915</v>
      </c>
      <c r="C88" s="246" t="s">
        <v>916</v>
      </c>
      <c r="D88" s="246" t="s">
        <v>677</v>
      </c>
      <c r="E88" s="246" t="s">
        <v>917</v>
      </c>
      <c r="F88" s="246" t="s">
        <v>918</v>
      </c>
      <c r="G88" s="247" t="s">
        <v>411</v>
      </c>
      <c r="H88" s="246" t="s">
        <v>406</v>
      </c>
      <c r="I88" s="18">
        <v>9900000</v>
      </c>
      <c r="J88" s="248">
        <v>44278</v>
      </c>
      <c r="K88" s="248">
        <v>44326</v>
      </c>
      <c r="L88" s="246" t="s">
        <v>1232</v>
      </c>
      <c r="M88" s="246" t="s">
        <v>1233</v>
      </c>
      <c r="N88" s="246"/>
      <c r="O88" s="246" t="s">
        <v>919</v>
      </c>
      <c r="P88" s="246"/>
      <c r="Q88" s="246"/>
      <c r="R88" s="246"/>
      <c r="S88" s="246"/>
      <c r="T88" s="246"/>
      <c r="U88" s="246"/>
      <c r="V88" s="246"/>
      <c r="W88" s="246"/>
      <c r="X88" s="244" t="s">
        <v>1357</v>
      </c>
      <c r="Y88" s="244"/>
      <c r="Z88" s="244" t="s">
        <v>1278</v>
      </c>
      <c r="AA88" s="255" t="s">
        <v>1554</v>
      </c>
      <c r="AB88" s="245" t="s">
        <v>2539</v>
      </c>
      <c r="AC88" s="246"/>
    </row>
    <row r="89" spans="1:29" s="250" customFormat="1" ht="27" customHeight="1">
      <c r="A89" s="244">
        <v>86</v>
      </c>
      <c r="B89" s="245" t="s">
        <v>895</v>
      </c>
      <c r="C89" s="246" t="s">
        <v>901</v>
      </c>
      <c r="D89" s="246" t="s">
        <v>900</v>
      </c>
      <c r="E89" s="246" t="s">
        <v>896</v>
      </c>
      <c r="F89" s="246" t="s">
        <v>898</v>
      </c>
      <c r="G89" s="247" t="s">
        <v>906</v>
      </c>
      <c r="H89" s="246" t="s">
        <v>905</v>
      </c>
      <c r="I89" s="18">
        <v>225819000</v>
      </c>
      <c r="J89" s="248">
        <v>44279</v>
      </c>
      <c r="K89" s="248">
        <v>44357</v>
      </c>
      <c r="L89" s="248">
        <v>44376</v>
      </c>
      <c r="M89" s="248">
        <v>44377</v>
      </c>
      <c r="N89" s="246"/>
      <c r="O89" s="246" t="s">
        <v>908</v>
      </c>
      <c r="P89" s="246"/>
      <c r="Q89" s="246"/>
      <c r="R89" s="246"/>
      <c r="S89" s="246"/>
      <c r="T89" s="246"/>
      <c r="U89" s="246"/>
      <c r="V89" s="246"/>
      <c r="W89" s="246"/>
      <c r="X89" s="264" t="s">
        <v>2786</v>
      </c>
      <c r="Y89" s="258" t="s">
        <v>2785</v>
      </c>
      <c r="Z89" s="246"/>
      <c r="AA89" s="246"/>
      <c r="AB89" s="245" t="s">
        <v>2560</v>
      </c>
    </row>
    <row r="90" spans="1:29" s="250" customFormat="1" ht="54">
      <c r="A90" s="244">
        <v>87</v>
      </c>
      <c r="B90" s="245" t="s">
        <v>895</v>
      </c>
      <c r="C90" s="246" t="s">
        <v>902</v>
      </c>
      <c r="D90" s="246" t="s">
        <v>899</v>
      </c>
      <c r="E90" s="246" t="s">
        <v>897</v>
      </c>
      <c r="F90" s="246" t="s">
        <v>898</v>
      </c>
      <c r="G90" s="247" t="s">
        <v>906</v>
      </c>
      <c r="H90" s="246" t="s">
        <v>406</v>
      </c>
      <c r="I90" s="18">
        <v>895026000</v>
      </c>
      <c r="J90" s="248">
        <v>44279</v>
      </c>
      <c r="K90" s="248">
        <v>44545</v>
      </c>
      <c r="L90" s="246" t="s">
        <v>2399</v>
      </c>
      <c r="M90" s="246" t="s">
        <v>2430</v>
      </c>
      <c r="N90" s="246"/>
      <c r="O90" s="246" t="s">
        <v>907</v>
      </c>
      <c r="P90" s="246"/>
      <c r="Q90" s="246"/>
      <c r="R90" s="246"/>
      <c r="S90" s="246"/>
      <c r="T90" s="246"/>
      <c r="U90" s="246"/>
      <c r="V90" s="246"/>
      <c r="W90" s="246"/>
      <c r="X90" s="253" t="s">
        <v>2167</v>
      </c>
      <c r="Y90" s="244">
        <v>65258</v>
      </c>
      <c r="Z90" s="244" t="s">
        <v>2576</v>
      </c>
      <c r="AA90" s="264" t="s">
        <v>2815</v>
      </c>
      <c r="AB90" s="245" t="s">
        <v>2802</v>
      </c>
    </row>
    <row r="91" spans="1:29" s="250" customFormat="1">
      <c r="A91" s="244">
        <v>88</v>
      </c>
      <c r="B91" s="245" t="s">
        <v>912</v>
      </c>
      <c r="C91" s="246" t="s">
        <v>913</v>
      </c>
      <c r="D91" s="246" t="s">
        <v>787</v>
      </c>
      <c r="E91" s="246" t="s">
        <v>788</v>
      </c>
      <c r="F91" s="246" t="s">
        <v>405</v>
      </c>
      <c r="G91" s="247" t="s">
        <v>411</v>
      </c>
      <c r="H91" s="246" t="s">
        <v>406</v>
      </c>
      <c r="I91" s="18">
        <v>3113000</v>
      </c>
      <c r="J91" s="248">
        <v>44277</v>
      </c>
      <c r="K91" s="248">
        <v>44287</v>
      </c>
      <c r="L91" s="248">
        <v>44287</v>
      </c>
      <c r="M91" s="248">
        <v>44291</v>
      </c>
      <c r="N91" s="246"/>
      <c r="O91" s="246" t="s">
        <v>914</v>
      </c>
      <c r="P91" s="246"/>
      <c r="Q91" s="246"/>
      <c r="R91" s="246"/>
      <c r="S91" s="246"/>
      <c r="T91" s="246"/>
      <c r="U91" s="246"/>
      <c r="V91" s="246"/>
      <c r="W91" s="246"/>
      <c r="X91" s="244" t="s">
        <v>1378</v>
      </c>
      <c r="Y91" s="244"/>
      <c r="Z91" s="244" t="s">
        <v>1278</v>
      </c>
      <c r="AA91" s="246"/>
      <c r="AB91" s="245"/>
    </row>
    <row r="92" spans="1:29" s="250" customFormat="1">
      <c r="A92" s="244">
        <v>89</v>
      </c>
      <c r="B92" s="245" t="s">
        <v>738</v>
      </c>
      <c r="C92" s="246" t="s">
        <v>911</v>
      </c>
      <c r="D92" s="246" t="s">
        <v>409</v>
      </c>
      <c r="E92" s="246" t="s">
        <v>909</v>
      </c>
      <c r="F92" s="246" t="s">
        <v>519</v>
      </c>
      <c r="G92" s="247" t="s">
        <v>411</v>
      </c>
      <c r="H92" s="246" t="s">
        <v>406</v>
      </c>
      <c r="I92" s="18">
        <v>1774300</v>
      </c>
      <c r="J92" s="248">
        <v>44279</v>
      </c>
      <c r="K92" s="248">
        <v>44301</v>
      </c>
      <c r="L92" s="248">
        <v>44280</v>
      </c>
      <c r="M92" s="248">
        <v>44299</v>
      </c>
      <c r="N92" s="246"/>
      <c r="O92" s="246" t="s">
        <v>910</v>
      </c>
      <c r="P92" s="246"/>
      <c r="Q92" s="246"/>
      <c r="R92" s="246"/>
      <c r="S92" s="246"/>
      <c r="T92" s="246"/>
      <c r="U92" s="246"/>
      <c r="V92" s="246"/>
      <c r="W92" s="246"/>
      <c r="X92" s="256" t="s">
        <v>2504</v>
      </c>
      <c r="Y92" s="256"/>
      <c r="Z92" s="244" t="s">
        <v>2682</v>
      </c>
      <c r="AA92" s="246"/>
      <c r="AB92" s="245" t="s">
        <v>2542</v>
      </c>
    </row>
    <row r="93" spans="1:29" s="250" customFormat="1">
      <c r="A93" s="244">
        <v>90</v>
      </c>
      <c r="B93" s="245" t="s">
        <v>628</v>
      </c>
      <c r="C93" s="246" t="s">
        <v>927</v>
      </c>
      <c r="D93" s="246" t="s">
        <v>928</v>
      </c>
      <c r="E93" s="246" t="s">
        <v>929</v>
      </c>
      <c r="F93" s="246" t="s">
        <v>930</v>
      </c>
      <c r="G93" s="247" t="s">
        <v>931</v>
      </c>
      <c r="H93" s="246" t="s">
        <v>932</v>
      </c>
      <c r="I93" s="18">
        <v>179300000</v>
      </c>
      <c r="J93" s="248">
        <v>44280</v>
      </c>
      <c r="K93" s="248">
        <v>44377</v>
      </c>
      <c r="L93" s="248" t="s">
        <v>1276</v>
      </c>
      <c r="M93" s="248" t="s">
        <v>1368</v>
      </c>
      <c r="N93" s="246"/>
      <c r="O93" s="246" t="s">
        <v>933</v>
      </c>
      <c r="P93" s="246"/>
      <c r="Q93" s="246"/>
      <c r="R93" s="246"/>
      <c r="S93" s="246"/>
      <c r="T93" s="246"/>
      <c r="U93" s="246"/>
      <c r="V93" s="246"/>
      <c r="W93" s="246"/>
      <c r="X93" s="244" t="s">
        <v>2636</v>
      </c>
      <c r="Y93" s="244"/>
      <c r="Z93" s="244" t="s">
        <v>1278</v>
      </c>
      <c r="AA93" s="246"/>
      <c r="AB93" s="245"/>
    </row>
    <row r="94" spans="1:29" s="250" customFormat="1">
      <c r="A94" s="244">
        <v>91</v>
      </c>
      <c r="B94" s="245" t="s">
        <v>407</v>
      </c>
      <c r="C94" s="246" t="s">
        <v>934</v>
      </c>
      <c r="D94" s="246" t="s">
        <v>935</v>
      </c>
      <c r="E94" s="246" t="s">
        <v>936</v>
      </c>
      <c r="F94" s="246" t="s">
        <v>930</v>
      </c>
      <c r="G94" s="247" t="s">
        <v>931</v>
      </c>
      <c r="H94" s="246" t="s">
        <v>932</v>
      </c>
      <c r="I94" s="18">
        <v>3575000</v>
      </c>
      <c r="J94" s="248">
        <v>44280</v>
      </c>
      <c r="K94" s="248">
        <v>44326</v>
      </c>
      <c r="L94" s="248">
        <v>44314</v>
      </c>
      <c r="M94" s="248">
        <v>44316</v>
      </c>
      <c r="N94" s="246"/>
      <c r="O94" s="246" t="s">
        <v>937</v>
      </c>
      <c r="P94" s="246"/>
      <c r="Q94" s="246"/>
      <c r="R94" s="246"/>
      <c r="S94" s="246"/>
      <c r="T94" s="246"/>
      <c r="U94" s="246"/>
      <c r="V94" s="246"/>
      <c r="W94" s="246"/>
      <c r="X94" s="244" t="s">
        <v>1311</v>
      </c>
      <c r="Y94" s="244"/>
      <c r="Z94" s="244" t="s">
        <v>1278</v>
      </c>
      <c r="AA94" s="246"/>
      <c r="AB94" s="245"/>
    </row>
    <row r="95" spans="1:29" s="250" customFormat="1">
      <c r="A95" s="244">
        <v>92</v>
      </c>
      <c r="B95" s="245" t="s">
        <v>938</v>
      </c>
      <c r="C95" s="246" t="s">
        <v>939</v>
      </c>
      <c r="D95" s="246" t="s">
        <v>940</v>
      </c>
      <c r="E95" s="246" t="s">
        <v>941</v>
      </c>
      <c r="F95" s="246" t="s">
        <v>942</v>
      </c>
      <c r="G95" s="246" t="s">
        <v>981</v>
      </c>
      <c r="H95" s="246" t="s">
        <v>943</v>
      </c>
      <c r="I95" s="18">
        <v>191761500</v>
      </c>
      <c r="J95" s="248">
        <v>44281</v>
      </c>
      <c r="K95" s="248">
        <v>44490</v>
      </c>
      <c r="L95" s="246" t="s">
        <v>2080</v>
      </c>
      <c r="M95" s="246" t="s">
        <v>2105</v>
      </c>
      <c r="N95" s="246"/>
      <c r="O95" s="246" t="s">
        <v>944</v>
      </c>
      <c r="P95" s="246"/>
      <c r="Q95" s="246"/>
      <c r="R95" s="246"/>
      <c r="S95" s="246"/>
      <c r="T95" s="246"/>
      <c r="U95" s="246"/>
      <c r="V95" s="246"/>
      <c r="W95" s="246"/>
      <c r="X95" s="246" t="s">
        <v>779</v>
      </c>
      <c r="Y95" s="258" t="s">
        <v>2686</v>
      </c>
      <c r="Z95" s="244" t="s">
        <v>2774</v>
      </c>
      <c r="AA95" s="258" t="s">
        <v>2775</v>
      </c>
      <c r="AB95" s="245"/>
    </row>
    <row r="96" spans="1:29" s="250" customFormat="1" ht="19.5" customHeight="1">
      <c r="A96" s="244">
        <v>93</v>
      </c>
      <c r="B96" s="245" t="s">
        <v>954</v>
      </c>
      <c r="C96" s="246" t="s">
        <v>951</v>
      </c>
      <c r="D96" s="246" t="s">
        <v>955</v>
      </c>
      <c r="E96" s="246" t="s">
        <v>956</v>
      </c>
      <c r="F96" s="246" t="s">
        <v>1312</v>
      </c>
      <c r="G96" s="246" t="s">
        <v>951</v>
      </c>
      <c r="H96" s="246" t="s">
        <v>978</v>
      </c>
      <c r="I96" s="26" t="s">
        <v>982</v>
      </c>
      <c r="J96" s="248">
        <v>44242</v>
      </c>
      <c r="K96" s="247" t="s">
        <v>411</v>
      </c>
      <c r="L96" s="248">
        <v>44287</v>
      </c>
      <c r="M96" s="248">
        <v>44278</v>
      </c>
      <c r="N96" s="246"/>
      <c r="O96" s="246" t="s">
        <v>957</v>
      </c>
      <c r="P96" s="246"/>
      <c r="Q96" s="246"/>
      <c r="R96" s="246"/>
      <c r="S96" s="246"/>
      <c r="T96" s="246"/>
      <c r="U96" s="246"/>
      <c r="V96" s="246"/>
      <c r="W96" s="246"/>
      <c r="X96" s="244" t="s">
        <v>2534</v>
      </c>
      <c r="Y96" s="244"/>
      <c r="Z96" s="244" t="s">
        <v>2602</v>
      </c>
      <c r="AA96" s="246"/>
      <c r="AB96" s="245" t="s">
        <v>2554</v>
      </c>
    </row>
    <row r="97" spans="1:29" s="250" customFormat="1">
      <c r="A97" s="244">
        <v>94</v>
      </c>
      <c r="B97" s="245" t="s">
        <v>958</v>
      </c>
      <c r="C97" s="246" t="s">
        <v>959</v>
      </c>
      <c r="D97" s="246" t="s">
        <v>955</v>
      </c>
      <c r="E97" s="246" t="s">
        <v>960</v>
      </c>
      <c r="F97" s="246" t="s">
        <v>1044</v>
      </c>
      <c r="G97" s="246" t="s">
        <v>951</v>
      </c>
      <c r="H97" s="246" t="s">
        <v>952</v>
      </c>
      <c r="I97" s="18">
        <v>5643000</v>
      </c>
      <c r="J97" s="248">
        <v>44266</v>
      </c>
      <c r="K97" s="247" t="s">
        <v>411</v>
      </c>
      <c r="L97" s="248">
        <v>44298</v>
      </c>
      <c r="M97" s="248">
        <v>44299</v>
      </c>
      <c r="N97" s="246"/>
      <c r="O97" s="246" t="s">
        <v>961</v>
      </c>
      <c r="P97" s="246"/>
      <c r="Q97" s="246"/>
      <c r="R97" s="246"/>
      <c r="S97" s="246"/>
      <c r="T97" s="246"/>
      <c r="U97" s="246"/>
      <c r="V97" s="246"/>
      <c r="W97" s="246"/>
      <c r="X97" s="251" t="s">
        <v>2471</v>
      </c>
      <c r="Y97" s="251"/>
      <c r="Z97" s="246" t="s">
        <v>2600</v>
      </c>
      <c r="AA97" s="246" t="s">
        <v>2601</v>
      </c>
      <c r="AB97" s="245" t="s">
        <v>2474</v>
      </c>
    </row>
    <row r="98" spans="1:29" s="250" customFormat="1">
      <c r="A98" s="244">
        <v>95</v>
      </c>
      <c r="B98" s="245" t="s">
        <v>962</v>
      </c>
      <c r="C98" s="246"/>
      <c r="D98" s="246" t="s">
        <v>414</v>
      </c>
      <c r="E98" s="246" t="s">
        <v>963</v>
      </c>
      <c r="F98" s="246" t="s">
        <v>405</v>
      </c>
      <c r="G98" s="246" t="s">
        <v>951</v>
      </c>
      <c r="H98" s="246" t="s">
        <v>952</v>
      </c>
      <c r="I98" s="18">
        <v>1705000</v>
      </c>
      <c r="J98" s="248">
        <v>44285</v>
      </c>
      <c r="K98" s="247" t="s">
        <v>1024</v>
      </c>
      <c r="L98" s="248">
        <v>44286</v>
      </c>
      <c r="M98" s="248">
        <v>44291</v>
      </c>
      <c r="N98" s="246"/>
      <c r="O98" s="246" t="s">
        <v>964</v>
      </c>
      <c r="P98" s="246"/>
      <c r="Q98" s="246"/>
      <c r="R98" s="246"/>
      <c r="S98" s="246"/>
      <c r="T98" s="246"/>
      <c r="U98" s="246"/>
      <c r="V98" s="246"/>
      <c r="W98" s="246"/>
      <c r="X98" s="253" t="s">
        <v>2634</v>
      </c>
      <c r="Y98" s="244"/>
      <c r="Z98" s="244" t="s">
        <v>1278</v>
      </c>
      <c r="AA98" s="246"/>
      <c r="AB98" s="245"/>
    </row>
    <row r="99" spans="1:29" s="250" customFormat="1">
      <c r="A99" s="244">
        <v>96</v>
      </c>
      <c r="B99" s="245" t="s">
        <v>965</v>
      </c>
      <c r="C99" s="246" t="s">
        <v>966</v>
      </c>
      <c r="D99" s="246" t="s">
        <v>955</v>
      </c>
      <c r="E99" s="246" t="s">
        <v>967</v>
      </c>
      <c r="F99" s="246" t="s">
        <v>405</v>
      </c>
      <c r="G99" s="246" t="s">
        <v>951</v>
      </c>
      <c r="H99" s="246" t="s">
        <v>952</v>
      </c>
      <c r="I99" s="18">
        <v>11000000</v>
      </c>
      <c r="J99" s="248">
        <v>44285</v>
      </c>
      <c r="K99" s="247" t="s">
        <v>411</v>
      </c>
      <c r="L99" s="248">
        <v>44300</v>
      </c>
      <c r="M99" s="248">
        <v>44302</v>
      </c>
      <c r="N99" s="246"/>
      <c r="O99" s="246" t="s">
        <v>961</v>
      </c>
      <c r="P99" s="246"/>
      <c r="Q99" s="246"/>
      <c r="R99" s="246"/>
      <c r="S99" s="246"/>
      <c r="T99" s="246"/>
      <c r="U99" s="246"/>
      <c r="V99" s="246"/>
      <c r="W99" s="246"/>
      <c r="X99" s="244" t="s">
        <v>2496</v>
      </c>
      <c r="Y99" s="244"/>
      <c r="Z99" s="244" t="s">
        <v>2599</v>
      </c>
      <c r="AA99" s="246"/>
      <c r="AB99" s="245" t="s">
        <v>2474</v>
      </c>
    </row>
    <row r="100" spans="1:29" s="250" customFormat="1">
      <c r="A100" s="244">
        <v>97</v>
      </c>
      <c r="B100" s="245" t="s">
        <v>968</v>
      </c>
      <c r="C100" s="246" t="s">
        <v>969</v>
      </c>
      <c r="D100" s="246" t="s">
        <v>979</v>
      </c>
      <c r="E100" s="246" t="s">
        <v>970</v>
      </c>
      <c r="F100" s="246" t="s">
        <v>405</v>
      </c>
      <c r="G100" s="246" t="s">
        <v>951</v>
      </c>
      <c r="H100" s="246" t="s">
        <v>977</v>
      </c>
      <c r="I100" s="26" t="s">
        <v>983</v>
      </c>
      <c r="J100" s="248">
        <v>44281</v>
      </c>
      <c r="K100" s="248">
        <v>44545</v>
      </c>
      <c r="L100" s="247" t="s">
        <v>411</v>
      </c>
      <c r="M100" s="247" t="s">
        <v>411</v>
      </c>
      <c r="N100" s="246"/>
      <c r="O100" s="246" t="s">
        <v>961</v>
      </c>
      <c r="P100" s="246"/>
      <c r="Q100" s="246"/>
      <c r="R100" s="246"/>
      <c r="S100" s="246"/>
      <c r="T100" s="246"/>
      <c r="U100" s="246"/>
      <c r="V100" s="246"/>
      <c r="W100" s="246"/>
      <c r="X100" s="244" t="s">
        <v>1377</v>
      </c>
      <c r="Y100" s="244"/>
      <c r="Z100" s="246" t="s">
        <v>1789</v>
      </c>
      <c r="AA100" s="246"/>
      <c r="AB100" s="245"/>
    </row>
    <row r="101" spans="1:29" s="250" customFormat="1">
      <c r="A101" s="244">
        <v>98</v>
      </c>
      <c r="B101" s="245" t="s">
        <v>971</v>
      </c>
      <c r="C101" s="246" t="s">
        <v>976</v>
      </c>
      <c r="D101" s="246" t="s">
        <v>955</v>
      </c>
      <c r="E101" s="246" t="s">
        <v>972</v>
      </c>
      <c r="F101" s="246" t="s">
        <v>973</v>
      </c>
      <c r="G101" s="246" t="s">
        <v>980</v>
      </c>
      <c r="H101" s="246" t="s">
        <v>952</v>
      </c>
      <c r="I101" s="18">
        <v>309750000</v>
      </c>
      <c r="J101" s="248">
        <v>44286</v>
      </c>
      <c r="K101" s="265">
        <v>44541</v>
      </c>
      <c r="L101" s="246" t="s">
        <v>2374</v>
      </c>
      <c r="M101" s="246" t="s">
        <v>2396</v>
      </c>
      <c r="N101" s="246"/>
      <c r="O101" s="246" t="s">
        <v>1025</v>
      </c>
      <c r="P101" s="246"/>
      <c r="Q101" s="246"/>
      <c r="R101" s="246"/>
      <c r="S101" s="246"/>
      <c r="T101" s="246"/>
      <c r="U101" s="246"/>
      <c r="V101" s="246"/>
      <c r="W101" s="246"/>
      <c r="X101" s="244" t="s">
        <v>2687</v>
      </c>
      <c r="Y101" s="244"/>
      <c r="Z101" s="244" t="s">
        <v>2682</v>
      </c>
      <c r="AA101" s="258" t="s">
        <v>2822</v>
      </c>
      <c r="AB101" s="245"/>
    </row>
    <row r="102" spans="1:29" s="250" customFormat="1">
      <c r="A102" s="244">
        <v>99</v>
      </c>
      <c r="B102" s="245" t="s">
        <v>946</v>
      </c>
      <c r="C102" s="246" t="s">
        <v>947</v>
      </c>
      <c r="D102" s="246" t="s">
        <v>948</v>
      </c>
      <c r="E102" s="246" t="s">
        <v>949</v>
      </c>
      <c r="F102" s="246" t="s">
        <v>950</v>
      </c>
      <c r="G102" s="246" t="s">
        <v>951</v>
      </c>
      <c r="H102" s="246" t="s">
        <v>952</v>
      </c>
      <c r="I102" s="18">
        <v>58740000</v>
      </c>
      <c r="J102" s="248">
        <v>44286</v>
      </c>
      <c r="K102" s="248">
        <v>44398</v>
      </c>
      <c r="L102" s="248">
        <v>44531</v>
      </c>
      <c r="M102" s="261"/>
      <c r="N102" s="246"/>
      <c r="O102" s="246" t="s">
        <v>953</v>
      </c>
      <c r="P102" s="246"/>
      <c r="Q102" s="246"/>
      <c r="R102" s="246"/>
      <c r="S102" s="246"/>
      <c r="T102" s="246"/>
      <c r="U102" s="246"/>
      <c r="V102" s="246"/>
      <c r="W102" s="246"/>
      <c r="X102" s="254" t="s">
        <v>2688</v>
      </c>
      <c r="Y102" s="244"/>
      <c r="Z102" s="244" t="s">
        <v>1278</v>
      </c>
      <c r="AA102" s="246"/>
      <c r="AB102" s="245"/>
    </row>
    <row r="103" spans="1:29" s="250" customFormat="1">
      <c r="A103" s="244">
        <v>100</v>
      </c>
      <c r="B103" s="245" t="s">
        <v>984</v>
      </c>
      <c r="C103" s="246" t="s">
        <v>985</v>
      </c>
      <c r="D103" s="246" t="s">
        <v>986</v>
      </c>
      <c r="E103" s="246" t="s">
        <v>987</v>
      </c>
      <c r="F103" s="246" t="s">
        <v>405</v>
      </c>
      <c r="G103" s="246" t="s">
        <v>411</v>
      </c>
      <c r="H103" s="246" t="s">
        <v>406</v>
      </c>
      <c r="I103" s="18">
        <v>24200000</v>
      </c>
      <c r="J103" s="248">
        <v>44281</v>
      </c>
      <c r="K103" s="248">
        <f>J103+70</f>
        <v>44351</v>
      </c>
      <c r="L103" s="248">
        <v>44336</v>
      </c>
      <c r="M103" s="248">
        <v>44341</v>
      </c>
      <c r="N103" s="246"/>
      <c r="O103" s="246" t="s">
        <v>1179</v>
      </c>
      <c r="P103" s="246"/>
      <c r="Q103" s="246"/>
      <c r="R103" s="246"/>
      <c r="S103" s="246"/>
      <c r="T103" s="246"/>
      <c r="U103" s="246"/>
      <c r="V103" s="246"/>
      <c r="W103" s="246"/>
      <c r="X103" s="244" t="s">
        <v>1313</v>
      </c>
      <c r="Y103" s="244"/>
      <c r="Z103" s="244" t="s">
        <v>1278</v>
      </c>
      <c r="AA103" s="246"/>
      <c r="AB103" s="245"/>
    </row>
    <row r="104" spans="1:29" s="250" customFormat="1">
      <c r="A104" s="244">
        <v>101</v>
      </c>
      <c r="B104" s="245" t="s">
        <v>984</v>
      </c>
      <c r="C104" s="246" t="s">
        <v>985</v>
      </c>
      <c r="D104" s="246" t="s">
        <v>988</v>
      </c>
      <c r="E104" s="246" t="s">
        <v>989</v>
      </c>
      <c r="F104" s="246" t="s">
        <v>405</v>
      </c>
      <c r="G104" s="246" t="s">
        <v>411</v>
      </c>
      <c r="H104" s="246" t="s">
        <v>406</v>
      </c>
      <c r="I104" s="18">
        <v>22000000</v>
      </c>
      <c r="J104" s="248">
        <v>44286</v>
      </c>
      <c r="K104" s="248">
        <f>J104+70</f>
        <v>44356</v>
      </c>
      <c r="L104" s="248">
        <v>44329</v>
      </c>
      <c r="M104" s="248">
        <v>44342</v>
      </c>
      <c r="N104" s="246"/>
      <c r="O104" s="246" t="s">
        <v>742</v>
      </c>
      <c r="P104" s="246"/>
      <c r="Q104" s="246"/>
      <c r="R104" s="246"/>
      <c r="S104" s="246"/>
      <c r="T104" s="246"/>
      <c r="U104" s="246"/>
      <c r="V104" s="246"/>
      <c r="W104" s="246"/>
      <c r="X104" s="244" t="s">
        <v>1339</v>
      </c>
      <c r="Y104" s="244"/>
      <c r="Z104" s="244" t="s">
        <v>1278</v>
      </c>
      <c r="AA104" s="246"/>
      <c r="AB104" s="245"/>
    </row>
    <row r="105" spans="1:29" s="250" customFormat="1">
      <c r="A105" s="244">
        <v>102</v>
      </c>
      <c r="B105" s="245" t="s">
        <v>1011</v>
      </c>
      <c r="C105" s="246" t="s">
        <v>1012</v>
      </c>
      <c r="D105" s="246" t="s">
        <v>948</v>
      </c>
      <c r="E105" s="246" t="s">
        <v>1013</v>
      </c>
      <c r="F105" s="246" t="s">
        <v>405</v>
      </c>
      <c r="G105" s="246" t="s">
        <v>1004</v>
      </c>
      <c r="H105" s="246" t="s">
        <v>406</v>
      </c>
      <c r="I105" s="18">
        <v>38500000</v>
      </c>
      <c r="J105" s="248">
        <v>44288</v>
      </c>
      <c r="K105" s="248">
        <v>44400</v>
      </c>
      <c r="L105" s="248" t="s">
        <v>1573</v>
      </c>
      <c r="M105" s="248" t="s">
        <v>1620</v>
      </c>
      <c r="N105" s="246"/>
      <c r="O105" s="246" t="s">
        <v>1014</v>
      </c>
      <c r="P105" s="246"/>
      <c r="Q105" s="246"/>
      <c r="R105" s="246"/>
      <c r="S105" s="246"/>
      <c r="T105" s="246"/>
      <c r="U105" s="246"/>
      <c r="V105" s="246"/>
      <c r="W105" s="246"/>
      <c r="X105" s="254" t="s">
        <v>2642</v>
      </c>
      <c r="Y105" s="244"/>
      <c r="Z105" s="244" t="s">
        <v>1278</v>
      </c>
      <c r="AA105" s="246"/>
      <c r="AB105" s="245"/>
    </row>
    <row r="106" spans="1:29" s="250" customFormat="1">
      <c r="A106" s="244">
        <v>103</v>
      </c>
      <c r="B106" s="245" t="s">
        <v>1003</v>
      </c>
      <c r="C106" s="246" t="s">
        <v>1004</v>
      </c>
      <c r="D106" s="246" t="s">
        <v>1010</v>
      </c>
      <c r="E106" s="246" t="s">
        <v>1006</v>
      </c>
      <c r="F106" s="246" t="s">
        <v>1007</v>
      </c>
      <c r="G106" s="246" t="s">
        <v>1004</v>
      </c>
      <c r="H106" s="246" t="s">
        <v>406</v>
      </c>
      <c r="I106" s="18">
        <v>49720000</v>
      </c>
      <c r="J106" s="248">
        <v>44293</v>
      </c>
      <c r="K106" s="248">
        <v>44316</v>
      </c>
      <c r="L106" s="248">
        <v>44316</v>
      </c>
      <c r="M106" s="248">
        <v>44319</v>
      </c>
      <c r="N106" s="246"/>
      <c r="O106" s="246" t="s">
        <v>1008</v>
      </c>
      <c r="P106" s="246"/>
      <c r="Q106" s="246"/>
      <c r="R106" s="246"/>
      <c r="S106" s="246"/>
      <c r="T106" s="246"/>
      <c r="U106" s="246"/>
      <c r="V106" s="246"/>
      <c r="W106" s="246"/>
      <c r="X106" s="258" t="s">
        <v>2689</v>
      </c>
      <c r="Y106" s="254" t="s">
        <v>2690</v>
      </c>
      <c r="Z106" s="244" t="s">
        <v>2576</v>
      </c>
      <c r="AA106" s="254" t="s">
        <v>2777</v>
      </c>
      <c r="AB106" s="258"/>
      <c r="AC106" s="266"/>
    </row>
    <row r="107" spans="1:29" s="250" customFormat="1">
      <c r="A107" s="244">
        <v>104</v>
      </c>
      <c r="B107" s="245" t="s">
        <v>999</v>
      </c>
      <c r="C107" s="246" t="s">
        <v>1000</v>
      </c>
      <c r="D107" s="246" t="s">
        <v>409</v>
      </c>
      <c r="E107" s="246" t="s">
        <v>1001</v>
      </c>
      <c r="F107" s="246" t="s">
        <v>1045</v>
      </c>
      <c r="G107" s="246" t="s">
        <v>411</v>
      </c>
      <c r="H107" s="246" t="s">
        <v>406</v>
      </c>
      <c r="I107" s="18">
        <v>9669000</v>
      </c>
      <c r="J107" s="248">
        <v>44288</v>
      </c>
      <c r="K107" s="248">
        <v>44316</v>
      </c>
      <c r="L107" s="248">
        <v>44307</v>
      </c>
      <c r="M107" s="248">
        <v>44323</v>
      </c>
      <c r="N107" s="246"/>
      <c r="O107" s="246" t="s">
        <v>1002</v>
      </c>
      <c r="P107" s="246"/>
      <c r="Q107" s="246"/>
      <c r="R107" s="246"/>
      <c r="S107" s="246"/>
      <c r="T107" s="246"/>
      <c r="U107" s="246"/>
      <c r="V107" s="246"/>
      <c r="W107" s="246"/>
      <c r="X107" s="251" t="s">
        <v>2520</v>
      </c>
      <c r="Y107" s="251"/>
      <c r="Z107" s="246" t="s">
        <v>1277</v>
      </c>
      <c r="AA107" s="246" t="s">
        <v>2595</v>
      </c>
      <c r="AB107" s="245" t="s">
        <v>2476</v>
      </c>
    </row>
    <row r="108" spans="1:29" s="250" customFormat="1">
      <c r="A108" s="244">
        <v>105</v>
      </c>
      <c r="B108" s="245" t="s">
        <v>2666</v>
      </c>
      <c r="C108" s="246" t="s">
        <v>1017</v>
      </c>
      <c r="D108" s="246" t="s">
        <v>1010</v>
      </c>
      <c r="E108" s="246" t="s">
        <v>1018</v>
      </c>
      <c r="F108" s="246" t="s">
        <v>405</v>
      </c>
      <c r="G108" s="246" t="s">
        <v>1004</v>
      </c>
      <c r="H108" s="246" t="s">
        <v>406</v>
      </c>
      <c r="I108" s="18">
        <v>8800000</v>
      </c>
      <c r="J108" s="248">
        <v>44291</v>
      </c>
      <c r="K108" s="248">
        <v>44326</v>
      </c>
      <c r="L108" s="248">
        <v>44291</v>
      </c>
      <c r="M108" s="248">
        <v>44291</v>
      </c>
      <c r="N108" s="246"/>
      <c r="O108" s="246" t="s">
        <v>1026</v>
      </c>
      <c r="P108" s="246"/>
      <c r="Q108" s="246"/>
      <c r="R108" s="246"/>
      <c r="S108" s="246"/>
      <c r="T108" s="246"/>
      <c r="U108" s="246"/>
      <c r="V108" s="246"/>
      <c r="W108" s="246"/>
      <c r="X108" s="267" t="s">
        <v>2525</v>
      </c>
      <c r="Y108" s="244"/>
      <c r="Z108" s="258" t="s">
        <v>2670</v>
      </c>
      <c r="AA108" s="246"/>
      <c r="AB108" s="245" t="s">
        <v>2526</v>
      </c>
    </row>
    <row r="109" spans="1:29" s="250" customFormat="1">
      <c r="A109" s="244">
        <v>106</v>
      </c>
      <c r="B109" s="245" t="s">
        <v>769</v>
      </c>
      <c r="C109" s="246" t="s">
        <v>1019</v>
      </c>
      <c r="D109" s="246" t="s">
        <v>1020</v>
      </c>
      <c r="E109" s="246" t="s">
        <v>1016</v>
      </c>
      <c r="F109" s="246" t="s">
        <v>1021</v>
      </c>
      <c r="G109" s="246" t="s">
        <v>1004</v>
      </c>
      <c r="H109" s="246" t="s">
        <v>1022</v>
      </c>
      <c r="I109" s="18">
        <v>2475900</v>
      </c>
      <c r="J109" s="248">
        <v>44286</v>
      </c>
      <c r="K109" s="247" t="s">
        <v>1024</v>
      </c>
      <c r="L109" s="248">
        <v>44288</v>
      </c>
      <c r="M109" s="248">
        <v>44294</v>
      </c>
      <c r="N109" s="246"/>
      <c r="O109" s="246" t="s">
        <v>1023</v>
      </c>
      <c r="P109" s="246"/>
      <c r="Q109" s="246"/>
      <c r="R109" s="246"/>
      <c r="S109" s="246"/>
      <c r="T109" s="246"/>
      <c r="U109" s="246"/>
      <c r="V109" s="246"/>
      <c r="W109" s="246"/>
      <c r="X109" s="244" t="s">
        <v>2118</v>
      </c>
      <c r="Y109" s="244"/>
      <c r="Z109" s="246" t="s">
        <v>2119</v>
      </c>
      <c r="AA109" s="246"/>
      <c r="AB109" s="245"/>
    </row>
    <row r="110" spans="1:29" s="250" customFormat="1">
      <c r="A110" s="244">
        <v>107</v>
      </c>
      <c r="B110" s="268" t="s">
        <v>997</v>
      </c>
      <c r="C110" s="246" t="s">
        <v>998</v>
      </c>
      <c r="D110" s="246" t="s">
        <v>992</v>
      </c>
      <c r="E110" s="246" t="s">
        <v>991</v>
      </c>
      <c r="F110" s="246" t="s">
        <v>995</v>
      </c>
      <c r="G110" s="246" t="s">
        <v>994</v>
      </c>
      <c r="H110" s="246" t="s">
        <v>993</v>
      </c>
      <c r="I110" s="18">
        <v>18700000</v>
      </c>
      <c r="J110" s="248">
        <v>44292</v>
      </c>
      <c r="K110" s="248">
        <v>44408</v>
      </c>
      <c r="L110" s="248">
        <v>44383</v>
      </c>
      <c r="M110" s="248">
        <v>44384</v>
      </c>
      <c r="N110" s="246"/>
      <c r="O110" s="246" t="s">
        <v>996</v>
      </c>
      <c r="P110" s="246"/>
      <c r="Q110" s="246"/>
      <c r="R110" s="246"/>
      <c r="S110" s="246"/>
      <c r="T110" s="246"/>
      <c r="U110" s="246"/>
      <c r="V110" s="246"/>
      <c r="W110" s="246"/>
      <c r="X110" s="253" t="s">
        <v>2691</v>
      </c>
      <c r="Y110" s="244"/>
      <c r="Z110" s="244" t="s">
        <v>1278</v>
      </c>
      <c r="AA110" s="246"/>
      <c r="AB110" s="245"/>
      <c r="AC110" s="246"/>
    </row>
    <row r="111" spans="1:29" s="250" customFormat="1" ht="17.25" thickBot="1">
      <c r="A111" s="244">
        <v>108</v>
      </c>
      <c r="B111" s="245" t="s">
        <v>407</v>
      </c>
      <c r="C111" s="246" t="s">
        <v>1005</v>
      </c>
      <c r="D111" s="246" t="s">
        <v>877</v>
      </c>
      <c r="E111" s="246" t="s">
        <v>1015</v>
      </c>
      <c r="F111" s="246" t="s">
        <v>405</v>
      </c>
      <c r="G111" s="247" t="s">
        <v>2460</v>
      </c>
      <c r="H111" s="246" t="s">
        <v>406</v>
      </c>
      <c r="I111" s="18">
        <v>68926000</v>
      </c>
      <c r="J111" s="248">
        <v>44292</v>
      </c>
      <c r="K111" s="248">
        <v>44471</v>
      </c>
      <c r="L111" s="248">
        <v>44446</v>
      </c>
      <c r="M111" s="248">
        <v>44449</v>
      </c>
      <c r="N111" s="246"/>
      <c r="O111" s="246" t="s">
        <v>546</v>
      </c>
      <c r="P111" s="246"/>
      <c r="Q111" s="246"/>
      <c r="R111" s="246"/>
      <c r="S111" s="246"/>
      <c r="T111" s="246"/>
      <c r="U111" s="246"/>
      <c r="V111" s="246"/>
      <c r="W111" s="246"/>
      <c r="X111" s="253" t="s">
        <v>2692</v>
      </c>
      <c r="Y111" s="244"/>
      <c r="Z111" s="244" t="s">
        <v>2598</v>
      </c>
      <c r="AA111" s="255"/>
      <c r="AB111" s="245" t="s">
        <v>2296</v>
      </c>
      <c r="AC111" s="246"/>
    </row>
    <row r="112" spans="1:29" s="250" customFormat="1" ht="17.25" thickBot="1">
      <c r="A112" s="244">
        <v>109</v>
      </c>
      <c r="B112" s="245" t="s">
        <v>1028</v>
      </c>
      <c r="C112" s="246" t="s">
        <v>1029</v>
      </c>
      <c r="D112" s="246" t="s">
        <v>1031</v>
      </c>
      <c r="E112" s="246" t="s">
        <v>1030</v>
      </c>
      <c r="F112" s="246" t="s">
        <v>1032</v>
      </c>
      <c r="G112" s="246" t="s">
        <v>1004</v>
      </c>
      <c r="H112" s="246" t="s">
        <v>1022</v>
      </c>
      <c r="I112" s="18">
        <v>13860000</v>
      </c>
      <c r="J112" s="248">
        <v>44292</v>
      </c>
      <c r="K112" s="248">
        <v>44400</v>
      </c>
      <c r="L112" s="248">
        <v>44400</v>
      </c>
      <c r="M112" s="248">
        <v>44400</v>
      </c>
      <c r="N112" s="246"/>
      <c r="O112" s="269" t="s">
        <v>1009</v>
      </c>
      <c r="P112" s="269"/>
      <c r="Q112" s="269"/>
      <c r="R112" s="269"/>
      <c r="S112" s="269"/>
      <c r="T112" s="269"/>
      <c r="U112" s="269"/>
      <c r="V112" s="269"/>
      <c r="W112" s="269"/>
      <c r="X112" s="270" t="s">
        <v>2693</v>
      </c>
      <c r="Y112" s="270" t="s">
        <v>2694</v>
      </c>
      <c r="Z112" s="271" t="s">
        <v>1278</v>
      </c>
      <c r="AA112" s="272" t="s">
        <v>2782</v>
      </c>
      <c r="AB112" s="245"/>
      <c r="AC112" s="246"/>
    </row>
    <row r="113" spans="1:29" s="250" customFormat="1" ht="17.25" thickBot="1">
      <c r="A113" s="244">
        <v>110</v>
      </c>
      <c r="B113" s="245" t="s">
        <v>1033</v>
      </c>
      <c r="C113" s="246" t="s">
        <v>1034</v>
      </c>
      <c r="D113" s="246" t="s">
        <v>1035</v>
      </c>
      <c r="E113" s="246" t="s">
        <v>1579</v>
      </c>
      <c r="F113" s="246" t="s">
        <v>1036</v>
      </c>
      <c r="G113" s="246" t="s">
        <v>1037</v>
      </c>
      <c r="H113" s="246" t="s">
        <v>1038</v>
      </c>
      <c r="I113" s="18">
        <v>15675000</v>
      </c>
      <c r="J113" s="248">
        <v>44293</v>
      </c>
      <c r="K113" s="248">
        <v>44386</v>
      </c>
      <c r="L113" s="248">
        <v>44390</v>
      </c>
      <c r="M113" s="248">
        <v>44390</v>
      </c>
      <c r="N113" s="246"/>
      <c r="O113" s="269" t="s">
        <v>1039</v>
      </c>
      <c r="P113" s="269"/>
      <c r="Q113" s="269"/>
      <c r="R113" s="269"/>
      <c r="S113" s="269"/>
      <c r="T113" s="269"/>
      <c r="U113" s="269"/>
      <c r="V113" s="269"/>
      <c r="W113" s="269"/>
      <c r="X113" s="270" t="s">
        <v>2695</v>
      </c>
      <c r="Y113" s="273"/>
      <c r="Z113" s="271" t="s">
        <v>1278</v>
      </c>
      <c r="AA113" s="269"/>
      <c r="AB113" s="245"/>
      <c r="AC113" s="246"/>
    </row>
    <row r="114" spans="1:29" s="250" customFormat="1" ht="17.25" thickBot="1">
      <c r="A114" s="244">
        <v>111</v>
      </c>
      <c r="B114" s="245" t="s">
        <v>518</v>
      </c>
      <c r="C114" s="246" t="s">
        <v>1040</v>
      </c>
      <c r="D114" s="246" t="s">
        <v>1041</v>
      </c>
      <c r="E114" s="246" t="s">
        <v>1043</v>
      </c>
      <c r="F114" s="246" t="s">
        <v>405</v>
      </c>
      <c r="G114" s="246" t="s">
        <v>526</v>
      </c>
      <c r="H114" s="246" t="s">
        <v>406</v>
      </c>
      <c r="I114" s="18">
        <v>4510000</v>
      </c>
      <c r="J114" s="248">
        <v>44293</v>
      </c>
      <c r="K114" s="248">
        <v>44352</v>
      </c>
      <c r="L114" s="248">
        <v>44348</v>
      </c>
      <c r="M114" s="248">
        <v>44348</v>
      </c>
      <c r="N114" s="246"/>
      <c r="O114" s="269" t="s">
        <v>1042</v>
      </c>
      <c r="P114" s="269"/>
      <c r="Q114" s="269"/>
      <c r="R114" s="269"/>
      <c r="S114" s="269"/>
      <c r="T114" s="269"/>
      <c r="U114" s="269"/>
      <c r="V114" s="269"/>
      <c r="W114" s="269"/>
      <c r="X114" s="270" t="s">
        <v>2559</v>
      </c>
      <c r="Y114" s="270"/>
      <c r="Z114" s="271" t="s">
        <v>2576</v>
      </c>
      <c r="AA114" s="272"/>
      <c r="AB114" s="274" t="s">
        <v>2597</v>
      </c>
    </row>
    <row r="115" spans="1:29" s="250" customFormat="1" ht="17.25" thickBot="1">
      <c r="A115" s="244">
        <v>112</v>
      </c>
      <c r="B115" s="245" t="s">
        <v>738</v>
      </c>
      <c r="C115" s="246" t="s">
        <v>1050</v>
      </c>
      <c r="D115" s="246" t="s">
        <v>1051</v>
      </c>
      <c r="E115" s="246" t="s">
        <v>1052</v>
      </c>
      <c r="F115" s="246" t="s">
        <v>1053</v>
      </c>
      <c r="G115" s="246" t="s">
        <v>1054</v>
      </c>
      <c r="H115" s="246" t="s">
        <v>1055</v>
      </c>
      <c r="I115" s="18">
        <v>4180000</v>
      </c>
      <c r="J115" s="248">
        <v>44257</v>
      </c>
      <c r="K115" s="246" t="s">
        <v>1054</v>
      </c>
      <c r="L115" s="248">
        <v>44294</v>
      </c>
      <c r="M115" s="248">
        <v>44299</v>
      </c>
      <c r="N115" s="246"/>
      <c r="O115" s="269" t="s">
        <v>1056</v>
      </c>
      <c r="P115" s="269"/>
      <c r="Q115" s="269"/>
      <c r="R115" s="269"/>
      <c r="S115" s="269"/>
      <c r="T115" s="269"/>
      <c r="U115" s="269"/>
      <c r="V115" s="269"/>
      <c r="W115" s="269"/>
      <c r="X115" s="273" t="s">
        <v>2696</v>
      </c>
      <c r="Y115" s="273" t="s">
        <v>2697</v>
      </c>
      <c r="Z115" s="271" t="s">
        <v>2698</v>
      </c>
      <c r="AA115" s="269"/>
      <c r="AB115" s="254" t="s">
        <v>2477</v>
      </c>
    </row>
    <row r="116" spans="1:29" s="250" customFormat="1" ht="17.25" thickBot="1">
      <c r="A116" s="244">
        <v>113</v>
      </c>
      <c r="B116" s="245" t="s">
        <v>1046</v>
      </c>
      <c r="C116" s="246" t="s">
        <v>1049</v>
      </c>
      <c r="D116" s="246" t="s">
        <v>1048</v>
      </c>
      <c r="E116" s="246" t="s">
        <v>1047</v>
      </c>
      <c r="F116" s="246" t="s">
        <v>405</v>
      </c>
      <c r="G116" s="246" t="s">
        <v>526</v>
      </c>
      <c r="H116" s="246" t="s">
        <v>406</v>
      </c>
      <c r="I116" s="18">
        <v>6600000</v>
      </c>
      <c r="J116" s="248">
        <v>44294</v>
      </c>
      <c r="K116" s="248">
        <v>44315</v>
      </c>
      <c r="L116" s="248">
        <v>44294</v>
      </c>
      <c r="M116" s="248">
        <v>44293</v>
      </c>
      <c r="N116" s="246"/>
      <c r="O116" s="269" t="s">
        <v>1042</v>
      </c>
      <c r="P116" s="269"/>
      <c r="Q116" s="269"/>
      <c r="R116" s="269"/>
      <c r="S116" s="269"/>
      <c r="T116" s="269"/>
      <c r="U116" s="269"/>
      <c r="V116" s="269"/>
      <c r="W116" s="269"/>
      <c r="X116" s="273" t="s">
        <v>1314</v>
      </c>
      <c r="Y116" s="270" t="s">
        <v>2615</v>
      </c>
      <c r="Z116" s="271" t="s">
        <v>1278</v>
      </c>
      <c r="AA116" s="269"/>
      <c r="AB116" s="245"/>
    </row>
    <row r="117" spans="1:29" s="250" customFormat="1" ht="17.25" thickBot="1">
      <c r="A117" s="244">
        <v>114</v>
      </c>
      <c r="B117" s="245" t="s">
        <v>664</v>
      </c>
      <c r="C117" s="246" t="s">
        <v>1057</v>
      </c>
      <c r="D117" s="246" t="s">
        <v>1058</v>
      </c>
      <c r="E117" s="246" t="s">
        <v>1059</v>
      </c>
      <c r="F117" s="246" t="s">
        <v>1053</v>
      </c>
      <c r="G117" s="246" t="s">
        <v>1054</v>
      </c>
      <c r="H117" s="246" t="s">
        <v>1055</v>
      </c>
      <c r="I117" s="18">
        <v>14080000</v>
      </c>
      <c r="J117" s="248">
        <v>44294</v>
      </c>
      <c r="K117" s="248">
        <v>44414</v>
      </c>
      <c r="L117" s="248">
        <v>44386</v>
      </c>
      <c r="M117" s="248">
        <v>44389</v>
      </c>
      <c r="N117" s="246"/>
      <c r="O117" s="269" t="s">
        <v>1060</v>
      </c>
      <c r="P117" s="269"/>
      <c r="Q117" s="269"/>
      <c r="R117" s="269"/>
      <c r="S117" s="269"/>
      <c r="T117" s="269"/>
      <c r="U117" s="269"/>
      <c r="V117" s="269"/>
      <c r="W117" s="269"/>
      <c r="X117" s="270" t="s">
        <v>1529</v>
      </c>
      <c r="Y117" s="271"/>
      <c r="Z117" s="271" t="s">
        <v>1278</v>
      </c>
      <c r="AA117" s="269"/>
      <c r="AB117" s="245"/>
      <c r="AC117" s="246"/>
    </row>
    <row r="118" spans="1:29" s="279" customFormat="1">
      <c r="A118" s="257">
        <v>115</v>
      </c>
      <c r="B118" s="275" t="s">
        <v>1064</v>
      </c>
      <c r="C118" s="276" t="s">
        <v>1065</v>
      </c>
      <c r="D118" s="276" t="s">
        <v>1051</v>
      </c>
      <c r="E118" s="276" t="s">
        <v>1066</v>
      </c>
      <c r="F118" s="276" t="s">
        <v>1067</v>
      </c>
      <c r="G118" s="276" t="s">
        <v>411</v>
      </c>
      <c r="H118" s="276" t="s">
        <v>406</v>
      </c>
      <c r="I118" s="277">
        <v>3960000</v>
      </c>
      <c r="J118" s="278">
        <v>44295</v>
      </c>
      <c r="K118" s="278">
        <v>44377</v>
      </c>
      <c r="L118" s="276" t="s">
        <v>1765</v>
      </c>
      <c r="M118" s="276" t="s">
        <v>1765</v>
      </c>
      <c r="N118" s="246"/>
      <c r="O118" s="276" t="s">
        <v>1123</v>
      </c>
      <c r="P118" s="246"/>
      <c r="Q118" s="246"/>
      <c r="R118" s="246"/>
      <c r="S118" s="246"/>
      <c r="T118" s="246"/>
      <c r="U118" s="246"/>
      <c r="V118" s="246"/>
      <c r="W118" s="246"/>
      <c r="X118" s="253" t="s">
        <v>1150</v>
      </c>
      <c r="Y118" s="253"/>
      <c r="Z118" s="246" t="s">
        <v>2596</v>
      </c>
      <c r="AA118" s="276"/>
      <c r="AB118" s="275"/>
      <c r="AC118" s="276"/>
    </row>
    <row r="119" spans="1:29" s="250" customFormat="1">
      <c r="A119" s="244">
        <v>116</v>
      </c>
      <c r="B119" s="245" t="s">
        <v>1068</v>
      </c>
      <c r="C119" s="246" t="s">
        <v>1069</v>
      </c>
      <c r="D119" s="246" t="s">
        <v>404</v>
      </c>
      <c r="E119" s="246" t="s">
        <v>1578</v>
      </c>
      <c r="F119" s="246" t="s">
        <v>1067</v>
      </c>
      <c r="G119" s="246" t="s">
        <v>411</v>
      </c>
      <c r="H119" s="246" t="s">
        <v>406</v>
      </c>
      <c r="I119" s="18">
        <v>31020000</v>
      </c>
      <c r="J119" s="248">
        <v>44295</v>
      </c>
      <c r="K119" s="248">
        <v>44424</v>
      </c>
      <c r="L119" s="246" t="s">
        <v>1556</v>
      </c>
      <c r="M119" s="246" t="s">
        <v>1576</v>
      </c>
      <c r="N119" s="246"/>
      <c r="O119" s="246" t="s">
        <v>742</v>
      </c>
      <c r="P119" s="246"/>
      <c r="Q119" s="246"/>
      <c r="R119" s="246"/>
      <c r="S119" s="246"/>
      <c r="T119" s="246"/>
      <c r="U119" s="246"/>
      <c r="V119" s="246"/>
      <c r="W119" s="246"/>
      <c r="X119" s="253" t="s">
        <v>1530</v>
      </c>
      <c r="Y119" s="244"/>
      <c r="Z119" s="244" t="s">
        <v>1278</v>
      </c>
      <c r="AA119" s="246"/>
      <c r="AB119" s="245"/>
    </row>
    <row r="120" spans="1:29" s="250" customFormat="1">
      <c r="A120" s="244">
        <v>117</v>
      </c>
      <c r="B120" s="245" t="s">
        <v>1072</v>
      </c>
      <c r="C120" s="246" t="s">
        <v>1073</v>
      </c>
      <c r="D120" s="246" t="s">
        <v>1074</v>
      </c>
      <c r="E120" s="246" t="s">
        <v>1075</v>
      </c>
      <c r="F120" s="246" t="s">
        <v>405</v>
      </c>
      <c r="G120" s="246" t="s">
        <v>1073</v>
      </c>
      <c r="H120" s="246" t="s">
        <v>406</v>
      </c>
      <c r="I120" s="18">
        <v>98003795</v>
      </c>
      <c r="J120" s="248">
        <v>44300</v>
      </c>
      <c r="K120" s="246" t="s">
        <v>1073</v>
      </c>
      <c r="L120" s="246" t="s">
        <v>1088</v>
      </c>
      <c r="M120" s="248">
        <v>44302</v>
      </c>
      <c r="N120" s="246"/>
      <c r="O120" s="246" t="s">
        <v>1121</v>
      </c>
      <c r="P120" s="246"/>
      <c r="Q120" s="246"/>
      <c r="R120" s="246"/>
      <c r="S120" s="246"/>
      <c r="T120" s="246"/>
      <c r="U120" s="246"/>
      <c r="V120" s="246"/>
      <c r="W120" s="246"/>
      <c r="X120" s="244"/>
      <c r="Y120" s="244"/>
      <c r="Z120" s="246"/>
      <c r="AA120" s="246"/>
      <c r="AB120" s="245" t="s">
        <v>2543</v>
      </c>
    </row>
    <row r="121" spans="1:29" s="250" customFormat="1">
      <c r="A121" s="244">
        <v>118</v>
      </c>
      <c r="B121" s="245" t="s">
        <v>1076</v>
      </c>
      <c r="C121" s="246" t="s">
        <v>1078</v>
      </c>
      <c r="D121" s="246" t="s">
        <v>1080</v>
      </c>
      <c r="E121" s="246" t="s">
        <v>1081</v>
      </c>
      <c r="F121" s="246" t="s">
        <v>2835</v>
      </c>
      <c r="G121" s="246" t="s">
        <v>1078</v>
      </c>
      <c r="H121" s="246" t="s">
        <v>406</v>
      </c>
      <c r="I121" s="18">
        <v>1140720000</v>
      </c>
      <c r="J121" s="248">
        <v>44302</v>
      </c>
      <c r="K121" s="248">
        <v>44540</v>
      </c>
      <c r="L121" s="246" t="s">
        <v>2454</v>
      </c>
      <c r="M121" s="246" t="s">
        <v>2455</v>
      </c>
      <c r="N121" s="246"/>
      <c r="O121" s="246" t="s">
        <v>1120</v>
      </c>
      <c r="P121" s="246"/>
      <c r="Q121" s="246"/>
      <c r="R121" s="246"/>
      <c r="S121" s="246"/>
      <c r="T121" s="246"/>
      <c r="U121" s="246"/>
      <c r="V121" s="246"/>
      <c r="W121" s="246"/>
      <c r="X121" s="244" t="s">
        <v>2338</v>
      </c>
      <c r="Y121" s="244"/>
      <c r="Z121" s="246"/>
      <c r="AA121" s="249" t="s">
        <v>2124</v>
      </c>
      <c r="AB121" s="245"/>
    </row>
    <row r="122" spans="1:29" s="250" customFormat="1">
      <c r="A122" s="244">
        <v>119</v>
      </c>
      <c r="B122" s="245" t="s">
        <v>1077</v>
      </c>
      <c r="C122" s="246" t="s">
        <v>1079</v>
      </c>
      <c r="D122" s="246" t="s">
        <v>928</v>
      </c>
      <c r="E122" s="246" t="s">
        <v>1083</v>
      </c>
      <c r="F122" s="246" t="s">
        <v>1082</v>
      </c>
      <c r="G122" s="246" t="s">
        <v>1078</v>
      </c>
      <c r="H122" s="246" t="s">
        <v>1084</v>
      </c>
      <c r="I122" s="26" t="s">
        <v>1085</v>
      </c>
      <c r="J122" s="248">
        <v>44301</v>
      </c>
      <c r="K122" s="248">
        <v>44531</v>
      </c>
      <c r="L122" s="247" t="s">
        <v>411</v>
      </c>
      <c r="M122" s="247" t="s">
        <v>411</v>
      </c>
      <c r="N122" s="246"/>
      <c r="O122" s="246" t="s">
        <v>1122</v>
      </c>
      <c r="P122" s="246"/>
      <c r="Q122" s="246"/>
      <c r="R122" s="246"/>
      <c r="S122" s="246"/>
      <c r="T122" s="246"/>
      <c r="U122" s="246"/>
      <c r="V122" s="246"/>
      <c r="W122" s="246"/>
      <c r="X122" s="244" t="s">
        <v>1377</v>
      </c>
      <c r="Y122" s="244"/>
      <c r="Z122" s="246" t="s">
        <v>1799</v>
      </c>
      <c r="AA122" s="246"/>
      <c r="AB122" s="245"/>
      <c r="AC122" s="246"/>
    </row>
    <row r="123" spans="1:29" s="250" customFormat="1">
      <c r="A123" s="244">
        <v>120</v>
      </c>
      <c r="B123" s="245" t="s">
        <v>1076</v>
      </c>
      <c r="C123" s="246" t="s">
        <v>1078</v>
      </c>
      <c r="D123" s="246" t="s">
        <v>1080</v>
      </c>
      <c r="E123" s="246" t="s">
        <v>1086</v>
      </c>
      <c r="F123" s="246" t="s">
        <v>405</v>
      </c>
      <c r="G123" s="247" t="s">
        <v>2460</v>
      </c>
      <c r="H123" s="246" t="s">
        <v>406</v>
      </c>
      <c r="I123" s="18">
        <v>763290000</v>
      </c>
      <c r="J123" s="248">
        <v>44312</v>
      </c>
      <c r="K123" s="248">
        <v>44540</v>
      </c>
      <c r="L123" s="248" t="s">
        <v>2459</v>
      </c>
      <c r="M123" s="248" t="s">
        <v>2423</v>
      </c>
      <c r="N123" s="246"/>
      <c r="O123" s="246" t="s">
        <v>1087</v>
      </c>
      <c r="P123" s="246"/>
      <c r="Q123" s="246"/>
      <c r="R123" s="246"/>
      <c r="S123" s="246"/>
      <c r="T123" s="246"/>
      <c r="U123" s="246"/>
      <c r="V123" s="246"/>
      <c r="W123" s="246"/>
      <c r="X123" s="258" t="s">
        <v>2628</v>
      </c>
      <c r="Y123" s="254">
        <v>64022</v>
      </c>
      <c r="Z123" s="246"/>
      <c r="AA123" s="254" t="s">
        <v>2637</v>
      </c>
      <c r="AB123" s="245"/>
    </row>
    <row r="124" spans="1:29" s="250" customFormat="1">
      <c r="A124" s="244">
        <v>121</v>
      </c>
      <c r="B124" s="245" t="s">
        <v>999</v>
      </c>
      <c r="C124" s="246" t="s">
        <v>1102</v>
      </c>
      <c r="D124" s="246" t="s">
        <v>1103</v>
      </c>
      <c r="E124" s="246" t="s">
        <v>1104</v>
      </c>
      <c r="F124" s="246" t="s">
        <v>405</v>
      </c>
      <c r="G124" s="246" t="s">
        <v>411</v>
      </c>
      <c r="H124" s="246" t="s">
        <v>406</v>
      </c>
      <c r="I124" s="18">
        <v>5000000</v>
      </c>
      <c r="J124" s="248">
        <v>44307</v>
      </c>
      <c r="K124" s="248">
        <v>44316</v>
      </c>
      <c r="L124" s="248">
        <v>44312</v>
      </c>
      <c r="M124" s="248">
        <v>44323</v>
      </c>
      <c r="N124" s="246"/>
      <c r="O124" s="246" t="s">
        <v>1110</v>
      </c>
      <c r="P124" s="246"/>
      <c r="Q124" s="246"/>
      <c r="R124" s="246"/>
      <c r="S124" s="246"/>
      <c r="T124" s="246"/>
      <c r="U124" s="246"/>
      <c r="V124" s="246"/>
      <c r="W124" s="246"/>
      <c r="X124" s="251" t="s">
        <v>1315</v>
      </c>
      <c r="Y124" s="251"/>
      <c r="Z124" s="244" t="s">
        <v>1278</v>
      </c>
      <c r="AA124" s="246"/>
      <c r="AB124" s="245"/>
    </row>
    <row r="125" spans="1:29" s="250" customFormat="1">
      <c r="A125" s="244">
        <v>122</v>
      </c>
      <c r="B125" s="245" t="s">
        <v>1098</v>
      </c>
      <c r="C125" s="246" t="s">
        <v>1106</v>
      </c>
      <c r="D125" s="246" t="s">
        <v>1107</v>
      </c>
      <c r="E125" s="246" t="s">
        <v>1108</v>
      </c>
      <c r="F125" s="246" t="s">
        <v>1109</v>
      </c>
      <c r="G125" s="246" t="s">
        <v>411</v>
      </c>
      <c r="H125" s="246" t="s">
        <v>406</v>
      </c>
      <c r="I125" s="18">
        <v>6000000</v>
      </c>
      <c r="J125" s="248">
        <v>44306</v>
      </c>
      <c r="K125" s="248">
        <v>44335</v>
      </c>
      <c r="L125" s="248">
        <v>44320</v>
      </c>
      <c r="M125" s="248">
        <v>44326</v>
      </c>
      <c r="N125" s="246"/>
      <c r="O125" s="246" t="s">
        <v>691</v>
      </c>
      <c r="P125" s="246"/>
      <c r="Q125" s="246"/>
      <c r="R125" s="246"/>
      <c r="S125" s="246"/>
      <c r="T125" s="246"/>
      <c r="U125" s="246"/>
      <c r="V125" s="246"/>
      <c r="W125" s="246"/>
      <c r="X125" s="253" t="s">
        <v>1348</v>
      </c>
      <c r="Y125" s="244"/>
      <c r="Z125" s="244" t="s">
        <v>1347</v>
      </c>
      <c r="AA125" s="246"/>
      <c r="AB125" s="245"/>
      <c r="AC125" s="246"/>
    </row>
    <row r="126" spans="1:29" s="250" customFormat="1">
      <c r="A126" s="244">
        <v>123</v>
      </c>
      <c r="B126" s="245" t="s">
        <v>1099</v>
      </c>
      <c r="C126" s="247" t="s">
        <v>1112</v>
      </c>
      <c r="D126" s="246" t="s">
        <v>1113</v>
      </c>
      <c r="E126" s="246" t="s">
        <v>1114</v>
      </c>
      <c r="F126" s="246" t="s">
        <v>1109</v>
      </c>
      <c r="G126" s="246" t="s">
        <v>411</v>
      </c>
      <c r="H126" s="246" t="s">
        <v>406</v>
      </c>
      <c r="I126" s="18">
        <v>1870000</v>
      </c>
      <c r="J126" s="248">
        <v>44308</v>
      </c>
      <c r="K126" s="248">
        <v>44337</v>
      </c>
      <c r="L126" s="248">
        <v>44313</v>
      </c>
      <c r="M126" s="248">
        <v>44313</v>
      </c>
      <c r="N126" s="246"/>
      <c r="O126" s="246" t="s">
        <v>1111</v>
      </c>
      <c r="P126" s="246"/>
      <c r="Q126" s="246"/>
      <c r="R126" s="246"/>
      <c r="S126" s="246"/>
      <c r="T126" s="246"/>
      <c r="U126" s="246"/>
      <c r="V126" s="246"/>
      <c r="W126" s="246"/>
      <c r="X126" s="253" t="s">
        <v>1316</v>
      </c>
      <c r="Y126" s="244"/>
      <c r="Z126" s="244" t="s">
        <v>1278</v>
      </c>
      <c r="AA126" s="246"/>
      <c r="AB126" s="245"/>
    </row>
    <row r="127" spans="1:29" s="250" customFormat="1">
      <c r="A127" s="244">
        <v>124</v>
      </c>
      <c r="B127" s="245" t="s">
        <v>999</v>
      </c>
      <c r="C127" s="246" t="s">
        <v>1102</v>
      </c>
      <c r="D127" s="246" t="s">
        <v>1103</v>
      </c>
      <c r="E127" s="246" t="s">
        <v>1001</v>
      </c>
      <c r="F127" s="246" t="s">
        <v>1105</v>
      </c>
      <c r="G127" s="246" t="s">
        <v>411</v>
      </c>
      <c r="H127" s="246" t="s">
        <v>406</v>
      </c>
      <c r="I127" s="18">
        <v>9603000</v>
      </c>
      <c r="J127" s="248">
        <v>44307</v>
      </c>
      <c r="K127" s="248">
        <v>44316</v>
      </c>
      <c r="L127" s="248">
        <v>44312</v>
      </c>
      <c r="M127" s="248">
        <v>44323</v>
      </c>
      <c r="N127" s="246"/>
      <c r="O127" s="246" t="s">
        <v>742</v>
      </c>
      <c r="P127" s="246"/>
      <c r="Q127" s="246"/>
      <c r="R127" s="246"/>
      <c r="S127" s="246"/>
      <c r="T127" s="246"/>
      <c r="U127" s="246"/>
      <c r="V127" s="246"/>
      <c r="W127" s="246"/>
      <c r="X127" s="244" t="s">
        <v>2521</v>
      </c>
      <c r="Y127" s="244"/>
      <c r="Z127" s="246" t="s">
        <v>1802</v>
      </c>
      <c r="AA127" s="246" t="s">
        <v>2595</v>
      </c>
      <c r="AB127" s="245" t="s">
        <v>2478</v>
      </c>
    </row>
    <row r="128" spans="1:29" s="250" customFormat="1">
      <c r="A128" s="244">
        <v>125</v>
      </c>
      <c r="B128" s="245" t="s">
        <v>1100</v>
      </c>
      <c r="C128" s="246" t="s">
        <v>1101</v>
      </c>
      <c r="D128" s="246" t="s">
        <v>744</v>
      </c>
      <c r="E128" s="246" t="s">
        <v>1115</v>
      </c>
      <c r="F128" s="246" t="s">
        <v>1109</v>
      </c>
      <c r="G128" s="246" t="s">
        <v>411</v>
      </c>
      <c r="H128" s="246" t="s">
        <v>406</v>
      </c>
      <c r="I128" s="18">
        <v>40260000</v>
      </c>
      <c r="J128" s="248">
        <v>44309</v>
      </c>
      <c r="K128" s="248">
        <v>44338</v>
      </c>
      <c r="L128" s="248">
        <v>44446</v>
      </c>
      <c r="M128" s="248">
        <v>44447</v>
      </c>
      <c r="N128" s="246"/>
      <c r="O128" s="246" t="s">
        <v>1111</v>
      </c>
      <c r="P128" s="246"/>
      <c r="Q128" s="246"/>
      <c r="R128" s="246"/>
      <c r="S128" s="246"/>
      <c r="T128" s="246"/>
      <c r="U128" s="246"/>
      <c r="V128" s="246"/>
      <c r="W128" s="246"/>
      <c r="X128" s="253" t="s">
        <v>1317</v>
      </c>
      <c r="Y128" s="251"/>
      <c r="Z128" s="244" t="s">
        <v>1278</v>
      </c>
      <c r="AA128" s="246"/>
      <c r="AB128" s="245"/>
    </row>
    <row r="129" spans="1:33" s="250" customFormat="1">
      <c r="A129" s="244">
        <v>126</v>
      </c>
      <c r="B129" s="245" t="s">
        <v>1116</v>
      </c>
      <c r="C129" s="246" t="s">
        <v>1117</v>
      </c>
      <c r="D129" s="246" t="s">
        <v>1118</v>
      </c>
      <c r="E129" s="246" t="s">
        <v>1119</v>
      </c>
      <c r="F129" s="246" t="s">
        <v>405</v>
      </c>
      <c r="G129" s="246" t="s">
        <v>411</v>
      </c>
      <c r="H129" s="246" t="s">
        <v>406</v>
      </c>
      <c r="I129" s="18">
        <v>8624000</v>
      </c>
      <c r="J129" s="248">
        <v>44312</v>
      </c>
      <c r="K129" s="248">
        <v>44439</v>
      </c>
      <c r="L129" s="248">
        <v>44337</v>
      </c>
      <c r="M129" s="248">
        <v>44340</v>
      </c>
      <c r="N129" s="246"/>
      <c r="O129" s="246" t="s">
        <v>846</v>
      </c>
      <c r="P129" s="246"/>
      <c r="Q129" s="246"/>
      <c r="R129" s="246"/>
      <c r="S129" s="246"/>
      <c r="T129" s="246"/>
      <c r="U129" s="246"/>
      <c r="V129" s="246"/>
      <c r="W129" s="246"/>
      <c r="X129" s="253" t="s">
        <v>1332</v>
      </c>
      <c r="Y129" s="244"/>
      <c r="Z129" s="244" t="s">
        <v>1278</v>
      </c>
      <c r="AA129" s="246"/>
      <c r="AB129" s="245"/>
    </row>
    <row r="130" spans="1:33" s="250" customFormat="1">
      <c r="A130" s="244">
        <v>127</v>
      </c>
      <c r="B130" s="245" t="s">
        <v>407</v>
      </c>
      <c r="C130" s="247" t="s">
        <v>411</v>
      </c>
      <c r="D130" s="246" t="s">
        <v>1125</v>
      </c>
      <c r="E130" s="246" t="s">
        <v>1124</v>
      </c>
      <c r="F130" s="246" t="s">
        <v>405</v>
      </c>
      <c r="G130" s="246" t="s">
        <v>411</v>
      </c>
      <c r="H130" s="246" t="s">
        <v>406</v>
      </c>
      <c r="I130" s="18">
        <v>75130000</v>
      </c>
      <c r="J130" s="248">
        <v>44313</v>
      </c>
      <c r="K130" s="248">
        <v>44431</v>
      </c>
      <c r="L130" s="248">
        <v>44406</v>
      </c>
      <c r="M130" s="248">
        <v>44407</v>
      </c>
      <c r="N130" s="246"/>
      <c r="O130" s="246" t="s">
        <v>655</v>
      </c>
      <c r="P130" s="246"/>
      <c r="Q130" s="246"/>
      <c r="R130" s="246"/>
      <c r="S130" s="246"/>
      <c r="T130" s="246"/>
      <c r="U130" s="246"/>
      <c r="V130" s="246"/>
      <c r="W130" s="246"/>
      <c r="X130" s="253" t="s">
        <v>1771</v>
      </c>
      <c r="Y130" s="244"/>
      <c r="Z130" s="244" t="s">
        <v>2570</v>
      </c>
      <c r="AA130" s="255"/>
      <c r="AB130" s="245" t="s">
        <v>2555</v>
      </c>
    </row>
    <row r="131" spans="1:33" s="250" customFormat="1">
      <c r="A131" s="244">
        <v>128</v>
      </c>
      <c r="B131" s="245" t="s">
        <v>1129</v>
      </c>
      <c r="C131" s="246" t="s">
        <v>1584</v>
      </c>
      <c r="D131" s="246" t="s">
        <v>1131</v>
      </c>
      <c r="E131" s="246" t="s">
        <v>1130</v>
      </c>
      <c r="F131" s="246" t="s">
        <v>1132</v>
      </c>
      <c r="G131" s="247" t="s">
        <v>774</v>
      </c>
      <c r="H131" s="246" t="s">
        <v>406</v>
      </c>
      <c r="I131" s="18">
        <v>49005000</v>
      </c>
      <c r="J131" s="248">
        <v>44314</v>
      </c>
      <c r="K131" s="248">
        <v>44497</v>
      </c>
      <c r="L131" s="248">
        <v>44446</v>
      </c>
      <c r="M131" s="248">
        <v>44449</v>
      </c>
      <c r="N131" s="246"/>
      <c r="O131" s="246" t="s">
        <v>1133</v>
      </c>
      <c r="P131" s="246"/>
      <c r="Q131" s="246"/>
      <c r="R131" s="246"/>
      <c r="S131" s="246"/>
      <c r="T131" s="246"/>
      <c r="U131" s="246"/>
      <c r="V131" s="246"/>
      <c r="W131" s="246"/>
      <c r="X131" s="253" t="s">
        <v>1699</v>
      </c>
      <c r="Y131" s="244"/>
      <c r="Z131" s="244" t="s">
        <v>2576</v>
      </c>
      <c r="AA131" s="255"/>
      <c r="AB131" s="245" t="s">
        <v>2453</v>
      </c>
      <c r="AC131" s="246"/>
    </row>
    <row r="132" spans="1:33" s="250" customFormat="1">
      <c r="A132" s="244">
        <v>129</v>
      </c>
      <c r="B132" s="245" t="s">
        <v>522</v>
      </c>
      <c r="C132" s="246" t="s">
        <v>587</v>
      </c>
      <c r="D132" s="246" t="s">
        <v>1127</v>
      </c>
      <c r="E132" s="246" t="s">
        <v>1128</v>
      </c>
      <c r="F132" s="246" t="s">
        <v>405</v>
      </c>
      <c r="G132" s="246" t="s">
        <v>526</v>
      </c>
      <c r="H132" s="246" t="s">
        <v>406</v>
      </c>
      <c r="I132" s="18">
        <v>7370000</v>
      </c>
      <c r="J132" s="248">
        <v>44312</v>
      </c>
      <c r="K132" s="248">
        <v>44326</v>
      </c>
      <c r="L132" s="248">
        <v>44320</v>
      </c>
      <c r="M132" s="248">
        <v>44358</v>
      </c>
      <c r="N132" s="246" t="s">
        <v>691</v>
      </c>
      <c r="O132" s="246" t="s">
        <v>1133</v>
      </c>
      <c r="X132" s="253" t="s">
        <v>1346</v>
      </c>
      <c r="Y132" s="244"/>
      <c r="Z132" s="244" t="s">
        <v>1347</v>
      </c>
      <c r="AA132" s="246"/>
      <c r="AB132" s="245"/>
      <c r="AC132" s="246"/>
    </row>
    <row r="133" spans="1:33" s="250" customFormat="1">
      <c r="A133" s="244">
        <v>130</v>
      </c>
      <c r="B133" s="245" t="s">
        <v>633</v>
      </c>
      <c r="C133" s="246" t="s">
        <v>1134</v>
      </c>
      <c r="D133" s="246" t="s">
        <v>1135</v>
      </c>
      <c r="E133" s="246" t="s">
        <v>2472</v>
      </c>
      <c r="F133" s="246" t="s">
        <v>1136</v>
      </c>
      <c r="G133" s="246" t="s">
        <v>1137</v>
      </c>
      <c r="H133" s="246" t="s">
        <v>1138</v>
      </c>
      <c r="I133" s="18">
        <v>26730000</v>
      </c>
      <c r="J133" s="248">
        <v>44315</v>
      </c>
      <c r="K133" s="248">
        <v>44321</v>
      </c>
      <c r="L133" s="246" t="s">
        <v>1555</v>
      </c>
      <c r="M133" s="246" t="s">
        <v>1555</v>
      </c>
      <c r="N133" s="246"/>
      <c r="O133" s="246" t="s">
        <v>1139</v>
      </c>
      <c r="P133" s="246"/>
      <c r="Q133" s="246"/>
      <c r="R133" s="246"/>
      <c r="S133" s="246"/>
      <c r="T133" s="246"/>
      <c r="U133" s="246"/>
      <c r="V133" s="246"/>
      <c r="W133" s="246"/>
      <c r="X133" s="253" t="s">
        <v>2591</v>
      </c>
      <c r="Y133" s="251"/>
      <c r="Z133" s="244" t="s">
        <v>2592</v>
      </c>
      <c r="AA133" s="255"/>
      <c r="AB133" s="245" t="s">
        <v>2479</v>
      </c>
      <c r="AC133" s="246"/>
    </row>
    <row r="134" spans="1:33" s="250" customFormat="1">
      <c r="A134" s="244">
        <v>131</v>
      </c>
      <c r="B134" s="245" t="s">
        <v>1141</v>
      </c>
      <c r="C134" s="246" t="s">
        <v>1142</v>
      </c>
      <c r="D134" s="246" t="s">
        <v>1143</v>
      </c>
      <c r="E134" s="246" t="s">
        <v>1144</v>
      </c>
      <c r="F134" s="246" t="s">
        <v>1145</v>
      </c>
      <c r="G134" s="246" t="s">
        <v>1146</v>
      </c>
      <c r="H134" s="246" t="s">
        <v>1147</v>
      </c>
      <c r="I134" s="18">
        <v>24200000</v>
      </c>
      <c r="J134" s="248">
        <v>44316</v>
      </c>
      <c r="K134" s="248">
        <v>44351</v>
      </c>
      <c r="L134" s="246" t="s">
        <v>1493</v>
      </c>
      <c r="M134" s="246" t="s">
        <v>1510</v>
      </c>
      <c r="N134" s="246"/>
      <c r="O134" s="246" t="s">
        <v>1148</v>
      </c>
      <c r="P134" s="246"/>
      <c r="Q134" s="246"/>
      <c r="R134" s="246"/>
      <c r="S134" s="246"/>
      <c r="T134" s="246"/>
      <c r="U134" s="246"/>
      <c r="V134" s="246"/>
      <c r="W134" s="246"/>
      <c r="X134" s="253" t="s">
        <v>1772</v>
      </c>
      <c r="Y134" s="244"/>
      <c r="Z134" s="244" t="s">
        <v>1768</v>
      </c>
      <c r="AA134" s="255" t="s">
        <v>1554</v>
      </c>
      <c r="AB134" s="245"/>
    </row>
    <row r="135" spans="1:33" s="250" customFormat="1">
      <c r="A135" s="244">
        <v>132</v>
      </c>
      <c r="B135" s="245" t="s">
        <v>1151</v>
      </c>
      <c r="C135" s="246" t="s">
        <v>1152</v>
      </c>
      <c r="D135" s="246" t="s">
        <v>1153</v>
      </c>
      <c r="E135" s="246" t="s">
        <v>1158</v>
      </c>
      <c r="F135" s="246" t="s">
        <v>405</v>
      </c>
      <c r="G135" s="246" t="s">
        <v>1154</v>
      </c>
      <c r="H135" s="246" t="s">
        <v>1155</v>
      </c>
      <c r="I135" s="18">
        <v>77000000</v>
      </c>
      <c r="J135" s="248">
        <v>44302</v>
      </c>
      <c r="K135" s="248">
        <v>44331</v>
      </c>
      <c r="L135" s="248">
        <v>44326</v>
      </c>
      <c r="M135" s="248">
        <v>44336</v>
      </c>
      <c r="N135" s="246"/>
      <c r="O135" s="246" t="s">
        <v>1156</v>
      </c>
      <c r="P135" s="246"/>
      <c r="Q135" s="246"/>
      <c r="R135" s="246"/>
      <c r="S135" s="246"/>
      <c r="T135" s="246"/>
      <c r="U135" s="246"/>
      <c r="V135" s="246"/>
      <c r="W135" s="246"/>
      <c r="X135" s="253" t="s">
        <v>1157</v>
      </c>
      <c r="Y135" s="244"/>
      <c r="Z135" s="244" t="s">
        <v>1333</v>
      </c>
      <c r="AA135" s="246"/>
      <c r="AB135" s="245"/>
    </row>
    <row r="136" spans="1:33" s="250" customFormat="1" ht="15.75" customHeight="1">
      <c r="A136" s="244">
        <v>133</v>
      </c>
      <c r="B136" s="245" t="s">
        <v>1160</v>
      </c>
      <c r="C136" s="246" t="s">
        <v>1176</v>
      </c>
      <c r="D136" s="246" t="s">
        <v>1171</v>
      </c>
      <c r="E136" s="246" t="s">
        <v>1170</v>
      </c>
      <c r="F136" s="246" t="s">
        <v>1172</v>
      </c>
      <c r="G136" s="246" t="s">
        <v>1165</v>
      </c>
      <c r="H136" s="246" t="s">
        <v>1166</v>
      </c>
      <c r="I136" s="18">
        <v>10538000</v>
      </c>
      <c r="J136" s="248">
        <v>44319</v>
      </c>
      <c r="K136" s="248">
        <v>44561</v>
      </c>
      <c r="L136" s="248">
        <v>44552</v>
      </c>
      <c r="M136" s="248">
        <v>44553</v>
      </c>
      <c r="N136" s="246"/>
      <c r="O136" s="246" t="s">
        <v>1177</v>
      </c>
      <c r="P136" s="246"/>
      <c r="Q136" s="246"/>
      <c r="R136" s="246"/>
      <c r="S136" s="246"/>
      <c r="T136" s="246"/>
      <c r="U136" s="246"/>
      <c r="V136" s="246"/>
      <c r="W136" s="246"/>
      <c r="X136" s="246" t="s">
        <v>779</v>
      </c>
      <c r="Y136" s="246"/>
      <c r="Z136" s="244" t="s">
        <v>2576</v>
      </c>
      <c r="AA136" s="246"/>
      <c r="AB136" s="245"/>
    </row>
    <row r="137" spans="1:33" s="250" customFormat="1" ht="17.25" customHeight="1">
      <c r="A137" s="244">
        <v>134</v>
      </c>
      <c r="B137" s="245" t="s">
        <v>1161</v>
      </c>
      <c r="C137" s="246" t="s">
        <v>1173</v>
      </c>
      <c r="D137" s="246" t="s">
        <v>1174</v>
      </c>
      <c r="E137" s="246" t="s">
        <v>1175</v>
      </c>
      <c r="F137" s="246" t="s">
        <v>1164</v>
      </c>
      <c r="G137" s="246" t="s">
        <v>1165</v>
      </c>
      <c r="H137" s="246" t="s">
        <v>1166</v>
      </c>
      <c r="I137" s="18">
        <v>13310000</v>
      </c>
      <c r="J137" s="248">
        <v>44320</v>
      </c>
      <c r="K137" s="248">
        <v>44469</v>
      </c>
      <c r="L137" s="248">
        <v>44487</v>
      </c>
      <c r="M137" s="248">
        <v>44489</v>
      </c>
      <c r="N137" s="246"/>
      <c r="O137" s="246" t="s">
        <v>1178</v>
      </c>
      <c r="P137" s="246"/>
      <c r="Q137" s="246"/>
      <c r="R137" s="246"/>
      <c r="S137" s="246"/>
      <c r="T137" s="246"/>
      <c r="U137" s="246"/>
      <c r="V137" s="246"/>
      <c r="W137" s="246"/>
      <c r="X137" s="244" t="s">
        <v>2647</v>
      </c>
      <c r="Y137" s="244"/>
      <c r="Z137" s="244" t="s">
        <v>1278</v>
      </c>
      <c r="AA137" s="253" t="s">
        <v>2613</v>
      </c>
      <c r="AB137" s="245"/>
    </row>
    <row r="138" spans="1:33" s="250" customFormat="1">
      <c r="A138" s="244">
        <v>135</v>
      </c>
      <c r="B138" s="245" t="s">
        <v>1162</v>
      </c>
      <c r="C138" s="246" t="s">
        <v>1168</v>
      </c>
      <c r="D138" s="246" t="s">
        <v>1169</v>
      </c>
      <c r="E138" s="246" t="s">
        <v>1163</v>
      </c>
      <c r="F138" s="246" t="s">
        <v>1164</v>
      </c>
      <c r="G138" s="246" t="s">
        <v>1165</v>
      </c>
      <c r="H138" s="246" t="s">
        <v>1166</v>
      </c>
      <c r="I138" s="18">
        <v>7700000</v>
      </c>
      <c r="J138" s="248">
        <v>44313</v>
      </c>
      <c r="K138" s="248">
        <v>44402</v>
      </c>
      <c r="L138" s="248">
        <v>44320</v>
      </c>
      <c r="M138" s="248">
        <v>44322</v>
      </c>
      <c r="N138" s="246"/>
      <c r="O138" s="246" t="s">
        <v>1167</v>
      </c>
      <c r="P138" s="246"/>
      <c r="Q138" s="246"/>
      <c r="R138" s="246"/>
      <c r="S138" s="246"/>
      <c r="T138" s="246"/>
      <c r="U138" s="246"/>
      <c r="V138" s="246"/>
      <c r="W138" s="246"/>
      <c r="X138" s="253" t="s">
        <v>1334</v>
      </c>
      <c r="Y138" s="244"/>
      <c r="Z138" s="244" t="s">
        <v>1278</v>
      </c>
      <c r="AA138" s="246"/>
      <c r="AB138" s="245"/>
    </row>
    <row r="139" spans="1:33" s="250" customFormat="1">
      <c r="A139" s="244">
        <v>136</v>
      </c>
      <c r="B139" s="245" t="s">
        <v>1186</v>
      </c>
      <c r="C139" s="246" t="s">
        <v>1187</v>
      </c>
      <c r="D139" s="246" t="s">
        <v>1193</v>
      </c>
      <c r="E139" s="246" t="s">
        <v>1194</v>
      </c>
      <c r="F139" s="246" t="s">
        <v>405</v>
      </c>
      <c r="G139" s="246" t="s">
        <v>1191</v>
      </c>
      <c r="H139" s="246" t="s">
        <v>406</v>
      </c>
      <c r="I139" s="18">
        <v>11000000</v>
      </c>
      <c r="J139" s="248">
        <v>44323</v>
      </c>
      <c r="K139" s="248">
        <v>44515</v>
      </c>
      <c r="L139" s="248">
        <v>44362</v>
      </c>
      <c r="M139" s="248">
        <v>44417</v>
      </c>
      <c r="N139" s="246"/>
      <c r="O139" s="246" t="s">
        <v>1195</v>
      </c>
      <c r="P139" s="246"/>
      <c r="Q139" s="246"/>
      <c r="R139" s="246"/>
      <c r="S139" s="246"/>
      <c r="T139" s="246"/>
      <c r="U139" s="246"/>
      <c r="V139" s="246"/>
      <c r="W139" s="246"/>
      <c r="X139" s="253" t="s">
        <v>1458</v>
      </c>
      <c r="Y139" s="244"/>
      <c r="Z139" s="244" t="s">
        <v>1278</v>
      </c>
      <c r="AA139" s="246"/>
      <c r="AB139" s="245"/>
    </row>
    <row r="140" spans="1:33" s="250" customFormat="1">
      <c r="A140" s="244">
        <v>137</v>
      </c>
      <c r="B140" s="245" t="s">
        <v>423</v>
      </c>
      <c r="C140" s="246" t="s">
        <v>1188</v>
      </c>
      <c r="D140" s="246" t="s">
        <v>1189</v>
      </c>
      <c r="E140" s="246" t="s">
        <v>1190</v>
      </c>
      <c r="F140" s="246" t="s">
        <v>405</v>
      </c>
      <c r="G140" s="246" t="s">
        <v>1191</v>
      </c>
      <c r="H140" s="246" t="s">
        <v>406</v>
      </c>
      <c r="I140" s="18">
        <v>12900000</v>
      </c>
      <c r="J140" s="248">
        <v>44326</v>
      </c>
      <c r="K140" s="248">
        <v>44340</v>
      </c>
      <c r="L140" s="248">
        <v>44337</v>
      </c>
      <c r="M140" s="248">
        <v>44341</v>
      </c>
      <c r="N140" s="246"/>
      <c r="O140" s="246" t="s">
        <v>1192</v>
      </c>
      <c r="P140" s="246"/>
      <c r="Q140" s="246"/>
      <c r="R140" s="246"/>
      <c r="S140" s="246"/>
      <c r="T140" s="246"/>
      <c r="U140" s="246"/>
      <c r="V140" s="246"/>
      <c r="W140" s="246"/>
      <c r="X140" s="253" t="s">
        <v>1335</v>
      </c>
      <c r="Y140" s="244"/>
      <c r="Z140" s="244" t="s">
        <v>1278</v>
      </c>
      <c r="AA140" s="246"/>
      <c r="AB140" s="245"/>
      <c r="AC140" s="246"/>
    </row>
    <row r="141" spans="1:33" s="250" customFormat="1">
      <c r="A141" s="244">
        <v>138</v>
      </c>
      <c r="B141" s="245" t="s">
        <v>1183</v>
      </c>
      <c r="C141" s="246" t="s">
        <v>1184</v>
      </c>
      <c r="D141" s="246" t="s">
        <v>404</v>
      </c>
      <c r="E141" s="246" t="s">
        <v>1185</v>
      </c>
      <c r="F141" s="246" t="s">
        <v>405</v>
      </c>
      <c r="G141" s="246" t="s">
        <v>526</v>
      </c>
      <c r="H141" s="246" t="s">
        <v>406</v>
      </c>
      <c r="I141" s="18">
        <v>22000000</v>
      </c>
      <c r="J141" s="248">
        <v>44323</v>
      </c>
      <c r="K141" s="248">
        <v>44422</v>
      </c>
      <c r="L141" s="248">
        <v>44469</v>
      </c>
      <c r="M141" s="248">
        <v>44491</v>
      </c>
      <c r="N141" s="246"/>
      <c r="O141" s="246" t="s">
        <v>691</v>
      </c>
      <c r="P141" s="246"/>
      <c r="Q141" s="246"/>
      <c r="R141" s="246"/>
      <c r="S141" s="246"/>
      <c r="T141" s="246"/>
      <c r="U141" s="246"/>
      <c r="V141" s="246"/>
      <c r="W141" s="246"/>
      <c r="X141" s="253" t="s">
        <v>2117</v>
      </c>
      <c r="Y141" s="244"/>
      <c r="Z141" s="244" t="s">
        <v>1278</v>
      </c>
      <c r="AA141" s="246"/>
      <c r="AB141" s="245"/>
      <c r="AC141" s="246"/>
    </row>
    <row r="142" spans="1:33" s="250" customFormat="1">
      <c r="A142" s="244">
        <v>139</v>
      </c>
      <c r="B142" s="245" t="s">
        <v>1196</v>
      </c>
      <c r="C142" s="246" t="s">
        <v>1191</v>
      </c>
      <c r="D142" s="246" t="s">
        <v>1197</v>
      </c>
      <c r="E142" s="246" t="s">
        <v>1198</v>
      </c>
      <c r="F142" s="246" t="s">
        <v>405</v>
      </c>
      <c r="G142" s="246" t="s">
        <v>1191</v>
      </c>
      <c r="H142" s="246" t="s">
        <v>406</v>
      </c>
      <c r="I142" s="18">
        <v>5370000</v>
      </c>
      <c r="J142" s="248">
        <v>44323</v>
      </c>
      <c r="K142" s="247" t="s">
        <v>411</v>
      </c>
      <c r="L142" s="248" t="s">
        <v>2125</v>
      </c>
      <c r="M142" s="248">
        <v>44329</v>
      </c>
      <c r="N142" s="246"/>
      <c r="O142" s="246" t="s">
        <v>1224</v>
      </c>
      <c r="P142" s="246"/>
      <c r="Q142" s="246"/>
      <c r="R142" s="246"/>
      <c r="S142" s="246"/>
      <c r="T142" s="246"/>
      <c r="U142" s="246"/>
      <c r="V142" s="246"/>
      <c r="W142" s="246"/>
      <c r="X142" s="246" t="s">
        <v>2126</v>
      </c>
      <c r="Y142" s="246"/>
      <c r="Z142" s="246" t="s">
        <v>2125</v>
      </c>
      <c r="AA142" s="246"/>
      <c r="AB142" s="245"/>
    </row>
    <row r="143" spans="1:33" s="250" customFormat="1">
      <c r="A143" s="244">
        <v>140</v>
      </c>
      <c r="B143" s="245" t="s">
        <v>1203</v>
      </c>
      <c r="C143" s="246" t="s">
        <v>1207</v>
      </c>
      <c r="D143" s="246" t="s">
        <v>1205</v>
      </c>
      <c r="E143" s="246" t="s">
        <v>1206</v>
      </c>
      <c r="F143" s="246" t="s">
        <v>1208</v>
      </c>
      <c r="G143" s="246" t="s">
        <v>1204</v>
      </c>
      <c r="H143" s="246" t="s">
        <v>406</v>
      </c>
      <c r="I143" s="18">
        <v>6820000</v>
      </c>
      <c r="J143" s="248">
        <v>44312</v>
      </c>
      <c r="K143" s="248">
        <v>44331</v>
      </c>
      <c r="L143" s="248">
        <v>44327</v>
      </c>
      <c r="M143" s="248">
        <v>44358</v>
      </c>
      <c r="N143" s="246"/>
      <c r="O143" s="246" t="s">
        <v>1209</v>
      </c>
      <c r="P143" s="246"/>
      <c r="Q143" s="246"/>
      <c r="R143" s="246"/>
      <c r="S143" s="246"/>
      <c r="T143" s="246"/>
      <c r="U143" s="246"/>
      <c r="V143" s="246"/>
      <c r="W143" s="246"/>
      <c r="X143" s="253" t="s">
        <v>1210</v>
      </c>
      <c r="Y143" s="244"/>
      <c r="Z143" s="244" t="s">
        <v>1333</v>
      </c>
      <c r="AA143" s="246" t="s">
        <v>2141</v>
      </c>
      <c r="AB143" s="245"/>
    </row>
    <row r="144" spans="1:33" s="250" customFormat="1" ht="19.5" customHeight="1">
      <c r="A144" s="244">
        <v>141</v>
      </c>
      <c r="B144" s="245" t="s">
        <v>1219</v>
      </c>
      <c r="C144" s="246" t="s">
        <v>1223</v>
      </c>
      <c r="D144" s="246" t="s">
        <v>1220</v>
      </c>
      <c r="E144" s="246" t="s">
        <v>1221</v>
      </c>
      <c r="F144" s="244" t="s">
        <v>1218</v>
      </c>
      <c r="G144" s="246" t="s">
        <v>526</v>
      </c>
      <c r="H144" s="246" t="s">
        <v>1216</v>
      </c>
      <c r="I144" s="18">
        <v>5610000</v>
      </c>
      <c r="J144" s="248">
        <v>44326</v>
      </c>
      <c r="K144" s="247" t="s">
        <v>411</v>
      </c>
      <c r="L144" s="248">
        <v>44357</v>
      </c>
      <c r="M144" s="248">
        <v>44358</v>
      </c>
      <c r="N144" s="246"/>
      <c r="O144" s="246" t="s">
        <v>1222</v>
      </c>
      <c r="P144" s="246"/>
      <c r="Q144" s="246"/>
      <c r="R144" s="246"/>
      <c r="S144" s="246"/>
      <c r="T144" s="246"/>
      <c r="U144" s="246"/>
      <c r="V144" s="246"/>
      <c r="W144" s="246"/>
      <c r="X144" s="253" t="s">
        <v>1336</v>
      </c>
      <c r="Y144" s="251"/>
      <c r="Z144" s="244" t="s">
        <v>2638</v>
      </c>
      <c r="AA144" s="280" t="s">
        <v>2590</v>
      </c>
      <c r="AB144" s="281" t="s">
        <v>2522</v>
      </c>
      <c r="AC144" s="282"/>
      <c r="AD144" s="282"/>
      <c r="AE144" s="282"/>
      <c r="AF144" s="282"/>
      <c r="AG144" s="282"/>
    </row>
    <row r="145" spans="1:29" s="250" customFormat="1">
      <c r="A145" s="244">
        <v>142</v>
      </c>
      <c r="B145" s="245" t="s">
        <v>1211</v>
      </c>
      <c r="C145" s="246" t="s">
        <v>1212</v>
      </c>
      <c r="D145" s="246" t="s">
        <v>1213</v>
      </c>
      <c r="E145" s="246" t="s">
        <v>1214</v>
      </c>
      <c r="F145" s="246" t="s">
        <v>1215</v>
      </c>
      <c r="G145" s="246" t="s">
        <v>526</v>
      </c>
      <c r="H145" s="246" t="s">
        <v>1216</v>
      </c>
      <c r="I145" s="18">
        <v>19360000</v>
      </c>
      <c r="J145" s="248">
        <v>44328</v>
      </c>
      <c r="K145" s="248">
        <v>44370</v>
      </c>
      <c r="L145" s="248">
        <v>44365</v>
      </c>
      <c r="M145" s="248">
        <v>44368</v>
      </c>
      <c r="N145" s="246"/>
      <c r="O145" s="246" t="s">
        <v>1217</v>
      </c>
      <c r="P145" s="246"/>
      <c r="Q145" s="246"/>
      <c r="R145" s="246"/>
      <c r="S145" s="246"/>
      <c r="T145" s="246"/>
      <c r="U145" s="246"/>
      <c r="V145" s="246"/>
      <c r="W145" s="246"/>
      <c r="X145" s="253" t="s">
        <v>2641</v>
      </c>
      <c r="Y145" s="253" t="s">
        <v>2700</v>
      </c>
      <c r="Z145" s="244" t="s">
        <v>2589</v>
      </c>
      <c r="AA145" s="246"/>
      <c r="AB145" s="245" t="s">
        <v>2551</v>
      </c>
    </row>
    <row r="146" spans="1:29" s="250" customFormat="1">
      <c r="A146" s="244">
        <v>143</v>
      </c>
      <c r="B146" s="245" t="s">
        <v>1235</v>
      </c>
      <c r="C146" s="246" t="s">
        <v>1236</v>
      </c>
      <c r="D146" s="246" t="s">
        <v>404</v>
      </c>
      <c r="E146" s="246" t="s">
        <v>1237</v>
      </c>
      <c r="F146" s="246" t="s">
        <v>405</v>
      </c>
      <c r="G146" s="246" t="s">
        <v>526</v>
      </c>
      <c r="H146" s="246" t="s">
        <v>1238</v>
      </c>
      <c r="I146" s="26" t="s">
        <v>1239</v>
      </c>
      <c r="J146" s="248">
        <v>44328</v>
      </c>
      <c r="K146" s="248">
        <v>44348</v>
      </c>
      <c r="L146" s="247" t="s">
        <v>411</v>
      </c>
      <c r="M146" s="247" t="s">
        <v>411</v>
      </c>
      <c r="N146" s="246"/>
      <c r="O146" s="246" t="s">
        <v>1295</v>
      </c>
      <c r="P146" s="246"/>
      <c r="Q146" s="246"/>
      <c r="R146" s="246"/>
      <c r="S146" s="246"/>
      <c r="T146" s="246"/>
      <c r="U146" s="246"/>
      <c r="V146" s="246"/>
      <c r="W146" s="246"/>
      <c r="X146" s="246" t="s">
        <v>1369</v>
      </c>
      <c r="Y146" s="246"/>
      <c r="Z146" s="246" t="s">
        <v>1789</v>
      </c>
      <c r="AA146" s="246"/>
      <c r="AB146" s="245"/>
    </row>
    <row r="147" spans="1:29" s="250" customFormat="1">
      <c r="A147" s="244">
        <v>144</v>
      </c>
      <c r="B147" s="245" t="s">
        <v>407</v>
      </c>
      <c r="C147" s="246" t="s">
        <v>1240</v>
      </c>
      <c r="D147" s="246" t="s">
        <v>417</v>
      </c>
      <c r="E147" s="246" t="s">
        <v>1241</v>
      </c>
      <c r="F147" s="246" t="s">
        <v>405</v>
      </c>
      <c r="G147" s="246" t="s">
        <v>526</v>
      </c>
      <c r="H147" s="246" t="s">
        <v>406</v>
      </c>
      <c r="I147" s="18">
        <v>15738800</v>
      </c>
      <c r="J147" s="248">
        <v>44330</v>
      </c>
      <c r="K147" s="247" t="s">
        <v>516</v>
      </c>
      <c r="L147" s="248">
        <v>44400</v>
      </c>
      <c r="M147" s="248">
        <v>44404</v>
      </c>
      <c r="N147" s="246"/>
      <c r="O147" s="246" t="s">
        <v>1249</v>
      </c>
      <c r="P147" s="246"/>
      <c r="Q147" s="246"/>
      <c r="R147" s="246"/>
      <c r="S147" s="246"/>
      <c r="T147" s="246"/>
      <c r="U147" s="246"/>
      <c r="V147" s="246"/>
      <c r="W147" s="246"/>
      <c r="X147" s="253" t="s">
        <v>1533</v>
      </c>
      <c r="Y147" s="244"/>
      <c r="Z147" s="244" t="s">
        <v>1790</v>
      </c>
      <c r="AA147" s="246"/>
      <c r="AB147" s="245"/>
    </row>
    <row r="148" spans="1:29" s="250" customFormat="1">
      <c r="A148" s="244">
        <v>145</v>
      </c>
      <c r="B148" s="245" t="s">
        <v>738</v>
      </c>
      <c r="C148" s="246" t="s">
        <v>1242</v>
      </c>
      <c r="D148" s="246" t="s">
        <v>1051</v>
      </c>
      <c r="E148" s="246" t="s">
        <v>1243</v>
      </c>
      <c r="F148" s="246" t="s">
        <v>1244</v>
      </c>
      <c r="G148" s="246" t="s">
        <v>526</v>
      </c>
      <c r="H148" s="246" t="s">
        <v>406</v>
      </c>
      <c r="I148" s="18">
        <v>4290000</v>
      </c>
      <c r="J148" s="248">
        <v>44327</v>
      </c>
      <c r="K148" s="247" t="s">
        <v>1273</v>
      </c>
      <c r="L148" s="248">
        <v>44327</v>
      </c>
      <c r="M148" s="248">
        <v>44327</v>
      </c>
      <c r="N148" s="246"/>
      <c r="O148" s="246" t="s">
        <v>1250</v>
      </c>
      <c r="P148" s="246"/>
      <c r="Q148" s="246"/>
      <c r="R148" s="246"/>
      <c r="S148" s="246"/>
      <c r="T148" s="246"/>
      <c r="U148" s="246"/>
      <c r="V148" s="246"/>
      <c r="W148" s="246"/>
      <c r="X148" s="253" t="s">
        <v>1514</v>
      </c>
      <c r="Y148" s="244"/>
      <c r="Z148" s="244" t="s">
        <v>2588</v>
      </c>
      <c r="AA148" s="255"/>
      <c r="AB148" s="245"/>
    </row>
    <row r="149" spans="1:29" s="250" customFormat="1">
      <c r="A149" s="244">
        <v>146</v>
      </c>
      <c r="B149" s="245" t="s">
        <v>1245</v>
      </c>
      <c r="C149" s="246" t="s">
        <v>1246</v>
      </c>
      <c r="D149" s="246" t="s">
        <v>404</v>
      </c>
      <c r="E149" s="246" t="s">
        <v>1247</v>
      </c>
      <c r="F149" s="246" t="s">
        <v>1244</v>
      </c>
      <c r="G149" s="246" t="s">
        <v>526</v>
      </c>
      <c r="H149" s="246" t="s">
        <v>406</v>
      </c>
      <c r="I149" s="18">
        <v>24750000</v>
      </c>
      <c r="J149" s="248">
        <v>44334</v>
      </c>
      <c r="K149" s="248">
        <v>44439</v>
      </c>
      <c r="L149" s="248">
        <v>44404</v>
      </c>
      <c r="M149" s="248">
        <v>44417</v>
      </c>
      <c r="N149" s="246"/>
      <c r="O149" s="246" t="s">
        <v>1248</v>
      </c>
      <c r="P149" s="246"/>
      <c r="Q149" s="246"/>
      <c r="R149" s="246"/>
      <c r="S149" s="246"/>
      <c r="T149" s="246"/>
      <c r="U149" s="246"/>
      <c r="V149" s="246"/>
      <c r="W149" s="246"/>
      <c r="X149" s="253" t="s">
        <v>1628</v>
      </c>
      <c r="Y149" s="244"/>
      <c r="Z149" s="244" t="s">
        <v>1790</v>
      </c>
      <c r="AA149" s="246"/>
      <c r="AB149" s="245"/>
      <c r="AC149" s="246"/>
    </row>
    <row r="150" spans="1:29" s="250" customFormat="1">
      <c r="A150" s="244">
        <v>147</v>
      </c>
      <c r="B150" s="245" t="s">
        <v>565</v>
      </c>
      <c r="C150" s="246" t="s">
        <v>1251</v>
      </c>
      <c r="D150" s="246" t="s">
        <v>1135</v>
      </c>
      <c r="E150" s="246" t="s">
        <v>1252</v>
      </c>
      <c r="F150" s="246" t="s">
        <v>1244</v>
      </c>
      <c r="G150" s="246" t="s">
        <v>526</v>
      </c>
      <c r="H150" s="246" t="s">
        <v>406</v>
      </c>
      <c r="I150" s="18">
        <v>9900000</v>
      </c>
      <c r="J150" s="248">
        <v>44326</v>
      </c>
      <c r="K150" s="247" t="s">
        <v>411</v>
      </c>
      <c r="L150" s="248">
        <v>44336</v>
      </c>
      <c r="M150" s="248">
        <v>44363</v>
      </c>
      <c r="N150" s="246"/>
      <c r="O150" s="246" t="s">
        <v>1294</v>
      </c>
      <c r="P150" s="246"/>
      <c r="Q150" s="246"/>
      <c r="R150" s="246"/>
      <c r="S150" s="246"/>
      <c r="T150" s="246"/>
      <c r="U150" s="246"/>
      <c r="V150" s="246"/>
      <c r="W150" s="246"/>
      <c r="X150" s="253" t="s">
        <v>1293</v>
      </c>
      <c r="Y150" s="244"/>
      <c r="Z150" s="244" t="s">
        <v>1333</v>
      </c>
      <c r="AA150" s="246"/>
      <c r="AB150" s="245"/>
      <c r="AC150" s="246"/>
    </row>
    <row r="151" spans="1:29" s="250" customFormat="1">
      <c r="A151" s="244">
        <v>148</v>
      </c>
      <c r="B151" s="245" t="s">
        <v>518</v>
      </c>
      <c r="C151" s="246" t="s">
        <v>1271</v>
      </c>
      <c r="D151" s="246" t="s">
        <v>1272</v>
      </c>
      <c r="E151" s="245" t="s">
        <v>1588</v>
      </c>
      <c r="F151" s="246" t="s">
        <v>1253</v>
      </c>
      <c r="G151" s="246" t="s">
        <v>526</v>
      </c>
      <c r="H151" s="246" t="s">
        <v>406</v>
      </c>
      <c r="I151" s="18">
        <v>66293670</v>
      </c>
      <c r="J151" s="248">
        <v>44334</v>
      </c>
      <c r="K151" s="248">
        <v>44470</v>
      </c>
      <c r="L151" s="246" t="s">
        <v>2005</v>
      </c>
      <c r="M151" s="246" t="s">
        <v>2017</v>
      </c>
      <c r="N151" s="246"/>
      <c r="O151" s="246" t="s">
        <v>1254</v>
      </c>
      <c r="P151" s="246"/>
      <c r="Q151" s="246"/>
      <c r="R151" s="246"/>
      <c r="S151" s="246"/>
      <c r="T151" s="246"/>
      <c r="U151" s="246"/>
      <c r="V151" s="246"/>
      <c r="W151" s="246"/>
      <c r="X151" s="246" t="s">
        <v>2127</v>
      </c>
      <c r="Y151" s="246"/>
      <c r="Z151" s="246" t="s">
        <v>2125</v>
      </c>
      <c r="AA151" s="246"/>
      <c r="AB151" s="245"/>
    </row>
    <row r="152" spans="1:29" s="250" customFormat="1">
      <c r="A152" s="244">
        <v>149</v>
      </c>
      <c r="B152" s="245" t="s">
        <v>407</v>
      </c>
      <c r="C152" s="246" t="s">
        <v>1240</v>
      </c>
      <c r="D152" s="246" t="s">
        <v>417</v>
      </c>
      <c r="E152" s="246" t="s">
        <v>1255</v>
      </c>
      <c r="F152" s="246" t="s">
        <v>405</v>
      </c>
      <c r="G152" s="246" t="s">
        <v>526</v>
      </c>
      <c r="H152" s="246" t="s">
        <v>406</v>
      </c>
      <c r="I152" s="18">
        <v>17463600</v>
      </c>
      <c r="J152" s="248">
        <v>44336</v>
      </c>
      <c r="K152" s="247" t="s">
        <v>411</v>
      </c>
      <c r="L152" s="248">
        <v>44400</v>
      </c>
      <c r="M152" s="248">
        <v>44404</v>
      </c>
      <c r="N152" s="246"/>
      <c r="O152" s="246" t="s">
        <v>1249</v>
      </c>
      <c r="P152" s="246"/>
      <c r="Q152" s="246"/>
      <c r="R152" s="246"/>
      <c r="S152" s="246"/>
      <c r="T152" s="246"/>
      <c r="U152" s="246"/>
      <c r="V152" s="246"/>
      <c r="W152" s="246"/>
      <c r="X152" s="253" t="s">
        <v>1533</v>
      </c>
      <c r="Y152" s="244"/>
      <c r="Z152" s="244" t="s">
        <v>1278</v>
      </c>
      <c r="AA152" s="246"/>
      <c r="AB152" s="245"/>
    </row>
    <row r="153" spans="1:29" s="250" customFormat="1">
      <c r="A153" s="244">
        <v>150</v>
      </c>
      <c r="B153" s="245" t="s">
        <v>1256</v>
      </c>
      <c r="C153" s="246" t="s">
        <v>1257</v>
      </c>
      <c r="D153" s="246" t="s">
        <v>1205</v>
      </c>
      <c r="E153" s="246" t="s">
        <v>1258</v>
      </c>
      <c r="F153" s="246" t="s">
        <v>1244</v>
      </c>
      <c r="G153" s="246" t="s">
        <v>526</v>
      </c>
      <c r="H153" s="246" t="s">
        <v>406</v>
      </c>
      <c r="I153" s="18">
        <v>15954400</v>
      </c>
      <c r="J153" s="248">
        <v>44336</v>
      </c>
      <c r="K153" s="247" t="s">
        <v>411</v>
      </c>
      <c r="L153" s="248">
        <v>44357</v>
      </c>
      <c r="M153" s="248">
        <v>44363</v>
      </c>
      <c r="N153" s="246"/>
      <c r="O153" s="246" t="s">
        <v>1394</v>
      </c>
      <c r="P153" s="246"/>
      <c r="Q153" s="246"/>
      <c r="R153" s="246"/>
      <c r="S153" s="246"/>
      <c r="T153" s="246"/>
      <c r="U153" s="246"/>
      <c r="V153" s="246"/>
      <c r="W153" s="246"/>
      <c r="X153" s="253" t="s">
        <v>1444</v>
      </c>
      <c r="Y153" s="244"/>
      <c r="Z153" s="244" t="s">
        <v>1278</v>
      </c>
      <c r="AA153" s="246"/>
      <c r="AB153" s="245"/>
      <c r="AC153" s="246"/>
    </row>
    <row r="154" spans="1:29" s="250" customFormat="1">
      <c r="A154" s="244">
        <v>151</v>
      </c>
      <c r="B154" s="245" t="s">
        <v>1259</v>
      </c>
      <c r="C154" s="246" t="s">
        <v>1260</v>
      </c>
      <c r="D154" s="246" t="s">
        <v>1272</v>
      </c>
      <c r="E154" s="246" t="s">
        <v>1261</v>
      </c>
      <c r="F154" s="246" t="s">
        <v>1253</v>
      </c>
      <c r="G154" s="246" t="s">
        <v>526</v>
      </c>
      <c r="H154" s="246" t="s">
        <v>406</v>
      </c>
      <c r="I154" s="18">
        <v>6160000</v>
      </c>
      <c r="J154" s="248">
        <v>44337</v>
      </c>
      <c r="K154" s="248">
        <v>44371</v>
      </c>
      <c r="L154" s="248">
        <v>44377</v>
      </c>
      <c r="M154" s="248">
        <v>44377</v>
      </c>
      <c r="N154" s="246"/>
      <c r="O154" s="246" t="s">
        <v>1274</v>
      </c>
      <c r="P154" s="246"/>
      <c r="Q154" s="246"/>
      <c r="R154" s="246"/>
      <c r="S154" s="246"/>
      <c r="T154" s="246"/>
      <c r="U154" s="246"/>
      <c r="V154" s="246"/>
      <c r="W154" s="246"/>
      <c r="X154" s="244" t="s">
        <v>519</v>
      </c>
      <c r="Y154" s="253">
        <v>11713</v>
      </c>
      <c r="Z154" s="244" t="s">
        <v>2701</v>
      </c>
      <c r="AA154" s="246"/>
      <c r="AB154" s="245"/>
    </row>
    <row r="155" spans="1:29" s="250" customFormat="1">
      <c r="A155" s="244">
        <v>152</v>
      </c>
      <c r="B155" s="245" t="s">
        <v>999</v>
      </c>
      <c r="C155" s="246" t="s">
        <v>1102</v>
      </c>
      <c r="D155" s="246" t="s">
        <v>1262</v>
      </c>
      <c r="E155" s="246" t="s">
        <v>1263</v>
      </c>
      <c r="F155" s="246" t="s">
        <v>1244</v>
      </c>
      <c r="G155" s="246" t="s">
        <v>526</v>
      </c>
      <c r="H155" s="246" t="s">
        <v>406</v>
      </c>
      <c r="I155" s="18">
        <v>9900000</v>
      </c>
      <c r="J155" s="248">
        <v>44337</v>
      </c>
      <c r="K155" s="248">
        <v>44351</v>
      </c>
      <c r="L155" s="248">
        <v>44347</v>
      </c>
      <c r="M155" s="248">
        <v>44351</v>
      </c>
      <c r="N155" s="246"/>
      <c r="O155" s="246" t="s">
        <v>1248</v>
      </c>
      <c r="P155" s="246"/>
      <c r="Q155" s="246"/>
      <c r="R155" s="246"/>
      <c r="S155" s="246"/>
      <c r="T155" s="246"/>
      <c r="U155" s="246"/>
      <c r="V155" s="246"/>
      <c r="W155" s="246"/>
      <c r="X155" s="244" t="s">
        <v>1461</v>
      </c>
      <c r="Y155" s="244"/>
      <c r="Z155" s="244" t="s">
        <v>1278</v>
      </c>
      <c r="AA155" s="246"/>
      <c r="AB155" s="245"/>
      <c r="AC155" s="246"/>
    </row>
    <row r="156" spans="1:29" s="250" customFormat="1">
      <c r="A156" s="244">
        <v>153</v>
      </c>
      <c r="B156" s="245" t="s">
        <v>1264</v>
      </c>
      <c r="C156" s="246"/>
      <c r="D156" s="246"/>
      <c r="E156" s="245" t="s">
        <v>1270</v>
      </c>
      <c r="F156" s="245" t="s">
        <v>1265</v>
      </c>
      <c r="G156" s="246" t="s">
        <v>1266</v>
      </c>
      <c r="H156" s="246" t="s">
        <v>1267</v>
      </c>
      <c r="I156" s="18">
        <v>440000000</v>
      </c>
      <c r="J156" s="248">
        <v>44287</v>
      </c>
      <c r="K156" s="248">
        <v>44561</v>
      </c>
      <c r="L156" s="246" t="s">
        <v>2294</v>
      </c>
      <c r="M156" s="246" t="s">
        <v>1268</v>
      </c>
      <c r="N156" s="246"/>
      <c r="O156" s="246" t="s">
        <v>1269</v>
      </c>
      <c r="P156" s="246"/>
      <c r="Q156" s="246"/>
      <c r="R156" s="246"/>
      <c r="S156" s="246"/>
      <c r="T156" s="246"/>
      <c r="U156" s="246"/>
      <c r="V156" s="246"/>
      <c r="W156" s="246"/>
      <c r="X156" s="246" t="s">
        <v>1283</v>
      </c>
      <c r="Y156" s="283" t="s">
        <v>2702</v>
      </c>
      <c r="Z156" s="246" t="s">
        <v>2125</v>
      </c>
      <c r="AA156" s="246"/>
      <c r="AB156" s="245"/>
    </row>
    <row r="157" spans="1:29" s="250" customFormat="1">
      <c r="A157" s="244">
        <v>154</v>
      </c>
      <c r="B157" s="245" t="s">
        <v>416</v>
      </c>
      <c r="C157" s="246" t="s">
        <v>1236</v>
      </c>
      <c r="D157" s="246" t="s">
        <v>404</v>
      </c>
      <c r="E157" s="246" t="s">
        <v>1237</v>
      </c>
      <c r="F157" s="246" t="s">
        <v>405</v>
      </c>
      <c r="G157" s="246" t="s">
        <v>526</v>
      </c>
      <c r="H157" s="246" t="s">
        <v>745</v>
      </c>
      <c r="I157" s="26" t="s">
        <v>1239</v>
      </c>
      <c r="J157" s="248">
        <v>44340</v>
      </c>
      <c r="K157" s="248">
        <v>44439</v>
      </c>
      <c r="L157" s="247" t="s">
        <v>411</v>
      </c>
      <c r="M157" s="247" t="s">
        <v>411</v>
      </c>
      <c r="N157" s="246"/>
      <c r="O157" s="246" t="s">
        <v>1295</v>
      </c>
      <c r="P157" s="246"/>
      <c r="Q157" s="246"/>
      <c r="R157" s="246"/>
      <c r="S157" s="246"/>
      <c r="T157" s="246"/>
      <c r="U157" s="246"/>
      <c r="V157" s="246"/>
      <c r="W157" s="246"/>
      <c r="X157" s="246" t="s">
        <v>1369</v>
      </c>
      <c r="Y157" s="246"/>
      <c r="Z157" s="246" t="s">
        <v>1789</v>
      </c>
      <c r="AA157" s="246"/>
      <c r="AB157" s="245"/>
    </row>
    <row r="158" spans="1:29" s="250" customFormat="1">
      <c r="A158" s="244">
        <v>155</v>
      </c>
      <c r="B158" s="245" t="s">
        <v>1318</v>
      </c>
      <c r="C158" s="246" t="s">
        <v>1321</v>
      </c>
      <c r="D158" s="246" t="s">
        <v>1323</v>
      </c>
      <c r="E158" s="246" t="s">
        <v>1380</v>
      </c>
      <c r="F158" s="246" t="s">
        <v>1326</v>
      </c>
      <c r="G158" s="246" t="s">
        <v>526</v>
      </c>
      <c r="H158" s="246" t="s">
        <v>1327</v>
      </c>
      <c r="I158" s="26" t="s">
        <v>1329</v>
      </c>
      <c r="J158" s="248">
        <v>44341</v>
      </c>
      <c r="K158" s="248">
        <v>44403</v>
      </c>
      <c r="L158" s="247" t="s">
        <v>411</v>
      </c>
      <c r="M158" s="247" t="s">
        <v>411</v>
      </c>
      <c r="N158" s="246"/>
      <c r="O158" s="246" t="s">
        <v>1367</v>
      </c>
      <c r="P158" s="246"/>
      <c r="Q158" s="246"/>
      <c r="R158" s="246"/>
      <c r="S158" s="246"/>
      <c r="T158" s="246"/>
      <c r="U158" s="246"/>
      <c r="V158" s="246"/>
      <c r="W158" s="246"/>
      <c r="X158" s="246" t="s">
        <v>1369</v>
      </c>
      <c r="Y158" s="246"/>
      <c r="Z158" s="246" t="s">
        <v>1789</v>
      </c>
      <c r="AA158" s="246"/>
      <c r="AB158" s="245"/>
    </row>
    <row r="159" spans="1:29" s="250" customFormat="1">
      <c r="A159" s="244">
        <v>156</v>
      </c>
      <c r="B159" s="245" t="s">
        <v>1586</v>
      </c>
      <c r="C159" s="247" t="s">
        <v>1587</v>
      </c>
      <c r="D159" s="246" t="s">
        <v>1324</v>
      </c>
      <c r="E159" s="246" t="s">
        <v>2346</v>
      </c>
      <c r="F159" s="246" t="s">
        <v>519</v>
      </c>
      <c r="G159" s="246" t="s">
        <v>526</v>
      </c>
      <c r="H159" s="246" t="s">
        <v>1328</v>
      </c>
      <c r="I159" s="18">
        <v>49500000</v>
      </c>
      <c r="J159" s="248">
        <v>44342</v>
      </c>
      <c r="K159" s="248">
        <v>44530</v>
      </c>
      <c r="L159" s="248">
        <v>44533</v>
      </c>
      <c r="M159" s="248">
        <v>44539</v>
      </c>
      <c r="N159" s="246"/>
      <c r="O159" s="246" t="s">
        <v>1330</v>
      </c>
      <c r="P159" s="246"/>
      <c r="Q159" s="246"/>
      <c r="R159" s="246"/>
      <c r="S159" s="246"/>
      <c r="T159" s="246"/>
      <c r="U159" s="246"/>
      <c r="V159" s="246"/>
      <c r="W159" s="246"/>
      <c r="X159" s="244" t="s">
        <v>519</v>
      </c>
      <c r="Y159" s="244"/>
      <c r="Z159" s="246" t="s">
        <v>2119</v>
      </c>
      <c r="AA159" s="246"/>
      <c r="AB159" s="245"/>
    </row>
    <row r="160" spans="1:29" s="250" customFormat="1" ht="17.25" thickBot="1">
      <c r="A160" s="244">
        <v>157</v>
      </c>
      <c r="B160" s="245" t="s">
        <v>1319</v>
      </c>
      <c r="C160" s="246" t="s">
        <v>1322</v>
      </c>
      <c r="D160" s="246" t="s">
        <v>1325</v>
      </c>
      <c r="E160" s="246" t="s">
        <v>1320</v>
      </c>
      <c r="F160" s="246" t="s">
        <v>1326</v>
      </c>
      <c r="G160" s="246" t="s">
        <v>526</v>
      </c>
      <c r="H160" s="246" t="s">
        <v>1328</v>
      </c>
      <c r="I160" s="18">
        <v>7524440</v>
      </c>
      <c r="J160" s="248">
        <v>44342</v>
      </c>
      <c r="K160" s="248">
        <v>44357</v>
      </c>
      <c r="L160" s="248">
        <v>44347</v>
      </c>
      <c r="M160" s="248">
        <v>44347</v>
      </c>
      <c r="N160" s="246"/>
      <c r="O160" s="246" t="s">
        <v>1331</v>
      </c>
      <c r="P160" s="246"/>
      <c r="Q160" s="246"/>
      <c r="R160" s="246"/>
      <c r="S160" s="246"/>
      <c r="T160" s="246"/>
      <c r="U160" s="246"/>
      <c r="V160" s="246"/>
      <c r="W160" s="246"/>
      <c r="X160" s="253" t="s">
        <v>1337</v>
      </c>
      <c r="Y160" s="244"/>
      <c r="Z160" s="244" t="s">
        <v>1333</v>
      </c>
      <c r="AA160" s="246"/>
      <c r="AB160" s="245"/>
    </row>
    <row r="161" spans="1:31" s="250" customFormat="1">
      <c r="A161" s="284">
        <v>158</v>
      </c>
      <c r="B161" s="285" t="s">
        <v>407</v>
      </c>
      <c r="C161" s="286" t="s">
        <v>1359</v>
      </c>
      <c r="D161" s="286" t="s">
        <v>1361</v>
      </c>
      <c r="E161" s="286" t="s">
        <v>1362</v>
      </c>
      <c r="F161" s="286" t="s">
        <v>405</v>
      </c>
      <c r="G161" s="286" t="s">
        <v>526</v>
      </c>
      <c r="H161" s="286" t="s">
        <v>745</v>
      </c>
      <c r="I161" s="287" t="s">
        <v>1364</v>
      </c>
      <c r="J161" s="248">
        <v>44344</v>
      </c>
      <c r="K161" s="248">
        <v>44530</v>
      </c>
      <c r="L161" s="247" t="s">
        <v>411</v>
      </c>
      <c r="M161" s="247" t="s">
        <v>411</v>
      </c>
      <c r="N161" s="246"/>
      <c r="O161" s="246" t="s">
        <v>620</v>
      </c>
      <c r="P161" s="246"/>
      <c r="Q161" s="246"/>
      <c r="R161" s="246"/>
      <c r="S161" s="246"/>
      <c r="T161" s="246"/>
      <c r="U161" s="246"/>
      <c r="V161" s="246"/>
      <c r="W161" s="246"/>
      <c r="X161" s="246" t="s">
        <v>850</v>
      </c>
      <c r="Y161" s="246"/>
      <c r="Z161" s="246" t="s">
        <v>1789</v>
      </c>
      <c r="AA161" s="246"/>
      <c r="AB161" s="245"/>
    </row>
    <row r="162" spans="1:31" s="250" customFormat="1" ht="17.25" thickBot="1">
      <c r="A162" s="288">
        <v>158</v>
      </c>
      <c r="B162" s="289" t="s">
        <v>407</v>
      </c>
      <c r="C162" s="290" t="s">
        <v>1359</v>
      </c>
      <c r="D162" s="290" t="s">
        <v>1410</v>
      </c>
      <c r="E162" s="290" t="s">
        <v>1362</v>
      </c>
      <c r="F162" s="290" t="s">
        <v>405</v>
      </c>
      <c r="G162" s="290" t="s">
        <v>526</v>
      </c>
      <c r="H162" s="290" t="s">
        <v>406</v>
      </c>
      <c r="I162" s="291">
        <v>36960000</v>
      </c>
      <c r="J162" s="248">
        <v>44344</v>
      </c>
      <c r="K162" s="248">
        <v>44530</v>
      </c>
      <c r="L162" s="248">
        <v>44530</v>
      </c>
      <c r="M162" s="292">
        <v>44532</v>
      </c>
      <c r="N162" s="246"/>
      <c r="O162" s="246" t="s">
        <v>620</v>
      </c>
      <c r="P162" s="246"/>
      <c r="Q162" s="246"/>
      <c r="R162" s="246"/>
      <c r="S162" s="246"/>
      <c r="T162" s="246"/>
      <c r="U162" s="246"/>
      <c r="V162" s="246"/>
      <c r="W162" s="246"/>
      <c r="X162" s="253" t="s">
        <v>2040</v>
      </c>
      <c r="Y162" s="244"/>
      <c r="Z162" s="244" t="s">
        <v>2120</v>
      </c>
      <c r="AA162" s="255" t="s">
        <v>1554</v>
      </c>
      <c r="AB162" s="245"/>
    </row>
    <row r="163" spans="1:31" s="250" customFormat="1">
      <c r="A163" s="244">
        <v>159</v>
      </c>
      <c r="B163" s="245" t="s">
        <v>1358</v>
      </c>
      <c r="C163" s="246" t="s">
        <v>1360</v>
      </c>
      <c r="D163" s="246" t="s">
        <v>417</v>
      </c>
      <c r="E163" s="246" t="s">
        <v>1534</v>
      </c>
      <c r="F163" s="246" t="s">
        <v>1363</v>
      </c>
      <c r="G163" s="246" t="s">
        <v>526</v>
      </c>
      <c r="H163" s="246" t="s">
        <v>1366</v>
      </c>
      <c r="I163" s="18">
        <v>17140200</v>
      </c>
      <c r="J163" s="248">
        <v>44344</v>
      </c>
      <c r="K163" s="248">
        <v>44428</v>
      </c>
      <c r="L163" s="248">
        <v>44400</v>
      </c>
      <c r="M163" s="248">
        <v>44404</v>
      </c>
      <c r="N163" s="246"/>
      <c r="O163" s="246" t="s">
        <v>1365</v>
      </c>
      <c r="P163" s="246"/>
      <c r="Q163" s="246"/>
      <c r="R163" s="246"/>
      <c r="S163" s="246"/>
      <c r="T163" s="246"/>
      <c r="U163" s="246"/>
      <c r="V163" s="246"/>
      <c r="W163" s="246"/>
      <c r="X163" s="253" t="s">
        <v>1533</v>
      </c>
      <c r="Y163" s="244"/>
      <c r="Z163" s="244" t="s">
        <v>1790</v>
      </c>
      <c r="AA163" s="246"/>
      <c r="AB163" s="245"/>
    </row>
    <row r="164" spans="1:31" s="250" customFormat="1">
      <c r="A164" s="244">
        <v>160</v>
      </c>
      <c r="B164" s="245" t="s">
        <v>1349</v>
      </c>
      <c r="C164" s="246" t="s">
        <v>1350</v>
      </c>
      <c r="D164" s="246" t="s">
        <v>1351</v>
      </c>
      <c r="E164" s="246" t="s">
        <v>1352</v>
      </c>
      <c r="F164" s="246" t="s">
        <v>1353</v>
      </c>
      <c r="G164" s="246" t="s">
        <v>526</v>
      </c>
      <c r="H164" s="246" t="s">
        <v>1354</v>
      </c>
      <c r="I164" s="18">
        <v>33000000</v>
      </c>
      <c r="J164" s="248">
        <v>44344</v>
      </c>
      <c r="K164" s="248">
        <v>44359</v>
      </c>
      <c r="L164" s="248">
        <v>44344</v>
      </c>
      <c r="M164" s="248">
        <v>44368</v>
      </c>
      <c r="N164" s="246"/>
      <c r="O164" s="246" t="s">
        <v>1355</v>
      </c>
      <c r="P164" s="246"/>
      <c r="Q164" s="246"/>
      <c r="R164" s="246"/>
      <c r="S164" s="246"/>
      <c r="T164" s="246"/>
      <c r="U164" s="246"/>
      <c r="V164" s="246"/>
      <c r="W164" s="246"/>
      <c r="X164" s="244" t="s">
        <v>1549</v>
      </c>
      <c r="Y164" s="244"/>
      <c r="Z164" s="244" t="s">
        <v>1790</v>
      </c>
      <c r="AA164" s="246"/>
      <c r="AB164" s="245"/>
      <c r="AC164" s="246"/>
    </row>
    <row r="165" spans="1:31" s="250" customFormat="1">
      <c r="A165" s="244">
        <v>161</v>
      </c>
      <c r="B165" s="245" t="s">
        <v>999</v>
      </c>
      <c r="C165" s="246" t="s">
        <v>1371</v>
      </c>
      <c r="D165" s="246" t="s">
        <v>410</v>
      </c>
      <c r="E165" s="246" t="s">
        <v>1574</v>
      </c>
      <c r="F165" s="246" t="s">
        <v>405</v>
      </c>
      <c r="G165" s="246" t="s">
        <v>526</v>
      </c>
      <c r="H165" s="246" t="s">
        <v>406</v>
      </c>
      <c r="I165" s="18">
        <v>5500000</v>
      </c>
      <c r="J165" s="248">
        <v>44344</v>
      </c>
      <c r="K165" s="248">
        <v>44402</v>
      </c>
      <c r="L165" s="248">
        <v>44390</v>
      </c>
      <c r="M165" s="248">
        <v>44392</v>
      </c>
      <c r="N165" s="246"/>
      <c r="O165" s="246" t="s">
        <v>1373</v>
      </c>
      <c r="P165" s="246"/>
      <c r="Q165" s="246"/>
      <c r="R165" s="246"/>
      <c r="S165" s="246"/>
      <c r="T165" s="246"/>
      <c r="U165" s="246"/>
      <c r="V165" s="246"/>
      <c r="W165" s="246"/>
      <c r="X165" s="253" t="s">
        <v>2704</v>
      </c>
      <c r="Y165" s="244"/>
      <c r="Z165" s="244" t="s">
        <v>2576</v>
      </c>
      <c r="AA165" s="246"/>
      <c r="AB165" s="245" t="s">
        <v>2480</v>
      </c>
    </row>
    <row r="166" spans="1:31" s="250" customFormat="1">
      <c r="A166" s="244">
        <v>162</v>
      </c>
      <c r="B166" s="245" t="s">
        <v>1370</v>
      </c>
      <c r="C166" s="246" t="s">
        <v>1372</v>
      </c>
      <c r="D166" s="246" t="s">
        <v>409</v>
      </c>
      <c r="E166" s="246" t="s">
        <v>1375</v>
      </c>
      <c r="F166" s="246" t="s">
        <v>519</v>
      </c>
      <c r="G166" s="246" t="s">
        <v>526</v>
      </c>
      <c r="H166" s="246" t="s">
        <v>406</v>
      </c>
      <c r="I166" s="18">
        <v>12628000</v>
      </c>
      <c r="J166" s="248">
        <v>44345</v>
      </c>
      <c r="K166" s="248">
        <v>44356</v>
      </c>
      <c r="L166" s="248">
        <v>44363</v>
      </c>
      <c r="M166" s="248">
        <v>44363</v>
      </c>
      <c r="N166" s="246"/>
      <c r="O166" s="246" t="s">
        <v>1374</v>
      </c>
      <c r="P166" s="246"/>
      <c r="Q166" s="246"/>
      <c r="R166" s="246"/>
      <c r="S166" s="246"/>
      <c r="T166" s="246"/>
      <c r="U166" s="246"/>
      <c r="V166" s="246"/>
      <c r="W166" s="246"/>
      <c r="X166" s="246" t="s">
        <v>1376</v>
      </c>
      <c r="Y166" s="246"/>
      <c r="Z166" s="244" t="s">
        <v>1790</v>
      </c>
      <c r="AA166" s="246"/>
      <c r="AB166" s="245"/>
    </row>
    <row r="167" spans="1:31" s="250" customFormat="1">
      <c r="A167" s="244">
        <v>163</v>
      </c>
      <c r="B167" s="245" t="s">
        <v>958</v>
      </c>
      <c r="C167" s="246" t="s">
        <v>959</v>
      </c>
      <c r="D167" s="246" t="s">
        <v>409</v>
      </c>
      <c r="E167" s="246" t="s">
        <v>1390</v>
      </c>
      <c r="F167" s="246" t="s">
        <v>519</v>
      </c>
      <c r="G167" s="246" t="s">
        <v>526</v>
      </c>
      <c r="H167" s="246" t="s">
        <v>406</v>
      </c>
      <c r="I167" s="18">
        <v>3938000</v>
      </c>
      <c r="J167" s="248">
        <v>44346</v>
      </c>
      <c r="K167" s="248" t="s">
        <v>526</v>
      </c>
      <c r="L167" s="248">
        <v>44356</v>
      </c>
      <c r="M167" s="248">
        <v>44358</v>
      </c>
      <c r="N167" s="246"/>
      <c r="O167" s="246" t="s">
        <v>742</v>
      </c>
      <c r="P167" s="246"/>
      <c r="Q167" s="246"/>
      <c r="R167" s="246"/>
      <c r="S167" s="246"/>
      <c r="T167" s="246"/>
      <c r="U167" s="246"/>
      <c r="V167" s="246"/>
      <c r="W167" s="246"/>
      <c r="X167" s="293" t="s">
        <v>1791</v>
      </c>
      <c r="Y167" s="293"/>
      <c r="Z167" s="244" t="s">
        <v>2587</v>
      </c>
      <c r="AA167" s="246"/>
      <c r="AB167" s="245" t="s">
        <v>2474</v>
      </c>
    </row>
    <row r="168" spans="1:31" s="250" customFormat="1">
      <c r="A168" s="244">
        <v>164</v>
      </c>
      <c r="B168" s="245" t="s">
        <v>1527</v>
      </c>
      <c r="C168" s="246" t="s">
        <v>1393</v>
      </c>
      <c r="D168" s="246" t="s">
        <v>414</v>
      </c>
      <c r="E168" s="246" t="s">
        <v>1391</v>
      </c>
      <c r="F168" s="246" t="s">
        <v>405</v>
      </c>
      <c r="G168" s="246" t="s">
        <v>526</v>
      </c>
      <c r="H168" s="246" t="s">
        <v>406</v>
      </c>
      <c r="I168" s="18">
        <v>2915000</v>
      </c>
      <c r="J168" s="248">
        <v>44347</v>
      </c>
      <c r="K168" s="248" t="s">
        <v>526</v>
      </c>
      <c r="L168" s="248">
        <v>44376</v>
      </c>
      <c r="M168" s="246" t="s">
        <v>1575</v>
      </c>
      <c r="N168" s="246"/>
      <c r="O168" s="246" t="s">
        <v>742</v>
      </c>
      <c r="P168" s="246"/>
      <c r="Q168" s="246"/>
      <c r="R168" s="246"/>
      <c r="S168" s="246"/>
      <c r="T168" s="246"/>
      <c r="U168" s="246"/>
      <c r="V168" s="246"/>
      <c r="W168" s="246"/>
      <c r="X168" s="253" t="s">
        <v>1512</v>
      </c>
      <c r="Y168" s="244"/>
      <c r="Z168" s="244" t="s">
        <v>1790</v>
      </c>
      <c r="AA168" s="246"/>
      <c r="AB168" s="245"/>
    </row>
    <row r="169" spans="1:31" s="250" customFormat="1">
      <c r="A169" s="244">
        <v>165</v>
      </c>
      <c r="B169" s="245" t="s">
        <v>518</v>
      </c>
      <c r="C169" s="247" t="s">
        <v>1585</v>
      </c>
      <c r="D169" s="246" t="s">
        <v>409</v>
      </c>
      <c r="E169" s="246" t="s">
        <v>1392</v>
      </c>
      <c r="F169" s="246" t="s">
        <v>519</v>
      </c>
      <c r="G169" s="246" t="s">
        <v>526</v>
      </c>
      <c r="H169" s="246" t="s">
        <v>406</v>
      </c>
      <c r="I169" s="18">
        <v>8000000</v>
      </c>
      <c r="J169" s="248">
        <v>44347</v>
      </c>
      <c r="K169" s="248">
        <v>44469</v>
      </c>
      <c r="L169" s="248">
        <v>44470</v>
      </c>
      <c r="M169" s="248">
        <v>44474</v>
      </c>
      <c r="N169" s="246"/>
      <c r="O169" s="246" t="s">
        <v>711</v>
      </c>
      <c r="P169" s="246"/>
      <c r="Q169" s="246"/>
      <c r="R169" s="246"/>
      <c r="S169" s="246"/>
      <c r="T169" s="246"/>
      <c r="U169" s="246"/>
      <c r="V169" s="246"/>
      <c r="W169" s="246"/>
      <c r="X169" s="244" t="s">
        <v>2128</v>
      </c>
      <c r="Y169" s="244"/>
      <c r="Z169" s="246" t="s">
        <v>2125</v>
      </c>
      <c r="AA169" s="246"/>
      <c r="AB169" s="245"/>
    </row>
    <row r="170" spans="1:31" s="250" customFormat="1">
      <c r="A170" s="244">
        <v>166</v>
      </c>
      <c r="B170" s="245" t="s">
        <v>1349</v>
      </c>
      <c r="C170" s="246" t="s">
        <v>1350</v>
      </c>
      <c r="D170" s="246" t="s">
        <v>409</v>
      </c>
      <c r="E170" s="246" t="s">
        <v>1385</v>
      </c>
      <c r="F170" s="246" t="s">
        <v>405</v>
      </c>
      <c r="G170" s="246" t="s">
        <v>526</v>
      </c>
      <c r="H170" s="246" t="s">
        <v>406</v>
      </c>
      <c r="I170" s="18">
        <v>33000000</v>
      </c>
      <c r="J170" s="248">
        <v>44337</v>
      </c>
      <c r="K170" s="248" t="s">
        <v>526</v>
      </c>
      <c r="L170" s="248">
        <v>44340</v>
      </c>
      <c r="M170" s="248">
        <v>44368</v>
      </c>
      <c r="N170" s="246"/>
      <c r="O170" s="246" t="s">
        <v>691</v>
      </c>
      <c r="P170" s="246"/>
      <c r="Q170" s="246"/>
      <c r="R170" s="246"/>
      <c r="S170" s="246"/>
      <c r="T170" s="246"/>
      <c r="U170" s="246"/>
      <c r="V170" s="246"/>
      <c r="W170" s="246"/>
      <c r="X170" s="244" t="s">
        <v>1549</v>
      </c>
      <c r="Y170" s="244"/>
      <c r="Z170" s="244" t="s">
        <v>1790</v>
      </c>
      <c r="AA170" s="246"/>
      <c r="AB170" s="245"/>
      <c r="AC170" s="246"/>
    </row>
    <row r="171" spans="1:31" s="250" customFormat="1">
      <c r="A171" s="244">
        <v>167</v>
      </c>
      <c r="B171" s="245" t="s">
        <v>1386</v>
      </c>
      <c r="C171" s="246" t="s">
        <v>1387</v>
      </c>
      <c r="D171" s="246" t="s">
        <v>1388</v>
      </c>
      <c r="E171" s="246" t="s">
        <v>1389</v>
      </c>
      <c r="F171" s="246" t="s">
        <v>405</v>
      </c>
      <c r="G171" s="246" t="s">
        <v>526</v>
      </c>
      <c r="H171" s="246" t="s">
        <v>406</v>
      </c>
      <c r="I171" s="18">
        <v>8030000</v>
      </c>
      <c r="J171" s="248">
        <v>44348</v>
      </c>
      <c r="K171" s="248" t="s">
        <v>526</v>
      </c>
      <c r="L171" s="248">
        <v>44365</v>
      </c>
      <c r="M171" s="248">
        <v>44372</v>
      </c>
      <c r="N171" s="246"/>
      <c r="O171" s="246" t="s">
        <v>655</v>
      </c>
      <c r="P171" s="246"/>
      <c r="Q171" s="246"/>
      <c r="R171" s="246"/>
      <c r="S171" s="246"/>
      <c r="T171" s="246"/>
      <c r="U171" s="246"/>
      <c r="V171" s="246"/>
      <c r="W171" s="246"/>
      <c r="X171" s="244" t="s">
        <v>2788</v>
      </c>
      <c r="Y171" s="244"/>
      <c r="Z171" s="246" t="s">
        <v>1277</v>
      </c>
      <c r="AA171" s="246"/>
      <c r="AB171" s="245" t="s">
        <v>2535</v>
      </c>
      <c r="AE171" s="294" t="s">
        <v>2789</v>
      </c>
    </row>
    <row r="172" spans="1:31" s="250" customFormat="1">
      <c r="A172" s="244">
        <v>168</v>
      </c>
      <c r="B172" s="245" t="s">
        <v>1401</v>
      </c>
      <c r="C172" s="246"/>
      <c r="D172" s="246" t="s">
        <v>1388</v>
      </c>
      <c r="E172" s="246" t="s">
        <v>1402</v>
      </c>
      <c r="F172" s="246" t="s">
        <v>405</v>
      </c>
      <c r="G172" s="246" t="s">
        <v>411</v>
      </c>
      <c r="H172" s="246" t="s">
        <v>406</v>
      </c>
      <c r="I172" s="18">
        <v>15840000</v>
      </c>
      <c r="J172" s="248">
        <v>44350</v>
      </c>
      <c r="K172" s="248">
        <v>44380</v>
      </c>
      <c r="L172" s="248">
        <v>44370</v>
      </c>
      <c r="M172" s="248">
        <v>44370</v>
      </c>
      <c r="N172" s="246"/>
      <c r="O172" s="246" t="s">
        <v>742</v>
      </c>
      <c r="P172" s="246"/>
      <c r="Q172" s="246"/>
      <c r="R172" s="246"/>
      <c r="S172" s="246"/>
      <c r="T172" s="246"/>
      <c r="U172" s="246"/>
      <c r="V172" s="246"/>
      <c r="W172" s="246"/>
      <c r="X172" s="253" t="s">
        <v>1513</v>
      </c>
      <c r="Y172" s="244"/>
      <c r="Z172" s="244" t="s">
        <v>2583</v>
      </c>
      <c r="AA172" s="255"/>
      <c r="AB172" s="245" t="s">
        <v>2548</v>
      </c>
    </row>
    <row r="173" spans="1:31" s="250" customFormat="1">
      <c r="A173" s="244">
        <v>169</v>
      </c>
      <c r="B173" s="245" t="s">
        <v>416</v>
      </c>
      <c r="C173" s="246" t="s">
        <v>1322</v>
      </c>
      <c r="D173" s="246" t="s">
        <v>532</v>
      </c>
      <c r="E173" s="246" t="s">
        <v>1487</v>
      </c>
      <c r="F173" s="246" t="s">
        <v>405</v>
      </c>
      <c r="G173" s="246" t="s">
        <v>411</v>
      </c>
      <c r="H173" s="246" t="s">
        <v>745</v>
      </c>
      <c r="I173" s="26" t="s">
        <v>1403</v>
      </c>
      <c r="J173" s="248">
        <v>44350</v>
      </c>
      <c r="K173" s="248">
        <v>44449</v>
      </c>
      <c r="L173" s="247" t="s">
        <v>411</v>
      </c>
      <c r="M173" s="247" t="s">
        <v>411</v>
      </c>
      <c r="N173" s="246"/>
      <c r="O173" s="246" t="s">
        <v>846</v>
      </c>
      <c r="P173" s="246"/>
      <c r="Q173" s="246"/>
      <c r="R173" s="246"/>
      <c r="S173" s="246"/>
      <c r="T173" s="246"/>
      <c r="U173" s="246"/>
      <c r="V173" s="246"/>
      <c r="W173" s="246"/>
      <c r="X173" s="244" t="s">
        <v>850</v>
      </c>
      <c r="Y173" s="244"/>
      <c r="Z173" s="246" t="s">
        <v>1789</v>
      </c>
      <c r="AA173" s="246"/>
      <c r="AB173" s="245"/>
    </row>
    <row r="174" spans="1:31" s="250" customFormat="1">
      <c r="A174" s="244">
        <v>170</v>
      </c>
      <c r="B174" s="245" t="s">
        <v>640</v>
      </c>
      <c r="C174" s="246"/>
      <c r="D174" s="246" t="s">
        <v>409</v>
      </c>
      <c r="E174" s="246" t="s">
        <v>1404</v>
      </c>
      <c r="F174" s="246" t="s">
        <v>519</v>
      </c>
      <c r="G174" s="246" t="s">
        <v>411</v>
      </c>
      <c r="H174" s="246" t="s">
        <v>406</v>
      </c>
      <c r="I174" s="18">
        <v>9493000</v>
      </c>
      <c r="J174" s="248">
        <v>44350</v>
      </c>
      <c r="K174" s="248">
        <v>44407</v>
      </c>
      <c r="L174" s="248">
        <v>44355</v>
      </c>
      <c r="M174" s="248">
        <v>44358</v>
      </c>
      <c r="N174" s="246"/>
      <c r="O174" s="246" t="s">
        <v>1409</v>
      </c>
      <c r="P174" s="246"/>
      <c r="Q174" s="246"/>
      <c r="R174" s="246"/>
      <c r="S174" s="246"/>
      <c r="T174" s="246"/>
      <c r="U174" s="246"/>
      <c r="V174" s="246"/>
      <c r="W174" s="246"/>
      <c r="X174" s="244" t="s">
        <v>1932</v>
      </c>
      <c r="Y174" s="244"/>
      <c r="Z174" s="246" t="s">
        <v>411</v>
      </c>
      <c r="AA174" s="246"/>
      <c r="AB174" s="245"/>
    </row>
    <row r="175" spans="1:31" s="250" customFormat="1">
      <c r="A175" s="244">
        <v>171</v>
      </c>
      <c r="B175" s="245" t="s">
        <v>1405</v>
      </c>
      <c r="C175" s="246" t="s">
        <v>1406</v>
      </c>
      <c r="D175" s="246" t="s">
        <v>1051</v>
      </c>
      <c r="E175" s="246" t="s">
        <v>1407</v>
      </c>
      <c r="F175" s="246" t="s">
        <v>405</v>
      </c>
      <c r="G175" s="246" t="s">
        <v>411</v>
      </c>
      <c r="H175" s="246" t="s">
        <v>406</v>
      </c>
      <c r="I175" s="18">
        <v>6380000</v>
      </c>
      <c r="J175" s="248">
        <v>44350</v>
      </c>
      <c r="K175" s="248">
        <v>44408</v>
      </c>
      <c r="L175" s="248">
        <v>44362</v>
      </c>
      <c r="M175" s="248">
        <v>44362</v>
      </c>
      <c r="N175" s="246"/>
      <c r="O175" s="246" t="s">
        <v>742</v>
      </c>
      <c r="P175" s="246"/>
      <c r="Q175" s="246"/>
      <c r="R175" s="246"/>
      <c r="S175" s="246"/>
      <c r="T175" s="246"/>
      <c r="U175" s="246"/>
      <c r="V175" s="246"/>
      <c r="W175" s="246"/>
      <c r="X175" s="253" t="s">
        <v>2012</v>
      </c>
      <c r="Y175" s="244"/>
      <c r="Z175" s="244" t="s">
        <v>1278</v>
      </c>
      <c r="AA175" s="246"/>
      <c r="AB175" s="245"/>
    </row>
    <row r="176" spans="1:31" s="250" customFormat="1">
      <c r="A176" s="244">
        <v>172</v>
      </c>
      <c r="B176" s="245" t="s">
        <v>407</v>
      </c>
      <c r="C176" s="247" t="s">
        <v>411</v>
      </c>
      <c r="D176" s="246" t="s">
        <v>409</v>
      </c>
      <c r="E176" s="246" t="s">
        <v>1408</v>
      </c>
      <c r="F176" s="246" t="s">
        <v>519</v>
      </c>
      <c r="G176" s="246" t="s">
        <v>411</v>
      </c>
      <c r="H176" s="246" t="s">
        <v>406</v>
      </c>
      <c r="I176" s="18">
        <v>11968000</v>
      </c>
      <c r="J176" s="248">
        <v>44351</v>
      </c>
      <c r="K176" s="248">
        <v>44395</v>
      </c>
      <c r="L176" s="248">
        <v>44399</v>
      </c>
      <c r="M176" s="248">
        <v>44407</v>
      </c>
      <c r="N176" s="246"/>
      <c r="O176" s="246" t="s">
        <v>547</v>
      </c>
      <c r="P176" s="246"/>
      <c r="Q176" s="246"/>
      <c r="R176" s="246"/>
      <c r="S176" s="246"/>
      <c r="T176" s="246"/>
      <c r="U176" s="246"/>
      <c r="V176" s="246"/>
      <c r="W176" s="246"/>
      <c r="X176" s="295" t="s">
        <v>1590</v>
      </c>
      <c r="Y176" s="295"/>
      <c r="Z176" s="244" t="s">
        <v>1790</v>
      </c>
      <c r="AA176" s="246"/>
      <c r="AB176" s="245"/>
      <c r="AC176" s="246"/>
    </row>
    <row r="177" spans="1:29" s="250" customFormat="1">
      <c r="A177" s="244">
        <v>173</v>
      </c>
      <c r="B177" s="245" t="s">
        <v>1425</v>
      </c>
      <c r="C177" s="246" t="s">
        <v>1436</v>
      </c>
      <c r="D177" s="246" t="s">
        <v>1437</v>
      </c>
      <c r="E177" s="246" t="s">
        <v>1432</v>
      </c>
      <c r="F177" s="246" t="s">
        <v>1435</v>
      </c>
      <c r="G177" s="246" t="s">
        <v>411</v>
      </c>
      <c r="H177" s="246" t="s">
        <v>1441</v>
      </c>
      <c r="I177" s="18">
        <v>3520000</v>
      </c>
      <c r="J177" s="248">
        <v>44351</v>
      </c>
      <c r="K177" s="248">
        <v>44407</v>
      </c>
      <c r="L177" s="248">
        <v>44393</v>
      </c>
      <c r="M177" s="248">
        <v>44403</v>
      </c>
      <c r="N177" s="246"/>
      <c r="O177" s="246" t="s">
        <v>1438</v>
      </c>
      <c r="P177" s="246"/>
      <c r="Q177" s="246"/>
      <c r="R177" s="246"/>
      <c r="S177" s="246"/>
      <c r="T177" s="246"/>
      <c r="U177" s="246"/>
      <c r="V177" s="246"/>
      <c r="W177" s="246"/>
      <c r="X177" s="253" t="s">
        <v>1463</v>
      </c>
      <c r="Y177" s="244"/>
      <c r="Z177" s="244" t="s">
        <v>1790</v>
      </c>
      <c r="AA177" s="246"/>
      <c r="AB177" s="245"/>
      <c r="AC177" s="246"/>
    </row>
    <row r="178" spans="1:29" s="250" customFormat="1">
      <c r="A178" s="244">
        <v>174</v>
      </c>
      <c r="B178" s="245" t="s">
        <v>1426</v>
      </c>
      <c r="C178" s="246" t="s">
        <v>1434</v>
      </c>
      <c r="D178" s="246" t="s">
        <v>1439</v>
      </c>
      <c r="E178" s="246" t="s">
        <v>1433</v>
      </c>
      <c r="F178" s="246" t="s">
        <v>1435</v>
      </c>
      <c r="G178" s="246" t="s">
        <v>411</v>
      </c>
      <c r="H178" s="246" t="s">
        <v>1441</v>
      </c>
      <c r="I178" s="18">
        <v>26400000</v>
      </c>
      <c r="J178" s="248">
        <v>44354</v>
      </c>
      <c r="K178" s="248">
        <v>44421</v>
      </c>
      <c r="L178" s="248">
        <v>44439</v>
      </c>
      <c r="M178" s="248">
        <v>44445</v>
      </c>
      <c r="N178" s="246"/>
      <c r="O178" s="246" t="s">
        <v>1440</v>
      </c>
      <c r="P178" s="246"/>
      <c r="Q178" s="246"/>
      <c r="R178" s="246"/>
      <c r="S178" s="246"/>
      <c r="T178" s="246"/>
      <c r="U178" s="246"/>
      <c r="V178" s="246"/>
      <c r="W178" s="246"/>
      <c r="X178" s="253" t="s">
        <v>1792</v>
      </c>
      <c r="Y178" s="244"/>
      <c r="Z178" s="244" t="s">
        <v>1790</v>
      </c>
      <c r="AA178" s="246"/>
      <c r="AB178" s="245"/>
    </row>
    <row r="179" spans="1:29" s="250" customFormat="1">
      <c r="A179" s="244">
        <v>175</v>
      </c>
      <c r="B179" s="245" t="s">
        <v>1411</v>
      </c>
      <c r="C179" s="246" t="s">
        <v>1412</v>
      </c>
      <c r="D179" s="246"/>
      <c r="E179" s="246" t="s">
        <v>1414</v>
      </c>
      <c r="F179" s="246" t="s">
        <v>1417</v>
      </c>
      <c r="G179" s="246" t="s">
        <v>411</v>
      </c>
      <c r="H179" s="246" t="s">
        <v>406</v>
      </c>
      <c r="I179" s="18">
        <v>18274885</v>
      </c>
      <c r="J179" s="248">
        <v>44351</v>
      </c>
      <c r="K179" s="248" t="s">
        <v>526</v>
      </c>
      <c r="L179" s="248">
        <v>44354</v>
      </c>
      <c r="M179" s="248" t="s">
        <v>1457</v>
      </c>
      <c r="N179" s="246"/>
      <c r="O179" s="246" t="s">
        <v>1418</v>
      </c>
      <c r="P179" s="246"/>
      <c r="Q179" s="246"/>
      <c r="R179" s="246"/>
      <c r="S179" s="246"/>
      <c r="T179" s="246"/>
      <c r="U179" s="246"/>
      <c r="V179" s="246"/>
      <c r="W179" s="246"/>
      <c r="X179" s="253" t="s">
        <v>1793</v>
      </c>
      <c r="Y179" s="251"/>
      <c r="Z179" s="244" t="s">
        <v>1790</v>
      </c>
      <c r="AA179" s="255"/>
      <c r="AB179" s="245" t="s">
        <v>2551</v>
      </c>
    </row>
    <row r="180" spans="1:29" s="250" customFormat="1">
      <c r="A180" s="244">
        <v>176</v>
      </c>
      <c r="B180" s="245" t="s">
        <v>1411</v>
      </c>
      <c r="C180" s="246" t="s">
        <v>1412</v>
      </c>
      <c r="D180" s="246"/>
      <c r="E180" s="246" t="s">
        <v>1415</v>
      </c>
      <c r="F180" s="246" t="s">
        <v>1417</v>
      </c>
      <c r="G180" s="246" t="s">
        <v>411</v>
      </c>
      <c r="H180" s="246" t="s">
        <v>406</v>
      </c>
      <c r="I180" s="18">
        <v>15187535</v>
      </c>
      <c r="J180" s="248">
        <v>44351</v>
      </c>
      <c r="K180" s="248" t="s">
        <v>526</v>
      </c>
      <c r="L180" s="248">
        <v>44354</v>
      </c>
      <c r="M180" s="246" t="s">
        <v>1457</v>
      </c>
      <c r="N180" s="246"/>
      <c r="O180" s="246" t="s">
        <v>1418</v>
      </c>
      <c r="P180" s="246"/>
      <c r="Q180" s="246"/>
      <c r="R180" s="246"/>
      <c r="S180" s="246"/>
      <c r="T180" s="246"/>
      <c r="U180" s="246"/>
      <c r="V180" s="246"/>
      <c r="W180" s="246"/>
      <c r="X180" s="253" t="s">
        <v>1839</v>
      </c>
      <c r="Y180" s="251"/>
      <c r="Z180" s="244" t="s">
        <v>2705</v>
      </c>
      <c r="AA180" s="245" t="s">
        <v>2810</v>
      </c>
      <c r="AB180" s="245"/>
    </row>
    <row r="181" spans="1:29" s="250" customFormat="1">
      <c r="A181" s="244">
        <v>177</v>
      </c>
      <c r="B181" s="245" t="s">
        <v>1427</v>
      </c>
      <c r="C181" s="246" t="s">
        <v>1428</v>
      </c>
      <c r="D181" s="246" t="s">
        <v>1429</v>
      </c>
      <c r="E181" s="246" t="s">
        <v>1430</v>
      </c>
      <c r="F181" s="246" t="s">
        <v>1431</v>
      </c>
      <c r="G181" s="246" t="s">
        <v>411</v>
      </c>
      <c r="H181" s="246" t="s">
        <v>1442</v>
      </c>
      <c r="I181" s="18">
        <v>17323900</v>
      </c>
      <c r="J181" s="248">
        <v>44354</v>
      </c>
      <c r="K181" s="248">
        <v>44377</v>
      </c>
      <c r="L181" s="248">
        <v>44377</v>
      </c>
      <c r="M181" s="248">
        <v>44377</v>
      </c>
      <c r="N181" s="246"/>
      <c r="O181" s="246" t="s">
        <v>1443</v>
      </c>
      <c r="P181" s="246"/>
      <c r="Q181" s="246"/>
      <c r="R181" s="246"/>
      <c r="S181" s="246"/>
      <c r="T181" s="246"/>
      <c r="U181" s="246"/>
      <c r="V181" s="246"/>
      <c r="W181" s="246"/>
      <c r="X181" s="261" t="s">
        <v>1794</v>
      </c>
      <c r="Y181" s="261"/>
      <c r="Z181" s="244" t="s">
        <v>2706</v>
      </c>
      <c r="AA181" s="246"/>
      <c r="AB181" s="245"/>
    </row>
    <row r="182" spans="1:29" s="250" customFormat="1">
      <c r="A182" s="244">
        <v>178</v>
      </c>
      <c r="B182" s="245" t="s">
        <v>1411</v>
      </c>
      <c r="C182" s="246" t="s">
        <v>1413</v>
      </c>
      <c r="D182" s="246"/>
      <c r="E182" s="246" t="s">
        <v>1416</v>
      </c>
      <c r="F182" s="246" t="s">
        <v>1417</v>
      </c>
      <c r="G182" s="246" t="s">
        <v>411</v>
      </c>
      <c r="H182" s="246" t="s">
        <v>406</v>
      </c>
      <c r="I182" s="18">
        <v>103295647</v>
      </c>
      <c r="J182" s="248">
        <v>44354</v>
      </c>
      <c r="K182" s="248" t="s">
        <v>526</v>
      </c>
      <c r="L182" s="248">
        <v>44354</v>
      </c>
      <c r="M182" s="246" t="s">
        <v>1456</v>
      </c>
      <c r="N182" s="246"/>
      <c r="O182" s="246" t="s">
        <v>1419</v>
      </c>
      <c r="P182" s="246"/>
      <c r="Q182" s="246"/>
      <c r="R182" s="246"/>
      <c r="S182" s="246"/>
      <c r="T182" s="246"/>
      <c r="U182" s="246"/>
      <c r="V182" s="246"/>
      <c r="W182" s="246"/>
      <c r="X182" s="251" t="s">
        <v>2707</v>
      </c>
      <c r="Y182" s="251"/>
      <c r="Z182" s="244" t="s">
        <v>1790</v>
      </c>
      <c r="AA182" s="246" t="s">
        <v>2811</v>
      </c>
      <c r="AB182" s="245"/>
    </row>
    <row r="183" spans="1:29" s="250" customFormat="1">
      <c r="A183" s="244">
        <v>179</v>
      </c>
      <c r="B183" s="245" t="s">
        <v>699</v>
      </c>
      <c r="C183" s="246" t="s">
        <v>1449</v>
      </c>
      <c r="D183" s="246" t="s">
        <v>404</v>
      </c>
      <c r="E183" s="246" t="s">
        <v>1448</v>
      </c>
      <c r="F183" s="246" t="s">
        <v>405</v>
      </c>
      <c r="G183" s="246" t="s">
        <v>411</v>
      </c>
      <c r="H183" s="246" t="s">
        <v>406</v>
      </c>
      <c r="I183" s="18">
        <v>8008000</v>
      </c>
      <c r="J183" s="248">
        <v>44355</v>
      </c>
      <c r="K183" s="246" t="s">
        <v>526</v>
      </c>
      <c r="L183" s="248">
        <v>44355</v>
      </c>
      <c r="M183" s="248">
        <v>44355</v>
      </c>
      <c r="N183" s="246"/>
      <c r="O183" s="246" t="s">
        <v>691</v>
      </c>
      <c r="P183" s="246"/>
      <c r="Q183" s="246"/>
      <c r="R183" s="246"/>
      <c r="S183" s="246"/>
      <c r="T183" s="246"/>
      <c r="U183" s="246"/>
      <c r="V183" s="246"/>
      <c r="W183" s="246"/>
      <c r="X183" s="253" t="s">
        <v>1630</v>
      </c>
      <c r="Y183" s="244"/>
      <c r="Z183" s="244" t="s">
        <v>1462</v>
      </c>
      <c r="AA183" s="246"/>
      <c r="AB183" s="245"/>
      <c r="AC183" s="246"/>
    </row>
    <row r="184" spans="1:29" s="250" customFormat="1">
      <c r="A184" s="244">
        <v>180</v>
      </c>
      <c r="B184" s="245" t="s">
        <v>518</v>
      </c>
      <c r="C184" s="246" t="s">
        <v>1454</v>
      </c>
      <c r="D184" s="246" t="s">
        <v>1455</v>
      </c>
      <c r="E184" s="246" t="s">
        <v>1778</v>
      </c>
      <c r="F184" s="246" t="s">
        <v>405</v>
      </c>
      <c r="G184" s="246" t="s">
        <v>411</v>
      </c>
      <c r="H184" s="246" t="s">
        <v>406</v>
      </c>
      <c r="I184" s="18">
        <v>17380000</v>
      </c>
      <c r="J184" s="248">
        <v>44357</v>
      </c>
      <c r="K184" s="248">
        <v>44439</v>
      </c>
      <c r="L184" s="248">
        <v>44431</v>
      </c>
      <c r="M184" s="248">
        <v>44433</v>
      </c>
      <c r="N184" s="246"/>
      <c r="O184" s="246" t="s">
        <v>846</v>
      </c>
      <c r="P184" s="246"/>
      <c r="Q184" s="246"/>
      <c r="R184" s="246"/>
      <c r="S184" s="246"/>
      <c r="T184" s="246"/>
      <c r="U184" s="246"/>
      <c r="V184" s="246"/>
      <c r="W184" s="246"/>
      <c r="X184" s="253" t="s">
        <v>1674</v>
      </c>
      <c r="Y184" s="244"/>
      <c r="Z184" s="244" t="s">
        <v>1278</v>
      </c>
      <c r="AA184" s="255" t="s">
        <v>1796</v>
      </c>
      <c r="AB184" s="245"/>
    </row>
    <row r="185" spans="1:29" s="250" customFormat="1">
      <c r="A185" s="244">
        <v>181</v>
      </c>
      <c r="B185" s="245" t="s">
        <v>1116</v>
      </c>
      <c r="C185" s="247" t="s">
        <v>411</v>
      </c>
      <c r="D185" s="246" t="s">
        <v>409</v>
      </c>
      <c r="E185" s="246" t="s">
        <v>1453</v>
      </c>
      <c r="F185" s="245" t="s">
        <v>1460</v>
      </c>
      <c r="G185" s="246" t="s">
        <v>411</v>
      </c>
      <c r="H185" s="246" t="s">
        <v>1459</v>
      </c>
      <c r="I185" s="18">
        <v>222000000</v>
      </c>
      <c r="J185" s="248">
        <v>44348</v>
      </c>
      <c r="K185" s="248">
        <v>44561</v>
      </c>
      <c r="L185" s="246" t="s">
        <v>2294</v>
      </c>
      <c r="M185" s="246" t="s">
        <v>2294</v>
      </c>
      <c r="N185" s="246"/>
      <c r="O185" s="246" t="s">
        <v>706</v>
      </c>
      <c r="P185" s="246"/>
      <c r="Q185" s="246"/>
      <c r="R185" s="246"/>
      <c r="S185" s="246"/>
      <c r="T185" s="246"/>
      <c r="U185" s="246"/>
      <c r="V185" s="246"/>
      <c r="W185" s="246"/>
      <c r="X185" s="246" t="s">
        <v>2127</v>
      </c>
      <c r="Y185" s="246"/>
      <c r="Z185" s="246" t="s">
        <v>2125</v>
      </c>
      <c r="AA185" s="246"/>
      <c r="AB185" s="245"/>
    </row>
    <row r="186" spans="1:29" s="250" customFormat="1">
      <c r="A186" s="244">
        <v>182</v>
      </c>
      <c r="B186" s="245" t="s">
        <v>416</v>
      </c>
      <c r="C186" s="246" t="s">
        <v>1322</v>
      </c>
      <c r="D186" s="246" t="s">
        <v>404</v>
      </c>
      <c r="E186" s="246" t="s">
        <v>425</v>
      </c>
      <c r="F186" s="246" t="s">
        <v>405</v>
      </c>
      <c r="G186" s="246" t="s">
        <v>411</v>
      </c>
      <c r="H186" s="246" t="s">
        <v>745</v>
      </c>
      <c r="I186" s="26" t="s">
        <v>1452</v>
      </c>
      <c r="J186" s="248">
        <v>44357</v>
      </c>
      <c r="K186" s="248">
        <v>44449</v>
      </c>
      <c r="L186" s="247" t="s">
        <v>411</v>
      </c>
      <c r="M186" s="247" t="s">
        <v>411</v>
      </c>
      <c r="N186" s="246"/>
      <c r="O186" s="246" t="s">
        <v>846</v>
      </c>
      <c r="P186" s="246"/>
      <c r="Q186" s="246"/>
      <c r="R186" s="246"/>
      <c r="S186" s="246"/>
      <c r="T186" s="246"/>
      <c r="U186" s="246"/>
      <c r="V186" s="246"/>
      <c r="W186" s="246"/>
      <c r="X186" s="244" t="s">
        <v>850</v>
      </c>
      <c r="Y186" s="244"/>
      <c r="Z186" s="246" t="s">
        <v>1789</v>
      </c>
      <c r="AA186" s="246"/>
      <c r="AB186" s="245"/>
    </row>
    <row r="187" spans="1:29" s="250" customFormat="1">
      <c r="A187" s="244">
        <v>183</v>
      </c>
      <c r="B187" s="245" t="s">
        <v>518</v>
      </c>
      <c r="C187" s="247" t="s">
        <v>1585</v>
      </c>
      <c r="D187" s="246" t="s">
        <v>409</v>
      </c>
      <c r="E187" s="246" t="s">
        <v>1451</v>
      </c>
      <c r="F187" s="246" t="s">
        <v>519</v>
      </c>
      <c r="G187" s="246" t="s">
        <v>411</v>
      </c>
      <c r="H187" s="246" t="s">
        <v>406</v>
      </c>
      <c r="I187" s="18">
        <v>68500000</v>
      </c>
      <c r="J187" s="248">
        <v>44357</v>
      </c>
      <c r="K187" s="248">
        <v>44499</v>
      </c>
      <c r="L187" s="246" t="s">
        <v>2102</v>
      </c>
      <c r="M187" s="246" t="s">
        <v>2103</v>
      </c>
      <c r="N187" s="246"/>
      <c r="O187" s="246" t="s">
        <v>1330</v>
      </c>
      <c r="P187" s="246"/>
      <c r="Q187" s="246"/>
      <c r="R187" s="246"/>
      <c r="S187" s="246"/>
      <c r="T187" s="246"/>
      <c r="U187" s="246"/>
      <c r="V187" s="246"/>
      <c r="W187" s="246"/>
      <c r="X187" s="246" t="s">
        <v>2128</v>
      </c>
      <c r="Y187" s="246"/>
      <c r="Z187" s="246" t="s">
        <v>2125</v>
      </c>
      <c r="AA187" s="246"/>
      <c r="AB187" s="245"/>
    </row>
    <row r="188" spans="1:29" s="250" customFormat="1">
      <c r="A188" s="244">
        <v>184</v>
      </c>
      <c r="B188" s="245" t="s">
        <v>1386</v>
      </c>
      <c r="C188" s="246" t="s">
        <v>1450</v>
      </c>
      <c r="D188" s="246" t="s">
        <v>410</v>
      </c>
      <c r="E188" s="246" t="s">
        <v>1619</v>
      </c>
      <c r="F188" s="246" t="s">
        <v>405</v>
      </c>
      <c r="G188" s="246" t="s">
        <v>411</v>
      </c>
      <c r="H188" s="246" t="s">
        <v>406</v>
      </c>
      <c r="I188" s="18">
        <v>14850000</v>
      </c>
      <c r="J188" s="248">
        <v>44357</v>
      </c>
      <c r="K188" s="246" t="s">
        <v>526</v>
      </c>
      <c r="L188" s="248">
        <v>44390</v>
      </c>
      <c r="M188" s="248">
        <v>44400</v>
      </c>
      <c r="N188" s="246"/>
      <c r="O188" s="246" t="s">
        <v>613</v>
      </c>
      <c r="P188" s="246"/>
      <c r="Q188" s="246"/>
      <c r="R188" s="246"/>
      <c r="S188" s="246"/>
      <c r="T188" s="246"/>
      <c r="U188" s="246"/>
      <c r="V188" s="246"/>
      <c r="W188" s="246"/>
      <c r="X188" s="253" t="s">
        <v>1795</v>
      </c>
      <c r="Y188" s="244"/>
      <c r="Z188" s="244" t="s">
        <v>1278</v>
      </c>
      <c r="AA188" s="246"/>
      <c r="AB188" s="245"/>
    </row>
    <row r="189" spans="1:29" s="250" customFormat="1">
      <c r="A189" s="244">
        <v>185</v>
      </c>
      <c r="B189" s="245" t="s">
        <v>1464</v>
      </c>
      <c r="C189" s="246" t="s">
        <v>1484</v>
      </c>
      <c r="D189" s="246" t="s">
        <v>409</v>
      </c>
      <c r="E189" s="246" t="s">
        <v>1483</v>
      </c>
      <c r="F189" s="246" t="s">
        <v>405</v>
      </c>
      <c r="G189" s="246" t="s">
        <v>411</v>
      </c>
      <c r="H189" s="246" t="s">
        <v>406</v>
      </c>
      <c r="I189" s="18">
        <v>1650000</v>
      </c>
      <c r="J189" s="248">
        <v>44357</v>
      </c>
      <c r="K189" s="248">
        <v>44383</v>
      </c>
      <c r="L189" s="248">
        <v>44452</v>
      </c>
      <c r="M189" s="248">
        <v>44497</v>
      </c>
      <c r="N189" s="246"/>
      <c r="O189" s="246" t="s">
        <v>1504</v>
      </c>
      <c r="P189" s="246"/>
      <c r="Q189" s="246"/>
      <c r="R189" s="246"/>
      <c r="S189" s="246"/>
      <c r="T189" s="246"/>
      <c r="U189" s="246"/>
      <c r="V189" s="246"/>
      <c r="W189" s="246"/>
      <c r="X189" s="253" t="s">
        <v>2709</v>
      </c>
      <c r="Y189" s="253" t="s">
        <v>2708</v>
      </c>
      <c r="Z189" s="244" t="s">
        <v>1278</v>
      </c>
      <c r="AA189" s="246"/>
      <c r="AB189" s="245"/>
    </row>
    <row r="190" spans="1:29" s="250" customFormat="1">
      <c r="A190" s="244">
        <v>186</v>
      </c>
      <c r="B190" s="245" t="s">
        <v>407</v>
      </c>
      <c r="C190" s="247" t="s">
        <v>1582</v>
      </c>
      <c r="D190" s="246" t="s">
        <v>409</v>
      </c>
      <c r="E190" s="246" t="s">
        <v>1482</v>
      </c>
      <c r="F190" s="246" t="s">
        <v>405</v>
      </c>
      <c r="G190" s="246" t="s">
        <v>411</v>
      </c>
      <c r="H190" s="246" t="s">
        <v>406</v>
      </c>
      <c r="I190" s="18">
        <v>178882000</v>
      </c>
      <c r="J190" s="248">
        <v>44361</v>
      </c>
      <c r="K190" s="248" t="s">
        <v>2710</v>
      </c>
      <c r="L190" s="246" t="s">
        <v>2865</v>
      </c>
      <c r="M190" s="248" t="s">
        <v>1511</v>
      </c>
      <c r="N190" s="246"/>
      <c r="O190" s="246" t="s">
        <v>706</v>
      </c>
      <c r="P190" s="246"/>
      <c r="Q190" s="246"/>
      <c r="R190" s="246"/>
      <c r="S190" s="246"/>
      <c r="T190" s="246"/>
      <c r="U190" s="246"/>
      <c r="V190" s="246"/>
      <c r="W190" s="246"/>
      <c r="X190" s="244" t="s">
        <v>2465</v>
      </c>
      <c r="Y190" s="244"/>
      <c r="Z190" s="258" t="s">
        <v>2643</v>
      </c>
      <c r="AA190" s="246"/>
      <c r="AB190" s="245" t="s">
        <v>2535</v>
      </c>
    </row>
    <row r="191" spans="1:29" s="250" customFormat="1">
      <c r="A191" s="244">
        <v>187</v>
      </c>
      <c r="B191" s="245" t="s">
        <v>813</v>
      </c>
      <c r="C191" s="246" t="s">
        <v>1481</v>
      </c>
      <c r="D191" s="246" t="s">
        <v>817</v>
      </c>
      <c r="E191" s="246" t="s">
        <v>860</v>
      </c>
      <c r="F191" s="246" t="s">
        <v>405</v>
      </c>
      <c r="G191" s="246" t="s">
        <v>411</v>
      </c>
      <c r="H191" s="246" t="s">
        <v>406</v>
      </c>
      <c r="I191" s="18">
        <v>116600000</v>
      </c>
      <c r="J191" s="248">
        <v>44362</v>
      </c>
      <c r="K191" s="248">
        <v>44469</v>
      </c>
      <c r="L191" s="248">
        <v>44523</v>
      </c>
      <c r="M191" s="248">
        <v>44532</v>
      </c>
      <c r="N191" s="246"/>
      <c r="O191" s="246" t="s">
        <v>1503</v>
      </c>
      <c r="P191" s="246"/>
      <c r="Q191" s="246"/>
      <c r="R191" s="246"/>
      <c r="S191" s="246"/>
      <c r="T191" s="246"/>
      <c r="U191" s="246"/>
      <c r="V191" s="246"/>
      <c r="W191" s="246"/>
      <c r="X191" s="253" t="s">
        <v>2711</v>
      </c>
      <c r="Y191" s="244"/>
      <c r="Z191" s="244" t="s">
        <v>2712</v>
      </c>
      <c r="AA191" s="246"/>
      <c r="AB191" s="245" t="s">
        <v>2535</v>
      </c>
    </row>
    <row r="192" spans="1:29" s="250" customFormat="1">
      <c r="A192" s="244">
        <v>188</v>
      </c>
      <c r="B192" s="245" t="s">
        <v>416</v>
      </c>
      <c r="C192" s="246" t="s">
        <v>1479</v>
      </c>
      <c r="D192" s="246" t="s">
        <v>1480</v>
      </c>
      <c r="E192" s="246" t="s">
        <v>1780</v>
      </c>
      <c r="F192" s="246" t="s">
        <v>405</v>
      </c>
      <c r="G192" s="246" t="s">
        <v>411</v>
      </c>
      <c r="H192" s="246" t="s">
        <v>406</v>
      </c>
      <c r="I192" s="18">
        <v>3190880</v>
      </c>
      <c r="J192" s="248">
        <v>44363</v>
      </c>
      <c r="K192" s="248">
        <v>44431</v>
      </c>
      <c r="L192" s="248">
        <v>44431</v>
      </c>
      <c r="M192" s="248">
        <v>44433</v>
      </c>
      <c r="N192" s="246"/>
      <c r="O192" s="246" t="s">
        <v>1507</v>
      </c>
      <c r="P192" s="246"/>
      <c r="Q192" s="246"/>
      <c r="R192" s="246"/>
      <c r="S192" s="246"/>
      <c r="T192" s="246"/>
      <c r="U192" s="246"/>
      <c r="V192" s="246"/>
      <c r="W192" s="246"/>
      <c r="X192" s="253" t="s">
        <v>2713</v>
      </c>
      <c r="Y192" s="244"/>
      <c r="Z192" s="244" t="s">
        <v>2714</v>
      </c>
      <c r="AA192" s="246"/>
      <c r="AB192" s="245"/>
    </row>
    <row r="193" spans="1:29" s="250" customFormat="1">
      <c r="A193" s="244">
        <v>189</v>
      </c>
      <c r="B193" s="245" t="s">
        <v>1219</v>
      </c>
      <c r="C193" s="246" t="s">
        <v>1477</v>
      </c>
      <c r="D193" s="246" t="s">
        <v>1051</v>
      </c>
      <c r="E193" s="246" t="s">
        <v>1478</v>
      </c>
      <c r="F193" s="246" t="s">
        <v>405</v>
      </c>
      <c r="G193" s="246" t="s">
        <v>411</v>
      </c>
      <c r="H193" s="246" t="s">
        <v>406</v>
      </c>
      <c r="I193" s="18">
        <v>7920000</v>
      </c>
      <c r="J193" s="248">
        <v>44363</v>
      </c>
      <c r="K193" s="246" t="s">
        <v>526</v>
      </c>
      <c r="L193" s="248">
        <v>44364</v>
      </c>
      <c r="M193" s="248">
        <v>44375</v>
      </c>
      <c r="N193" s="246"/>
      <c r="O193" s="246" t="s">
        <v>1504</v>
      </c>
      <c r="P193" s="246"/>
      <c r="Q193" s="246"/>
      <c r="R193" s="246"/>
      <c r="S193" s="246"/>
      <c r="T193" s="246"/>
      <c r="U193" s="246"/>
      <c r="V193" s="246"/>
      <c r="W193" s="246"/>
      <c r="X193" s="253" t="s">
        <v>1797</v>
      </c>
      <c r="Y193" s="244"/>
      <c r="Z193" s="244" t="s">
        <v>1790</v>
      </c>
      <c r="AA193" s="246"/>
      <c r="AB193" s="245"/>
    </row>
    <row r="194" spans="1:29" s="250" customFormat="1">
      <c r="A194" s="244">
        <v>190</v>
      </c>
      <c r="B194" s="245" t="s">
        <v>1528</v>
      </c>
      <c r="C194" s="247" t="s">
        <v>411</v>
      </c>
      <c r="D194" s="246" t="s">
        <v>414</v>
      </c>
      <c r="E194" s="246" t="s">
        <v>1476</v>
      </c>
      <c r="F194" s="246" t="s">
        <v>405</v>
      </c>
      <c r="G194" s="246" t="s">
        <v>411</v>
      </c>
      <c r="H194" s="246" t="s">
        <v>406</v>
      </c>
      <c r="I194" s="18">
        <f>(3300000+350000)*1.1</f>
        <v>4015000.0000000005</v>
      </c>
      <c r="J194" s="248">
        <v>44363</v>
      </c>
      <c r="K194" s="248" t="s">
        <v>526</v>
      </c>
      <c r="L194" s="248">
        <v>44384</v>
      </c>
      <c r="M194" s="248">
        <v>44385</v>
      </c>
      <c r="N194" s="246"/>
      <c r="O194" s="246" t="s">
        <v>1504</v>
      </c>
      <c r="P194" s="246"/>
      <c r="Q194" s="246"/>
      <c r="R194" s="246"/>
      <c r="S194" s="246"/>
      <c r="T194" s="246"/>
      <c r="U194" s="246"/>
      <c r="V194" s="246"/>
      <c r="W194" s="246"/>
      <c r="X194" s="253" t="s">
        <v>1531</v>
      </c>
      <c r="Y194" s="244"/>
      <c r="Z194" s="244" t="s">
        <v>1790</v>
      </c>
      <c r="AA194" s="246"/>
      <c r="AB194" s="245"/>
    </row>
    <row r="195" spans="1:29" s="263" customFormat="1">
      <c r="A195" s="256">
        <v>191</v>
      </c>
      <c r="B195" s="259" t="s">
        <v>550</v>
      </c>
      <c r="C195" s="260" t="s">
        <v>1506</v>
      </c>
      <c r="D195" s="261" t="s">
        <v>744</v>
      </c>
      <c r="E195" s="261" t="s">
        <v>1475</v>
      </c>
      <c r="F195" s="261" t="s">
        <v>405</v>
      </c>
      <c r="G195" s="261" t="s">
        <v>411</v>
      </c>
      <c r="H195" s="261" t="s">
        <v>406</v>
      </c>
      <c r="I195" s="27">
        <v>146520000</v>
      </c>
      <c r="J195" s="262">
        <v>44365</v>
      </c>
      <c r="K195" s="262">
        <v>44439</v>
      </c>
      <c r="L195" s="262">
        <v>44442</v>
      </c>
      <c r="M195" s="262">
        <v>44442</v>
      </c>
      <c r="N195" s="261"/>
      <c r="O195" s="261" t="s">
        <v>1508</v>
      </c>
      <c r="P195" s="261"/>
      <c r="Q195" s="261"/>
      <c r="R195" s="261"/>
      <c r="S195" s="261"/>
      <c r="T195" s="261"/>
      <c r="U195" s="261"/>
      <c r="V195" s="261"/>
      <c r="W195" s="261"/>
      <c r="X195" s="253" t="s">
        <v>2715</v>
      </c>
      <c r="Y195" s="244"/>
      <c r="Z195" s="256" t="s">
        <v>1278</v>
      </c>
      <c r="AA195" s="255" t="s">
        <v>1554</v>
      </c>
      <c r="AB195" s="259"/>
    </row>
    <row r="196" spans="1:29" s="250" customFormat="1">
      <c r="A196" s="244">
        <v>192</v>
      </c>
      <c r="B196" s="245" t="s">
        <v>407</v>
      </c>
      <c r="C196" s="246" t="s">
        <v>1473</v>
      </c>
      <c r="D196" s="246" t="s">
        <v>404</v>
      </c>
      <c r="E196" s="246" t="s">
        <v>1474</v>
      </c>
      <c r="F196" s="246" t="s">
        <v>405</v>
      </c>
      <c r="G196" s="246" t="s">
        <v>411</v>
      </c>
      <c r="H196" s="246" t="s">
        <v>406</v>
      </c>
      <c r="I196" s="18">
        <v>43010000</v>
      </c>
      <c r="J196" s="248">
        <v>44365</v>
      </c>
      <c r="K196" s="248">
        <v>44500</v>
      </c>
      <c r="L196" s="248">
        <v>44518</v>
      </c>
      <c r="M196" s="248">
        <v>44522</v>
      </c>
      <c r="N196" s="246"/>
      <c r="O196" s="246" t="s">
        <v>1008</v>
      </c>
      <c r="P196" s="246"/>
      <c r="Q196" s="246"/>
      <c r="R196" s="246"/>
      <c r="S196" s="246"/>
      <c r="T196" s="246"/>
      <c r="U196" s="246"/>
      <c r="V196" s="246"/>
      <c r="W196" s="246"/>
      <c r="X196" s="253" t="s">
        <v>2107</v>
      </c>
      <c r="Y196" s="244"/>
      <c r="Z196" s="244" t="s">
        <v>2129</v>
      </c>
      <c r="AA196" s="246"/>
      <c r="AB196" s="245"/>
    </row>
    <row r="197" spans="1:29" s="250" customFormat="1">
      <c r="A197" s="244">
        <v>193</v>
      </c>
      <c r="B197" s="245" t="s">
        <v>407</v>
      </c>
      <c r="C197" s="246" t="s">
        <v>1471</v>
      </c>
      <c r="D197" s="246" t="s">
        <v>1125</v>
      </c>
      <c r="E197" s="246" t="s">
        <v>1472</v>
      </c>
      <c r="F197" s="246" t="s">
        <v>405</v>
      </c>
      <c r="G197" s="246" t="s">
        <v>411</v>
      </c>
      <c r="H197" s="246" t="s">
        <v>406</v>
      </c>
      <c r="I197" s="18">
        <v>19404000</v>
      </c>
      <c r="J197" s="248">
        <v>44365</v>
      </c>
      <c r="K197" s="248">
        <v>44515</v>
      </c>
      <c r="L197" s="248">
        <v>44530</v>
      </c>
      <c r="M197" s="248">
        <v>44532</v>
      </c>
      <c r="N197" s="246"/>
      <c r="O197" s="246" t="s">
        <v>613</v>
      </c>
      <c r="P197" s="246"/>
      <c r="Q197" s="246"/>
      <c r="R197" s="246"/>
      <c r="S197" s="246"/>
      <c r="T197" s="246"/>
      <c r="U197" s="246"/>
      <c r="V197" s="246"/>
      <c r="W197" s="246"/>
      <c r="X197" s="253" t="s">
        <v>2394</v>
      </c>
      <c r="Y197" s="244"/>
      <c r="Z197" s="244" t="s">
        <v>2616</v>
      </c>
      <c r="AA197" s="246"/>
      <c r="AB197" s="245"/>
    </row>
    <row r="198" spans="1:29" s="250" customFormat="1">
      <c r="A198" s="244">
        <v>194</v>
      </c>
      <c r="B198" s="245" t="s">
        <v>1465</v>
      </c>
      <c r="C198" s="247" t="s">
        <v>1581</v>
      </c>
      <c r="D198" s="246" t="s">
        <v>409</v>
      </c>
      <c r="E198" s="246" t="s">
        <v>2424</v>
      </c>
      <c r="F198" s="246" t="s">
        <v>2818</v>
      </c>
      <c r="G198" s="246" t="s">
        <v>411</v>
      </c>
      <c r="H198" s="246" t="s">
        <v>406</v>
      </c>
      <c r="I198" s="18">
        <v>183040000</v>
      </c>
      <c r="J198" s="248">
        <v>44368</v>
      </c>
      <c r="K198" s="248">
        <v>44568</v>
      </c>
      <c r="L198" s="246" t="s">
        <v>2372</v>
      </c>
      <c r="M198" s="246" t="s">
        <v>2425</v>
      </c>
      <c r="N198" s="246"/>
      <c r="O198" s="246" t="s">
        <v>1470</v>
      </c>
      <c r="P198" s="246"/>
      <c r="Q198" s="246"/>
      <c r="R198" s="246"/>
      <c r="S198" s="246"/>
      <c r="T198" s="246"/>
      <c r="U198" s="246"/>
      <c r="V198" s="246"/>
      <c r="W198" s="246"/>
      <c r="X198" s="253" t="s">
        <v>2716</v>
      </c>
      <c r="Y198" s="253"/>
      <c r="Z198" s="244" t="s">
        <v>2717</v>
      </c>
      <c r="AA198" s="246"/>
      <c r="AB198" s="245" t="s">
        <v>2535</v>
      </c>
    </row>
    <row r="199" spans="1:29" s="250" customFormat="1">
      <c r="A199" s="244">
        <v>195</v>
      </c>
      <c r="B199" s="245" t="s">
        <v>664</v>
      </c>
      <c r="C199" s="247" t="s">
        <v>411</v>
      </c>
      <c r="D199" s="246" t="s">
        <v>409</v>
      </c>
      <c r="E199" s="246" t="s">
        <v>1469</v>
      </c>
      <c r="F199" s="246" t="s">
        <v>519</v>
      </c>
      <c r="G199" s="246" t="s">
        <v>411</v>
      </c>
      <c r="H199" s="246" t="s">
        <v>406</v>
      </c>
      <c r="I199" s="18">
        <v>3179000</v>
      </c>
      <c r="J199" s="248">
        <v>44369</v>
      </c>
      <c r="K199" s="248">
        <v>44383</v>
      </c>
      <c r="L199" s="248">
        <v>44383</v>
      </c>
      <c r="M199" s="248">
        <v>44385</v>
      </c>
      <c r="N199" s="246"/>
      <c r="O199" s="246" t="s">
        <v>655</v>
      </c>
      <c r="P199" s="246"/>
      <c r="Q199" s="246"/>
      <c r="R199" s="246"/>
      <c r="S199" s="246"/>
      <c r="T199" s="246"/>
      <c r="U199" s="246"/>
      <c r="V199" s="246"/>
      <c r="W199" s="246"/>
      <c r="X199" s="244" t="s">
        <v>1798</v>
      </c>
      <c r="Y199" s="244"/>
      <c r="Z199" s="246" t="s">
        <v>1801</v>
      </c>
      <c r="AA199" s="246"/>
      <c r="AB199" s="245"/>
    </row>
    <row r="200" spans="1:29" s="250" customFormat="1">
      <c r="A200" s="244">
        <v>196</v>
      </c>
      <c r="B200" s="245" t="s">
        <v>407</v>
      </c>
      <c r="C200" s="246" t="s">
        <v>1466</v>
      </c>
      <c r="D200" s="246" t="s">
        <v>1467</v>
      </c>
      <c r="E200" s="246" t="s">
        <v>1468</v>
      </c>
      <c r="F200" s="246" t="s">
        <v>405</v>
      </c>
      <c r="G200" s="246" t="s">
        <v>411</v>
      </c>
      <c r="H200" s="246" t="s">
        <v>406</v>
      </c>
      <c r="I200" s="18">
        <v>2156000</v>
      </c>
      <c r="J200" s="248">
        <v>44369</v>
      </c>
      <c r="K200" s="248">
        <v>44382</v>
      </c>
      <c r="L200" s="248">
        <v>44382</v>
      </c>
      <c r="M200" s="248">
        <v>44385</v>
      </c>
      <c r="N200" s="246"/>
      <c r="O200" s="246" t="s">
        <v>1505</v>
      </c>
      <c r="P200" s="246"/>
      <c r="Q200" s="246"/>
      <c r="R200" s="246"/>
      <c r="S200" s="246"/>
      <c r="T200" s="246"/>
      <c r="U200" s="246"/>
      <c r="V200" s="246"/>
      <c r="W200" s="246"/>
      <c r="X200" s="253" t="s">
        <v>1800</v>
      </c>
      <c r="Y200" s="244" t="s">
        <v>2718</v>
      </c>
      <c r="Z200" s="244" t="s">
        <v>1801</v>
      </c>
      <c r="AA200" s="246"/>
      <c r="AB200" s="245"/>
    </row>
    <row r="201" spans="1:29" s="250" customFormat="1">
      <c r="A201" s="244">
        <v>197</v>
      </c>
      <c r="B201" s="245" t="s">
        <v>407</v>
      </c>
      <c r="C201" s="247" t="s">
        <v>411</v>
      </c>
      <c r="D201" s="246" t="s">
        <v>409</v>
      </c>
      <c r="E201" s="246" t="s">
        <v>1781</v>
      </c>
      <c r="F201" s="246" t="s">
        <v>519</v>
      </c>
      <c r="G201" s="246" t="s">
        <v>411</v>
      </c>
      <c r="H201" s="246" t="s">
        <v>406</v>
      </c>
      <c r="I201" s="18">
        <v>19998760</v>
      </c>
      <c r="J201" s="248">
        <v>44370</v>
      </c>
      <c r="K201" s="248">
        <v>44429</v>
      </c>
      <c r="L201" s="248">
        <v>44434</v>
      </c>
      <c r="M201" s="248">
        <v>44435</v>
      </c>
      <c r="N201" s="246"/>
      <c r="O201" s="246" t="s">
        <v>706</v>
      </c>
      <c r="P201" s="246"/>
      <c r="Q201" s="246"/>
      <c r="R201" s="246"/>
      <c r="S201" s="246"/>
      <c r="T201" s="246"/>
      <c r="U201" s="246"/>
      <c r="V201" s="246"/>
      <c r="W201" s="246"/>
      <c r="X201" s="244" t="s">
        <v>1798</v>
      </c>
      <c r="Y201" s="244"/>
      <c r="Z201" s="246" t="s">
        <v>1801</v>
      </c>
      <c r="AA201" s="246"/>
      <c r="AB201" s="245"/>
    </row>
    <row r="202" spans="1:29" s="250" customFormat="1">
      <c r="A202" s="244">
        <v>198</v>
      </c>
      <c r="B202" s="245" t="s">
        <v>407</v>
      </c>
      <c r="C202" s="246" t="s">
        <v>542</v>
      </c>
      <c r="D202" s="246" t="s">
        <v>409</v>
      </c>
      <c r="E202" s="246" t="s">
        <v>1776</v>
      </c>
      <c r="F202" s="246" t="s">
        <v>519</v>
      </c>
      <c r="G202" s="246" t="s">
        <v>411</v>
      </c>
      <c r="H202" s="246" t="s">
        <v>406</v>
      </c>
      <c r="I202" s="18">
        <v>4139520</v>
      </c>
      <c r="J202" s="248">
        <v>44371</v>
      </c>
      <c r="K202" s="248" t="s">
        <v>526</v>
      </c>
      <c r="L202" s="248">
        <v>44428</v>
      </c>
      <c r="M202" s="248">
        <v>44432</v>
      </c>
      <c r="N202" s="246"/>
      <c r="O202" s="246" t="s">
        <v>742</v>
      </c>
      <c r="P202" s="246"/>
      <c r="Q202" s="246"/>
      <c r="R202" s="246"/>
      <c r="S202" s="246"/>
      <c r="T202" s="246"/>
      <c r="U202" s="246"/>
      <c r="V202" s="246"/>
      <c r="W202" s="246"/>
      <c r="X202" s="244" t="s">
        <v>1798</v>
      </c>
      <c r="Y202" s="244"/>
      <c r="Z202" s="244" t="s">
        <v>2719</v>
      </c>
      <c r="AA202" s="246"/>
      <c r="AB202" s="245"/>
    </row>
    <row r="203" spans="1:29" s="250" customFormat="1">
      <c r="A203" s="244">
        <v>199</v>
      </c>
      <c r="B203" s="245" t="s">
        <v>416</v>
      </c>
      <c r="C203" s="246" t="s">
        <v>1322</v>
      </c>
      <c r="D203" s="246" t="s">
        <v>404</v>
      </c>
      <c r="E203" s="246" t="s">
        <v>425</v>
      </c>
      <c r="F203" s="246" t="s">
        <v>405</v>
      </c>
      <c r="G203" s="246" t="s">
        <v>411</v>
      </c>
      <c r="H203" s="246" t="s">
        <v>745</v>
      </c>
      <c r="I203" s="26" t="s">
        <v>1452</v>
      </c>
      <c r="J203" s="248">
        <v>44372</v>
      </c>
      <c r="K203" s="248">
        <v>44530</v>
      </c>
      <c r="L203" s="247" t="s">
        <v>411</v>
      </c>
      <c r="M203" s="247" t="s">
        <v>411</v>
      </c>
      <c r="N203" s="246"/>
      <c r="O203" s="246" t="s">
        <v>846</v>
      </c>
      <c r="P203" s="246"/>
      <c r="Q203" s="246"/>
      <c r="R203" s="246"/>
      <c r="S203" s="246"/>
      <c r="T203" s="246"/>
      <c r="U203" s="246"/>
      <c r="V203" s="246"/>
      <c r="W203" s="246"/>
      <c r="X203" s="244" t="s">
        <v>850</v>
      </c>
      <c r="Y203" s="244"/>
      <c r="Z203" s="246" t="s">
        <v>1799</v>
      </c>
      <c r="AA203" s="246"/>
      <c r="AB203" s="245"/>
    </row>
    <row r="204" spans="1:29" s="250" customFormat="1">
      <c r="A204" s="244">
        <v>200</v>
      </c>
      <c r="B204" s="245" t="s">
        <v>785</v>
      </c>
      <c r="C204" s="247" t="s">
        <v>1632</v>
      </c>
      <c r="D204" s="246" t="s">
        <v>899</v>
      </c>
      <c r="E204" s="246" t="s">
        <v>1762</v>
      </c>
      <c r="F204" s="246" t="s">
        <v>405</v>
      </c>
      <c r="G204" s="246" t="s">
        <v>411</v>
      </c>
      <c r="H204" s="246" t="s">
        <v>406</v>
      </c>
      <c r="I204" s="18">
        <v>93060000</v>
      </c>
      <c r="J204" s="248">
        <v>44372</v>
      </c>
      <c r="K204" s="248">
        <v>44551</v>
      </c>
      <c r="L204" s="248">
        <v>44420</v>
      </c>
      <c r="M204" s="248">
        <v>44427</v>
      </c>
      <c r="N204" s="246"/>
      <c r="O204" s="246" t="s">
        <v>691</v>
      </c>
      <c r="P204" s="246"/>
      <c r="Q204" s="246"/>
      <c r="R204" s="246"/>
      <c r="S204" s="246"/>
      <c r="T204" s="246"/>
      <c r="U204" s="246"/>
      <c r="V204" s="246"/>
      <c r="W204" s="246"/>
      <c r="X204" s="253" t="s">
        <v>1944</v>
      </c>
      <c r="Y204" s="244"/>
      <c r="Z204" s="244" t="s">
        <v>1278</v>
      </c>
      <c r="AA204" s="255"/>
      <c r="AB204" s="245"/>
      <c r="AC204" s="246"/>
    </row>
    <row r="205" spans="1:29" s="250" customFormat="1">
      <c r="A205" s="244">
        <v>201</v>
      </c>
      <c r="B205" s="245" t="s">
        <v>738</v>
      </c>
      <c r="C205" s="246" t="s">
        <v>861</v>
      </c>
      <c r="D205" s="246" t="s">
        <v>404</v>
      </c>
      <c r="E205" s="246" t="s">
        <v>1495</v>
      </c>
      <c r="F205" s="246" t="s">
        <v>405</v>
      </c>
      <c r="G205" s="246" t="s">
        <v>411</v>
      </c>
      <c r="H205" s="246" t="s">
        <v>406</v>
      </c>
      <c r="I205" s="18">
        <v>24750000</v>
      </c>
      <c r="J205" s="248">
        <v>44375</v>
      </c>
      <c r="K205" s="246"/>
      <c r="L205" s="248">
        <v>44501</v>
      </c>
      <c r="M205" s="246" t="s">
        <v>2328</v>
      </c>
      <c r="N205" s="246"/>
      <c r="O205" s="246" t="s">
        <v>742</v>
      </c>
      <c r="P205" s="246"/>
      <c r="Q205" s="246"/>
      <c r="R205" s="246"/>
      <c r="S205" s="246"/>
      <c r="T205" s="246"/>
      <c r="U205" s="246"/>
      <c r="V205" s="246"/>
      <c r="W205" s="246"/>
      <c r="X205" s="253" t="s">
        <v>2106</v>
      </c>
      <c r="Y205" s="244"/>
      <c r="Z205" s="244" t="s">
        <v>2120</v>
      </c>
      <c r="AA205" s="246"/>
      <c r="AB205" s="245"/>
    </row>
    <row r="206" spans="1:29" s="250" customFormat="1">
      <c r="A206" s="244">
        <v>202</v>
      </c>
      <c r="B206" s="245" t="s">
        <v>407</v>
      </c>
      <c r="C206" s="246" t="s">
        <v>1065</v>
      </c>
      <c r="D206" s="246" t="s">
        <v>410</v>
      </c>
      <c r="E206" s="246" t="s">
        <v>1496</v>
      </c>
      <c r="F206" s="246" t="s">
        <v>405</v>
      </c>
      <c r="G206" s="246" t="s">
        <v>411</v>
      </c>
      <c r="H206" s="246" t="s">
        <v>406</v>
      </c>
      <c r="I206" s="18">
        <v>19800000</v>
      </c>
      <c r="J206" s="248">
        <v>44375</v>
      </c>
      <c r="K206" s="248">
        <v>44473</v>
      </c>
      <c r="L206" s="248">
        <v>44462</v>
      </c>
      <c r="M206" s="248">
        <v>44466</v>
      </c>
      <c r="N206" s="246"/>
      <c r="O206" s="246" t="s">
        <v>1509</v>
      </c>
      <c r="P206" s="246"/>
      <c r="Q206" s="246"/>
      <c r="R206" s="246"/>
      <c r="S206" s="246"/>
      <c r="T206" s="246"/>
      <c r="U206" s="246"/>
      <c r="V206" s="246"/>
      <c r="W206" s="246"/>
      <c r="X206" s="253" t="s">
        <v>1962</v>
      </c>
      <c r="Y206" s="244"/>
      <c r="Z206" s="244" t="s">
        <v>2120</v>
      </c>
      <c r="AA206" s="255" t="s">
        <v>2121</v>
      </c>
      <c r="AB206" s="245"/>
      <c r="AC206" s="246"/>
    </row>
    <row r="207" spans="1:29" s="250" customFormat="1">
      <c r="A207" s="244">
        <v>203</v>
      </c>
      <c r="B207" s="245" t="s">
        <v>1494</v>
      </c>
      <c r="C207" s="247" t="s">
        <v>411</v>
      </c>
      <c r="D207" s="246" t="s">
        <v>410</v>
      </c>
      <c r="E207" s="246" t="s">
        <v>1497</v>
      </c>
      <c r="F207" s="246" t="s">
        <v>405</v>
      </c>
      <c r="G207" s="246" t="s">
        <v>411</v>
      </c>
      <c r="H207" s="246" t="s">
        <v>406</v>
      </c>
      <c r="I207" s="18">
        <v>29920000</v>
      </c>
      <c r="J207" s="248">
        <v>44375</v>
      </c>
      <c r="K207" s="248">
        <v>44464</v>
      </c>
      <c r="L207" s="248">
        <v>44454</v>
      </c>
      <c r="M207" s="248">
        <v>44468</v>
      </c>
      <c r="N207" s="246"/>
      <c r="O207" s="246" t="s">
        <v>742</v>
      </c>
      <c r="P207" s="246"/>
      <c r="Q207" s="246"/>
      <c r="R207" s="246"/>
      <c r="S207" s="246"/>
      <c r="T207" s="246"/>
      <c r="U207" s="246"/>
      <c r="V207" s="246"/>
      <c r="W207" s="246"/>
      <c r="X207" s="253" t="s">
        <v>1963</v>
      </c>
      <c r="Y207" s="244"/>
      <c r="Z207" s="244" t="s">
        <v>2120</v>
      </c>
      <c r="AA207" s="246"/>
      <c r="AB207" s="245"/>
    </row>
    <row r="208" spans="1:29" s="250" customFormat="1">
      <c r="A208" s="244">
        <v>204</v>
      </c>
      <c r="B208" s="245" t="s">
        <v>1498</v>
      </c>
      <c r="C208" s="246" t="s">
        <v>526</v>
      </c>
      <c r="D208" s="246" t="s">
        <v>988</v>
      </c>
      <c r="E208" s="246" t="s">
        <v>1499</v>
      </c>
      <c r="F208" s="246" t="s">
        <v>405</v>
      </c>
      <c r="G208" s="246" t="s">
        <v>411</v>
      </c>
      <c r="H208" s="246" t="s">
        <v>406</v>
      </c>
      <c r="I208" s="18">
        <v>4070000</v>
      </c>
      <c r="J208" s="248" t="s">
        <v>526</v>
      </c>
      <c r="K208" s="248" t="s">
        <v>526</v>
      </c>
      <c r="L208" s="248">
        <v>44370</v>
      </c>
      <c r="M208" s="248">
        <v>44386</v>
      </c>
      <c r="N208" s="246"/>
      <c r="O208" s="246" t="s">
        <v>691</v>
      </c>
      <c r="P208" s="246"/>
      <c r="Q208" s="246"/>
      <c r="R208" s="246"/>
      <c r="S208" s="246"/>
      <c r="T208" s="246"/>
      <c r="U208" s="246"/>
      <c r="V208" s="246"/>
      <c r="W208" s="246"/>
      <c r="X208" s="253" t="s">
        <v>1502</v>
      </c>
      <c r="Y208" s="244"/>
      <c r="Z208" s="244" t="s">
        <v>1801</v>
      </c>
      <c r="AA208" s="246"/>
      <c r="AB208" s="245"/>
      <c r="AC208" s="246"/>
    </row>
    <row r="209" spans="1:29" s="250" customFormat="1">
      <c r="A209" s="244">
        <v>205</v>
      </c>
      <c r="B209" s="245" t="s">
        <v>1500</v>
      </c>
      <c r="C209" s="246" t="s">
        <v>526</v>
      </c>
      <c r="D209" s="246" t="s">
        <v>988</v>
      </c>
      <c r="E209" s="246" t="s">
        <v>1499</v>
      </c>
      <c r="F209" s="246" t="s">
        <v>405</v>
      </c>
      <c r="G209" s="246" t="s">
        <v>411</v>
      </c>
      <c r="H209" s="246" t="s">
        <v>406</v>
      </c>
      <c r="I209" s="18">
        <v>2255000</v>
      </c>
      <c r="J209" s="248" t="s">
        <v>526</v>
      </c>
      <c r="K209" s="248" t="s">
        <v>526</v>
      </c>
      <c r="L209" s="248">
        <v>44364</v>
      </c>
      <c r="M209" s="248">
        <v>44389</v>
      </c>
      <c r="N209" s="246"/>
      <c r="O209" s="246" t="s">
        <v>691</v>
      </c>
      <c r="P209" s="246"/>
      <c r="Q209" s="246"/>
      <c r="R209" s="246"/>
      <c r="S209" s="246"/>
      <c r="T209" s="246"/>
      <c r="U209" s="246"/>
      <c r="V209" s="246"/>
      <c r="W209" s="246"/>
      <c r="X209" s="253" t="s">
        <v>1501</v>
      </c>
      <c r="Y209" s="244"/>
      <c r="Z209" s="244" t="s">
        <v>1801</v>
      </c>
      <c r="AA209" s="246"/>
      <c r="AB209" s="245"/>
      <c r="AC209" s="246"/>
    </row>
    <row r="210" spans="1:29" s="250" customFormat="1">
      <c r="A210" s="244">
        <v>206</v>
      </c>
      <c r="B210" s="245" t="s">
        <v>1519</v>
      </c>
      <c r="C210" s="246" t="s">
        <v>1521</v>
      </c>
      <c r="D210" s="246"/>
      <c r="E210" s="246" t="s">
        <v>1515</v>
      </c>
      <c r="F210" s="246" t="s">
        <v>405</v>
      </c>
      <c r="G210" s="246" t="s">
        <v>411</v>
      </c>
      <c r="H210" s="246" t="s">
        <v>406</v>
      </c>
      <c r="I210" s="18">
        <v>2800000</v>
      </c>
      <c r="J210" s="248">
        <v>44376</v>
      </c>
      <c r="K210" s="248" t="s">
        <v>526</v>
      </c>
      <c r="L210" s="248">
        <v>44376</v>
      </c>
      <c r="M210" s="248">
        <v>44376</v>
      </c>
      <c r="N210" s="246"/>
      <c r="O210" s="246" t="s">
        <v>742</v>
      </c>
      <c r="P210" s="246"/>
      <c r="Q210" s="246"/>
      <c r="R210" s="246"/>
      <c r="S210" s="246"/>
      <c r="T210" s="246"/>
      <c r="U210" s="246"/>
      <c r="V210" s="246"/>
      <c r="W210" s="246"/>
      <c r="X210" s="253" t="s">
        <v>2517</v>
      </c>
      <c r="Y210" s="244"/>
      <c r="Z210" s="244" t="s">
        <v>2720</v>
      </c>
      <c r="AA210" s="246"/>
      <c r="AB210" s="245" t="s">
        <v>2537</v>
      </c>
    </row>
    <row r="211" spans="1:29" s="250" customFormat="1">
      <c r="A211" s="244">
        <v>207</v>
      </c>
      <c r="B211" s="245" t="s">
        <v>1520</v>
      </c>
      <c r="C211" s="296" t="s">
        <v>1522</v>
      </c>
      <c r="D211" s="246" t="s">
        <v>787</v>
      </c>
      <c r="E211" s="246" t="s">
        <v>1516</v>
      </c>
      <c r="F211" s="246" t="s">
        <v>405</v>
      </c>
      <c r="G211" s="246" t="s">
        <v>411</v>
      </c>
      <c r="H211" s="246" t="s">
        <v>406</v>
      </c>
      <c r="I211" s="18">
        <v>5572600</v>
      </c>
      <c r="J211" s="248">
        <v>44376</v>
      </c>
      <c r="K211" s="248" t="s">
        <v>526</v>
      </c>
      <c r="L211" s="248">
        <v>44386</v>
      </c>
      <c r="M211" s="248">
        <v>44391</v>
      </c>
      <c r="N211" s="246"/>
      <c r="O211" s="246" t="s">
        <v>846</v>
      </c>
      <c r="P211" s="246"/>
      <c r="Q211" s="246"/>
      <c r="R211" s="246"/>
      <c r="S211" s="246"/>
      <c r="T211" s="246"/>
      <c r="U211" s="246"/>
      <c r="V211" s="246"/>
      <c r="W211" s="246"/>
      <c r="X211" s="253" t="s">
        <v>1827</v>
      </c>
      <c r="Y211" s="244"/>
      <c r="Z211" s="244" t="s">
        <v>1278</v>
      </c>
      <c r="AA211" s="259"/>
      <c r="AB211" s="245"/>
    </row>
    <row r="212" spans="1:29" s="250" customFormat="1" ht="15.75" customHeight="1">
      <c r="A212" s="244">
        <v>208</v>
      </c>
      <c r="B212" s="245" t="s">
        <v>1046</v>
      </c>
      <c r="C212" s="246" t="s">
        <v>1049</v>
      </c>
      <c r="D212" s="246" t="s">
        <v>845</v>
      </c>
      <c r="E212" s="246" t="s">
        <v>1517</v>
      </c>
      <c r="F212" s="246" t="s">
        <v>405</v>
      </c>
      <c r="G212" s="246" t="s">
        <v>411</v>
      </c>
      <c r="H212" s="246" t="s">
        <v>406</v>
      </c>
      <c r="I212" s="18">
        <v>5280000</v>
      </c>
      <c r="J212" s="248">
        <v>44377</v>
      </c>
      <c r="K212" s="248" t="s">
        <v>526</v>
      </c>
      <c r="L212" s="248">
        <v>44378</v>
      </c>
      <c r="M212" s="248">
        <v>44379</v>
      </c>
      <c r="N212" s="246"/>
      <c r="O212" s="246" t="s">
        <v>846</v>
      </c>
      <c r="P212" s="246"/>
      <c r="Q212" s="246"/>
      <c r="R212" s="246"/>
      <c r="S212" s="246"/>
      <c r="T212" s="246"/>
      <c r="U212" s="246"/>
      <c r="V212" s="246"/>
      <c r="W212" s="246"/>
      <c r="X212" s="253" t="s">
        <v>1589</v>
      </c>
      <c r="Y212" s="244"/>
      <c r="Z212" s="244" t="s">
        <v>1801</v>
      </c>
      <c r="AA212" s="246"/>
      <c r="AB212" s="245"/>
    </row>
    <row r="213" spans="1:29" s="250" customFormat="1">
      <c r="A213" s="244">
        <v>209</v>
      </c>
      <c r="B213" s="245" t="s">
        <v>407</v>
      </c>
      <c r="C213" s="246" t="s">
        <v>1582</v>
      </c>
      <c r="D213" s="246" t="s">
        <v>409</v>
      </c>
      <c r="E213" s="246" t="s">
        <v>1518</v>
      </c>
      <c r="F213" s="246" t="s">
        <v>405</v>
      </c>
      <c r="G213" s="246" t="s">
        <v>411</v>
      </c>
      <c r="H213" s="246" t="s">
        <v>406</v>
      </c>
      <c r="I213" s="18">
        <v>140580000</v>
      </c>
      <c r="J213" s="248">
        <v>44369</v>
      </c>
      <c r="K213" s="248">
        <v>44651</v>
      </c>
      <c r="L213" s="246" t="s">
        <v>2849</v>
      </c>
      <c r="M213" s="246" t="s">
        <v>2861</v>
      </c>
      <c r="N213" s="246"/>
      <c r="O213" s="246" t="s">
        <v>706</v>
      </c>
      <c r="P213" s="246"/>
      <c r="Q213" s="246"/>
      <c r="R213" s="246"/>
      <c r="S213" s="246"/>
      <c r="T213" s="246"/>
      <c r="U213" s="246"/>
      <c r="V213" s="246"/>
      <c r="W213" s="246"/>
      <c r="X213" s="244"/>
      <c r="Y213" s="244">
        <v>62301</v>
      </c>
      <c r="Z213" s="246" t="s">
        <v>2833</v>
      </c>
      <c r="AA213" s="246"/>
      <c r="AB213" s="245"/>
    </row>
    <row r="214" spans="1:29" s="250" customFormat="1">
      <c r="A214" s="244">
        <v>210</v>
      </c>
      <c r="B214" s="245" t="s">
        <v>565</v>
      </c>
      <c r="C214" s="246" t="s">
        <v>602</v>
      </c>
      <c r="D214" s="246" t="s">
        <v>1051</v>
      </c>
      <c r="E214" s="246" t="s">
        <v>1673</v>
      </c>
      <c r="F214" s="246" t="s">
        <v>405</v>
      </c>
      <c r="G214" s="246" t="s">
        <v>526</v>
      </c>
      <c r="H214" s="246" t="s">
        <v>406</v>
      </c>
      <c r="I214" s="18">
        <v>13200000</v>
      </c>
      <c r="J214" s="248">
        <v>44382</v>
      </c>
      <c r="K214" s="248">
        <v>44397</v>
      </c>
      <c r="L214" s="248">
        <v>44385</v>
      </c>
      <c r="M214" s="248">
        <v>44414</v>
      </c>
      <c r="N214" s="246"/>
      <c r="O214" s="246" t="s">
        <v>691</v>
      </c>
      <c r="P214" s="246"/>
      <c r="Q214" s="246"/>
      <c r="R214" s="246"/>
      <c r="S214" s="246"/>
      <c r="T214" s="246"/>
      <c r="U214" s="246"/>
      <c r="V214" s="246"/>
      <c r="W214" s="246"/>
      <c r="X214" s="253" t="s">
        <v>1532</v>
      </c>
      <c r="Y214" s="244"/>
      <c r="Z214" s="244" t="s">
        <v>1801</v>
      </c>
      <c r="AA214" s="246"/>
      <c r="AB214" s="245"/>
      <c r="AC214" s="246"/>
    </row>
    <row r="215" spans="1:29" s="250" customFormat="1">
      <c r="A215" s="244">
        <v>211</v>
      </c>
      <c r="B215" s="245" t="s">
        <v>1525</v>
      </c>
      <c r="C215" s="246" t="s">
        <v>1526</v>
      </c>
      <c r="D215" s="246" t="s">
        <v>414</v>
      </c>
      <c r="E215" s="246" t="s">
        <v>1739</v>
      </c>
      <c r="F215" s="246" t="s">
        <v>405</v>
      </c>
      <c r="G215" s="246" t="s">
        <v>526</v>
      </c>
      <c r="H215" s="246" t="s">
        <v>406</v>
      </c>
      <c r="I215" s="18">
        <v>1980000</v>
      </c>
      <c r="J215" s="248">
        <v>44382</v>
      </c>
      <c r="K215" s="248" t="s">
        <v>526</v>
      </c>
      <c r="L215" s="246" t="s">
        <v>1577</v>
      </c>
      <c r="M215" s="246" t="s">
        <v>1738</v>
      </c>
      <c r="N215" s="246"/>
      <c r="O215" s="246" t="s">
        <v>846</v>
      </c>
      <c r="P215" s="246"/>
      <c r="Q215" s="246"/>
      <c r="R215" s="246"/>
      <c r="S215" s="246"/>
      <c r="T215" s="246"/>
      <c r="U215" s="246"/>
      <c r="V215" s="246"/>
      <c r="W215" s="246"/>
      <c r="X215" s="253" t="s">
        <v>1611</v>
      </c>
      <c r="Y215" s="244"/>
      <c r="Z215" s="244" t="s">
        <v>1278</v>
      </c>
      <c r="AA215" s="255" t="s">
        <v>1554</v>
      </c>
      <c r="AB215" s="245"/>
    </row>
    <row r="216" spans="1:29" s="250" customFormat="1">
      <c r="A216" s="244">
        <v>212</v>
      </c>
      <c r="B216" s="245" t="s">
        <v>407</v>
      </c>
      <c r="C216" s="246" t="s">
        <v>572</v>
      </c>
      <c r="D216" s="246" t="s">
        <v>819</v>
      </c>
      <c r="E216" s="246" t="s">
        <v>1524</v>
      </c>
      <c r="F216" s="246" t="s">
        <v>405</v>
      </c>
      <c r="G216" s="246" t="s">
        <v>526</v>
      </c>
      <c r="H216" s="246" t="s">
        <v>406</v>
      </c>
      <c r="I216" s="18">
        <v>1210000</v>
      </c>
      <c r="J216" s="248">
        <v>44382</v>
      </c>
      <c r="K216" s="248" t="s">
        <v>526</v>
      </c>
      <c r="L216" s="248">
        <v>44383</v>
      </c>
      <c r="M216" s="248">
        <v>44396</v>
      </c>
      <c r="N216" s="246"/>
      <c r="O216" s="246" t="s">
        <v>742</v>
      </c>
      <c r="P216" s="246"/>
      <c r="Q216" s="246"/>
      <c r="R216" s="246"/>
      <c r="S216" s="246"/>
      <c r="T216" s="246"/>
      <c r="U216" s="246"/>
      <c r="V216" s="246"/>
      <c r="W216" s="246"/>
      <c r="X216" s="253" t="s">
        <v>1758</v>
      </c>
      <c r="Y216" s="244"/>
      <c r="Z216" s="244" t="s">
        <v>1801</v>
      </c>
      <c r="AA216" s="246"/>
      <c r="AB216" s="245"/>
    </row>
    <row r="217" spans="1:29" s="250" customFormat="1">
      <c r="A217" s="244">
        <v>213</v>
      </c>
      <c r="B217" s="245" t="s">
        <v>407</v>
      </c>
      <c r="C217" s="246" t="s">
        <v>1471</v>
      </c>
      <c r="D217" s="246" t="s">
        <v>1125</v>
      </c>
      <c r="E217" s="246" t="s">
        <v>1523</v>
      </c>
      <c r="F217" s="246" t="s">
        <v>405</v>
      </c>
      <c r="G217" s="246" t="s">
        <v>411</v>
      </c>
      <c r="H217" s="246" t="s">
        <v>406</v>
      </c>
      <c r="I217" s="18">
        <v>16709000</v>
      </c>
      <c r="J217" s="248">
        <v>44383</v>
      </c>
      <c r="K217" s="248">
        <v>44515</v>
      </c>
      <c r="L217" s="248">
        <v>44530</v>
      </c>
      <c r="M217" s="248">
        <v>44532</v>
      </c>
      <c r="N217" s="246"/>
      <c r="O217" s="246" t="s">
        <v>613</v>
      </c>
      <c r="P217" s="246"/>
      <c r="Q217" s="246"/>
      <c r="R217" s="246"/>
      <c r="S217" s="246"/>
      <c r="T217" s="246"/>
      <c r="U217" s="246"/>
      <c r="V217" s="246"/>
      <c r="W217" s="246"/>
      <c r="X217" s="253" t="s">
        <v>2394</v>
      </c>
      <c r="Y217" s="244"/>
      <c r="Z217" s="244" t="s">
        <v>2576</v>
      </c>
      <c r="AA217" s="246"/>
      <c r="AB217" s="245"/>
    </row>
    <row r="218" spans="1:29" s="250" customFormat="1">
      <c r="A218" s="244">
        <v>214</v>
      </c>
      <c r="B218" s="245" t="s">
        <v>1494</v>
      </c>
      <c r="C218" s="246"/>
      <c r="D218" s="246" t="s">
        <v>1535</v>
      </c>
      <c r="E218" s="246" t="s">
        <v>1536</v>
      </c>
      <c r="F218" s="246" t="s">
        <v>1537</v>
      </c>
      <c r="G218" s="246" t="s">
        <v>1538</v>
      </c>
      <c r="H218" s="246" t="s">
        <v>1539</v>
      </c>
      <c r="I218" s="18">
        <v>29700000</v>
      </c>
      <c r="J218" s="248">
        <v>44385</v>
      </c>
      <c r="K218" s="248">
        <v>44474</v>
      </c>
      <c r="L218" s="248">
        <v>44433</v>
      </c>
      <c r="M218" s="248">
        <v>44439</v>
      </c>
      <c r="N218" s="246"/>
      <c r="O218" s="246" t="s">
        <v>742</v>
      </c>
      <c r="P218" s="246"/>
      <c r="Q218" s="246"/>
      <c r="R218" s="246"/>
      <c r="S218" s="246"/>
      <c r="T218" s="246"/>
      <c r="U218" s="246"/>
      <c r="V218" s="246"/>
      <c r="W218" s="246"/>
      <c r="X218" s="253" t="s">
        <v>1833</v>
      </c>
      <c r="Y218" s="244"/>
      <c r="Z218" s="244" t="s">
        <v>1278</v>
      </c>
      <c r="AA218" s="246"/>
      <c r="AB218" s="245"/>
    </row>
    <row r="219" spans="1:29" s="250" customFormat="1">
      <c r="A219" s="244">
        <v>215</v>
      </c>
      <c r="B219" s="245" t="s">
        <v>769</v>
      </c>
      <c r="C219" s="246" t="s">
        <v>1540</v>
      </c>
      <c r="D219" s="246" t="s">
        <v>1541</v>
      </c>
      <c r="E219" s="246" t="s">
        <v>1542</v>
      </c>
      <c r="F219" s="246" t="s">
        <v>1543</v>
      </c>
      <c r="G219" s="246" t="s">
        <v>1538</v>
      </c>
      <c r="H219" s="246" t="s">
        <v>406</v>
      </c>
      <c r="I219" s="18">
        <v>26242300</v>
      </c>
      <c r="J219" s="248">
        <v>44384</v>
      </c>
      <c r="K219" s="248" t="s">
        <v>526</v>
      </c>
      <c r="L219" s="248">
        <v>44385</v>
      </c>
      <c r="M219" s="248">
        <v>44390</v>
      </c>
      <c r="N219" s="246"/>
      <c r="O219" s="246" t="s">
        <v>1615</v>
      </c>
      <c r="P219" s="246"/>
      <c r="Q219" s="246"/>
      <c r="R219" s="246"/>
      <c r="S219" s="246"/>
      <c r="T219" s="246"/>
      <c r="U219" s="246"/>
      <c r="V219" s="246"/>
      <c r="W219" s="246"/>
      <c r="X219" s="244"/>
      <c r="Y219" s="297" t="s">
        <v>2640</v>
      </c>
      <c r="Z219" s="244" t="s">
        <v>2721</v>
      </c>
      <c r="AA219" s="254" t="s">
        <v>2777</v>
      </c>
      <c r="AB219" s="245"/>
    </row>
    <row r="220" spans="1:29" s="250" customFormat="1">
      <c r="A220" s="244">
        <v>216</v>
      </c>
      <c r="B220" s="245" t="s">
        <v>1544</v>
      </c>
      <c r="C220" s="246" t="s">
        <v>1545</v>
      </c>
      <c r="D220" s="246" t="s">
        <v>1541</v>
      </c>
      <c r="E220" s="246" t="s">
        <v>1546</v>
      </c>
      <c r="F220" s="246" t="s">
        <v>1543</v>
      </c>
      <c r="G220" s="246" t="s">
        <v>1538</v>
      </c>
      <c r="H220" s="246" t="s">
        <v>406</v>
      </c>
      <c r="I220" s="18">
        <v>10901000</v>
      </c>
      <c r="J220" s="248">
        <v>44370</v>
      </c>
      <c r="K220" s="248">
        <v>44385</v>
      </c>
      <c r="L220" s="248">
        <v>44385</v>
      </c>
      <c r="M220" s="248">
        <v>44389</v>
      </c>
      <c r="N220" s="246"/>
      <c r="O220" s="246" t="s">
        <v>1547</v>
      </c>
      <c r="P220" s="246"/>
      <c r="Q220" s="246"/>
      <c r="R220" s="246"/>
      <c r="S220" s="246"/>
      <c r="T220" s="246"/>
      <c r="U220" s="246"/>
      <c r="V220" s="246"/>
      <c r="W220" s="246"/>
      <c r="X220" s="244" t="s">
        <v>2722</v>
      </c>
      <c r="Y220" s="244" t="s">
        <v>2723</v>
      </c>
      <c r="Z220" s="244" t="s">
        <v>1445</v>
      </c>
      <c r="AA220" s="246" t="s">
        <v>2724</v>
      </c>
      <c r="AB220" s="245" t="s">
        <v>2474</v>
      </c>
    </row>
    <row r="221" spans="1:29" s="250" customFormat="1">
      <c r="A221" s="244">
        <v>217</v>
      </c>
      <c r="B221" s="245" t="s">
        <v>407</v>
      </c>
      <c r="C221" s="246" t="s">
        <v>1580</v>
      </c>
      <c r="D221" s="246" t="s">
        <v>1541</v>
      </c>
      <c r="E221" s="246" t="s">
        <v>1548</v>
      </c>
      <c r="F221" s="246" t="s">
        <v>1543</v>
      </c>
      <c r="G221" s="246" t="s">
        <v>1538</v>
      </c>
      <c r="H221" s="246" t="s">
        <v>1539</v>
      </c>
      <c r="I221" s="18">
        <v>59268000</v>
      </c>
      <c r="J221" s="248">
        <v>44385</v>
      </c>
      <c r="K221" s="248">
        <v>44433</v>
      </c>
      <c r="L221" s="248">
        <v>44435</v>
      </c>
      <c r="M221" s="248">
        <v>44441</v>
      </c>
      <c r="N221" s="246"/>
      <c r="O221" s="246" t="s">
        <v>1618</v>
      </c>
      <c r="P221" s="246"/>
      <c r="Q221" s="246"/>
      <c r="R221" s="246"/>
      <c r="S221" s="246"/>
      <c r="T221" s="246"/>
      <c r="U221" s="246"/>
      <c r="V221" s="246"/>
      <c r="W221" s="246"/>
      <c r="X221" s="244" t="s">
        <v>1798</v>
      </c>
      <c r="Y221" s="244"/>
      <c r="Z221" s="246" t="s">
        <v>1801</v>
      </c>
      <c r="AA221" s="246"/>
      <c r="AB221" s="245"/>
    </row>
    <row r="222" spans="1:29" s="250" customFormat="1">
      <c r="A222" s="244">
        <v>218</v>
      </c>
      <c r="B222" s="245" t="s">
        <v>565</v>
      </c>
      <c r="C222" s="246" t="s">
        <v>1168</v>
      </c>
      <c r="D222" s="246" t="s">
        <v>1051</v>
      </c>
      <c r="E222" s="246" t="s">
        <v>1741</v>
      </c>
      <c r="F222" s="246" t="s">
        <v>405</v>
      </c>
      <c r="G222" s="246" t="s">
        <v>411</v>
      </c>
      <c r="H222" s="246" t="s">
        <v>406</v>
      </c>
      <c r="I222" s="18">
        <v>1320000</v>
      </c>
      <c r="J222" s="248">
        <v>44386</v>
      </c>
      <c r="K222" s="248" t="s">
        <v>526</v>
      </c>
      <c r="L222" s="248">
        <v>44410</v>
      </c>
      <c r="M222" s="248">
        <v>44418</v>
      </c>
      <c r="N222" s="246"/>
      <c r="O222" s="246" t="s">
        <v>655</v>
      </c>
      <c r="P222" s="246"/>
      <c r="Q222" s="246"/>
      <c r="R222" s="246"/>
      <c r="S222" s="246"/>
      <c r="T222" s="246"/>
      <c r="U222" s="246"/>
      <c r="V222" s="246"/>
      <c r="W222" s="246"/>
      <c r="X222" s="253" t="s">
        <v>1803</v>
      </c>
      <c r="Y222" s="244"/>
      <c r="Z222" s="244" t="s">
        <v>1801</v>
      </c>
      <c r="AA222" s="246"/>
      <c r="AB222" s="245"/>
    </row>
    <row r="223" spans="1:29" s="250" customFormat="1">
      <c r="A223" s="244">
        <v>219</v>
      </c>
      <c r="B223" s="245" t="s">
        <v>1550</v>
      </c>
      <c r="C223" s="246" t="s">
        <v>1551</v>
      </c>
      <c r="D223" s="246" t="s">
        <v>1388</v>
      </c>
      <c r="E223" s="246" t="s">
        <v>1552</v>
      </c>
      <c r="F223" s="246" t="s">
        <v>405</v>
      </c>
      <c r="G223" s="246" t="s">
        <v>411</v>
      </c>
      <c r="H223" s="246" t="s">
        <v>406</v>
      </c>
      <c r="I223" s="18">
        <v>3960000</v>
      </c>
      <c r="J223" s="248">
        <v>44384</v>
      </c>
      <c r="K223" s="248">
        <v>44469</v>
      </c>
      <c r="L223" s="248">
        <v>44384</v>
      </c>
      <c r="M223" s="248">
        <v>44385</v>
      </c>
      <c r="N223" s="246"/>
      <c r="O223" s="246" t="s">
        <v>846</v>
      </c>
      <c r="P223" s="246"/>
      <c r="Q223" s="246"/>
      <c r="R223" s="246"/>
      <c r="S223" s="246"/>
      <c r="T223" s="246"/>
      <c r="U223" s="246"/>
      <c r="V223" s="246"/>
      <c r="W223" s="246"/>
      <c r="X223" s="253" t="s">
        <v>1804</v>
      </c>
      <c r="Y223" s="244"/>
      <c r="Z223" s="244" t="s">
        <v>1801</v>
      </c>
      <c r="AA223" s="246"/>
      <c r="AB223" s="245"/>
    </row>
    <row r="224" spans="1:29" s="250" customFormat="1">
      <c r="A224" s="244">
        <v>220</v>
      </c>
      <c r="B224" s="245" t="s">
        <v>407</v>
      </c>
      <c r="C224" s="246" t="s">
        <v>1583</v>
      </c>
      <c r="D224" s="246" t="s">
        <v>1131</v>
      </c>
      <c r="E224" s="246" t="s">
        <v>1553</v>
      </c>
      <c r="F224" s="246" t="s">
        <v>405</v>
      </c>
      <c r="G224" s="246" t="s">
        <v>411</v>
      </c>
      <c r="H224" s="246" t="s">
        <v>406</v>
      </c>
      <c r="I224" s="18">
        <v>455400000</v>
      </c>
      <c r="J224" s="248">
        <v>44386</v>
      </c>
      <c r="K224" s="248">
        <v>44561</v>
      </c>
      <c r="L224" s="248">
        <v>44522</v>
      </c>
      <c r="M224" s="248">
        <v>44523</v>
      </c>
      <c r="N224" s="246"/>
      <c r="O224" s="246" t="s">
        <v>547</v>
      </c>
      <c r="P224" s="246"/>
      <c r="Q224" s="246"/>
      <c r="R224" s="246"/>
      <c r="S224" s="246"/>
      <c r="T224" s="246"/>
      <c r="U224" s="246"/>
      <c r="V224" s="246"/>
      <c r="W224" s="246"/>
      <c r="X224" s="253" t="s">
        <v>2725</v>
      </c>
      <c r="Y224" s="253" t="s">
        <v>2654</v>
      </c>
      <c r="Z224" s="244" t="s">
        <v>2784</v>
      </c>
      <c r="AA224" s="258" t="s">
        <v>2783</v>
      </c>
      <c r="AB224" s="245"/>
      <c r="AC224" s="246"/>
    </row>
    <row r="225" spans="1:29" s="250" customFormat="1">
      <c r="A225" s="244">
        <v>221</v>
      </c>
      <c r="B225" s="245" t="s">
        <v>407</v>
      </c>
      <c r="C225" s="246" t="s">
        <v>1560</v>
      </c>
      <c r="D225" s="246" t="s">
        <v>573</v>
      </c>
      <c r="E225" s="246" t="s">
        <v>1561</v>
      </c>
      <c r="F225" s="246" t="s">
        <v>1562</v>
      </c>
      <c r="G225" s="246" t="s">
        <v>1563</v>
      </c>
      <c r="H225" s="246" t="s">
        <v>406</v>
      </c>
      <c r="I225" s="18">
        <v>8624000</v>
      </c>
      <c r="J225" s="248">
        <v>44389</v>
      </c>
      <c r="K225" s="248" t="s">
        <v>526</v>
      </c>
      <c r="L225" s="248">
        <v>44442</v>
      </c>
      <c r="M225" s="248">
        <v>44446</v>
      </c>
      <c r="N225" s="246"/>
      <c r="O225" s="246" t="s">
        <v>1564</v>
      </c>
      <c r="P225" s="246"/>
      <c r="Q225" s="246"/>
      <c r="R225" s="246"/>
      <c r="S225" s="246"/>
      <c r="T225" s="246"/>
      <c r="U225" s="246"/>
      <c r="V225" s="246"/>
      <c r="W225" s="246"/>
      <c r="X225" s="253" t="s">
        <v>2726</v>
      </c>
      <c r="Y225" s="244"/>
      <c r="Z225" s="244" t="s">
        <v>2705</v>
      </c>
      <c r="AA225" s="246"/>
      <c r="AB225" s="245"/>
    </row>
    <row r="226" spans="1:29" s="250" customFormat="1">
      <c r="A226" s="244">
        <v>222</v>
      </c>
      <c r="B226" s="245" t="s">
        <v>1557</v>
      </c>
      <c r="C226" s="246" t="s">
        <v>1558</v>
      </c>
      <c r="D226" s="246" t="s">
        <v>1051</v>
      </c>
      <c r="E226" s="246" t="s">
        <v>1559</v>
      </c>
      <c r="F226" s="246" t="s">
        <v>405</v>
      </c>
      <c r="G226" s="246" t="s">
        <v>526</v>
      </c>
      <c r="H226" s="246" t="s">
        <v>406</v>
      </c>
      <c r="I226" s="18">
        <v>4950000</v>
      </c>
      <c r="J226" s="248">
        <v>44389</v>
      </c>
      <c r="K226" s="248">
        <v>44473</v>
      </c>
      <c r="L226" s="248">
        <v>44466</v>
      </c>
      <c r="M226" s="248">
        <v>44467</v>
      </c>
      <c r="N226" s="246"/>
      <c r="O226" s="246" t="s">
        <v>691</v>
      </c>
      <c r="P226" s="246"/>
      <c r="Q226" s="246"/>
      <c r="R226" s="246"/>
      <c r="S226" s="246"/>
      <c r="T226" s="246"/>
      <c r="U226" s="246"/>
      <c r="V226" s="246"/>
      <c r="W226" s="246"/>
      <c r="X226" s="253" t="s">
        <v>2122</v>
      </c>
      <c r="Y226" s="244"/>
      <c r="Z226" s="244" t="s">
        <v>2120</v>
      </c>
      <c r="AA226" s="255" t="s">
        <v>1554</v>
      </c>
      <c r="AB226" s="245" t="s">
        <v>2538</v>
      </c>
      <c r="AC226" s="246"/>
    </row>
    <row r="227" spans="1:29" s="250" customFormat="1">
      <c r="A227" s="244">
        <v>223</v>
      </c>
      <c r="B227" s="245" t="s">
        <v>1565</v>
      </c>
      <c r="C227" s="246" t="s">
        <v>1566</v>
      </c>
      <c r="D227" s="246" t="s">
        <v>1567</v>
      </c>
      <c r="E227" s="246" t="s">
        <v>1568</v>
      </c>
      <c r="F227" s="246" t="s">
        <v>1562</v>
      </c>
      <c r="G227" s="246" t="s">
        <v>1563</v>
      </c>
      <c r="H227" s="246" t="s">
        <v>406</v>
      </c>
      <c r="I227" s="18">
        <v>1232000</v>
      </c>
      <c r="J227" s="248">
        <v>44390</v>
      </c>
      <c r="K227" s="248">
        <v>44432</v>
      </c>
      <c r="L227" s="248">
        <v>44435</v>
      </c>
      <c r="M227" s="248">
        <v>44456</v>
      </c>
      <c r="N227" s="246"/>
      <c r="O227" s="246" t="s">
        <v>691</v>
      </c>
      <c r="P227" s="246"/>
      <c r="Q227" s="246"/>
      <c r="R227" s="246"/>
      <c r="S227" s="246"/>
      <c r="T227" s="246"/>
      <c r="U227" s="246"/>
      <c r="V227" s="246"/>
      <c r="W227" s="246"/>
      <c r="X227" s="253" t="s">
        <v>2123</v>
      </c>
      <c r="Y227" s="244"/>
      <c r="Z227" s="244" t="s">
        <v>1278</v>
      </c>
      <c r="AA227" s="246"/>
      <c r="AB227" s="245"/>
      <c r="AC227" s="246"/>
    </row>
    <row r="228" spans="1:29" s="250" customFormat="1">
      <c r="A228" s="244">
        <v>224</v>
      </c>
      <c r="B228" s="245" t="s">
        <v>1569</v>
      </c>
      <c r="C228" s="246"/>
      <c r="D228" s="246" t="s">
        <v>845</v>
      </c>
      <c r="E228" s="246" t="s">
        <v>1570</v>
      </c>
      <c r="F228" s="246" t="s">
        <v>1562</v>
      </c>
      <c r="G228" s="246" t="s">
        <v>1563</v>
      </c>
      <c r="H228" s="246" t="s">
        <v>406</v>
      </c>
      <c r="I228" s="18">
        <v>147906000</v>
      </c>
      <c r="J228" s="248">
        <v>44392</v>
      </c>
      <c r="K228" s="246" t="s">
        <v>1571</v>
      </c>
      <c r="L228" s="248">
        <v>44544</v>
      </c>
      <c r="M228" s="248">
        <v>44545</v>
      </c>
      <c r="N228" s="246"/>
      <c r="O228" s="246" t="s">
        <v>1572</v>
      </c>
      <c r="P228" s="246"/>
      <c r="Q228" s="246"/>
      <c r="R228" s="246"/>
      <c r="S228" s="246"/>
      <c r="T228" s="246"/>
      <c r="U228" s="246"/>
      <c r="V228" s="246"/>
      <c r="W228" s="246"/>
      <c r="X228" s="253" t="s">
        <v>2168</v>
      </c>
      <c r="Y228" s="253" t="s">
        <v>2727</v>
      </c>
      <c r="Z228" s="244" t="s">
        <v>2801</v>
      </c>
      <c r="AA228" s="258"/>
      <c r="AB228" s="245" t="s">
        <v>2800</v>
      </c>
    </row>
    <row r="229" spans="1:29" s="250" customFormat="1">
      <c r="A229" s="244">
        <v>225</v>
      </c>
      <c r="B229" s="245" t="s">
        <v>1616</v>
      </c>
      <c r="C229" s="246" t="s">
        <v>1599</v>
      </c>
      <c r="D229" s="246" t="s">
        <v>948</v>
      </c>
      <c r="E229" s="246" t="s">
        <v>1600</v>
      </c>
      <c r="F229" s="246" t="s">
        <v>405</v>
      </c>
      <c r="G229" s="246" t="s">
        <v>411</v>
      </c>
      <c r="H229" s="246" t="s">
        <v>406</v>
      </c>
      <c r="I229" s="18">
        <v>6930000</v>
      </c>
      <c r="J229" s="248">
        <v>44392</v>
      </c>
      <c r="K229" s="248">
        <v>44532</v>
      </c>
      <c r="L229" s="248">
        <v>44545</v>
      </c>
      <c r="M229" s="246" t="s">
        <v>2486</v>
      </c>
      <c r="N229" s="246"/>
      <c r="O229" s="246" t="s">
        <v>790</v>
      </c>
      <c r="P229" s="246"/>
      <c r="Q229" s="246"/>
      <c r="R229" s="246"/>
      <c r="S229" s="246"/>
      <c r="T229" s="246"/>
      <c r="U229" s="246"/>
      <c r="V229" s="246"/>
      <c r="W229" s="246"/>
      <c r="X229" s="253" t="s">
        <v>2352</v>
      </c>
      <c r="Y229" s="244"/>
      <c r="Z229" s="244" t="s">
        <v>2658</v>
      </c>
      <c r="AA229" s="246"/>
      <c r="AB229" s="245"/>
    </row>
    <row r="230" spans="1:29" s="250" customFormat="1">
      <c r="A230" s="244">
        <v>226</v>
      </c>
      <c r="B230" s="245" t="s">
        <v>699</v>
      </c>
      <c r="C230" s="246" t="s">
        <v>1601</v>
      </c>
      <c r="D230" s="246" t="s">
        <v>1135</v>
      </c>
      <c r="E230" s="246" t="s">
        <v>1621</v>
      </c>
      <c r="F230" s="246" t="s">
        <v>405</v>
      </c>
      <c r="G230" s="246" t="s">
        <v>411</v>
      </c>
      <c r="H230" s="246" t="s">
        <v>406</v>
      </c>
      <c r="I230" s="18">
        <v>13200000</v>
      </c>
      <c r="J230" s="248">
        <v>44393</v>
      </c>
      <c r="K230" s="248" t="s">
        <v>526</v>
      </c>
      <c r="L230" s="248">
        <v>44393</v>
      </c>
      <c r="M230" s="248">
        <v>44396</v>
      </c>
      <c r="N230" s="246"/>
      <c r="O230" s="246" t="s">
        <v>742</v>
      </c>
      <c r="P230" s="246"/>
      <c r="Q230" s="246"/>
      <c r="R230" s="246"/>
      <c r="S230" s="246"/>
      <c r="T230" s="246"/>
      <c r="U230" s="246"/>
      <c r="V230" s="246"/>
      <c r="W230" s="246"/>
      <c r="X230" s="253" t="s">
        <v>1761</v>
      </c>
      <c r="Y230" s="244"/>
      <c r="Z230" s="244" t="s">
        <v>1801</v>
      </c>
      <c r="AA230" s="246"/>
      <c r="AB230" s="245"/>
    </row>
    <row r="231" spans="1:29" s="250" customFormat="1">
      <c r="A231" s="244">
        <v>227</v>
      </c>
      <c r="B231" s="245" t="s">
        <v>1596</v>
      </c>
      <c r="C231" s="246" t="s">
        <v>1597</v>
      </c>
      <c r="D231" s="246" t="s">
        <v>1135</v>
      </c>
      <c r="E231" s="246" t="s">
        <v>1598</v>
      </c>
      <c r="F231" s="246" t="s">
        <v>405</v>
      </c>
      <c r="G231" s="246" t="s">
        <v>411</v>
      </c>
      <c r="H231" s="246" t="s">
        <v>406</v>
      </c>
      <c r="I231" s="18">
        <v>9900000</v>
      </c>
      <c r="J231" s="248">
        <v>44397</v>
      </c>
      <c r="K231" s="248" t="s">
        <v>526</v>
      </c>
      <c r="L231" s="248">
        <v>44393</v>
      </c>
      <c r="M231" s="248">
        <v>44399</v>
      </c>
      <c r="N231" s="246"/>
      <c r="O231" s="246" t="s">
        <v>742</v>
      </c>
      <c r="P231" s="246"/>
      <c r="Q231" s="246"/>
      <c r="R231" s="246"/>
      <c r="S231" s="246"/>
      <c r="T231" s="246"/>
      <c r="U231" s="246"/>
      <c r="V231" s="246"/>
      <c r="W231" s="246"/>
      <c r="X231" s="253" t="s">
        <v>1760</v>
      </c>
      <c r="Y231" s="244"/>
      <c r="Z231" s="244" t="s">
        <v>1801</v>
      </c>
      <c r="AA231" s="246"/>
      <c r="AB231" s="245"/>
    </row>
    <row r="232" spans="1:29" s="250" customFormat="1">
      <c r="A232" s="244">
        <v>228</v>
      </c>
      <c r="B232" s="245" t="s">
        <v>407</v>
      </c>
      <c r="C232" s="246" t="s">
        <v>1594</v>
      </c>
      <c r="D232" s="246" t="s">
        <v>744</v>
      </c>
      <c r="E232" s="246" t="s">
        <v>1595</v>
      </c>
      <c r="F232" s="246" t="s">
        <v>405</v>
      </c>
      <c r="G232" s="246" t="s">
        <v>411</v>
      </c>
      <c r="H232" s="246" t="s">
        <v>406</v>
      </c>
      <c r="I232" s="18">
        <v>15400000</v>
      </c>
      <c r="J232" s="248">
        <v>44397</v>
      </c>
      <c r="K232" s="248" t="s">
        <v>526</v>
      </c>
      <c r="L232" s="248">
        <v>44442</v>
      </c>
      <c r="M232" s="248">
        <v>44447</v>
      </c>
      <c r="N232" s="246"/>
      <c r="O232" s="246" t="s">
        <v>546</v>
      </c>
      <c r="P232" s="246"/>
      <c r="Q232" s="246"/>
      <c r="R232" s="246"/>
      <c r="S232" s="246"/>
      <c r="T232" s="246"/>
      <c r="U232" s="246"/>
      <c r="V232" s="246"/>
      <c r="W232" s="246"/>
      <c r="X232" s="253" t="s">
        <v>1964</v>
      </c>
      <c r="Y232" s="244"/>
      <c r="Z232" s="244" t="s">
        <v>1278</v>
      </c>
      <c r="AA232" s="246"/>
      <c r="AB232" s="245"/>
      <c r="AC232" s="246"/>
    </row>
    <row r="233" spans="1:29" s="250" customFormat="1">
      <c r="A233" s="244">
        <v>229</v>
      </c>
      <c r="B233" s="298" t="s">
        <v>1602</v>
      </c>
      <c r="C233" s="246" t="s">
        <v>668</v>
      </c>
      <c r="D233" s="246" t="s">
        <v>1135</v>
      </c>
      <c r="E233" s="246" t="s">
        <v>1593</v>
      </c>
      <c r="F233" s="246" t="s">
        <v>405</v>
      </c>
      <c r="G233" s="246" t="s">
        <v>411</v>
      </c>
      <c r="H233" s="246" t="s">
        <v>406</v>
      </c>
      <c r="I233" s="18">
        <v>3300000</v>
      </c>
      <c r="J233" s="248">
        <v>44396</v>
      </c>
      <c r="K233" s="248" t="s">
        <v>526</v>
      </c>
      <c r="L233" s="248">
        <v>44379</v>
      </c>
      <c r="M233" s="248">
        <v>44404</v>
      </c>
      <c r="N233" s="246"/>
      <c r="O233" s="246" t="s">
        <v>1660</v>
      </c>
      <c r="P233" s="246"/>
      <c r="Q233" s="246"/>
      <c r="R233" s="246"/>
      <c r="S233" s="246"/>
      <c r="T233" s="246"/>
      <c r="U233" s="246"/>
      <c r="V233" s="246"/>
      <c r="W233" s="246"/>
      <c r="X233" s="253" t="s">
        <v>2728</v>
      </c>
      <c r="Y233" s="244"/>
      <c r="Z233" s="244" t="s">
        <v>2582</v>
      </c>
      <c r="AA233" s="254" t="s">
        <v>2466</v>
      </c>
      <c r="AB233" s="245" t="s">
        <v>2535</v>
      </c>
    </row>
    <row r="234" spans="1:29" s="250" customFormat="1">
      <c r="A234" s="244">
        <v>230</v>
      </c>
      <c r="B234" s="245" t="s">
        <v>407</v>
      </c>
      <c r="C234" s="246" t="s">
        <v>1591</v>
      </c>
      <c r="D234" s="246" t="s">
        <v>1455</v>
      </c>
      <c r="E234" s="246" t="s">
        <v>1592</v>
      </c>
      <c r="F234" s="246" t="s">
        <v>405</v>
      </c>
      <c r="G234" s="246" t="s">
        <v>411</v>
      </c>
      <c r="H234" s="246" t="s">
        <v>406</v>
      </c>
      <c r="I234" s="18">
        <v>5562480</v>
      </c>
      <c r="J234" s="248">
        <v>44397</v>
      </c>
      <c r="K234" s="248" t="s">
        <v>526</v>
      </c>
      <c r="L234" s="248">
        <v>44404</v>
      </c>
      <c r="M234" s="248">
        <v>44406</v>
      </c>
      <c r="N234" s="246"/>
      <c r="O234" s="246" t="s">
        <v>507</v>
      </c>
      <c r="P234" s="246"/>
      <c r="Q234" s="246"/>
      <c r="R234" s="246"/>
      <c r="S234" s="246"/>
      <c r="T234" s="246"/>
      <c r="U234" s="246"/>
      <c r="V234" s="246"/>
      <c r="W234" s="246"/>
      <c r="X234" s="253" t="s">
        <v>1759</v>
      </c>
      <c r="Y234" s="244"/>
      <c r="Z234" s="244" t="s">
        <v>1801</v>
      </c>
      <c r="AA234" s="246"/>
      <c r="AB234" s="245"/>
    </row>
    <row r="235" spans="1:29" s="250" customFormat="1">
      <c r="A235" s="244">
        <v>231</v>
      </c>
      <c r="B235" s="245" t="s">
        <v>1603</v>
      </c>
      <c r="C235" s="246" t="s">
        <v>1604</v>
      </c>
      <c r="D235" s="246" t="s">
        <v>513</v>
      </c>
      <c r="E235" s="246" t="s">
        <v>1605</v>
      </c>
      <c r="F235" s="246" t="s">
        <v>1606</v>
      </c>
      <c r="G235" s="246" t="s">
        <v>1607</v>
      </c>
      <c r="H235" s="246" t="s">
        <v>406</v>
      </c>
      <c r="I235" s="18">
        <v>3135000</v>
      </c>
      <c r="J235" s="248">
        <v>44398</v>
      </c>
      <c r="K235" s="248">
        <v>44468</v>
      </c>
      <c r="L235" s="248">
        <v>44433</v>
      </c>
      <c r="M235" s="248">
        <v>44447</v>
      </c>
      <c r="N235" s="246"/>
      <c r="O235" s="246" t="s">
        <v>1608</v>
      </c>
      <c r="P235" s="246"/>
      <c r="Q235" s="246"/>
      <c r="R235" s="246"/>
      <c r="S235" s="246"/>
      <c r="T235" s="246"/>
      <c r="U235" s="246"/>
      <c r="V235" s="246"/>
      <c r="W235" s="246"/>
      <c r="X235" s="253" t="s">
        <v>1828</v>
      </c>
      <c r="Y235" s="244"/>
      <c r="Z235" s="244" t="s">
        <v>1278</v>
      </c>
      <c r="AA235" s="246"/>
      <c r="AB235" s="245"/>
    </row>
    <row r="236" spans="1:29" s="250" customFormat="1">
      <c r="A236" s="244">
        <v>232</v>
      </c>
      <c r="B236" s="245" t="s">
        <v>1609</v>
      </c>
      <c r="C236" s="246" t="s">
        <v>1607</v>
      </c>
      <c r="D236" s="246" t="s">
        <v>1631</v>
      </c>
      <c r="E236" s="246" t="s">
        <v>1777</v>
      </c>
      <c r="F236" s="246" t="s">
        <v>1606</v>
      </c>
      <c r="G236" s="246" t="s">
        <v>1607</v>
      </c>
      <c r="H236" s="246" t="s">
        <v>1610</v>
      </c>
      <c r="I236" s="18">
        <v>7672500</v>
      </c>
      <c r="J236" s="248">
        <v>44398</v>
      </c>
      <c r="K236" s="248">
        <v>44428</v>
      </c>
      <c r="L236" s="248">
        <v>44426</v>
      </c>
      <c r="M236" s="248">
        <v>44432</v>
      </c>
      <c r="N236" s="246"/>
      <c r="O236" s="246" t="s">
        <v>1617</v>
      </c>
      <c r="P236" s="246"/>
      <c r="Q236" s="246"/>
      <c r="R236" s="246"/>
      <c r="S236" s="246"/>
      <c r="T236" s="246"/>
      <c r="U236" s="246"/>
      <c r="V236" s="246"/>
      <c r="W236" s="246"/>
      <c r="X236" s="253" t="s">
        <v>1757</v>
      </c>
      <c r="Y236" s="244"/>
      <c r="Z236" s="244" t="s">
        <v>1801</v>
      </c>
      <c r="AA236" s="246"/>
      <c r="AB236" s="245"/>
      <c r="AC236" s="246"/>
    </row>
    <row r="237" spans="1:29" s="250" customFormat="1">
      <c r="A237" s="244">
        <v>233</v>
      </c>
      <c r="B237" s="245" t="s">
        <v>1612</v>
      </c>
      <c r="C237" s="246" t="s">
        <v>1614</v>
      </c>
      <c r="D237" s="246"/>
      <c r="E237" s="246" t="s">
        <v>1613</v>
      </c>
      <c r="F237" s="246" t="s">
        <v>405</v>
      </c>
      <c r="G237" s="246" t="s">
        <v>411</v>
      </c>
      <c r="H237" s="246" t="s">
        <v>406</v>
      </c>
      <c r="I237" s="18">
        <v>13200000</v>
      </c>
      <c r="J237" s="248">
        <v>44398</v>
      </c>
      <c r="K237" s="248" t="s">
        <v>526</v>
      </c>
      <c r="L237" s="248">
        <v>44378</v>
      </c>
      <c r="M237" s="248">
        <v>44392</v>
      </c>
      <c r="N237" s="246"/>
      <c r="O237" s="246" t="s">
        <v>1661</v>
      </c>
      <c r="P237" s="246"/>
      <c r="Q237" s="246"/>
      <c r="R237" s="246"/>
      <c r="S237" s="246"/>
      <c r="T237" s="246"/>
      <c r="U237" s="246"/>
      <c r="V237" s="246"/>
      <c r="W237" s="246"/>
      <c r="X237" s="244" t="s">
        <v>1799</v>
      </c>
      <c r="Y237" s="244"/>
      <c r="Z237" s="246" t="s">
        <v>2576</v>
      </c>
      <c r="AA237" s="246"/>
      <c r="AB237" s="245"/>
      <c r="AC237" s="246"/>
    </row>
    <row r="238" spans="1:29" s="250" customFormat="1">
      <c r="A238" s="244">
        <v>234</v>
      </c>
      <c r="B238" s="245" t="s">
        <v>1622</v>
      </c>
      <c r="C238" s="246" t="s">
        <v>1623</v>
      </c>
      <c r="D238" s="246" t="s">
        <v>928</v>
      </c>
      <c r="E238" s="246" t="s">
        <v>1672</v>
      </c>
      <c r="F238" s="246" t="s">
        <v>405</v>
      </c>
      <c r="G238" s="246" t="s">
        <v>526</v>
      </c>
      <c r="H238" s="246" t="s">
        <v>406</v>
      </c>
      <c r="I238" s="18">
        <v>99000000</v>
      </c>
      <c r="J238" s="248">
        <v>44399</v>
      </c>
      <c r="K238" s="248">
        <v>44561</v>
      </c>
      <c r="L238" s="246" t="s">
        <v>2181</v>
      </c>
      <c r="M238" s="246" t="s">
        <v>2182</v>
      </c>
      <c r="N238" s="246"/>
      <c r="O238" s="246" t="s">
        <v>691</v>
      </c>
      <c r="P238" s="246"/>
      <c r="Q238" s="246"/>
      <c r="R238" s="246"/>
      <c r="S238" s="246"/>
      <c r="T238" s="246"/>
      <c r="U238" s="246"/>
      <c r="V238" s="246"/>
      <c r="W238" s="246"/>
      <c r="X238" s="253" t="s">
        <v>2085</v>
      </c>
      <c r="Y238" s="244"/>
      <c r="Z238" s="244" t="s">
        <v>2129</v>
      </c>
      <c r="AA238" s="246"/>
      <c r="AB238" s="245"/>
      <c r="AC238" s="246"/>
    </row>
    <row r="239" spans="1:29" s="250" customFormat="1" ht="15.75" customHeight="1">
      <c r="A239" s="244">
        <v>235</v>
      </c>
      <c r="B239" s="245" t="s">
        <v>1624</v>
      </c>
      <c r="C239" s="246" t="s">
        <v>1625</v>
      </c>
      <c r="D239" s="246" t="s">
        <v>1626</v>
      </c>
      <c r="E239" s="246" t="s">
        <v>1627</v>
      </c>
      <c r="F239" s="246" t="s">
        <v>519</v>
      </c>
      <c r="G239" s="246" t="s">
        <v>526</v>
      </c>
      <c r="H239" s="246" t="s">
        <v>406</v>
      </c>
      <c r="I239" s="18">
        <v>2310135</v>
      </c>
      <c r="J239" s="248">
        <v>44403</v>
      </c>
      <c r="K239" s="248">
        <v>44412</v>
      </c>
      <c r="L239" s="248">
        <v>44446</v>
      </c>
      <c r="M239" s="248">
        <v>44449</v>
      </c>
      <c r="N239" s="246"/>
      <c r="O239" s="246" t="s">
        <v>691</v>
      </c>
      <c r="P239" s="246"/>
      <c r="Q239" s="246"/>
      <c r="R239" s="246"/>
      <c r="S239" s="246"/>
      <c r="T239" s="246"/>
      <c r="U239" s="246"/>
      <c r="V239" s="246"/>
      <c r="W239" s="246"/>
      <c r="X239" s="244" t="s">
        <v>2131</v>
      </c>
      <c r="Y239" s="244"/>
      <c r="Z239" s="246" t="s">
        <v>2129</v>
      </c>
      <c r="AA239" s="245" t="s">
        <v>2130</v>
      </c>
      <c r="AB239" s="245"/>
      <c r="AC239" s="246"/>
    </row>
    <row r="240" spans="1:29" s="250" customFormat="1">
      <c r="A240" s="244">
        <v>236</v>
      </c>
      <c r="B240" s="245" t="s">
        <v>1637</v>
      </c>
      <c r="C240" s="246" t="s">
        <v>1638</v>
      </c>
      <c r="D240" s="246" t="s">
        <v>1639</v>
      </c>
      <c r="E240" s="246" t="s">
        <v>1640</v>
      </c>
      <c r="F240" s="246" t="s">
        <v>405</v>
      </c>
      <c r="G240" s="246" t="s">
        <v>526</v>
      </c>
      <c r="H240" s="246" t="s">
        <v>406</v>
      </c>
      <c r="I240" s="18">
        <v>9900000</v>
      </c>
      <c r="J240" s="248">
        <v>44405</v>
      </c>
      <c r="K240" s="248">
        <v>44530</v>
      </c>
      <c r="L240" s="246" t="s">
        <v>2058</v>
      </c>
      <c r="M240" s="246" t="s">
        <v>2862</v>
      </c>
      <c r="N240" s="246"/>
      <c r="O240" s="246" t="s">
        <v>620</v>
      </c>
      <c r="P240" s="246"/>
      <c r="Q240" s="246"/>
      <c r="R240" s="246"/>
      <c r="S240" s="246"/>
      <c r="T240" s="246"/>
      <c r="U240" s="246"/>
      <c r="V240" s="246"/>
      <c r="W240" s="246"/>
      <c r="X240" s="253" t="s">
        <v>2004</v>
      </c>
      <c r="Y240" s="244"/>
      <c r="Z240" s="244" t="s">
        <v>1278</v>
      </c>
      <c r="AA240" s="246"/>
      <c r="AB240" s="245"/>
    </row>
    <row r="241" spans="1:29" s="250" customFormat="1">
      <c r="A241" s="244">
        <v>237</v>
      </c>
      <c r="B241" s="245" t="s">
        <v>407</v>
      </c>
      <c r="C241" s="246" t="s">
        <v>1359</v>
      </c>
      <c r="D241" s="246" t="s">
        <v>1051</v>
      </c>
      <c r="E241" s="246" t="s">
        <v>1636</v>
      </c>
      <c r="F241" s="246" t="s">
        <v>405</v>
      </c>
      <c r="G241" s="246" t="s">
        <v>526</v>
      </c>
      <c r="H241" s="246" t="s">
        <v>406</v>
      </c>
      <c r="I241" s="18">
        <v>29150000</v>
      </c>
      <c r="J241" s="248">
        <v>44406</v>
      </c>
      <c r="K241" s="248">
        <v>44498</v>
      </c>
      <c r="L241" s="248">
        <v>44511</v>
      </c>
      <c r="M241" s="248">
        <v>44512</v>
      </c>
      <c r="N241" s="246"/>
      <c r="O241" s="246" t="s">
        <v>546</v>
      </c>
      <c r="P241" s="246"/>
      <c r="Q241" s="246"/>
      <c r="R241" s="246"/>
      <c r="S241" s="246"/>
      <c r="T241" s="246"/>
      <c r="U241" s="246"/>
      <c r="V241" s="246"/>
      <c r="W241" s="246"/>
      <c r="X241" s="253" t="s">
        <v>2108</v>
      </c>
      <c r="Y241" s="244"/>
      <c r="Z241" s="244" t="s">
        <v>1278</v>
      </c>
      <c r="AA241" s="246"/>
      <c r="AB241" s="245"/>
      <c r="AC241" s="246"/>
    </row>
    <row r="242" spans="1:29" s="250" customFormat="1">
      <c r="A242" s="244">
        <v>238</v>
      </c>
      <c r="B242" s="245" t="s">
        <v>1633</v>
      </c>
      <c r="C242" s="246" t="s">
        <v>1634</v>
      </c>
      <c r="D242" s="246" t="s">
        <v>513</v>
      </c>
      <c r="E242" s="246" t="s">
        <v>1740</v>
      </c>
      <c r="F242" s="246" t="s">
        <v>405</v>
      </c>
      <c r="G242" s="246" t="s">
        <v>526</v>
      </c>
      <c r="H242" s="246" t="s">
        <v>406</v>
      </c>
      <c r="I242" s="18">
        <v>1980000</v>
      </c>
      <c r="J242" s="248">
        <v>44406</v>
      </c>
      <c r="K242" s="248" t="s">
        <v>526</v>
      </c>
      <c r="L242" s="248">
        <v>44406</v>
      </c>
      <c r="M242" s="248">
        <v>44418</v>
      </c>
      <c r="N242" s="246"/>
      <c r="O242" s="246" t="s">
        <v>846</v>
      </c>
      <c r="P242" s="246"/>
      <c r="Q242" s="246"/>
      <c r="R242" s="246"/>
      <c r="S242" s="246"/>
      <c r="T242" s="246"/>
      <c r="U242" s="246"/>
      <c r="V242" s="246"/>
      <c r="W242" s="246"/>
      <c r="X242" s="253" t="s">
        <v>1635</v>
      </c>
      <c r="Y242" s="244"/>
      <c r="Z242" s="244" t="s">
        <v>1801</v>
      </c>
      <c r="AA242" s="246"/>
      <c r="AB242" s="245"/>
    </row>
    <row r="243" spans="1:29" s="250" customFormat="1">
      <c r="A243" s="244">
        <v>239</v>
      </c>
      <c r="B243" s="245" t="s">
        <v>565</v>
      </c>
      <c r="C243" s="246" t="s">
        <v>602</v>
      </c>
      <c r="D243" s="246" t="s">
        <v>1641</v>
      </c>
      <c r="E243" s="246" t="s">
        <v>1779</v>
      </c>
      <c r="F243" s="246" t="s">
        <v>405</v>
      </c>
      <c r="G243" s="246" t="s">
        <v>526</v>
      </c>
      <c r="H243" s="246" t="s">
        <v>406</v>
      </c>
      <c r="I243" s="18">
        <v>1265000</v>
      </c>
      <c r="J243" s="248">
        <v>44408</v>
      </c>
      <c r="K243" s="248">
        <v>44439</v>
      </c>
      <c r="L243" s="248">
        <v>44427</v>
      </c>
      <c r="M243" s="248">
        <v>44434</v>
      </c>
      <c r="N243" s="246"/>
      <c r="O243" s="246" t="s">
        <v>691</v>
      </c>
      <c r="P243" s="246"/>
      <c r="Q243" s="246"/>
      <c r="R243" s="246"/>
      <c r="S243" s="246"/>
      <c r="T243" s="246"/>
      <c r="U243" s="246"/>
      <c r="V243" s="246"/>
      <c r="W243" s="246"/>
      <c r="X243" s="253" t="s">
        <v>1931</v>
      </c>
      <c r="Y243" s="244"/>
      <c r="Z243" s="244" t="s">
        <v>1278</v>
      </c>
      <c r="AA243" s="246"/>
      <c r="AB243" s="245"/>
      <c r="AC243" s="246"/>
    </row>
    <row r="244" spans="1:29" s="250" customFormat="1">
      <c r="A244" s="244">
        <v>240</v>
      </c>
      <c r="B244" s="245" t="s">
        <v>407</v>
      </c>
      <c r="C244" s="246" t="s">
        <v>1642</v>
      </c>
      <c r="D244" s="246" t="s">
        <v>409</v>
      </c>
      <c r="E244" s="246" t="s">
        <v>1643</v>
      </c>
      <c r="F244" s="246" t="s">
        <v>405</v>
      </c>
      <c r="G244" s="246" t="s">
        <v>526</v>
      </c>
      <c r="H244" s="246" t="s">
        <v>406</v>
      </c>
      <c r="I244" s="18">
        <v>6468000</v>
      </c>
      <c r="J244" s="248">
        <v>44410</v>
      </c>
      <c r="K244" s="246"/>
      <c r="L244" s="248">
        <v>44481</v>
      </c>
      <c r="M244" s="248">
        <v>44484</v>
      </c>
      <c r="N244" s="246"/>
      <c r="O244" s="246" t="s">
        <v>613</v>
      </c>
      <c r="P244" s="246"/>
      <c r="Q244" s="246"/>
      <c r="R244" s="246"/>
      <c r="S244" s="246"/>
      <c r="T244" s="246"/>
      <c r="U244" s="246"/>
      <c r="V244" s="246"/>
      <c r="W244" s="246"/>
      <c r="X244" s="253" t="s">
        <v>2729</v>
      </c>
      <c r="Y244" s="244"/>
      <c r="Z244" s="244" t="s">
        <v>1278</v>
      </c>
      <c r="AA244" s="255" t="s">
        <v>1554</v>
      </c>
      <c r="AB244" s="245"/>
    </row>
    <row r="245" spans="1:29" s="250" customFormat="1">
      <c r="A245" s="244">
        <v>241</v>
      </c>
      <c r="B245" s="245" t="s">
        <v>407</v>
      </c>
      <c r="C245" s="246" t="s">
        <v>1642</v>
      </c>
      <c r="D245" s="246" t="s">
        <v>409</v>
      </c>
      <c r="E245" s="246" t="s">
        <v>1644</v>
      </c>
      <c r="F245" s="246" t="s">
        <v>405</v>
      </c>
      <c r="G245" s="246" t="s">
        <v>526</v>
      </c>
      <c r="H245" s="246" t="s">
        <v>406</v>
      </c>
      <c r="I245" s="18">
        <v>14014000</v>
      </c>
      <c r="J245" s="248">
        <v>44410</v>
      </c>
      <c r="K245" s="246"/>
      <c r="L245" s="248">
        <v>44481</v>
      </c>
      <c r="M245" s="248">
        <v>44484</v>
      </c>
      <c r="N245" s="246"/>
      <c r="O245" s="246" t="s">
        <v>613</v>
      </c>
      <c r="P245" s="246"/>
      <c r="Q245" s="246"/>
      <c r="R245" s="246"/>
      <c r="S245" s="246"/>
      <c r="T245" s="246"/>
      <c r="U245" s="246"/>
      <c r="V245" s="246"/>
      <c r="W245" s="246"/>
      <c r="X245" s="244" t="s">
        <v>1996</v>
      </c>
      <c r="Y245" s="244"/>
      <c r="Z245" s="246"/>
      <c r="AA245" s="246"/>
      <c r="AB245" s="245"/>
    </row>
    <row r="246" spans="1:29" s="250" customFormat="1">
      <c r="A246" s="244">
        <v>242</v>
      </c>
      <c r="B246" s="245" t="s">
        <v>423</v>
      </c>
      <c r="C246" s="246" t="s">
        <v>1645</v>
      </c>
      <c r="D246" s="246" t="s">
        <v>899</v>
      </c>
      <c r="E246" s="246" t="s">
        <v>1646</v>
      </c>
      <c r="F246" s="246" t="s">
        <v>1647</v>
      </c>
      <c r="G246" s="246" t="s">
        <v>1648</v>
      </c>
      <c r="H246" s="246" t="s">
        <v>1649</v>
      </c>
      <c r="I246" s="26" t="s">
        <v>1650</v>
      </c>
      <c r="J246" s="248">
        <v>44407</v>
      </c>
      <c r="K246" s="248">
        <v>44530</v>
      </c>
      <c r="L246" s="247" t="s">
        <v>411</v>
      </c>
      <c r="M246" s="247" t="s">
        <v>411</v>
      </c>
      <c r="N246" s="246"/>
      <c r="O246" s="246" t="s">
        <v>546</v>
      </c>
      <c r="P246" s="246"/>
      <c r="Q246" s="246"/>
      <c r="R246" s="246"/>
      <c r="S246" s="246"/>
      <c r="T246" s="246"/>
      <c r="U246" s="246"/>
      <c r="V246" s="246"/>
      <c r="W246" s="246"/>
      <c r="X246" s="244" t="s">
        <v>2086</v>
      </c>
      <c r="Y246" s="244"/>
      <c r="Z246" s="246" t="s">
        <v>2125</v>
      </c>
      <c r="AA246" s="246"/>
      <c r="AB246" s="245"/>
      <c r="AC246" s="246"/>
    </row>
    <row r="247" spans="1:29" s="250" customFormat="1">
      <c r="A247" s="244">
        <v>243</v>
      </c>
      <c r="B247" s="245" t="s">
        <v>1651</v>
      </c>
      <c r="C247" s="246" t="s">
        <v>1659</v>
      </c>
      <c r="D247" s="246" t="s">
        <v>1652</v>
      </c>
      <c r="E247" s="245" t="s">
        <v>1864</v>
      </c>
      <c r="F247" s="246" t="s">
        <v>1653</v>
      </c>
      <c r="G247" s="246" t="s">
        <v>1648</v>
      </c>
      <c r="H247" s="246" t="s">
        <v>1654</v>
      </c>
      <c r="I247" s="18">
        <v>78133000</v>
      </c>
      <c r="J247" s="248">
        <v>44410</v>
      </c>
      <c r="K247" s="248">
        <v>44500</v>
      </c>
      <c r="L247" s="248">
        <v>44504</v>
      </c>
      <c r="M247" s="248">
        <v>44508</v>
      </c>
      <c r="N247" s="246"/>
      <c r="O247" s="246" t="s">
        <v>1655</v>
      </c>
      <c r="P247" s="246"/>
      <c r="Q247" s="246"/>
      <c r="R247" s="246"/>
      <c r="S247" s="246"/>
      <c r="T247" s="246"/>
      <c r="U247" s="246"/>
      <c r="V247" s="246"/>
      <c r="W247" s="246"/>
      <c r="X247" s="244" t="s">
        <v>2132</v>
      </c>
      <c r="Y247" s="244"/>
      <c r="Z247" s="244" t="s">
        <v>2618</v>
      </c>
      <c r="AA247" s="246"/>
      <c r="AB247" s="245"/>
    </row>
    <row r="248" spans="1:29" s="250" customFormat="1">
      <c r="A248" s="244">
        <v>244</v>
      </c>
      <c r="B248" s="245" t="s">
        <v>871</v>
      </c>
      <c r="C248" s="246" t="s">
        <v>658</v>
      </c>
      <c r="D248" s="246" t="s">
        <v>1051</v>
      </c>
      <c r="E248" s="246" t="s">
        <v>1743</v>
      </c>
      <c r="F248" s="246" t="s">
        <v>405</v>
      </c>
      <c r="G248" s="246" t="s">
        <v>411</v>
      </c>
      <c r="H248" s="246" t="s">
        <v>406</v>
      </c>
      <c r="I248" s="18">
        <v>2816000</v>
      </c>
      <c r="J248" s="248">
        <v>44411</v>
      </c>
      <c r="K248" s="248" t="s">
        <v>526</v>
      </c>
      <c r="L248" s="248">
        <v>44411</v>
      </c>
      <c r="M248" s="248">
        <v>44419</v>
      </c>
      <c r="N248" s="246"/>
      <c r="O248" s="246" t="s">
        <v>742</v>
      </c>
      <c r="P248" s="246"/>
      <c r="Q248" s="246"/>
      <c r="R248" s="246"/>
      <c r="S248" s="246"/>
      <c r="T248" s="246"/>
      <c r="U248" s="246"/>
      <c r="V248" s="246"/>
      <c r="W248" s="246"/>
      <c r="X248" s="253" t="s">
        <v>2133</v>
      </c>
      <c r="Y248" s="244"/>
      <c r="Z248" s="244" t="s">
        <v>1278</v>
      </c>
      <c r="AA248" s="246"/>
      <c r="AB248" s="245"/>
    </row>
    <row r="249" spans="1:29" s="250" customFormat="1">
      <c r="A249" s="244">
        <v>245</v>
      </c>
      <c r="B249" s="245" t="s">
        <v>1633</v>
      </c>
      <c r="C249" s="246" t="s">
        <v>1634</v>
      </c>
      <c r="D249" s="246" t="s">
        <v>513</v>
      </c>
      <c r="E249" s="246" t="s">
        <v>1742</v>
      </c>
      <c r="F249" s="246" t="s">
        <v>405</v>
      </c>
      <c r="G249" s="246" t="s">
        <v>411</v>
      </c>
      <c r="H249" s="246" t="s">
        <v>406</v>
      </c>
      <c r="I249" s="18">
        <v>1320000</v>
      </c>
      <c r="J249" s="248">
        <v>44411</v>
      </c>
      <c r="K249" s="248" t="s">
        <v>526</v>
      </c>
      <c r="L249" s="248">
        <v>44411</v>
      </c>
      <c r="M249" s="248">
        <v>44418</v>
      </c>
      <c r="N249" s="246"/>
      <c r="O249" s="246" t="s">
        <v>846</v>
      </c>
      <c r="P249" s="246"/>
      <c r="Q249" s="246"/>
      <c r="R249" s="246"/>
      <c r="S249" s="246"/>
      <c r="T249" s="246"/>
      <c r="U249" s="246"/>
      <c r="V249" s="246"/>
      <c r="W249" s="246"/>
      <c r="X249" s="253" t="s">
        <v>2644</v>
      </c>
      <c r="Y249" s="244"/>
      <c r="Z249" s="244" t="s">
        <v>1278</v>
      </c>
      <c r="AA249" s="255" t="s">
        <v>1554</v>
      </c>
      <c r="AB249" s="245"/>
    </row>
    <row r="250" spans="1:29" s="250" customFormat="1">
      <c r="A250" s="244">
        <v>246</v>
      </c>
      <c r="B250" s="245" t="s">
        <v>1656</v>
      </c>
      <c r="C250" s="246" t="s">
        <v>1657</v>
      </c>
      <c r="D250" s="246" t="s">
        <v>845</v>
      </c>
      <c r="E250" s="246" t="s">
        <v>1658</v>
      </c>
      <c r="F250" s="246" t="s">
        <v>405</v>
      </c>
      <c r="G250" s="246" t="s">
        <v>411</v>
      </c>
      <c r="H250" s="246" t="s">
        <v>406</v>
      </c>
      <c r="I250" s="18">
        <v>1870000</v>
      </c>
      <c r="J250" s="248">
        <v>44411</v>
      </c>
      <c r="K250" s="248" t="s">
        <v>526</v>
      </c>
      <c r="L250" s="248">
        <v>44411</v>
      </c>
      <c r="M250" s="248">
        <v>44411</v>
      </c>
      <c r="N250" s="246"/>
      <c r="O250" s="246" t="s">
        <v>846</v>
      </c>
      <c r="P250" s="246"/>
      <c r="Q250" s="246"/>
      <c r="R250" s="246"/>
      <c r="S250" s="246"/>
      <c r="T250" s="246"/>
      <c r="U250" s="246"/>
      <c r="V250" s="246"/>
      <c r="W250" s="246"/>
      <c r="X250" s="253" t="s">
        <v>2134</v>
      </c>
      <c r="Y250" s="244"/>
      <c r="Z250" s="244" t="s">
        <v>1801</v>
      </c>
      <c r="AA250" s="246"/>
      <c r="AB250" s="245"/>
    </row>
    <row r="251" spans="1:29" s="250" customFormat="1">
      <c r="A251" s="244">
        <v>247</v>
      </c>
      <c r="B251" s="245" t="s">
        <v>1662</v>
      </c>
      <c r="C251" s="246" t="s">
        <v>1663</v>
      </c>
      <c r="D251" s="246" t="s">
        <v>414</v>
      </c>
      <c r="E251" s="246" t="s">
        <v>1764</v>
      </c>
      <c r="F251" s="246" t="s">
        <v>405</v>
      </c>
      <c r="G251" s="246" t="s">
        <v>411</v>
      </c>
      <c r="H251" s="246" t="s">
        <v>406</v>
      </c>
      <c r="I251" s="18">
        <v>1870000</v>
      </c>
      <c r="J251" s="248">
        <v>44411</v>
      </c>
      <c r="K251" s="248" t="s">
        <v>526</v>
      </c>
      <c r="L251" s="248">
        <v>44411</v>
      </c>
      <c r="M251" s="248">
        <v>44425</v>
      </c>
      <c r="N251" s="246"/>
      <c r="O251" s="246" t="s">
        <v>846</v>
      </c>
      <c r="P251" s="246"/>
      <c r="Q251" s="246"/>
      <c r="R251" s="246"/>
      <c r="S251" s="246"/>
      <c r="T251" s="246"/>
      <c r="U251" s="246"/>
      <c r="V251" s="246"/>
      <c r="W251" s="246"/>
      <c r="X251" s="253" t="s">
        <v>2135</v>
      </c>
      <c r="Y251" s="244"/>
      <c r="Z251" s="244" t="s">
        <v>1801</v>
      </c>
      <c r="AA251" s="246"/>
      <c r="AB251" s="245"/>
    </row>
    <row r="252" spans="1:29" s="250" customFormat="1">
      <c r="A252" s="244">
        <v>248</v>
      </c>
      <c r="B252" s="245" t="s">
        <v>1675</v>
      </c>
      <c r="C252" s="246" t="s">
        <v>1676</v>
      </c>
      <c r="D252" s="246" t="s">
        <v>409</v>
      </c>
      <c r="E252" s="246" t="s">
        <v>1677</v>
      </c>
      <c r="F252" s="246" t="s">
        <v>519</v>
      </c>
      <c r="G252" s="246" t="s">
        <v>411</v>
      </c>
      <c r="H252" s="246" t="s">
        <v>406</v>
      </c>
      <c r="I252" s="18">
        <v>10142000</v>
      </c>
      <c r="J252" s="248">
        <v>44419</v>
      </c>
      <c r="K252" s="248" t="s">
        <v>526</v>
      </c>
      <c r="L252" s="248">
        <v>44426</v>
      </c>
      <c r="M252" s="248">
        <v>44427</v>
      </c>
      <c r="N252" s="246"/>
      <c r="O252" s="246" t="s">
        <v>1470</v>
      </c>
      <c r="P252" s="246"/>
      <c r="Q252" s="246"/>
      <c r="R252" s="246"/>
      <c r="S252" s="246"/>
      <c r="T252" s="246"/>
      <c r="U252" s="246"/>
      <c r="V252" s="246"/>
      <c r="W252" s="246"/>
      <c r="X252" s="244" t="s">
        <v>1798</v>
      </c>
      <c r="Y252" s="244"/>
      <c r="Z252" s="246" t="s">
        <v>1801</v>
      </c>
      <c r="AA252" s="246"/>
      <c r="AB252" s="245"/>
    </row>
    <row r="253" spans="1:29" s="250" customFormat="1">
      <c r="A253" s="244">
        <v>249</v>
      </c>
      <c r="B253" s="245" t="s">
        <v>1691</v>
      </c>
      <c r="C253" s="246" t="s">
        <v>1678</v>
      </c>
      <c r="D253" s="246" t="s">
        <v>414</v>
      </c>
      <c r="E253" s="246" t="s">
        <v>1775</v>
      </c>
      <c r="F253" s="246" t="s">
        <v>405</v>
      </c>
      <c r="G253" s="246" t="s">
        <v>411</v>
      </c>
      <c r="H253" s="246" t="s">
        <v>406</v>
      </c>
      <c r="I253" s="18">
        <f>1500000*1.1</f>
        <v>1650000.0000000002</v>
      </c>
      <c r="J253" s="248">
        <v>44413</v>
      </c>
      <c r="K253" s="248" t="s">
        <v>526</v>
      </c>
      <c r="L253" s="248">
        <v>44421</v>
      </c>
      <c r="M253" s="248">
        <v>44434</v>
      </c>
      <c r="N253" s="246"/>
      <c r="O253" s="246" t="s">
        <v>846</v>
      </c>
      <c r="P253" s="246"/>
      <c r="Q253" s="246"/>
      <c r="R253" s="246"/>
      <c r="S253" s="246"/>
      <c r="T253" s="246"/>
      <c r="U253" s="246"/>
      <c r="V253" s="246"/>
      <c r="W253" s="246"/>
      <c r="X253" s="253" t="s">
        <v>1806</v>
      </c>
      <c r="Y253" s="244"/>
      <c r="Z253" s="244" t="s">
        <v>1801</v>
      </c>
      <c r="AA253" s="246"/>
      <c r="AB253" s="245"/>
    </row>
    <row r="254" spans="1:29" s="250" customFormat="1">
      <c r="A254" s="244">
        <v>250</v>
      </c>
      <c r="B254" s="245" t="s">
        <v>1670</v>
      </c>
      <c r="C254" s="246" t="s">
        <v>1682</v>
      </c>
      <c r="D254" s="246" t="s">
        <v>744</v>
      </c>
      <c r="E254" s="246" t="s">
        <v>1671</v>
      </c>
      <c r="F254" s="246" t="s">
        <v>405</v>
      </c>
      <c r="G254" s="246" t="s">
        <v>411</v>
      </c>
      <c r="H254" s="246" t="s">
        <v>406</v>
      </c>
      <c r="I254" s="18">
        <v>43450000</v>
      </c>
      <c r="J254" s="248">
        <v>44413</v>
      </c>
      <c r="K254" s="248">
        <v>44427</v>
      </c>
      <c r="L254" s="248">
        <v>44413</v>
      </c>
      <c r="M254" s="248">
        <v>44413</v>
      </c>
      <c r="N254" s="246"/>
      <c r="O254" s="246" t="s">
        <v>691</v>
      </c>
      <c r="P254" s="246"/>
      <c r="Q254" s="246"/>
      <c r="R254" s="246"/>
      <c r="S254" s="246"/>
      <c r="T254" s="246"/>
      <c r="U254" s="246"/>
      <c r="V254" s="246"/>
      <c r="W254" s="246"/>
      <c r="X254" s="253" t="s">
        <v>1751</v>
      </c>
      <c r="Y254" s="244"/>
      <c r="Z254" s="244" t="s">
        <v>1801</v>
      </c>
      <c r="AA254" s="246"/>
      <c r="AB254" s="245"/>
      <c r="AC254" s="246"/>
    </row>
    <row r="255" spans="1:29" s="250" customFormat="1">
      <c r="A255" s="244">
        <v>251</v>
      </c>
      <c r="B255" s="245" t="s">
        <v>1679</v>
      </c>
      <c r="C255" s="246" t="s">
        <v>1683</v>
      </c>
      <c r="D255" s="246" t="s">
        <v>1135</v>
      </c>
      <c r="E255" s="246" t="s">
        <v>1737</v>
      </c>
      <c r="F255" s="246" t="s">
        <v>405</v>
      </c>
      <c r="G255" s="246" t="s">
        <v>411</v>
      </c>
      <c r="H255" s="246" t="s">
        <v>406</v>
      </c>
      <c r="I255" s="18">
        <v>3300000</v>
      </c>
      <c r="J255" s="248">
        <v>44414</v>
      </c>
      <c r="K255" s="248" t="s">
        <v>526</v>
      </c>
      <c r="L255" s="248">
        <v>44413</v>
      </c>
      <c r="M255" s="248">
        <v>44417</v>
      </c>
      <c r="N255" s="246"/>
      <c r="O255" s="246" t="s">
        <v>742</v>
      </c>
      <c r="P255" s="246"/>
      <c r="Q255" s="246"/>
      <c r="R255" s="246"/>
      <c r="S255" s="246"/>
      <c r="T255" s="246"/>
      <c r="U255" s="246"/>
      <c r="V255" s="246"/>
      <c r="W255" s="246"/>
      <c r="X255" s="253" t="s">
        <v>1805</v>
      </c>
      <c r="Y255" s="244"/>
      <c r="Z255" s="244" t="s">
        <v>1801</v>
      </c>
      <c r="AA255" s="246"/>
      <c r="AB255" s="245"/>
    </row>
    <row r="256" spans="1:29" s="250" customFormat="1">
      <c r="A256" s="244">
        <v>252</v>
      </c>
      <c r="B256" s="245" t="s">
        <v>1680</v>
      </c>
      <c r="C256" s="246" t="s">
        <v>1597</v>
      </c>
      <c r="D256" s="246" t="s">
        <v>1135</v>
      </c>
      <c r="E256" s="246" t="s">
        <v>1735</v>
      </c>
      <c r="F256" s="246" t="s">
        <v>405</v>
      </c>
      <c r="G256" s="246" t="s">
        <v>411</v>
      </c>
      <c r="H256" s="246" t="s">
        <v>406</v>
      </c>
      <c r="I256" s="18">
        <v>13200000</v>
      </c>
      <c r="J256" s="248">
        <v>44414</v>
      </c>
      <c r="K256" s="248" t="s">
        <v>526</v>
      </c>
      <c r="L256" s="248">
        <v>44414</v>
      </c>
      <c r="M256" s="248">
        <v>44418</v>
      </c>
      <c r="N256" s="246"/>
      <c r="O256" s="246" t="s">
        <v>742</v>
      </c>
      <c r="P256" s="246"/>
      <c r="Q256" s="246"/>
      <c r="R256" s="246"/>
      <c r="S256" s="246"/>
      <c r="T256" s="246"/>
      <c r="U256" s="246"/>
      <c r="V256" s="246"/>
      <c r="W256" s="246"/>
      <c r="X256" s="253" t="s">
        <v>1807</v>
      </c>
      <c r="Y256" s="244"/>
      <c r="Z256" s="244" t="s">
        <v>1801</v>
      </c>
      <c r="AA256" s="246"/>
      <c r="AB256" s="245"/>
    </row>
    <row r="257" spans="1:31" s="250" customFormat="1">
      <c r="A257" s="244">
        <v>253</v>
      </c>
      <c r="B257" s="245" t="s">
        <v>738</v>
      </c>
      <c r="C257" s="246" t="s">
        <v>861</v>
      </c>
      <c r="D257" s="246" t="s">
        <v>1051</v>
      </c>
      <c r="E257" s="246" t="s">
        <v>1736</v>
      </c>
      <c r="F257" s="246" t="s">
        <v>405</v>
      </c>
      <c r="G257" s="246" t="s">
        <v>411</v>
      </c>
      <c r="H257" s="246" t="s">
        <v>406</v>
      </c>
      <c r="I257" s="18">
        <v>1430000</v>
      </c>
      <c r="J257" s="248">
        <v>44414</v>
      </c>
      <c r="K257" s="248" t="s">
        <v>526</v>
      </c>
      <c r="L257" s="248">
        <v>44411</v>
      </c>
      <c r="M257" s="248">
        <v>44411</v>
      </c>
      <c r="N257" s="246"/>
      <c r="O257" s="246" t="s">
        <v>691</v>
      </c>
      <c r="P257" s="246"/>
      <c r="Q257" s="246"/>
      <c r="R257" s="246"/>
      <c r="S257" s="246"/>
      <c r="T257" s="246"/>
      <c r="U257" s="246"/>
      <c r="V257" s="246"/>
      <c r="W257" s="246"/>
      <c r="X257" s="253" t="s">
        <v>1808</v>
      </c>
      <c r="Y257" s="244"/>
      <c r="Z257" s="244" t="s">
        <v>2805</v>
      </c>
      <c r="AA257" s="255" t="s">
        <v>2804</v>
      </c>
      <c r="AB257" s="245"/>
      <c r="AC257" s="246"/>
    </row>
    <row r="258" spans="1:31" s="250" customFormat="1">
      <c r="A258" s="244">
        <v>254</v>
      </c>
      <c r="B258" s="245" t="s">
        <v>817</v>
      </c>
      <c r="C258" s="246" t="s">
        <v>818</v>
      </c>
      <c r="D258" s="246"/>
      <c r="E258" s="246" t="s">
        <v>1681</v>
      </c>
      <c r="F258" s="246" t="s">
        <v>405</v>
      </c>
      <c r="G258" s="246" t="s">
        <v>411</v>
      </c>
      <c r="H258" s="246" t="s">
        <v>406</v>
      </c>
      <c r="I258" s="18">
        <v>2530000</v>
      </c>
      <c r="J258" s="248">
        <v>44417</v>
      </c>
      <c r="K258" s="248" t="s">
        <v>526</v>
      </c>
      <c r="L258" s="248">
        <v>44420</v>
      </c>
      <c r="M258" s="248">
        <v>44438</v>
      </c>
      <c r="N258" s="246"/>
      <c r="O258" s="246" t="s">
        <v>742</v>
      </c>
      <c r="P258" s="246"/>
      <c r="Q258" s="246"/>
      <c r="R258" s="246"/>
      <c r="S258" s="246"/>
      <c r="T258" s="246"/>
      <c r="U258" s="246"/>
      <c r="V258" s="246"/>
      <c r="W258" s="246"/>
      <c r="X258" s="253" t="s">
        <v>1758</v>
      </c>
      <c r="Y258" s="244"/>
      <c r="Z258" s="244" t="s">
        <v>2576</v>
      </c>
      <c r="AA258" s="246"/>
      <c r="AB258" s="245"/>
    </row>
    <row r="259" spans="1:31" s="250" customFormat="1">
      <c r="A259" s="244">
        <v>255</v>
      </c>
      <c r="B259" s="245" t="s">
        <v>1603</v>
      </c>
      <c r="C259" s="246" t="s">
        <v>1685</v>
      </c>
      <c r="D259" s="246" t="s">
        <v>513</v>
      </c>
      <c r="E259" s="246" t="s">
        <v>1686</v>
      </c>
      <c r="F259" s="246" t="s">
        <v>405</v>
      </c>
      <c r="G259" s="246" t="s">
        <v>411</v>
      </c>
      <c r="H259" s="246" t="s">
        <v>406</v>
      </c>
      <c r="I259" s="18">
        <v>5940000</v>
      </c>
      <c r="J259" s="248">
        <v>44417</v>
      </c>
      <c r="K259" s="246"/>
      <c r="L259" s="248">
        <v>44468</v>
      </c>
      <c r="M259" s="248">
        <v>44495</v>
      </c>
      <c r="N259" s="246"/>
      <c r="O259" s="246" t="s">
        <v>846</v>
      </c>
      <c r="P259" s="246"/>
      <c r="Q259" s="246"/>
      <c r="R259" s="246"/>
      <c r="S259" s="246"/>
      <c r="T259" s="246"/>
      <c r="U259" s="246"/>
      <c r="V259" s="246"/>
      <c r="W259" s="246"/>
      <c r="X259" s="253" t="s">
        <v>1878</v>
      </c>
      <c r="Y259" s="244"/>
      <c r="Z259" s="244" t="s">
        <v>1278</v>
      </c>
      <c r="AA259" s="299" t="s">
        <v>1554</v>
      </c>
      <c r="AB259" s="245"/>
    </row>
    <row r="260" spans="1:31" s="250" customFormat="1">
      <c r="A260" s="244">
        <v>256</v>
      </c>
      <c r="B260" s="245" t="s">
        <v>866</v>
      </c>
      <c r="C260" s="246" t="s">
        <v>867</v>
      </c>
      <c r="D260" s="246" t="s">
        <v>815</v>
      </c>
      <c r="E260" s="246" t="s">
        <v>1684</v>
      </c>
      <c r="F260" s="246" t="s">
        <v>405</v>
      </c>
      <c r="G260" s="246" t="s">
        <v>411</v>
      </c>
      <c r="H260" s="246" t="s">
        <v>406</v>
      </c>
      <c r="I260" s="18">
        <v>125400000</v>
      </c>
      <c r="J260" s="248">
        <v>44273</v>
      </c>
      <c r="K260" s="248">
        <v>44439</v>
      </c>
      <c r="L260" s="248">
        <v>44433</v>
      </c>
      <c r="M260" s="248">
        <v>44455</v>
      </c>
      <c r="N260" s="246"/>
      <c r="O260" s="246" t="s">
        <v>691</v>
      </c>
      <c r="P260" s="246"/>
      <c r="Q260" s="246"/>
      <c r="R260" s="246"/>
      <c r="S260" s="246"/>
      <c r="T260" s="246"/>
      <c r="U260" s="246"/>
      <c r="V260" s="246"/>
      <c r="W260" s="246"/>
      <c r="X260" s="253" t="s">
        <v>1832</v>
      </c>
      <c r="Y260" s="244"/>
      <c r="Z260" s="244" t="s">
        <v>1278</v>
      </c>
      <c r="AA260" s="246"/>
      <c r="AB260" s="245"/>
      <c r="AC260" s="246"/>
    </row>
    <row r="261" spans="1:31" s="250" customFormat="1">
      <c r="A261" s="244">
        <v>257</v>
      </c>
      <c r="B261" s="245" t="s">
        <v>407</v>
      </c>
      <c r="C261" s="246" t="s">
        <v>1687</v>
      </c>
      <c r="D261" s="246" t="s">
        <v>787</v>
      </c>
      <c r="E261" s="246" t="s">
        <v>1745</v>
      </c>
      <c r="F261" s="246" t="s">
        <v>1688</v>
      </c>
      <c r="G261" s="246" t="s">
        <v>411</v>
      </c>
      <c r="H261" s="246" t="s">
        <v>1689</v>
      </c>
      <c r="I261" s="18">
        <v>27500000</v>
      </c>
      <c r="J261" s="248">
        <v>44418</v>
      </c>
      <c r="K261" s="248">
        <v>44448</v>
      </c>
      <c r="L261" s="248">
        <v>44445</v>
      </c>
      <c r="M261" s="248">
        <v>44446</v>
      </c>
      <c r="N261" s="246"/>
      <c r="O261" s="246" t="s">
        <v>1690</v>
      </c>
      <c r="P261" s="246"/>
      <c r="Q261" s="246"/>
      <c r="R261" s="246"/>
      <c r="S261" s="246"/>
      <c r="T261" s="246"/>
      <c r="U261" s="246"/>
      <c r="V261" s="246"/>
      <c r="W261" s="246"/>
      <c r="X261" s="253" t="s">
        <v>1930</v>
      </c>
      <c r="Y261" s="244"/>
      <c r="Z261" s="244" t="s">
        <v>1278</v>
      </c>
      <c r="AA261" s="246"/>
      <c r="AB261" s="245"/>
    </row>
    <row r="262" spans="1:31" s="250" customFormat="1">
      <c r="A262" s="244">
        <v>258</v>
      </c>
      <c r="B262" s="245" t="s">
        <v>1692</v>
      </c>
      <c r="C262" s="246"/>
      <c r="D262" s="246"/>
      <c r="E262" s="246" t="s">
        <v>1693</v>
      </c>
      <c r="F262" s="246" t="s">
        <v>1695</v>
      </c>
      <c r="G262" s="246" t="s">
        <v>411</v>
      </c>
      <c r="H262" s="246" t="s">
        <v>1694</v>
      </c>
      <c r="I262" s="18">
        <v>30800000</v>
      </c>
      <c r="J262" s="248">
        <v>44410</v>
      </c>
      <c r="K262" s="247" t="s">
        <v>1696</v>
      </c>
      <c r="L262" s="248">
        <v>44410</v>
      </c>
      <c r="M262" s="248">
        <v>44418</v>
      </c>
      <c r="N262" s="246"/>
      <c r="O262" s="246" t="s">
        <v>1697</v>
      </c>
      <c r="P262" s="246"/>
      <c r="Q262" s="246"/>
      <c r="R262" s="246"/>
      <c r="S262" s="246"/>
      <c r="T262" s="246"/>
      <c r="U262" s="246"/>
      <c r="V262" s="246"/>
      <c r="W262" s="246"/>
      <c r="X262" s="244" t="s">
        <v>1799</v>
      </c>
      <c r="Y262" s="244"/>
      <c r="Z262" s="246" t="s">
        <v>2730</v>
      </c>
      <c r="AA262" s="246"/>
      <c r="AB262" s="245"/>
    </row>
    <row r="263" spans="1:31" s="250" customFormat="1">
      <c r="A263" s="244">
        <v>259</v>
      </c>
      <c r="B263" s="245" t="s">
        <v>1700</v>
      </c>
      <c r="C263" s="246"/>
      <c r="D263" s="246" t="s">
        <v>1711</v>
      </c>
      <c r="E263" s="246" t="s">
        <v>1734</v>
      </c>
      <c r="F263" s="246" t="s">
        <v>1708</v>
      </c>
      <c r="G263" s="246" t="s">
        <v>411</v>
      </c>
      <c r="H263" s="246" t="s">
        <v>1709</v>
      </c>
      <c r="I263" s="18">
        <v>23100000</v>
      </c>
      <c r="J263" s="248">
        <v>44419</v>
      </c>
      <c r="K263" s="248">
        <v>44469</v>
      </c>
      <c r="L263" s="248" t="s">
        <v>1886</v>
      </c>
      <c r="M263" s="248" t="s">
        <v>1940</v>
      </c>
      <c r="N263" s="246"/>
      <c r="O263" s="246" t="s">
        <v>1710</v>
      </c>
      <c r="P263" s="246"/>
      <c r="Q263" s="246"/>
      <c r="R263" s="246"/>
      <c r="S263" s="246"/>
      <c r="T263" s="246"/>
      <c r="U263" s="246"/>
      <c r="V263" s="246"/>
      <c r="W263" s="246"/>
      <c r="X263" s="253" t="s">
        <v>1965</v>
      </c>
      <c r="Y263" s="244"/>
      <c r="Z263" s="244" t="s">
        <v>1278</v>
      </c>
      <c r="AA263" s="255" t="s">
        <v>2649</v>
      </c>
      <c r="AB263" s="245"/>
    </row>
    <row r="264" spans="1:31" s="250" customFormat="1">
      <c r="A264" s="244">
        <v>260</v>
      </c>
      <c r="B264" s="245" t="s">
        <v>1701</v>
      </c>
      <c r="C264" s="246" t="s">
        <v>1712</v>
      </c>
      <c r="D264" s="246" t="s">
        <v>1713</v>
      </c>
      <c r="E264" s="246" t="s">
        <v>1714</v>
      </c>
      <c r="F264" s="246" t="s">
        <v>1708</v>
      </c>
      <c r="G264" s="246" t="s">
        <v>411</v>
      </c>
      <c r="H264" s="246" t="s">
        <v>1709</v>
      </c>
      <c r="I264" s="18">
        <v>7700000</v>
      </c>
      <c r="J264" s="248">
        <v>44419</v>
      </c>
      <c r="K264" s="247" t="s">
        <v>1696</v>
      </c>
      <c r="L264" s="248">
        <v>44435</v>
      </c>
      <c r="M264" s="248">
        <v>44442</v>
      </c>
      <c r="N264" s="246"/>
      <c r="O264" s="246" t="s">
        <v>1710</v>
      </c>
      <c r="P264" s="246"/>
      <c r="Q264" s="246"/>
      <c r="R264" s="246"/>
      <c r="S264" s="246"/>
      <c r="T264" s="246"/>
      <c r="U264" s="246"/>
      <c r="V264" s="246"/>
      <c r="W264" s="246"/>
      <c r="X264" s="253" t="s">
        <v>1831</v>
      </c>
      <c r="Y264" s="244"/>
      <c r="Z264" s="244" t="s">
        <v>1278</v>
      </c>
      <c r="AA264" s="246"/>
      <c r="AB264" s="245"/>
    </row>
    <row r="265" spans="1:31" s="250" customFormat="1">
      <c r="A265" s="244">
        <v>261</v>
      </c>
      <c r="B265" s="245" t="s">
        <v>1702</v>
      </c>
      <c r="C265" s="246" t="s">
        <v>1717</v>
      </c>
      <c r="D265" s="246" t="s">
        <v>1718</v>
      </c>
      <c r="E265" s="246" t="s">
        <v>1715</v>
      </c>
      <c r="F265" s="246" t="s">
        <v>1708</v>
      </c>
      <c r="G265" s="246" t="s">
        <v>411</v>
      </c>
      <c r="H265" s="246" t="s">
        <v>1709</v>
      </c>
      <c r="I265" s="18">
        <v>18480000</v>
      </c>
      <c r="J265" s="248">
        <v>44417</v>
      </c>
      <c r="K265" s="248">
        <v>44435</v>
      </c>
      <c r="L265" s="248">
        <v>44431</v>
      </c>
      <c r="M265" s="248">
        <v>44438</v>
      </c>
      <c r="N265" s="246"/>
      <c r="O265" s="246" t="s">
        <v>1716</v>
      </c>
      <c r="P265" s="246"/>
      <c r="Q265" s="246"/>
      <c r="R265" s="246"/>
      <c r="S265" s="246"/>
      <c r="T265" s="246"/>
      <c r="U265" s="246"/>
      <c r="V265" s="246"/>
      <c r="W265" s="246"/>
      <c r="X265" s="244" t="s">
        <v>1834</v>
      </c>
      <c r="Y265" s="244"/>
      <c r="Z265" s="244" t="s">
        <v>1278</v>
      </c>
      <c r="AA265" s="246"/>
      <c r="AB265" s="245"/>
      <c r="AC265" s="246"/>
    </row>
    <row r="266" spans="1:31" s="250" customFormat="1">
      <c r="A266" s="244">
        <v>262</v>
      </c>
      <c r="B266" s="245" t="s">
        <v>1703</v>
      </c>
      <c r="C266" s="246"/>
      <c r="D266" s="246"/>
      <c r="E266" s="246" t="s">
        <v>1719</v>
      </c>
      <c r="F266" s="246" t="s">
        <v>1708</v>
      </c>
      <c r="G266" s="246" t="s">
        <v>411</v>
      </c>
      <c r="H266" s="246" t="s">
        <v>1709</v>
      </c>
      <c r="I266" s="18">
        <v>5060000</v>
      </c>
      <c r="J266" s="248">
        <v>44419</v>
      </c>
      <c r="K266" s="246"/>
      <c r="L266" s="248">
        <v>44489</v>
      </c>
      <c r="M266" s="248">
        <v>44505</v>
      </c>
      <c r="N266" s="246"/>
      <c r="O266" s="246" t="s">
        <v>1710</v>
      </c>
      <c r="P266" s="246"/>
      <c r="Q266" s="246"/>
      <c r="R266" s="246"/>
      <c r="S266" s="246"/>
      <c r="T266" s="246"/>
      <c r="U266" s="246"/>
      <c r="V266" s="246"/>
      <c r="W266" s="246"/>
      <c r="X266" s="253" t="s">
        <v>2731</v>
      </c>
      <c r="Y266" s="244"/>
      <c r="Z266" s="244" t="s">
        <v>2576</v>
      </c>
      <c r="AA266" s="255" t="s">
        <v>2180</v>
      </c>
      <c r="AB266" s="245" t="s">
        <v>2535</v>
      </c>
    </row>
    <row r="267" spans="1:31" s="250" customFormat="1">
      <c r="A267" s="244">
        <v>263</v>
      </c>
      <c r="B267" s="245" t="s">
        <v>1704</v>
      </c>
      <c r="C267" s="246" t="s">
        <v>1720</v>
      </c>
      <c r="D267" s="246" t="s">
        <v>1723</v>
      </c>
      <c r="E267" s="246" t="s">
        <v>1721</v>
      </c>
      <c r="F267" s="246" t="s">
        <v>1708</v>
      </c>
      <c r="G267" s="246" t="s">
        <v>411</v>
      </c>
      <c r="H267" s="246" t="s">
        <v>1709</v>
      </c>
      <c r="I267" s="18">
        <v>2750000</v>
      </c>
      <c r="J267" s="248">
        <v>44420</v>
      </c>
      <c r="K267" s="247" t="s">
        <v>1696</v>
      </c>
      <c r="L267" s="248">
        <v>44442</v>
      </c>
      <c r="M267" s="248">
        <v>44446</v>
      </c>
      <c r="N267" s="246"/>
      <c r="O267" s="246" t="s">
        <v>1722</v>
      </c>
      <c r="P267" s="246"/>
      <c r="Q267" s="246"/>
      <c r="R267" s="246"/>
      <c r="S267" s="246"/>
      <c r="T267" s="246"/>
      <c r="U267" s="246"/>
      <c r="V267" s="246"/>
      <c r="W267" s="246"/>
      <c r="X267" s="253" t="s">
        <v>1830</v>
      </c>
      <c r="Y267" s="244"/>
      <c r="Z267" s="244" t="s">
        <v>1925</v>
      </c>
      <c r="AA267" s="246"/>
      <c r="AB267" s="245"/>
    </row>
    <row r="268" spans="1:31" s="250" customFormat="1">
      <c r="A268" s="244">
        <v>264</v>
      </c>
      <c r="B268" s="245" t="s">
        <v>1705</v>
      </c>
      <c r="C268" s="246" t="s">
        <v>1724</v>
      </c>
      <c r="D268" s="246"/>
      <c r="E268" s="246" t="s">
        <v>1725</v>
      </c>
      <c r="F268" s="246" t="s">
        <v>1708</v>
      </c>
      <c r="G268" s="246" t="s">
        <v>411</v>
      </c>
      <c r="H268" s="246" t="s">
        <v>1726</v>
      </c>
      <c r="I268" s="18">
        <v>4950000</v>
      </c>
      <c r="J268" s="248">
        <v>44420</v>
      </c>
      <c r="K268" s="246"/>
      <c r="L268" s="248">
        <v>44440</v>
      </c>
      <c r="M268" s="248">
        <v>44449</v>
      </c>
      <c r="N268" s="246"/>
      <c r="O268" s="246" t="s">
        <v>1710</v>
      </c>
      <c r="P268" s="246"/>
      <c r="Q268" s="246"/>
      <c r="R268" s="246"/>
      <c r="S268" s="246"/>
      <c r="T268" s="246"/>
      <c r="U268" s="246"/>
      <c r="V268" s="246"/>
      <c r="W268" s="246"/>
      <c r="X268" s="258" t="s">
        <v>2732</v>
      </c>
      <c r="Y268" s="244"/>
      <c r="Z268" s="253" t="s">
        <v>2581</v>
      </c>
      <c r="AA268" s="255" t="s">
        <v>1927</v>
      </c>
      <c r="AB268" s="245" t="s">
        <v>2482</v>
      </c>
    </row>
    <row r="269" spans="1:31" s="250" customFormat="1">
      <c r="A269" s="244">
        <v>265</v>
      </c>
      <c r="B269" s="245" t="s">
        <v>1706</v>
      </c>
      <c r="C269" s="246" t="s">
        <v>1727</v>
      </c>
      <c r="D269" s="246" t="s">
        <v>1135</v>
      </c>
      <c r="E269" s="246" t="s">
        <v>1763</v>
      </c>
      <c r="F269" s="246" t="s">
        <v>1708</v>
      </c>
      <c r="G269" s="246" t="s">
        <v>411</v>
      </c>
      <c r="H269" s="246" t="s">
        <v>1709</v>
      </c>
      <c r="I269" s="18">
        <v>13200000</v>
      </c>
      <c r="J269" s="248">
        <v>44421</v>
      </c>
      <c r="K269" s="247" t="s">
        <v>411</v>
      </c>
      <c r="L269" s="248">
        <v>44421</v>
      </c>
      <c r="M269" s="248">
        <v>44424</v>
      </c>
      <c r="N269" s="246"/>
      <c r="O269" s="246" t="s">
        <v>1716</v>
      </c>
      <c r="P269" s="246"/>
      <c r="Q269" s="246"/>
      <c r="R269" s="246"/>
      <c r="S269" s="246"/>
      <c r="T269" s="246"/>
      <c r="U269" s="246"/>
      <c r="V269" s="246"/>
      <c r="W269" s="246"/>
      <c r="X269" s="253" t="s">
        <v>2136</v>
      </c>
      <c r="Y269" s="244"/>
      <c r="Z269" s="244" t="s">
        <v>1278</v>
      </c>
      <c r="AA269" s="246"/>
      <c r="AB269" s="245"/>
      <c r="AC269" s="246"/>
    </row>
    <row r="270" spans="1:31" s="250" customFormat="1">
      <c r="A270" s="244">
        <v>266</v>
      </c>
      <c r="B270" s="245" t="s">
        <v>1707</v>
      </c>
      <c r="C270" s="246" t="s">
        <v>1728</v>
      </c>
      <c r="D270" s="246" t="s">
        <v>409</v>
      </c>
      <c r="E270" s="245" t="s">
        <v>2347</v>
      </c>
      <c r="F270" s="246" t="s">
        <v>1729</v>
      </c>
      <c r="G270" s="246" t="s">
        <v>411</v>
      </c>
      <c r="H270" s="246" t="s">
        <v>1726</v>
      </c>
      <c r="I270" s="18">
        <v>82291000</v>
      </c>
      <c r="J270" s="248">
        <v>44421</v>
      </c>
      <c r="K270" s="248">
        <v>44530</v>
      </c>
      <c r="L270" s="248">
        <v>44536</v>
      </c>
      <c r="M270" s="248">
        <v>44538</v>
      </c>
      <c r="N270" s="246"/>
      <c r="O270" s="246" t="s">
        <v>1730</v>
      </c>
      <c r="P270" s="246"/>
      <c r="Q270" s="246"/>
      <c r="R270" s="246"/>
      <c r="S270" s="246"/>
      <c r="T270" s="246"/>
      <c r="U270" s="246"/>
      <c r="V270" s="246"/>
      <c r="W270" s="246"/>
      <c r="X270" s="244" t="s">
        <v>2169</v>
      </c>
      <c r="Y270" s="244"/>
      <c r="Z270" s="246"/>
      <c r="AA270" s="246"/>
      <c r="AB270" s="245"/>
    </row>
    <row r="271" spans="1:31" s="250" customFormat="1">
      <c r="A271" s="244">
        <v>267</v>
      </c>
      <c r="B271" s="245" t="s">
        <v>1704</v>
      </c>
      <c r="C271" s="246" t="s">
        <v>1731</v>
      </c>
      <c r="D271" s="246"/>
      <c r="E271" s="246" t="s">
        <v>1733</v>
      </c>
      <c r="F271" s="246" t="s">
        <v>1708</v>
      </c>
      <c r="G271" s="246" t="s">
        <v>411</v>
      </c>
      <c r="H271" s="246" t="s">
        <v>1709</v>
      </c>
      <c r="I271" s="18">
        <v>15290000</v>
      </c>
      <c r="J271" s="248">
        <v>44421</v>
      </c>
      <c r="K271" s="246"/>
      <c r="L271" s="248">
        <v>44487</v>
      </c>
      <c r="M271" s="248">
        <v>44489</v>
      </c>
      <c r="N271" s="246"/>
      <c r="O271" s="246" t="s">
        <v>1732</v>
      </c>
      <c r="P271" s="246"/>
      <c r="Q271" s="246"/>
      <c r="R271" s="246"/>
      <c r="S271" s="246"/>
      <c r="T271" s="246"/>
      <c r="U271" s="246"/>
      <c r="V271" s="246"/>
      <c r="W271" s="246"/>
      <c r="X271" s="244" t="s">
        <v>2797</v>
      </c>
      <c r="Y271" s="244" t="s">
        <v>2733</v>
      </c>
      <c r="Z271" s="244" t="s">
        <v>1277</v>
      </c>
      <c r="AA271" s="246" t="s">
        <v>2770</v>
      </c>
      <c r="AB271" s="245" t="s">
        <v>2535</v>
      </c>
      <c r="AE271" s="294" t="s">
        <v>2796</v>
      </c>
    </row>
    <row r="272" spans="1:31" s="250" customFormat="1">
      <c r="A272" s="244">
        <v>268</v>
      </c>
      <c r="B272" s="245" t="s">
        <v>407</v>
      </c>
      <c r="C272" s="246" t="s">
        <v>1748</v>
      </c>
      <c r="D272" s="246" t="s">
        <v>404</v>
      </c>
      <c r="E272" s="246" t="s">
        <v>1746</v>
      </c>
      <c r="F272" s="246" t="s">
        <v>405</v>
      </c>
      <c r="G272" s="246" t="s">
        <v>411</v>
      </c>
      <c r="H272" s="246" t="s">
        <v>745</v>
      </c>
      <c r="I272" s="26" t="s">
        <v>1747</v>
      </c>
      <c r="J272" s="248">
        <v>44426</v>
      </c>
      <c r="K272" s="248">
        <v>44530</v>
      </c>
      <c r="L272" s="247" t="s">
        <v>411</v>
      </c>
      <c r="M272" s="247" t="s">
        <v>411</v>
      </c>
      <c r="N272" s="246"/>
      <c r="O272" s="246" t="s">
        <v>846</v>
      </c>
      <c r="P272" s="246"/>
      <c r="Q272" s="246"/>
      <c r="R272" s="246"/>
      <c r="S272" s="246"/>
      <c r="T272" s="246"/>
      <c r="U272" s="246"/>
      <c r="V272" s="246"/>
      <c r="W272" s="246"/>
      <c r="X272" s="244" t="s">
        <v>745</v>
      </c>
      <c r="Y272" s="244"/>
      <c r="Z272" s="246" t="s">
        <v>2125</v>
      </c>
      <c r="AA272" s="246"/>
      <c r="AB272" s="245"/>
    </row>
    <row r="273" spans="1:29" s="250" customFormat="1">
      <c r="A273" s="244">
        <v>269</v>
      </c>
      <c r="B273" s="245" t="s">
        <v>407</v>
      </c>
      <c r="C273" s="246" t="s">
        <v>1752</v>
      </c>
      <c r="D273" s="246" t="s">
        <v>404</v>
      </c>
      <c r="E273" s="246" t="s">
        <v>1813</v>
      </c>
      <c r="F273" s="246" t="s">
        <v>405</v>
      </c>
      <c r="G273" s="246" t="s">
        <v>411</v>
      </c>
      <c r="H273" s="246" t="s">
        <v>406</v>
      </c>
      <c r="I273" s="18">
        <v>48400000</v>
      </c>
      <c r="J273" s="248">
        <v>44434</v>
      </c>
      <c r="K273" s="248">
        <v>44561</v>
      </c>
      <c r="L273" s="248">
        <v>44525</v>
      </c>
      <c r="M273" s="248">
        <v>44526</v>
      </c>
      <c r="N273" s="246"/>
      <c r="O273" s="246" t="s">
        <v>790</v>
      </c>
      <c r="P273" s="246"/>
      <c r="Q273" s="246"/>
      <c r="R273" s="246"/>
      <c r="S273" s="246"/>
      <c r="T273" s="246"/>
      <c r="U273" s="246"/>
      <c r="V273" s="246"/>
      <c r="W273" s="246"/>
      <c r="X273" s="253" t="s">
        <v>2295</v>
      </c>
      <c r="Y273" s="244"/>
      <c r="Z273" s="244" t="s">
        <v>2655</v>
      </c>
      <c r="AA273" s="246"/>
      <c r="AB273" s="245"/>
    </row>
    <row r="274" spans="1:29" s="250" customFormat="1">
      <c r="A274" s="244">
        <v>270</v>
      </c>
      <c r="B274" s="245" t="s">
        <v>866</v>
      </c>
      <c r="C274" s="246" t="s">
        <v>867</v>
      </c>
      <c r="D274" s="246" t="s">
        <v>866</v>
      </c>
      <c r="E274" s="246" t="s">
        <v>1749</v>
      </c>
      <c r="F274" s="246" t="s">
        <v>405</v>
      </c>
      <c r="G274" s="246" t="s">
        <v>411</v>
      </c>
      <c r="H274" s="246" t="s">
        <v>406</v>
      </c>
      <c r="I274" s="18">
        <v>125400000</v>
      </c>
      <c r="J274" s="248">
        <v>44426</v>
      </c>
      <c r="K274" s="248" t="s">
        <v>1766</v>
      </c>
      <c r="L274" s="246" t="s">
        <v>2487</v>
      </c>
      <c r="M274" s="246" t="s">
        <v>2490</v>
      </c>
      <c r="N274" s="246"/>
      <c r="O274" s="246" t="s">
        <v>691</v>
      </c>
      <c r="P274" s="246"/>
      <c r="Q274" s="246"/>
      <c r="R274" s="246"/>
      <c r="S274" s="246"/>
      <c r="T274" s="246"/>
      <c r="U274" s="246"/>
      <c r="V274" s="246"/>
      <c r="W274" s="246"/>
      <c r="X274" s="244" t="s">
        <v>2461</v>
      </c>
      <c r="Y274" s="244" t="s">
        <v>2734</v>
      </c>
      <c r="Z274" s="246"/>
      <c r="AA274" s="246"/>
      <c r="AB274" s="245"/>
      <c r="AC274" s="246"/>
    </row>
    <row r="275" spans="1:29" s="250" customFormat="1">
      <c r="A275" s="244">
        <v>271</v>
      </c>
      <c r="B275" s="245" t="s">
        <v>1141</v>
      </c>
      <c r="C275" s="246" t="s">
        <v>1142</v>
      </c>
      <c r="D275" s="246" t="s">
        <v>410</v>
      </c>
      <c r="E275" s="246" t="s">
        <v>1750</v>
      </c>
      <c r="F275" s="246" t="s">
        <v>405</v>
      </c>
      <c r="G275" s="246" t="s">
        <v>411</v>
      </c>
      <c r="H275" s="246" t="s">
        <v>406</v>
      </c>
      <c r="I275" s="18">
        <v>4950000</v>
      </c>
      <c r="J275" s="248">
        <v>44426</v>
      </c>
      <c r="K275" s="248">
        <v>44469</v>
      </c>
      <c r="L275" s="248">
        <v>44469</v>
      </c>
      <c r="M275" s="248">
        <v>44498</v>
      </c>
      <c r="N275" s="246"/>
      <c r="O275" s="246" t="s">
        <v>742</v>
      </c>
      <c r="P275" s="246"/>
      <c r="Q275" s="246"/>
      <c r="R275" s="246"/>
      <c r="S275" s="246"/>
      <c r="T275" s="246"/>
      <c r="U275" s="246"/>
      <c r="V275" s="246"/>
      <c r="W275" s="246"/>
      <c r="X275" s="253" t="s">
        <v>2137</v>
      </c>
      <c r="Y275" s="244"/>
      <c r="Z275" s="244" t="s">
        <v>2129</v>
      </c>
      <c r="AA275" s="246"/>
      <c r="AB275" s="245"/>
    </row>
    <row r="276" spans="1:29" s="250" customFormat="1">
      <c r="A276" s="244">
        <v>272</v>
      </c>
      <c r="B276" s="245" t="s">
        <v>785</v>
      </c>
      <c r="C276" s="246" t="s">
        <v>1755</v>
      </c>
      <c r="D276" s="246" t="s">
        <v>410</v>
      </c>
      <c r="E276" s="246" t="s">
        <v>1753</v>
      </c>
      <c r="F276" s="246" t="s">
        <v>405</v>
      </c>
      <c r="G276" s="246" t="s">
        <v>411</v>
      </c>
      <c r="H276" s="246" t="s">
        <v>406</v>
      </c>
      <c r="I276" s="18">
        <v>19800000</v>
      </c>
      <c r="J276" s="248">
        <v>44426</v>
      </c>
      <c r="K276" s="248">
        <v>44498</v>
      </c>
      <c r="L276" s="248">
        <v>44474</v>
      </c>
      <c r="M276" s="248">
        <v>44484</v>
      </c>
      <c r="N276" s="246"/>
      <c r="O276" s="246" t="s">
        <v>613</v>
      </c>
      <c r="P276" s="246"/>
      <c r="Q276" s="246"/>
      <c r="R276" s="246"/>
      <c r="S276" s="246"/>
      <c r="T276" s="246"/>
      <c r="U276" s="246"/>
      <c r="V276" s="246"/>
      <c r="W276" s="246"/>
      <c r="X276" s="253" t="s">
        <v>2138</v>
      </c>
      <c r="Y276" s="244"/>
      <c r="Z276" s="244" t="s">
        <v>2129</v>
      </c>
      <c r="AA276" s="246"/>
      <c r="AB276" s="245"/>
    </row>
    <row r="277" spans="1:29" s="250" customFormat="1">
      <c r="A277" s="244">
        <v>273</v>
      </c>
      <c r="B277" s="245" t="s">
        <v>416</v>
      </c>
      <c r="C277" s="246" t="s">
        <v>1756</v>
      </c>
      <c r="D277" s="246" t="s">
        <v>409</v>
      </c>
      <c r="E277" s="246" t="s">
        <v>1754</v>
      </c>
      <c r="F277" s="246" t="s">
        <v>519</v>
      </c>
      <c r="G277" s="246" t="s">
        <v>411</v>
      </c>
      <c r="H277" s="246" t="s">
        <v>406</v>
      </c>
      <c r="I277" s="18">
        <v>19800000</v>
      </c>
      <c r="J277" s="248">
        <v>44426</v>
      </c>
      <c r="K277" s="248">
        <v>44498</v>
      </c>
      <c r="L277" s="248">
        <v>44504</v>
      </c>
      <c r="M277" s="248">
        <v>44509</v>
      </c>
      <c r="N277" s="246"/>
      <c r="O277" s="246" t="s">
        <v>613</v>
      </c>
      <c r="P277" s="246"/>
      <c r="Q277" s="246"/>
      <c r="R277" s="246"/>
      <c r="S277" s="246"/>
      <c r="T277" s="246"/>
      <c r="U277" s="246"/>
      <c r="V277" s="246"/>
      <c r="W277" s="246"/>
      <c r="X277" s="244" t="s">
        <v>519</v>
      </c>
      <c r="Y277" s="244"/>
      <c r="Z277" s="244" t="s">
        <v>1278</v>
      </c>
      <c r="AA277" s="246"/>
      <c r="AB277" s="245"/>
    </row>
    <row r="278" spans="1:29" s="250" customFormat="1">
      <c r="A278" s="244">
        <v>274</v>
      </c>
      <c r="B278" s="245" t="s">
        <v>1786</v>
      </c>
      <c r="C278" s="246"/>
      <c r="D278" s="246" t="s">
        <v>1812</v>
      </c>
      <c r="E278" s="246" t="s">
        <v>1787</v>
      </c>
      <c r="F278" s="246" t="s">
        <v>519</v>
      </c>
      <c r="G278" s="246" t="s">
        <v>411</v>
      </c>
      <c r="H278" s="246" t="s">
        <v>406</v>
      </c>
      <c r="I278" s="18">
        <v>6600000</v>
      </c>
      <c r="J278" s="248">
        <v>44427</v>
      </c>
      <c r="K278" s="247" t="s">
        <v>411</v>
      </c>
      <c r="L278" s="248">
        <v>44427</v>
      </c>
      <c r="M278" s="248">
        <v>44433</v>
      </c>
      <c r="N278" s="246"/>
      <c r="O278" s="246" t="s">
        <v>1811</v>
      </c>
      <c r="P278" s="246"/>
      <c r="Q278" s="246"/>
      <c r="R278" s="246"/>
      <c r="S278" s="246"/>
      <c r="T278" s="246"/>
      <c r="U278" s="246"/>
      <c r="V278" s="246"/>
      <c r="W278" s="246"/>
      <c r="X278" s="244" t="s">
        <v>1798</v>
      </c>
      <c r="Y278" s="244"/>
      <c r="Z278" s="246" t="s">
        <v>1801</v>
      </c>
      <c r="AA278" s="246"/>
      <c r="AB278" s="245"/>
    </row>
    <row r="279" spans="1:29" s="250" customFormat="1">
      <c r="A279" s="244">
        <v>275</v>
      </c>
      <c r="B279" s="245" t="s">
        <v>664</v>
      </c>
      <c r="C279" s="246" t="s">
        <v>1809</v>
      </c>
      <c r="D279" s="246" t="s">
        <v>409</v>
      </c>
      <c r="E279" s="246" t="s">
        <v>2431</v>
      </c>
      <c r="F279" s="246" t="s">
        <v>405</v>
      </c>
      <c r="G279" s="246" t="s">
        <v>411</v>
      </c>
      <c r="H279" s="246" t="s">
        <v>406</v>
      </c>
      <c r="I279" s="18">
        <v>86064000</v>
      </c>
      <c r="J279" s="248">
        <v>44428</v>
      </c>
      <c r="K279" s="248">
        <v>44539</v>
      </c>
      <c r="L279" s="248">
        <v>44551</v>
      </c>
      <c r="M279" s="248">
        <v>44553</v>
      </c>
      <c r="N279" s="246"/>
      <c r="O279" s="246" t="s">
        <v>1810</v>
      </c>
      <c r="P279" s="246"/>
      <c r="Q279" s="246"/>
      <c r="R279" s="246"/>
      <c r="S279" s="246"/>
      <c r="T279" s="246"/>
      <c r="U279" s="246"/>
      <c r="V279" s="246"/>
      <c r="W279" s="246"/>
      <c r="X279" s="244" t="s">
        <v>2736</v>
      </c>
      <c r="Y279" s="253" t="s">
        <v>2780</v>
      </c>
      <c r="Z279" s="244" t="s">
        <v>2778</v>
      </c>
      <c r="AA279" s="254" t="s">
        <v>2777</v>
      </c>
      <c r="AB279" s="245"/>
    </row>
    <row r="280" spans="1:29" s="250" customFormat="1">
      <c r="A280" s="244">
        <v>276</v>
      </c>
      <c r="B280" s="245" t="s">
        <v>416</v>
      </c>
      <c r="C280" s="246" t="s">
        <v>730</v>
      </c>
      <c r="D280" s="246" t="s">
        <v>414</v>
      </c>
      <c r="E280" s="246" t="s">
        <v>1785</v>
      </c>
      <c r="F280" s="246" t="s">
        <v>405</v>
      </c>
      <c r="G280" s="246" t="s">
        <v>411</v>
      </c>
      <c r="H280" s="246" t="s">
        <v>406</v>
      </c>
      <c r="I280" s="18">
        <v>5066600</v>
      </c>
      <c r="J280" s="248">
        <v>44431</v>
      </c>
      <c r="K280" s="248">
        <v>44484</v>
      </c>
      <c r="L280" s="248">
        <v>44487</v>
      </c>
      <c r="M280" s="248">
        <v>44489</v>
      </c>
      <c r="N280" s="246"/>
      <c r="O280" s="246" t="s">
        <v>742</v>
      </c>
      <c r="P280" s="246"/>
      <c r="Q280" s="246"/>
      <c r="R280" s="246"/>
      <c r="S280" s="246"/>
      <c r="T280" s="246"/>
      <c r="U280" s="246"/>
      <c r="V280" s="246"/>
      <c r="W280" s="246"/>
      <c r="X280" s="253" t="s">
        <v>2735</v>
      </c>
      <c r="Y280" s="244"/>
      <c r="Z280" s="244" t="s">
        <v>1278</v>
      </c>
      <c r="AA280" s="255" t="s">
        <v>1554</v>
      </c>
      <c r="AB280" s="245" t="s">
        <v>2474</v>
      </c>
    </row>
    <row r="281" spans="1:29" s="250" customFormat="1">
      <c r="A281" s="244">
        <v>277</v>
      </c>
      <c r="B281" s="245" t="s">
        <v>407</v>
      </c>
      <c r="C281" s="246" t="s">
        <v>1752</v>
      </c>
      <c r="D281" s="246" t="s">
        <v>404</v>
      </c>
      <c r="E281" s="246" t="s">
        <v>1788</v>
      </c>
      <c r="F281" s="246" t="s">
        <v>405</v>
      </c>
      <c r="G281" s="246" t="s">
        <v>411</v>
      </c>
      <c r="H281" s="246" t="s">
        <v>406</v>
      </c>
      <c r="I281" s="18">
        <v>3190000</v>
      </c>
      <c r="J281" s="248">
        <v>44432</v>
      </c>
      <c r="K281" s="247" t="s">
        <v>411</v>
      </c>
      <c r="L281" s="248">
        <v>44452</v>
      </c>
      <c r="M281" s="248">
        <v>44453</v>
      </c>
      <c r="N281" s="246"/>
      <c r="O281" s="246" t="s">
        <v>1814</v>
      </c>
      <c r="P281" s="246"/>
      <c r="Q281" s="246"/>
      <c r="R281" s="246"/>
      <c r="S281" s="246"/>
      <c r="T281" s="246"/>
      <c r="U281" s="246"/>
      <c r="V281" s="246"/>
      <c r="W281" s="246"/>
      <c r="X281" s="253" t="s">
        <v>1926</v>
      </c>
      <c r="Y281" s="244"/>
      <c r="Z281" s="244" t="s">
        <v>1278</v>
      </c>
      <c r="AA281" s="246"/>
      <c r="AB281" s="245"/>
    </row>
    <row r="282" spans="1:29" s="250" customFormat="1">
      <c r="A282" s="244">
        <v>278</v>
      </c>
      <c r="B282" s="245" t="s">
        <v>407</v>
      </c>
      <c r="C282" s="246" t="s">
        <v>1782</v>
      </c>
      <c r="D282" s="246"/>
      <c r="E282" s="246" t="s">
        <v>1783</v>
      </c>
      <c r="F282" s="246" t="s">
        <v>405</v>
      </c>
      <c r="G282" s="246" t="s">
        <v>411</v>
      </c>
      <c r="H282" s="246" t="s">
        <v>406</v>
      </c>
      <c r="I282" s="18">
        <v>1661000</v>
      </c>
      <c r="J282" s="248">
        <v>44434</v>
      </c>
      <c r="K282" s="248">
        <v>44434</v>
      </c>
      <c r="L282" s="248">
        <v>44434</v>
      </c>
      <c r="M282" s="248">
        <v>44453</v>
      </c>
      <c r="N282" s="246"/>
      <c r="O282" s="246" t="s">
        <v>2403</v>
      </c>
      <c r="P282" s="246"/>
      <c r="Q282" s="246"/>
      <c r="R282" s="246"/>
      <c r="S282" s="246"/>
      <c r="T282" s="246"/>
      <c r="U282" s="246"/>
      <c r="V282" s="246"/>
      <c r="W282" s="246"/>
      <c r="X282" s="253" t="s">
        <v>1784</v>
      </c>
      <c r="Y282" s="244"/>
      <c r="Z282" s="244" t="s">
        <v>2580</v>
      </c>
      <c r="AA282" s="300" t="s">
        <v>2808</v>
      </c>
      <c r="AB282" s="245" t="s">
        <v>2557</v>
      </c>
    </row>
    <row r="283" spans="1:29" s="250" customFormat="1">
      <c r="A283" s="244">
        <v>279</v>
      </c>
      <c r="B283" s="245" t="s">
        <v>550</v>
      </c>
      <c r="C283" s="246" t="s">
        <v>1835</v>
      </c>
      <c r="D283" s="246" t="s">
        <v>1836</v>
      </c>
      <c r="E283" s="246" t="s">
        <v>1879</v>
      </c>
      <c r="F283" s="246" t="s">
        <v>1837</v>
      </c>
      <c r="G283" s="246" t="s">
        <v>411</v>
      </c>
      <c r="H283" s="246" t="s">
        <v>1838</v>
      </c>
      <c r="I283" s="18">
        <v>258802500</v>
      </c>
      <c r="J283" s="248">
        <v>44434</v>
      </c>
      <c r="K283" s="247" t="s">
        <v>411</v>
      </c>
      <c r="L283" s="248">
        <v>44434</v>
      </c>
      <c r="M283" s="246" t="s">
        <v>1909</v>
      </c>
      <c r="N283" s="246"/>
      <c r="O283" s="246" t="s">
        <v>1470</v>
      </c>
      <c r="P283" s="246"/>
      <c r="Q283" s="246"/>
      <c r="R283" s="246"/>
      <c r="S283" s="246"/>
      <c r="T283" s="246"/>
      <c r="U283" s="246"/>
      <c r="V283" s="246"/>
      <c r="W283" s="246"/>
      <c r="X283" s="253" t="s">
        <v>2139</v>
      </c>
      <c r="Y283" s="251"/>
      <c r="Z283" s="244" t="s">
        <v>1278</v>
      </c>
      <c r="AA283" s="246" t="s">
        <v>2812</v>
      </c>
      <c r="AB283" s="245"/>
    </row>
    <row r="284" spans="1:29" s="250" customFormat="1">
      <c r="A284" s="244">
        <v>280</v>
      </c>
      <c r="B284" s="245" t="s">
        <v>407</v>
      </c>
      <c r="C284" s="246" t="s">
        <v>1825</v>
      </c>
      <c r="D284" s="246" t="s">
        <v>404</v>
      </c>
      <c r="E284" s="246" t="s">
        <v>1823</v>
      </c>
      <c r="F284" s="246" t="s">
        <v>405</v>
      </c>
      <c r="G284" s="246" t="s">
        <v>411</v>
      </c>
      <c r="H284" s="246" t="s">
        <v>745</v>
      </c>
      <c r="I284" s="26" t="s">
        <v>1824</v>
      </c>
      <c r="J284" s="248">
        <v>44441</v>
      </c>
      <c r="K284" s="248">
        <v>44552</v>
      </c>
      <c r="L284" s="246" t="s">
        <v>2397</v>
      </c>
      <c r="M284" s="246" t="s">
        <v>2397</v>
      </c>
      <c r="N284" s="246"/>
      <c r="O284" s="246" t="s">
        <v>846</v>
      </c>
      <c r="P284" s="246"/>
      <c r="Q284" s="246"/>
      <c r="R284" s="246"/>
      <c r="S284" s="246"/>
      <c r="T284" s="246"/>
      <c r="U284" s="246"/>
      <c r="V284" s="246"/>
      <c r="W284" s="246"/>
      <c r="X284" s="244" t="s">
        <v>745</v>
      </c>
      <c r="Y284" s="244"/>
      <c r="Z284" s="246" t="s">
        <v>2125</v>
      </c>
      <c r="AA284" s="246"/>
      <c r="AB284" s="245"/>
    </row>
    <row r="285" spans="1:29" s="250" customFormat="1">
      <c r="A285" s="244">
        <v>281</v>
      </c>
      <c r="B285" s="245" t="s">
        <v>813</v>
      </c>
      <c r="C285" s="246" t="s">
        <v>1481</v>
      </c>
      <c r="D285" s="246" t="s">
        <v>815</v>
      </c>
      <c r="E285" s="246" t="s">
        <v>1826</v>
      </c>
      <c r="F285" s="246" t="s">
        <v>405</v>
      </c>
      <c r="G285" s="246" t="s">
        <v>411</v>
      </c>
      <c r="H285" s="246" t="s">
        <v>406</v>
      </c>
      <c r="I285" s="18">
        <v>167200000</v>
      </c>
      <c r="J285" s="248">
        <v>44440</v>
      </c>
      <c r="K285" s="248" t="s">
        <v>1766</v>
      </c>
      <c r="L285" s="246" t="s">
        <v>2684</v>
      </c>
      <c r="M285" s="246" t="s">
        <v>2860</v>
      </c>
      <c r="N285" s="246"/>
      <c r="O285" s="246" t="s">
        <v>691</v>
      </c>
      <c r="P285" s="246"/>
      <c r="Q285" s="246"/>
      <c r="R285" s="246"/>
      <c r="S285" s="246"/>
      <c r="T285" s="246"/>
      <c r="U285" s="246"/>
      <c r="V285" s="246"/>
      <c r="W285" s="246"/>
      <c r="X285" s="244" t="s">
        <v>2503</v>
      </c>
      <c r="Y285" s="244"/>
      <c r="Z285" s="246"/>
      <c r="AA285" s="246"/>
      <c r="AB285" s="245"/>
      <c r="AC285" s="246"/>
    </row>
    <row r="286" spans="1:29" s="250" customFormat="1">
      <c r="A286" s="244">
        <v>282</v>
      </c>
      <c r="B286" s="245" t="s">
        <v>407</v>
      </c>
      <c r="C286" s="246" t="s">
        <v>1822</v>
      </c>
      <c r="D286" s="246"/>
      <c r="E286" s="246" t="s">
        <v>820</v>
      </c>
      <c r="F286" s="246" t="s">
        <v>405</v>
      </c>
      <c r="G286" s="246" t="s">
        <v>411</v>
      </c>
      <c r="H286" s="246" t="s">
        <v>406</v>
      </c>
      <c r="I286" s="18">
        <v>1100000</v>
      </c>
      <c r="J286" s="248">
        <v>44446</v>
      </c>
      <c r="K286" s="247" t="s">
        <v>411</v>
      </c>
      <c r="L286" s="248">
        <v>44452</v>
      </c>
      <c r="M286" s="248">
        <v>44453</v>
      </c>
      <c r="N286" s="246"/>
      <c r="O286" s="246" t="s">
        <v>790</v>
      </c>
      <c r="P286" s="246"/>
      <c r="Q286" s="246"/>
      <c r="R286" s="246"/>
      <c r="S286" s="246"/>
      <c r="T286" s="246"/>
      <c r="U286" s="246"/>
      <c r="V286" s="246"/>
      <c r="W286" s="246"/>
      <c r="X286" s="253" t="s">
        <v>2164</v>
      </c>
      <c r="Y286" s="244" t="s">
        <v>2737</v>
      </c>
      <c r="Z286" s="244" t="s">
        <v>2798</v>
      </c>
      <c r="AA286" s="258"/>
      <c r="AB286" s="245" t="s">
        <v>2791</v>
      </c>
    </row>
    <row r="287" spans="1:29" s="250" customFormat="1">
      <c r="A287" s="244">
        <v>283</v>
      </c>
      <c r="B287" s="245" t="s">
        <v>407</v>
      </c>
      <c r="C287" s="246" t="s">
        <v>913</v>
      </c>
      <c r="D287" s="246" t="s">
        <v>1107</v>
      </c>
      <c r="E287" s="246" t="s">
        <v>1820</v>
      </c>
      <c r="F287" s="246" t="s">
        <v>405</v>
      </c>
      <c r="G287" s="246" t="s">
        <v>411</v>
      </c>
      <c r="H287" s="246" t="s">
        <v>406</v>
      </c>
      <c r="I287" s="18">
        <v>2156000</v>
      </c>
      <c r="J287" s="248">
        <v>44441</v>
      </c>
      <c r="K287" s="248">
        <v>44460</v>
      </c>
      <c r="L287" s="248">
        <v>44448</v>
      </c>
      <c r="M287" s="248">
        <v>44452</v>
      </c>
      <c r="N287" s="246"/>
      <c r="O287" s="246" t="s">
        <v>691</v>
      </c>
      <c r="P287" s="246"/>
      <c r="Q287" s="246"/>
      <c r="R287" s="246"/>
      <c r="S287" s="246"/>
      <c r="T287" s="246"/>
      <c r="U287" s="246"/>
      <c r="V287" s="246"/>
      <c r="W287" s="246"/>
      <c r="X287" s="244" t="s">
        <v>2087</v>
      </c>
      <c r="Y287" s="244"/>
      <c r="Z287" s="246" t="s">
        <v>1278</v>
      </c>
      <c r="AA287" s="255" t="s">
        <v>2140</v>
      </c>
      <c r="AB287" s="245"/>
      <c r="AC287" s="246"/>
    </row>
    <row r="288" spans="1:29" s="250" customFormat="1">
      <c r="A288" s="244">
        <v>284</v>
      </c>
      <c r="B288" s="245" t="s">
        <v>1816</v>
      </c>
      <c r="C288" s="246" t="s">
        <v>1817</v>
      </c>
      <c r="D288" s="246" t="s">
        <v>1388</v>
      </c>
      <c r="E288" s="246" t="s">
        <v>1818</v>
      </c>
      <c r="F288" s="246" t="s">
        <v>405</v>
      </c>
      <c r="G288" s="246" t="s">
        <v>411</v>
      </c>
      <c r="H288" s="246" t="s">
        <v>406</v>
      </c>
      <c r="I288" s="18">
        <v>7150000</v>
      </c>
      <c r="J288" s="248">
        <v>44441</v>
      </c>
      <c r="K288" s="248">
        <v>44469</v>
      </c>
      <c r="L288" s="248">
        <v>44445</v>
      </c>
      <c r="M288" s="248">
        <v>44491</v>
      </c>
      <c r="N288" s="246"/>
      <c r="O288" s="246" t="s">
        <v>846</v>
      </c>
      <c r="P288" s="246"/>
      <c r="Q288" s="246"/>
      <c r="R288" s="246"/>
      <c r="S288" s="246"/>
      <c r="T288" s="246"/>
      <c r="U288" s="246"/>
      <c r="V288" s="246"/>
      <c r="W288" s="246"/>
      <c r="X288" s="253" t="s">
        <v>1819</v>
      </c>
      <c r="Y288" s="244"/>
      <c r="Z288" s="244" t="s">
        <v>1925</v>
      </c>
      <c r="AA288" s="299" t="s">
        <v>1554</v>
      </c>
      <c r="AB288" s="245"/>
    </row>
    <row r="289" spans="1:31" s="250" customFormat="1">
      <c r="A289" s="244">
        <v>285</v>
      </c>
      <c r="B289" s="245" t="s">
        <v>522</v>
      </c>
      <c r="C289" s="246" t="s">
        <v>1101</v>
      </c>
      <c r="D289" s="246" t="s">
        <v>409</v>
      </c>
      <c r="E289" s="246" t="s">
        <v>1821</v>
      </c>
      <c r="F289" s="246" t="s">
        <v>405</v>
      </c>
      <c r="G289" s="246" t="s">
        <v>411</v>
      </c>
      <c r="H289" s="246" t="s">
        <v>406</v>
      </c>
      <c r="I289" s="18">
        <v>1650000</v>
      </c>
      <c r="J289" s="248">
        <v>44441</v>
      </c>
      <c r="K289" s="248">
        <v>44449</v>
      </c>
      <c r="L289" s="248">
        <v>44446</v>
      </c>
      <c r="M289" s="248">
        <v>44447</v>
      </c>
      <c r="N289" s="246"/>
      <c r="O289" s="246" t="s">
        <v>742</v>
      </c>
      <c r="P289" s="246"/>
      <c r="Q289" s="246"/>
      <c r="R289" s="246"/>
      <c r="S289" s="246"/>
      <c r="T289" s="246"/>
      <c r="U289" s="246"/>
      <c r="V289" s="246"/>
      <c r="W289" s="246"/>
      <c r="X289" s="253" t="s">
        <v>2738</v>
      </c>
      <c r="Y289" s="244"/>
      <c r="Z289" s="244" t="s">
        <v>1278</v>
      </c>
      <c r="AA289" s="255"/>
      <c r="AB289" s="245" t="s">
        <v>2474</v>
      </c>
    </row>
    <row r="290" spans="1:31" s="250" customFormat="1">
      <c r="A290" s="244">
        <v>286</v>
      </c>
      <c r="B290" s="245" t="s">
        <v>416</v>
      </c>
      <c r="C290" s="246" t="s">
        <v>1815</v>
      </c>
      <c r="D290" s="246" t="s">
        <v>404</v>
      </c>
      <c r="E290" s="246" t="s">
        <v>1928</v>
      </c>
      <c r="F290" s="246" t="s">
        <v>405</v>
      </c>
      <c r="G290" s="246" t="s">
        <v>411</v>
      </c>
      <c r="H290" s="246" t="s">
        <v>406</v>
      </c>
      <c r="I290" s="18">
        <v>6380000</v>
      </c>
      <c r="J290" s="248">
        <v>44440</v>
      </c>
      <c r="K290" s="248">
        <v>44470</v>
      </c>
      <c r="L290" s="248">
        <v>44454</v>
      </c>
      <c r="M290" s="248">
        <v>44475</v>
      </c>
      <c r="N290" s="246"/>
      <c r="O290" s="246" t="s">
        <v>846</v>
      </c>
      <c r="P290" s="246"/>
      <c r="Q290" s="246"/>
      <c r="R290" s="246"/>
      <c r="S290" s="246"/>
      <c r="T290" s="246"/>
      <c r="U290" s="246"/>
      <c r="V290" s="246"/>
      <c r="W290" s="246"/>
      <c r="X290" s="253" t="s">
        <v>1967</v>
      </c>
      <c r="Y290" s="244"/>
      <c r="Z290" s="244" t="s">
        <v>2129</v>
      </c>
      <c r="AA290" s="246"/>
      <c r="AB290" s="245"/>
    </row>
    <row r="291" spans="1:31" s="250" customFormat="1">
      <c r="A291" s="244">
        <v>287</v>
      </c>
      <c r="B291" s="245" t="s">
        <v>416</v>
      </c>
      <c r="C291" s="246" t="s">
        <v>1717</v>
      </c>
      <c r="D291" s="246" t="s">
        <v>404</v>
      </c>
      <c r="E291" s="246" t="s">
        <v>1928</v>
      </c>
      <c r="F291" s="246" t="s">
        <v>405</v>
      </c>
      <c r="G291" s="246" t="s">
        <v>411</v>
      </c>
      <c r="H291" s="246" t="s">
        <v>406</v>
      </c>
      <c r="I291" s="18">
        <v>6380000</v>
      </c>
      <c r="J291" s="248">
        <v>44440</v>
      </c>
      <c r="K291" s="248">
        <v>44470</v>
      </c>
      <c r="L291" s="248">
        <v>44453</v>
      </c>
      <c r="M291" s="248">
        <v>44455</v>
      </c>
      <c r="N291" s="246"/>
      <c r="O291" s="246" t="s">
        <v>846</v>
      </c>
      <c r="P291" s="246"/>
      <c r="Q291" s="246"/>
      <c r="R291" s="246"/>
      <c r="S291" s="246"/>
      <c r="T291" s="246"/>
      <c r="U291" s="246"/>
      <c r="V291" s="246"/>
      <c r="W291" s="246"/>
      <c r="X291" s="253" t="s">
        <v>1966</v>
      </c>
      <c r="Y291" s="244"/>
      <c r="Z291" s="244" t="s">
        <v>2129</v>
      </c>
      <c r="AA291" s="246"/>
      <c r="AB291" s="245"/>
    </row>
    <row r="292" spans="1:31" s="250" customFormat="1">
      <c r="A292" s="244">
        <v>288</v>
      </c>
      <c r="B292" s="245" t="s">
        <v>416</v>
      </c>
      <c r="C292" s="246" t="s">
        <v>1841</v>
      </c>
      <c r="D292" s="246" t="s">
        <v>417</v>
      </c>
      <c r="E292" s="246" t="s">
        <v>1843</v>
      </c>
      <c r="F292" s="246" t="s">
        <v>405</v>
      </c>
      <c r="G292" s="246" t="s">
        <v>411</v>
      </c>
      <c r="H292" s="246" t="s">
        <v>1847</v>
      </c>
      <c r="I292" s="26" t="s">
        <v>1848</v>
      </c>
      <c r="J292" s="248">
        <v>44442</v>
      </c>
      <c r="K292" s="246" t="s">
        <v>1902</v>
      </c>
      <c r="L292" s="247" t="s">
        <v>411</v>
      </c>
      <c r="M292" s="247" t="s">
        <v>411</v>
      </c>
      <c r="N292" s="246"/>
      <c r="O292" s="246" t="s">
        <v>1845</v>
      </c>
      <c r="P292" s="246"/>
      <c r="Q292" s="246"/>
      <c r="R292" s="246"/>
      <c r="S292" s="246"/>
      <c r="T292" s="246"/>
      <c r="U292" s="246"/>
      <c r="V292" s="246"/>
      <c r="W292" s="246"/>
      <c r="X292" s="244" t="s">
        <v>2142</v>
      </c>
      <c r="Y292" s="244"/>
      <c r="Z292" s="246" t="s">
        <v>2125</v>
      </c>
      <c r="AA292" s="246"/>
      <c r="AB292" s="245"/>
    </row>
    <row r="293" spans="1:31" s="250" customFormat="1">
      <c r="A293" s="244">
        <v>289</v>
      </c>
      <c r="B293" s="245" t="s">
        <v>1840</v>
      </c>
      <c r="C293" s="246" t="s">
        <v>1842</v>
      </c>
      <c r="D293" s="246" t="s">
        <v>1388</v>
      </c>
      <c r="E293" s="246" t="s">
        <v>1844</v>
      </c>
      <c r="F293" s="246" t="s">
        <v>405</v>
      </c>
      <c r="G293" s="246" t="s">
        <v>411</v>
      </c>
      <c r="H293" s="246" t="s">
        <v>406</v>
      </c>
      <c r="I293" s="18">
        <v>1760000</v>
      </c>
      <c r="J293" s="248">
        <v>44442</v>
      </c>
      <c r="K293" s="246"/>
      <c r="L293" s="248">
        <v>44456</v>
      </c>
      <c r="M293" s="248">
        <v>44477</v>
      </c>
      <c r="N293" s="246"/>
      <c r="O293" s="246" t="s">
        <v>1846</v>
      </c>
      <c r="P293" s="246"/>
      <c r="Q293" s="246"/>
      <c r="R293" s="246"/>
      <c r="S293" s="246"/>
      <c r="T293" s="246"/>
      <c r="U293" s="246"/>
      <c r="V293" s="246"/>
      <c r="W293" s="246"/>
      <c r="X293" s="253" t="s">
        <v>2469</v>
      </c>
      <c r="Y293" s="244"/>
      <c r="Z293" s="244" t="s">
        <v>2579</v>
      </c>
      <c r="AA293" s="255"/>
      <c r="AB293" s="245" t="s">
        <v>2552</v>
      </c>
    </row>
    <row r="294" spans="1:31" s="250" customFormat="1">
      <c r="A294" s="244">
        <v>290</v>
      </c>
      <c r="B294" s="245" t="s">
        <v>1849</v>
      </c>
      <c r="C294" s="246" t="s">
        <v>1850</v>
      </c>
      <c r="D294" s="246" t="s">
        <v>1388</v>
      </c>
      <c r="E294" s="246" t="s">
        <v>1852</v>
      </c>
      <c r="F294" s="246" t="s">
        <v>405</v>
      </c>
      <c r="G294" s="246" t="s">
        <v>411</v>
      </c>
      <c r="H294" s="246" t="s">
        <v>406</v>
      </c>
      <c r="I294" s="18">
        <v>27500000</v>
      </c>
      <c r="J294" s="248">
        <v>44445</v>
      </c>
      <c r="K294" s="247" t="s">
        <v>411</v>
      </c>
      <c r="L294" s="248">
        <v>44446</v>
      </c>
      <c r="M294" s="248">
        <v>44454</v>
      </c>
      <c r="N294" s="246"/>
      <c r="O294" s="246" t="s">
        <v>655</v>
      </c>
      <c r="P294" s="246"/>
      <c r="Q294" s="246"/>
      <c r="R294" s="246"/>
      <c r="S294" s="246"/>
      <c r="T294" s="246"/>
      <c r="U294" s="246"/>
      <c r="V294" s="246"/>
      <c r="W294" s="246"/>
      <c r="X294" s="253" t="s">
        <v>1968</v>
      </c>
      <c r="Y294" s="244"/>
      <c r="Z294" s="244" t="s">
        <v>1278</v>
      </c>
      <c r="AA294" s="255" t="s">
        <v>2143</v>
      </c>
      <c r="AB294" s="245"/>
    </row>
    <row r="295" spans="1:31" s="250" customFormat="1">
      <c r="A295" s="244">
        <v>291</v>
      </c>
      <c r="B295" s="245" t="s">
        <v>407</v>
      </c>
      <c r="C295" s="246" t="s">
        <v>1851</v>
      </c>
      <c r="D295" s="246"/>
      <c r="E295" s="246" t="s">
        <v>1853</v>
      </c>
      <c r="F295" s="246" t="s">
        <v>405</v>
      </c>
      <c r="G295" s="246" t="s">
        <v>411</v>
      </c>
      <c r="H295" s="246" t="s">
        <v>406</v>
      </c>
      <c r="I295" s="18">
        <v>13367200</v>
      </c>
      <c r="J295" s="248">
        <v>44445</v>
      </c>
      <c r="K295" s="246"/>
      <c r="L295" s="248">
        <v>44498</v>
      </c>
      <c r="M295" s="248">
        <v>44504</v>
      </c>
      <c r="N295" s="246"/>
      <c r="O295" s="246" t="s">
        <v>655</v>
      </c>
      <c r="P295" s="246"/>
      <c r="Q295" s="246"/>
      <c r="R295" s="246"/>
      <c r="S295" s="246"/>
      <c r="T295" s="246"/>
      <c r="U295" s="246"/>
      <c r="V295" s="246"/>
      <c r="W295" s="246"/>
      <c r="X295" s="244" t="s">
        <v>2464</v>
      </c>
      <c r="Y295" s="244"/>
      <c r="Z295" s="246" t="s">
        <v>1277</v>
      </c>
      <c r="AA295" s="246"/>
      <c r="AB295" s="245" t="s">
        <v>2535</v>
      </c>
      <c r="AD295" s="301"/>
      <c r="AE295" s="294" t="s">
        <v>2792</v>
      </c>
    </row>
    <row r="296" spans="1:31" s="250" customFormat="1">
      <c r="A296" s="244">
        <v>292</v>
      </c>
      <c r="B296" s="245" t="s">
        <v>640</v>
      </c>
      <c r="C296" s="246" t="s">
        <v>1856</v>
      </c>
      <c r="D296" s="246" t="s">
        <v>1388</v>
      </c>
      <c r="E296" s="246" t="s">
        <v>1857</v>
      </c>
      <c r="F296" s="246" t="s">
        <v>405</v>
      </c>
      <c r="G296" s="246" t="s">
        <v>411</v>
      </c>
      <c r="H296" s="246" t="s">
        <v>406</v>
      </c>
      <c r="I296" s="18">
        <v>4527600</v>
      </c>
      <c r="J296" s="248">
        <v>44445</v>
      </c>
      <c r="K296" s="248">
        <v>44530</v>
      </c>
      <c r="L296" s="248">
        <v>44518</v>
      </c>
      <c r="M296" s="248">
        <v>44522</v>
      </c>
      <c r="N296" s="246"/>
      <c r="O296" s="246" t="s">
        <v>846</v>
      </c>
      <c r="P296" s="246"/>
      <c r="Q296" s="246"/>
      <c r="R296" s="246"/>
      <c r="S296" s="246"/>
      <c r="T296" s="246"/>
      <c r="U296" s="246"/>
      <c r="V296" s="246"/>
      <c r="W296" s="246"/>
      <c r="X296" s="253" t="s">
        <v>2042</v>
      </c>
      <c r="Y296" s="244"/>
      <c r="Z296" s="244" t="s">
        <v>2145</v>
      </c>
      <c r="AA296" s="246"/>
      <c r="AB296" s="245"/>
    </row>
    <row r="297" spans="1:31" s="250" customFormat="1">
      <c r="A297" s="244">
        <v>293</v>
      </c>
      <c r="B297" s="245" t="s">
        <v>1854</v>
      </c>
      <c r="C297" s="246" t="s">
        <v>1842</v>
      </c>
      <c r="D297" s="246" t="s">
        <v>1388</v>
      </c>
      <c r="E297" s="246" t="s">
        <v>1855</v>
      </c>
      <c r="F297" s="246" t="s">
        <v>405</v>
      </c>
      <c r="G297" s="246" t="s">
        <v>411</v>
      </c>
      <c r="H297" s="246" t="s">
        <v>406</v>
      </c>
      <c r="I297" s="18">
        <v>13200000</v>
      </c>
      <c r="J297" s="248">
        <v>44445</v>
      </c>
      <c r="K297" s="246"/>
      <c r="L297" s="246" t="s">
        <v>2626</v>
      </c>
      <c r="M297" s="246" t="s">
        <v>2627</v>
      </c>
      <c r="N297" s="246"/>
      <c r="O297" s="246" t="s">
        <v>655</v>
      </c>
      <c r="P297" s="246"/>
      <c r="Q297" s="246"/>
      <c r="R297" s="246"/>
      <c r="S297" s="246"/>
      <c r="T297" s="246"/>
      <c r="U297" s="246"/>
      <c r="V297" s="246"/>
      <c r="W297" s="246"/>
      <c r="X297" s="253" t="s">
        <v>2500</v>
      </c>
      <c r="Y297" s="244" t="s">
        <v>2833</v>
      </c>
      <c r="Z297" s="244" t="s">
        <v>2650</v>
      </c>
      <c r="AA297" s="246"/>
      <c r="AB297" s="245"/>
    </row>
    <row r="298" spans="1:31" s="250" customFormat="1">
      <c r="A298" s="244">
        <v>294</v>
      </c>
      <c r="B298" s="245" t="s">
        <v>407</v>
      </c>
      <c r="C298" s="246" t="s">
        <v>1858</v>
      </c>
      <c r="D298" s="246" t="s">
        <v>409</v>
      </c>
      <c r="E298" s="246" t="s">
        <v>1859</v>
      </c>
      <c r="F298" s="246" t="s">
        <v>519</v>
      </c>
      <c r="G298" s="246" t="s">
        <v>411</v>
      </c>
      <c r="H298" s="246" t="s">
        <v>406</v>
      </c>
      <c r="I298" s="18">
        <v>6600000</v>
      </c>
      <c r="J298" s="248">
        <v>44446</v>
      </c>
      <c r="K298" s="248">
        <v>44551</v>
      </c>
      <c r="L298" s="248">
        <v>44551</v>
      </c>
      <c r="M298" s="248" t="s">
        <v>2457</v>
      </c>
      <c r="N298" s="246"/>
      <c r="O298" s="246" t="s">
        <v>742</v>
      </c>
      <c r="P298" s="246"/>
      <c r="Q298" s="246"/>
      <c r="R298" s="246"/>
      <c r="S298" s="246"/>
      <c r="T298" s="246"/>
      <c r="U298" s="246"/>
      <c r="V298" s="246"/>
      <c r="W298" s="246"/>
      <c r="X298" s="253" t="s">
        <v>2512</v>
      </c>
      <c r="Y298" s="244" t="s">
        <v>2739</v>
      </c>
      <c r="Z298" s="244" t="s">
        <v>2579</v>
      </c>
      <c r="AA298" s="246"/>
      <c r="AB298" s="245"/>
    </row>
    <row r="299" spans="1:31" s="250" customFormat="1">
      <c r="A299" s="244">
        <v>295</v>
      </c>
      <c r="B299" s="245" t="s">
        <v>1860</v>
      </c>
      <c r="C299" s="246" t="s">
        <v>1861</v>
      </c>
      <c r="D299" s="246" t="s">
        <v>410</v>
      </c>
      <c r="E299" s="246" t="s">
        <v>1862</v>
      </c>
      <c r="F299" s="246" t="s">
        <v>405</v>
      </c>
      <c r="G299" s="246" t="s">
        <v>411</v>
      </c>
      <c r="H299" s="246" t="s">
        <v>406</v>
      </c>
      <c r="I299" s="18">
        <v>6600000</v>
      </c>
      <c r="J299" s="248">
        <v>44446</v>
      </c>
      <c r="K299" s="248">
        <v>44554</v>
      </c>
      <c r="L299" s="248">
        <v>44512</v>
      </c>
      <c r="M299" s="248">
        <v>44515</v>
      </c>
      <c r="N299" s="246"/>
      <c r="O299" s="246" t="s">
        <v>691</v>
      </c>
      <c r="P299" s="246"/>
      <c r="Q299" s="246"/>
      <c r="R299" s="246"/>
      <c r="S299" s="246"/>
      <c r="T299" s="246"/>
      <c r="U299" s="246"/>
      <c r="V299" s="246"/>
      <c r="W299" s="246"/>
      <c r="X299" s="253" t="s">
        <v>2088</v>
      </c>
      <c r="Y299" s="244"/>
      <c r="Z299" s="244" t="s">
        <v>1278</v>
      </c>
      <c r="AA299" s="246"/>
      <c r="AB299" s="245"/>
      <c r="AC299" s="246"/>
    </row>
    <row r="300" spans="1:31" s="250" customFormat="1">
      <c r="A300" s="244">
        <v>296</v>
      </c>
      <c r="B300" s="245" t="s">
        <v>1863</v>
      </c>
      <c r="C300" s="246"/>
      <c r="D300" s="246" t="s">
        <v>1388</v>
      </c>
      <c r="E300" s="246" t="s">
        <v>1852</v>
      </c>
      <c r="F300" s="246" t="s">
        <v>405</v>
      </c>
      <c r="G300" s="246" t="s">
        <v>411</v>
      </c>
      <c r="H300" s="246" t="s">
        <v>406</v>
      </c>
      <c r="I300" s="18">
        <f>7000000*1.1</f>
        <v>7700000.0000000009</v>
      </c>
      <c r="J300" s="248">
        <v>44446</v>
      </c>
      <c r="K300" s="247" t="s">
        <v>411</v>
      </c>
      <c r="L300" s="248">
        <v>44447</v>
      </c>
      <c r="M300" s="248">
        <v>44447</v>
      </c>
      <c r="N300" s="246"/>
      <c r="O300" s="246" t="s">
        <v>655</v>
      </c>
      <c r="P300" s="246"/>
      <c r="Q300" s="246"/>
      <c r="R300" s="246"/>
      <c r="S300" s="246"/>
      <c r="T300" s="246"/>
      <c r="U300" s="246"/>
      <c r="V300" s="246"/>
      <c r="W300" s="246"/>
      <c r="X300" s="253" t="s">
        <v>1968</v>
      </c>
      <c r="Y300" s="244"/>
      <c r="Z300" s="244" t="s">
        <v>1278</v>
      </c>
      <c r="AA300" s="255" t="s">
        <v>2144</v>
      </c>
      <c r="AB300" s="245"/>
    </row>
    <row r="301" spans="1:31" s="250" customFormat="1">
      <c r="A301" s="244">
        <v>297</v>
      </c>
      <c r="B301" s="245" t="s">
        <v>407</v>
      </c>
      <c r="C301" s="246" t="s">
        <v>1822</v>
      </c>
      <c r="D301" s="246"/>
      <c r="E301" s="246" t="s">
        <v>1865</v>
      </c>
      <c r="F301" s="246" t="s">
        <v>405</v>
      </c>
      <c r="G301" s="246" t="s">
        <v>411</v>
      </c>
      <c r="H301" s="246" t="s">
        <v>406</v>
      </c>
      <c r="I301" s="18">
        <v>8085000</v>
      </c>
      <c r="J301" s="248">
        <v>44446</v>
      </c>
      <c r="K301" s="248">
        <v>44530</v>
      </c>
      <c r="L301" s="248">
        <v>44496</v>
      </c>
      <c r="M301" s="248">
        <v>44498</v>
      </c>
      <c r="N301" s="246"/>
      <c r="O301" s="246" t="s">
        <v>509</v>
      </c>
      <c r="P301" s="246"/>
      <c r="Q301" s="246"/>
      <c r="R301" s="246"/>
      <c r="S301" s="246"/>
      <c r="T301" s="246"/>
      <c r="U301" s="246"/>
      <c r="V301" s="246"/>
      <c r="W301" s="246"/>
      <c r="X301" s="253" t="s">
        <v>2740</v>
      </c>
      <c r="Y301" s="244">
        <v>63839</v>
      </c>
      <c r="Z301" s="246" t="s">
        <v>2741</v>
      </c>
      <c r="AA301" s="258" t="s">
        <v>2656</v>
      </c>
      <c r="AB301" s="245"/>
    </row>
    <row r="302" spans="1:31" s="250" customFormat="1">
      <c r="A302" s="244">
        <v>298</v>
      </c>
      <c r="B302" s="245" t="s">
        <v>407</v>
      </c>
      <c r="C302" s="246" t="s">
        <v>730</v>
      </c>
      <c r="D302" s="246" t="s">
        <v>845</v>
      </c>
      <c r="E302" s="246" t="s">
        <v>1868</v>
      </c>
      <c r="F302" s="246" t="s">
        <v>405</v>
      </c>
      <c r="G302" s="246" t="s">
        <v>411</v>
      </c>
      <c r="H302" s="246" t="s">
        <v>406</v>
      </c>
      <c r="I302" s="18">
        <v>10010000</v>
      </c>
      <c r="J302" s="248">
        <v>44447</v>
      </c>
      <c r="K302" s="246"/>
      <c r="L302" s="248">
        <v>44517</v>
      </c>
      <c r="M302" s="248">
        <v>44523</v>
      </c>
      <c r="N302" s="246"/>
      <c r="O302" s="246" t="s">
        <v>620</v>
      </c>
      <c r="P302" s="246"/>
      <c r="Q302" s="246"/>
      <c r="R302" s="246"/>
      <c r="S302" s="246"/>
      <c r="T302" s="246"/>
      <c r="U302" s="246"/>
      <c r="V302" s="246"/>
      <c r="W302" s="246"/>
      <c r="X302" s="253" t="s">
        <v>2075</v>
      </c>
      <c r="Y302" s="244"/>
      <c r="Z302" s="244" t="s">
        <v>2145</v>
      </c>
      <c r="AA302" s="258"/>
      <c r="AB302" s="245"/>
    </row>
    <row r="303" spans="1:31" s="250" customFormat="1">
      <c r="A303" s="244">
        <v>299</v>
      </c>
      <c r="B303" s="245" t="s">
        <v>407</v>
      </c>
      <c r="C303" s="246" t="s">
        <v>730</v>
      </c>
      <c r="D303" s="246" t="s">
        <v>845</v>
      </c>
      <c r="E303" s="246" t="s">
        <v>1869</v>
      </c>
      <c r="F303" s="246" t="s">
        <v>405</v>
      </c>
      <c r="G303" s="246" t="s">
        <v>411</v>
      </c>
      <c r="H303" s="246" t="s">
        <v>406</v>
      </c>
      <c r="I303" s="18">
        <v>5060000</v>
      </c>
      <c r="J303" s="248">
        <v>44447</v>
      </c>
      <c r="K303" s="246"/>
      <c r="L303" s="248">
        <v>44517</v>
      </c>
      <c r="M303" s="248">
        <v>44523</v>
      </c>
      <c r="N303" s="246"/>
      <c r="O303" s="246" t="s">
        <v>620</v>
      </c>
      <c r="P303" s="246"/>
      <c r="Q303" s="246"/>
      <c r="R303" s="246"/>
      <c r="S303" s="246"/>
      <c r="T303" s="246"/>
      <c r="U303" s="246"/>
      <c r="V303" s="246"/>
      <c r="W303" s="246"/>
      <c r="X303" s="253" t="s">
        <v>2074</v>
      </c>
      <c r="Y303" s="244"/>
      <c r="Z303" s="244" t="s">
        <v>2145</v>
      </c>
      <c r="AA303" s="255"/>
      <c r="AB303" s="245"/>
    </row>
    <row r="304" spans="1:31" s="250" customFormat="1">
      <c r="A304" s="244">
        <v>300</v>
      </c>
      <c r="B304" s="245" t="s">
        <v>769</v>
      </c>
      <c r="C304" s="246" t="s">
        <v>771</v>
      </c>
      <c r="D304" s="246" t="s">
        <v>409</v>
      </c>
      <c r="E304" s="246" t="s">
        <v>1870</v>
      </c>
      <c r="F304" s="246" t="s">
        <v>519</v>
      </c>
      <c r="G304" s="246" t="s">
        <v>411</v>
      </c>
      <c r="H304" s="246" t="s">
        <v>406</v>
      </c>
      <c r="I304" s="18">
        <v>19228000</v>
      </c>
      <c r="J304" s="248">
        <v>44445</v>
      </c>
      <c r="K304" s="246"/>
      <c r="L304" s="248">
        <v>44489</v>
      </c>
      <c r="M304" s="248">
        <v>44495</v>
      </c>
      <c r="N304" s="246"/>
      <c r="O304" s="246" t="s">
        <v>742</v>
      </c>
      <c r="P304" s="246"/>
      <c r="Q304" s="246"/>
      <c r="R304" s="246"/>
      <c r="S304" s="246"/>
      <c r="T304" s="246"/>
      <c r="U304" s="246"/>
      <c r="V304" s="246"/>
      <c r="W304" s="246"/>
      <c r="X304" s="244" t="s">
        <v>2146</v>
      </c>
      <c r="Y304" s="244"/>
      <c r="Z304" s="246" t="s">
        <v>2578</v>
      </c>
      <c r="AA304" s="255" t="s">
        <v>2148</v>
      </c>
      <c r="AB304" s="245"/>
    </row>
    <row r="305" spans="1:31" s="250" customFormat="1">
      <c r="A305" s="244">
        <v>301</v>
      </c>
      <c r="B305" s="245" t="s">
        <v>407</v>
      </c>
      <c r="C305" s="246" t="s">
        <v>1851</v>
      </c>
      <c r="D305" s="246" t="s">
        <v>409</v>
      </c>
      <c r="E305" s="246" t="s">
        <v>1871</v>
      </c>
      <c r="F305" s="246" t="s">
        <v>405</v>
      </c>
      <c r="G305" s="246" t="s">
        <v>411</v>
      </c>
      <c r="H305" s="246" t="s">
        <v>406</v>
      </c>
      <c r="I305" s="18">
        <v>12181400</v>
      </c>
      <c r="J305" s="248">
        <v>44449</v>
      </c>
      <c r="K305" s="246"/>
      <c r="L305" s="248">
        <v>44498</v>
      </c>
      <c r="M305" s="248">
        <v>44504</v>
      </c>
      <c r="N305" s="246"/>
      <c r="O305" s="246" t="s">
        <v>613</v>
      </c>
      <c r="P305" s="246"/>
      <c r="Q305" s="246"/>
      <c r="R305" s="246"/>
      <c r="S305" s="246"/>
      <c r="T305" s="246"/>
      <c r="U305" s="246"/>
      <c r="V305" s="246"/>
      <c r="W305" s="246"/>
      <c r="X305" s="244" t="s">
        <v>2464</v>
      </c>
      <c r="Y305" s="244"/>
      <c r="Z305" s="246" t="s">
        <v>1277</v>
      </c>
      <c r="AA305" s="246"/>
      <c r="AB305" s="245" t="s">
        <v>2535</v>
      </c>
      <c r="AE305" s="294" t="s">
        <v>2792</v>
      </c>
    </row>
    <row r="306" spans="1:31" s="250" customFormat="1">
      <c r="A306" s="244">
        <v>302</v>
      </c>
      <c r="B306" s="245" t="s">
        <v>407</v>
      </c>
      <c r="C306" s="246" t="s">
        <v>934</v>
      </c>
      <c r="D306" s="246" t="s">
        <v>409</v>
      </c>
      <c r="E306" s="246" t="s">
        <v>1872</v>
      </c>
      <c r="F306" s="246" t="s">
        <v>1884</v>
      </c>
      <c r="G306" s="246" t="s">
        <v>411</v>
      </c>
      <c r="H306" s="246" t="s">
        <v>406</v>
      </c>
      <c r="I306" s="18">
        <v>23177000</v>
      </c>
      <c r="J306" s="248">
        <v>44449</v>
      </c>
      <c r="K306" s="246"/>
      <c r="L306" s="248">
        <v>44474</v>
      </c>
      <c r="M306" s="248">
        <v>44476</v>
      </c>
      <c r="N306" s="246"/>
      <c r="O306" s="246" t="s">
        <v>547</v>
      </c>
      <c r="P306" s="246"/>
      <c r="Q306" s="246"/>
      <c r="R306" s="246"/>
      <c r="S306" s="246"/>
      <c r="T306" s="246"/>
      <c r="U306" s="246"/>
      <c r="V306" s="246"/>
      <c r="W306" s="246"/>
      <c r="X306" s="253" t="s">
        <v>2092</v>
      </c>
      <c r="Y306" s="244"/>
      <c r="Z306" s="246" t="s">
        <v>2145</v>
      </c>
      <c r="AA306" s="246"/>
      <c r="AB306" s="245"/>
      <c r="AC306" s="246"/>
    </row>
    <row r="307" spans="1:31" s="250" customFormat="1">
      <c r="A307" s="244">
        <v>303</v>
      </c>
      <c r="B307" s="245" t="s">
        <v>1866</v>
      </c>
      <c r="C307" s="246" t="s">
        <v>1867</v>
      </c>
      <c r="D307" s="246" t="s">
        <v>409</v>
      </c>
      <c r="E307" s="246" t="s">
        <v>1873</v>
      </c>
      <c r="F307" s="246" t="s">
        <v>519</v>
      </c>
      <c r="G307" s="246" t="s">
        <v>411</v>
      </c>
      <c r="H307" s="246" t="s">
        <v>406</v>
      </c>
      <c r="I307" s="18">
        <v>4500000</v>
      </c>
      <c r="J307" s="248">
        <v>44452</v>
      </c>
      <c r="K307" s="248">
        <v>44455</v>
      </c>
      <c r="L307" s="248">
        <v>44466</v>
      </c>
      <c r="M307" s="248">
        <v>44488</v>
      </c>
      <c r="N307" s="246"/>
      <c r="O307" s="246" t="s">
        <v>1903</v>
      </c>
      <c r="P307" s="246"/>
      <c r="Q307" s="246"/>
      <c r="R307" s="246"/>
      <c r="S307" s="246"/>
      <c r="T307" s="246"/>
      <c r="U307" s="246"/>
      <c r="V307" s="246"/>
      <c r="W307" s="246"/>
      <c r="X307" s="244" t="s">
        <v>2084</v>
      </c>
      <c r="Y307" s="244"/>
      <c r="Z307" s="246" t="s">
        <v>2147</v>
      </c>
      <c r="AA307" s="246"/>
      <c r="AB307" s="245"/>
      <c r="AC307" s="246"/>
    </row>
    <row r="308" spans="1:31" s="250" customFormat="1">
      <c r="A308" s="244">
        <v>304</v>
      </c>
      <c r="B308" s="245" t="s">
        <v>550</v>
      </c>
      <c r="C308" s="246" t="s">
        <v>585</v>
      </c>
      <c r="D308" s="246" t="s">
        <v>410</v>
      </c>
      <c r="E308" s="246" t="s">
        <v>1874</v>
      </c>
      <c r="F308" s="246" t="s">
        <v>405</v>
      </c>
      <c r="G308" s="246" t="s">
        <v>411</v>
      </c>
      <c r="H308" s="246" t="s">
        <v>406</v>
      </c>
      <c r="I308" s="18">
        <v>14696000</v>
      </c>
      <c r="J308" s="248">
        <v>44449</v>
      </c>
      <c r="K308" s="248">
        <v>44491</v>
      </c>
      <c r="L308" s="248">
        <v>44491</v>
      </c>
      <c r="M308" s="248">
        <v>44494</v>
      </c>
      <c r="N308" s="246"/>
      <c r="O308" s="246" t="s">
        <v>1875</v>
      </c>
      <c r="P308" s="246"/>
      <c r="Q308" s="246"/>
      <c r="R308" s="246"/>
      <c r="S308" s="246"/>
      <c r="T308" s="246"/>
      <c r="U308" s="246"/>
      <c r="V308" s="246"/>
      <c r="W308" s="246"/>
      <c r="X308" s="253" t="s">
        <v>2056</v>
      </c>
      <c r="Y308" s="244"/>
      <c r="Z308" s="244" t="s">
        <v>2145</v>
      </c>
      <c r="AA308" s="246"/>
      <c r="AB308" s="245"/>
    </row>
    <row r="309" spans="1:31" s="250" customFormat="1">
      <c r="A309" s="244">
        <v>305</v>
      </c>
      <c r="B309" s="255" t="s">
        <v>565</v>
      </c>
      <c r="C309" s="249" t="s">
        <v>570</v>
      </c>
      <c r="D309" s="249" t="s">
        <v>1388</v>
      </c>
      <c r="E309" s="249" t="s">
        <v>2018</v>
      </c>
      <c r="F309" s="249" t="s">
        <v>405</v>
      </c>
      <c r="G309" s="249" t="s">
        <v>411</v>
      </c>
      <c r="H309" s="249" t="s">
        <v>406</v>
      </c>
      <c r="I309" s="302">
        <v>4840000</v>
      </c>
      <c r="J309" s="248">
        <v>44449</v>
      </c>
      <c r="K309" s="248">
        <v>44500</v>
      </c>
      <c r="L309" s="248">
        <v>44488</v>
      </c>
      <c r="M309" s="248">
        <v>44490</v>
      </c>
      <c r="N309" s="246"/>
      <c r="O309" s="246" t="s">
        <v>620</v>
      </c>
      <c r="P309" s="246"/>
      <c r="Q309" s="246"/>
      <c r="R309" s="246"/>
      <c r="S309" s="246"/>
      <c r="T309" s="246"/>
      <c r="U309" s="246"/>
      <c r="V309" s="246"/>
      <c r="W309" s="246"/>
      <c r="X309" s="253" t="s">
        <v>2055</v>
      </c>
      <c r="Y309" s="244"/>
      <c r="Z309" s="244" t="s">
        <v>2145</v>
      </c>
      <c r="AA309" s="246"/>
      <c r="AB309" s="245"/>
    </row>
    <row r="310" spans="1:31" s="250" customFormat="1">
      <c r="A310" s="244">
        <v>306</v>
      </c>
      <c r="B310" s="245" t="s">
        <v>628</v>
      </c>
      <c r="C310" s="246" t="s">
        <v>570</v>
      </c>
      <c r="D310" s="246" t="s">
        <v>845</v>
      </c>
      <c r="E310" s="246" t="s">
        <v>1876</v>
      </c>
      <c r="F310" s="246" t="s">
        <v>405</v>
      </c>
      <c r="G310" s="246" t="s">
        <v>411</v>
      </c>
      <c r="H310" s="246" t="s">
        <v>406</v>
      </c>
      <c r="I310" s="18">
        <v>9680000</v>
      </c>
      <c r="J310" s="248">
        <v>44453</v>
      </c>
      <c r="K310" s="248">
        <v>44561</v>
      </c>
      <c r="L310" s="248">
        <v>44502</v>
      </c>
      <c r="M310" s="248">
        <v>44512</v>
      </c>
      <c r="N310" s="246"/>
      <c r="O310" s="246" t="s">
        <v>846</v>
      </c>
      <c r="P310" s="246"/>
      <c r="Q310" s="246"/>
      <c r="R310" s="246"/>
      <c r="S310" s="246"/>
      <c r="T310" s="246"/>
      <c r="U310" s="246"/>
      <c r="V310" s="246"/>
      <c r="W310" s="246"/>
      <c r="X310" s="253" t="s">
        <v>2109</v>
      </c>
      <c r="Y310" s="244"/>
      <c r="Z310" s="244" t="s">
        <v>2145</v>
      </c>
      <c r="AA310" s="246"/>
      <c r="AB310" s="245"/>
    </row>
    <row r="311" spans="1:31" s="250" customFormat="1">
      <c r="A311" s="244">
        <v>307</v>
      </c>
      <c r="B311" s="245" t="s">
        <v>628</v>
      </c>
      <c r="C311" s="246" t="s">
        <v>570</v>
      </c>
      <c r="D311" s="246" t="s">
        <v>845</v>
      </c>
      <c r="E311" s="246" t="s">
        <v>1877</v>
      </c>
      <c r="F311" s="246" t="s">
        <v>405</v>
      </c>
      <c r="G311" s="246" t="s">
        <v>411</v>
      </c>
      <c r="H311" s="246" t="s">
        <v>406</v>
      </c>
      <c r="I311" s="18">
        <v>1100000</v>
      </c>
      <c r="J311" s="248">
        <v>44453</v>
      </c>
      <c r="K311" s="248">
        <v>44482</v>
      </c>
      <c r="L311" s="248">
        <v>44502</v>
      </c>
      <c r="M311" s="248">
        <v>44512</v>
      </c>
      <c r="N311" s="246"/>
      <c r="O311" s="246" t="s">
        <v>742</v>
      </c>
      <c r="P311" s="246"/>
      <c r="Q311" s="246"/>
      <c r="R311" s="246"/>
      <c r="S311" s="246"/>
      <c r="T311" s="246"/>
      <c r="U311" s="246"/>
      <c r="V311" s="246"/>
      <c r="W311" s="246"/>
      <c r="X311" s="253" t="s">
        <v>2073</v>
      </c>
      <c r="Y311" s="244"/>
      <c r="Z311" s="244" t="s">
        <v>2145</v>
      </c>
      <c r="AA311" s="246"/>
      <c r="AB311" s="245"/>
    </row>
    <row r="312" spans="1:31" s="250" customFormat="1">
      <c r="A312" s="244">
        <v>308</v>
      </c>
      <c r="B312" s="245" t="s">
        <v>1880</v>
      </c>
      <c r="C312" s="246" t="s">
        <v>1881</v>
      </c>
      <c r="D312" s="246" t="s">
        <v>1882</v>
      </c>
      <c r="E312" s="246" t="s">
        <v>1883</v>
      </c>
      <c r="F312" s="246" t="s">
        <v>1884</v>
      </c>
      <c r="G312" s="246" t="s">
        <v>411</v>
      </c>
      <c r="H312" s="246" t="s">
        <v>406</v>
      </c>
      <c r="I312" s="18">
        <v>35729312</v>
      </c>
      <c r="J312" s="248">
        <v>44452</v>
      </c>
      <c r="K312" s="247" t="s">
        <v>411</v>
      </c>
      <c r="L312" s="248">
        <v>44452</v>
      </c>
      <c r="M312" s="246" t="s">
        <v>1984</v>
      </c>
      <c r="N312" s="246"/>
      <c r="O312" s="246" t="s">
        <v>1885</v>
      </c>
      <c r="P312" s="246"/>
      <c r="Q312" s="246"/>
      <c r="R312" s="246"/>
      <c r="S312" s="246"/>
      <c r="T312" s="246"/>
      <c r="U312" s="246"/>
      <c r="V312" s="246"/>
      <c r="W312" s="246"/>
      <c r="X312" s="253" t="s">
        <v>2511</v>
      </c>
      <c r="Y312" s="244"/>
      <c r="Z312" s="244" t="s">
        <v>2573</v>
      </c>
      <c r="AA312" s="255"/>
      <c r="AB312" s="245"/>
    </row>
    <row r="313" spans="1:31" s="250" customFormat="1">
      <c r="A313" s="244">
        <v>309</v>
      </c>
      <c r="B313" s="245" t="s">
        <v>1887</v>
      </c>
      <c r="C313" s="246"/>
      <c r="D313" s="246"/>
      <c r="E313" s="246" t="s">
        <v>1889</v>
      </c>
      <c r="F313" s="246" t="s">
        <v>405</v>
      </c>
      <c r="G313" s="246" t="s">
        <v>411</v>
      </c>
      <c r="H313" s="246" t="s">
        <v>406</v>
      </c>
      <c r="I313" s="18">
        <v>74360000</v>
      </c>
      <c r="J313" s="246"/>
      <c r="K313" s="248">
        <v>44560</v>
      </c>
      <c r="L313" s="246" t="s">
        <v>2888</v>
      </c>
      <c r="M313" s="246" t="s">
        <v>2838</v>
      </c>
      <c r="N313" s="246"/>
      <c r="O313" s="246" t="s">
        <v>1888</v>
      </c>
      <c r="P313" s="246"/>
      <c r="Q313" s="246"/>
      <c r="R313" s="246"/>
      <c r="S313" s="246"/>
      <c r="T313" s="246"/>
      <c r="U313" s="246"/>
      <c r="V313" s="246"/>
      <c r="W313" s="246"/>
      <c r="X313" s="254" t="s">
        <v>2742</v>
      </c>
      <c r="Y313" s="244"/>
      <c r="Z313" s="246" t="s">
        <v>2833</v>
      </c>
      <c r="AA313" s="246"/>
      <c r="AB313" s="245"/>
    </row>
    <row r="314" spans="1:31" s="250" customFormat="1">
      <c r="A314" s="244">
        <v>310</v>
      </c>
      <c r="B314" s="245" t="s">
        <v>1887</v>
      </c>
      <c r="C314" s="246"/>
      <c r="D314" s="246"/>
      <c r="E314" s="246" t="s">
        <v>1890</v>
      </c>
      <c r="F314" s="246" t="s">
        <v>405</v>
      </c>
      <c r="G314" s="246" t="s">
        <v>411</v>
      </c>
      <c r="H314" s="246" t="s">
        <v>406</v>
      </c>
      <c r="I314" s="18">
        <v>46750000</v>
      </c>
      <c r="J314" s="246"/>
      <c r="K314" s="248">
        <v>44560</v>
      </c>
      <c r="L314" s="246" t="s">
        <v>2678</v>
      </c>
      <c r="M314" s="246" t="s">
        <v>2871</v>
      </c>
      <c r="N314" s="246"/>
      <c r="O314" s="246" t="s">
        <v>1888</v>
      </c>
      <c r="P314" s="246"/>
      <c r="Q314" s="246"/>
      <c r="R314" s="246"/>
      <c r="S314" s="246"/>
      <c r="T314" s="246"/>
      <c r="U314" s="246"/>
      <c r="V314" s="246"/>
      <c r="W314" s="246"/>
      <c r="X314" s="244" t="s">
        <v>2501</v>
      </c>
      <c r="Y314" s="244"/>
      <c r="Z314" s="246" t="s">
        <v>2833</v>
      </c>
      <c r="AA314" s="246"/>
      <c r="AB314" s="245"/>
    </row>
    <row r="315" spans="1:31" s="250" customFormat="1">
      <c r="A315" s="244">
        <v>311</v>
      </c>
      <c r="B315" s="245" t="s">
        <v>1887</v>
      </c>
      <c r="C315" s="246"/>
      <c r="D315" s="246" t="s">
        <v>1908</v>
      </c>
      <c r="E315" s="246" t="s">
        <v>1892</v>
      </c>
      <c r="F315" s="246" t="s">
        <v>405</v>
      </c>
      <c r="G315" s="246" t="s">
        <v>411</v>
      </c>
      <c r="H315" s="246" t="s">
        <v>406</v>
      </c>
      <c r="I315" s="18">
        <v>50600000</v>
      </c>
      <c r="J315" s="246"/>
      <c r="K315" s="248">
        <v>44560</v>
      </c>
      <c r="L315" s="246" t="s">
        <v>2678</v>
      </c>
      <c r="M315" s="246" t="s">
        <v>2872</v>
      </c>
      <c r="N315" s="246"/>
      <c r="O315" s="246" t="s">
        <v>1888</v>
      </c>
      <c r="P315" s="246"/>
      <c r="Q315" s="246"/>
      <c r="R315" s="246"/>
      <c r="S315" s="246"/>
      <c r="T315" s="246"/>
      <c r="U315" s="246"/>
      <c r="V315" s="246"/>
      <c r="W315" s="246"/>
      <c r="X315" s="244" t="s">
        <v>2502</v>
      </c>
      <c r="Y315" s="244"/>
      <c r="Z315" s="246" t="s">
        <v>2832</v>
      </c>
      <c r="AA315" s="246"/>
      <c r="AB315" s="245"/>
    </row>
    <row r="316" spans="1:31" s="250" customFormat="1">
      <c r="A316" s="244">
        <v>312</v>
      </c>
      <c r="B316" s="245" t="s">
        <v>1887</v>
      </c>
      <c r="C316" s="246"/>
      <c r="D316" s="246" t="s">
        <v>1907</v>
      </c>
      <c r="E316" s="246" t="s">
        <v>1893</v>
      </c>
      <c r="F316" s="246" t="s">
        <v>405</v>
      </c>
      <c r="G316" s="246" t="s">
        <v>411</v>
      </c>
      <c r="H316" s="246" t="s">
        <v>406</v>
      </c>
      <c r="I316" s="18">
        <v>19140000</v>
      </c>
      <c r="J316" s="246"/>
      <c r="K316" s="248">
        <v>44560</v>
      </c>
      <c r="L316" s="246" t="s">
        <v>2678</v>
      </c>
      <c r="M316" s="246" t="s">
        <v>2873</v>
      </c>
      <c r="N316" s="246"/>
      <c r="O316" s="246" t="s">
        <v>1888</v>
      </c>
      <c r="P316" s="246"/>
      <c r="Q316" s="246"/>
      <c r="R316" s="246"/>
      <c r="S316" s="246"/>
      <c r="T316" s="246"/>
      <c r="U316" s="246"/>
      <c r="V316" s="246"/>
      <c r="W316" s="246"/>
      <c r="X316" s="244" t="s">
        <v>2515</v>
      </c>
      <c r="Y316" s="244"/>
      <c r="Z316" s="246"/>
      <c r="AA316" s="246"/>
      <c r="AB316" s="245"/>
    </row>
    <row r="317" spans="1:31" s="250" customFormat="1">
      <c r="A317" s="244">
        <v>313</v>
      </c>
      <c r="B317" s="245" t="s">
        <v>1887</v>
      </c>
      <c r="C317" s="246"/>
      <c r="D317" s="246" t="s">
        <v>817</v>
      </c>
      <c r="E317" s="246" t="s">
        <v>1894</v>
      </c>
      <c r="F317" s="246" t="s">
        <v>405</v>
      </c>
      <c r="G317" s="246" t="s">
        <v>411</v>
      </c>
      <c r="H317" s="246" t="s">
        <v>406</v>
      </c>
      <c r="I317" s="18">
        <v>13200000</v>
      </c>
      <c r="J317" s="246"/>
      <c r="K317" s="248">
        <v>44560</v>
      </c>
      <c r="L317" s="246" t="s">
        <v>2678</v>
      </c>
      <c r="M317" s="246" t="s">
        <v>2874</v>
      </c>
      <c r="N317" s="246"/>
      <c r="O317" s="246" t="s">
        <v>1888</v>
      </c>
      <c r="P317" s="246"/>
      <c r="Q317" s="246"/>
      <c r="R317" s="246"/>
      <c r="S317" s="246"/>
      <c r="T317" s="246"/>
      <c r="U317" s="246"/>
      <c r="V317" s="246"/>
      <c r="W317" s="246"/>
      <c r="X317" s="244" t="s">
        <v>2515</v>
      </c>
      <c r="Y317" s="244"/>
      <c r="Z317" s="246"/>
      <c r="AA317" s="246"/>
      <c r="AB317" s="245"/>
    </row>
    <row r="318" spans="1:31" s="250" customFormat="1" ht="15.75" customHeight="1">
      <c r="A318" s="244">
        <v>314</v>
      </c>
      <c r="B318" s="245" t="s">
        <v>1887</v>
      </c>
      <c r="C318" s="246"/>
      <c r="D318" s="246"/>
      <c r="E318" s="246" t="s">
        <v>1895</v>
      </c>
      <c r="F318" s="246" t="s">
        <v>405</v>
      </c>
      <c r="G318" s="246" t="s">
        <v>411</v>
      </c>
      <c r="H318" s="246" t="s">
        <v>406</v>
      </c>
      <c r="I318" s="18">
        <v>9900000</v>
      </c>
      <c r="J318" s="246"/>
      <c r="K318" s="248">
        <v>44560</v>
      </c>
      <c r="L318" s="246" t="s">
        <v>2678</v>
      </c>
      <c r="M318" s="246" t="s">
        <v>2873</v>
      </c>
      <c r="N318" s="246"/>
      <c r="O318" s="246" t="s">
        <v>1888</v>
      </c>
      <c r="P318" s="246"/>
      <c r="Q318" s="246"/>
      <c r="R318" s="246"/>
      <c r="S318" s="246"/>
      <c r="T318" s="246"/>
      <c r="U318" s="246"/>
      <c r="V318" s="246"/>
      <c r="W318" s="246"/>
      <c r="X318" s="244" t="s">
        <v>2515</v>
      </c>
      <c r="Y318" s="244"/>
      <c r="Z318" s="246"/>
      <c r="AA318" s="246"/>
      <c r="AB318" s="245"/>
    </row>
    <row r="319" spans="1:31" s="250" customFormat="1">
      <c r="A319" s="244">
        <v>315</v>
      </c>
      <c r="B319" s="245" t="s">
        <v>1887</v>
      </c>
      <c r="C319" s="246"/>
      <c r="D319" s="246" t="s">
        <v>1907</v>
      </c>
      <c r="E319" s="246" t="s">
        <v>1891</v>
      </c>
      <c r="F319" s="246" t="s">
        <v>405</v>
      </c>
      <c r="G319" s="246" t="s">
        <v>411</v>
      </c>
      <c r="H319" s="246" t="s">
        <v>406</v>
      </c>
      <c r="I319" s="18">
        <v>3850000</v>
      </c>
      <c r="J319" s="246"/>
      <c r="K319" s="248">
        <v>44560</v>
      </c>
      <c r="L319" s="246" t="s">
        <v>2678</v>
      </c>
      <c r="M319" s="246" t="s">
        <v>2873</v>
      </c>
      <c r="N319" s="246"/>
      <c r="O319" s="246" t="s">
        <v>1888</v>
      </c>
      <c r="P319" s="246"/>
      <c r="Q319" s="246"/>
      <c r="R319" s="246"/>
      <c r="S319" s="246"/>
      <c r="T319" s="246"/>
      <c r="U319" s="246"/>
      <c r="V319" s="246"/>
      <c r="W319" s="246"/>
      <c r="X319" s="244" t="s">
        <v>2515</v>
      </c>
      <c r="Y319" s="244"/>
      <c r="Z319" s="246"/>
      <c r="AA319" s="246"/>
      <c r="AB319" s="245"/>
    </row>
    <row r="320" spans="1:31" s="250" customFormat="1" ht="15.75" customHeight="1">
      <c r="A320" s="244">
        <v>316</v>
      </c>
      <c r="B320" s="245" t="s">
        <v>407</v>
      </c>
      <c r="C320" s="246" t="s">
        <v>1471</v>
      </c>
      <c r="D320" s="246" t="s">
        <v>1125</v>
      </c>
      <c r="E320" s="246" t="s">
        <v>1896</v>
      </c>
      <c r="F320" s="246" t="s">
        <v>405</v>
      </c>
      <c r="G320" s="246" t="s">
        <v>411</v>
      </c>
      <c r="H320" s="246" t="s">
        <v>406</v>
      </c>
      <c r="I320" s="18">
        <v>18865000</v>
      </c>
      <c r="J320" s="248">
        <v>44453</v>
      </c>
      <c r="K320" s="248">
        <v>44530</v>
      </c>
      <c r="L320" s="248">
        <v>44530</v>
      </c>
      <c r="M320" s="248">
        <v>44532</v>
      </c>
      <c r="N320" s="246"/>
      <c r="O320" s="246" t="s">
        <v>613</v>
      </c>
      <c r="P320" s="246"/>
      <c r="Q320" s="246"/>
      <c r="R320" s="246"/>
      <c r="S320" s="246"/>
      <c r="T320" s="246"/>
      <c r="U320" s="246"/>
      <c r="V320" s="246"/>
      <c r="W320" s="246"/>
      <c r="X320" s="253" t="s">
        <v>2393</v>
      </c>
      <c r="Y320" s="244"/>
      <c r="Z320" s="244" t="s">
        <v>2617</v>
      </c>
      <c r="AA320" s="246"/>
      <c r="AB320" s="245"/>
    </row>
    <row r="321" spans="1:29" s="250" customFormat="1">
      <c r="A321" s="244">
        <v>317</v>
      </c>
      <c r="B321" s="245" t="s">
        <v>1116</v>
      </c>
      <c r="C321" s="246" t="s">
        <v>1898</v>
      </c>
      <c r="D321" s="246"/>
      <c r="E321" s="246" t="s">
        <v>1897</v>
      </c>
      <c r="F321" s="246" t="s">
        <v>405</v>
      </c>
      <c r="G321" s="246" t="s">
        <v>411</v>
      </c>
      <c r="H321" s="246" t="s">
        <v>406</v>
      </c>
      <c r="I321" s="18">
        <v>3700000</v>
      </c>
      <c r="J321" s="248">
        <v>44453</v>
      </c>
      <c r="K321" s="248">
        <v>44497</v>
      </c>
      <c r="L321" s="248">
        <v>44474</v>
      </c>
      <c r="M321" s="248">
        <v>44475</v>
      </c>
      <c r="N321" s="246"/>
      <c r="O321" s="246" t="s">
        <v>790</v>
      </c>
      <c r="P321" s="246"/>
      <c r="Q321" s="246"/>
      <c r="R321" s="246"/>
      <c r="S321" s="246"/>
      <c r="T321" s="246"/>
      <c r="U321" s="246"/>
      <c r="V321" s="246"/>
      <c r="W321" s="246"/>
      <c r="X321" s="253" t="s">
        <v>2165</v>
      </c>
      <c r="Y321" s="244"/>
      <c r="Z321" s="244" t="s">
        <v>1278</v>
      </c>
      <c r="AA321" s="246"/>
      <c r="AB321" s="245"/>
    </row>
    <row r="322" spans="1:29" s="250" customFormat="1">
      <c r="A322" s="244">
        <v>318</v>
      </c>
      <c r="B322" s="245" t="s">
        <v>416</v>
      </c>
      <c r="C322" s="246" t="s">
        <v>1900</v>
      </c>
      <c r="D322" s="246" t="s">
        <v>845</v>
      </c>
      <c r="E322" s="246" t="s">
        <v>1899</v>
      </c>
      <c r="F322" s="246" t="s">
        <v>405</v>
      </c>
      <c r="G322" s="246" t="s">
        <v>411</v>
      </c>
      <c r="H322" s="246" t="s">
        <v>406</v>
      </c>
      <c r="I322" s="18">
        <v>21890000</v>
      </c>
      <c r="J322" s="248">
        <v>44454</v>
      </c>
      <c r="K322" s="248">
        <v>44515</v>
      </c>
      <c r="L322" s="248">
        <v>44497</v>
      </c>
      <c r="M322" s="248">
        <v>44498</v>
      </c>
      <c r="N322" s="246"/>
      <c r="O322" s="246" t="s">
        <v>620</v>
      </c>
      <c r="P322" s="246"/>
      <c r="Q322" s="246"/>
      <c r="R322" s="246"/>
      <c r="S322" s="246"/>
      <c r="T322" s="246"/>
      <c r="U322" s="246"/>
      <c r="V322" s="246"/>
      <c r="W322" s="246"/>
      <c r="X322" s="253" t="s">
        <v>2054</v>
      </c>
      <c r="Y322" s="244"/>
      <c r="Z322" s="244" t="s">
        <v>2577</v>
      </c>
      <c r="AA322" s="255"/>
      <c r="AB322" s="245" t="s">
        <v>2549</v>
      </c>
    </row>
    <row r="323" spans="1:29" s="250" customFormat="1">
      <c r="A323" s="244">
        <v>319</v>
      </c>
      <c r="B323" s="245" t="s">
        <v>518</v>
      </c>
      <c r="C323" s="246" t="s">
        <v>1904</v>
      </c>
      <c r="D323" s="246" t="s">
        <v>1905</v>
      </c>
      <c r="E323" s="246" t="s">
        <v>1901</v>
      </c>
      <c r="F323" s="246" t="s">
        <v>405</v>
      </c>
      <c r="G323" s="246" t="s">
        <v>411</v>
      </c>
      <c r="H323" s="246" t="s">
        <v>406</v>
      </c>
      <c r="I323" s="18">
        <v>8690000</v>
      </c>
      <c r="J323" s="248">
        <v>44454</v>
      </c>
      <c r="K323" s="248">
        <v>44540</v>
      </c>
      <c r="L323" s="248">
        <v>44540</v>
      </c>
      <c r="M323" s="248">
        <v>44544</v>
      </c>
      <c r="N323" s="246"/>
      <c r="O323" s="246" t="s">
        <v>1906</v>
      </c>
      <c r="P323" s="246"/>
      <c r="Q323" s="246"/>
      <c r="R323" s="246"/>
      <c r="S323" s="246"/>
      <c r="T323" s="246"/>
      <c r="U323" s="246"/>
      <c r="V323" s="246"/>
      <c r="W323" s="246"/>
      <c r="X323" s="253" t="s">
        <v>2341</v>
      </c>
      <c r="Y323" s="244"/>
      <c r="Z323" s="244" t="s">
        <v>2743</v>
      </c>
      <c r="AA323" s="246"/>
      <c r="AB323" s="245"/>
    </row>
    <row r="324" spans="1:29" s="250" customFormat="1">
      <c r="A324" s="244">
        <v>320</v>
      </c>
      <c r="B324" s="245" t="s">
        <v>1860</v>
      </c>
      <c r="C324" s="246" t="s">
        <v>1861</v>
      </c>
      <c r="D324" s="246" t="s">
        <v>409</v>
      </c>
      <c r="E324" s="246" t="s">
        <v>2436</v>
      </c>
      <c r="F324" s="246" t="s">
        <v>405</v>
      </c>
      <c r="G324" s="246" t="s">
        <v>411</v>
      </c>
      <c r="H324" s="246" t="s">
        <v>406</v>
      </c>
      <c r="I324" s="18">
        <v>5368000</v>
      </c>
      <c r="J324" s="248">
        <v>44454</v>
      </c>
      <c r="K324" s="248">
        <v>44554</v>
      </c>
      <c r="L324" s="248">
        <v>44550</v>
      </c>
      <c r="M324" s="248">
        <v>44550</v>
      </c>
      <c r="N324" s="246"/>
      <c r="O324" s="246" t="s">
        <v>1888</v>
      </c>
      <c r="P324" s="246"/>
      <c r="Q324" s="246"/>
      <c r="R324" s="246"/>
      <c r="S324" s="246"/>
      <c r="T324" s="246"/>
      <c r="U324" s="246"/>
      <c r="V324" s="246"/>
      <c r="W324" s="246"/>
      <c r="X324" s="253" t="s">
        <v>2447</v>
      </c>
      <c r="Y324" s="244"/>
      <c r="Z324" s="244" t="s">
        <v>2661</v>
      </c>
      <c r="AA324" s="246"/>
      <c r="AB324" s="245"/>
    </row>
    <row r="325" spans="1:29" s="250" customFormat="1">
      <c r="A325" s="244">
        <v>321</v>
      </c>
      <c r="B325" s="245" t="s">
        <v>1910</v>
      </c>
      <c r="C325" s="246"/>
      <c r="D325" s="246" t="s">
        <v>1913</v>
      </c>
      <c r="E325" s="246" t="s">
        <v>1911</v>
      </c>
      <c r="F325" s="246" t="s">
        <v>1912</v>
      </c>
      <c r="G325" s="246" t="s">
        <v>411</v>
      </c>
      <c r="H325" s="246" t="s">
        <v>406</v>
      </c>
      <c r="I325" s="18">
        <v>235429027</v>
      </c>
      <c r="J325" s="248">
        <v>44454</v>
      </c>
      <c r="K325" s="247" t="s">
        <v>1914</v>
      </c>
      <c r="L325" s="246" t="s">
        <v>1924</v>
      </c>
      <c r="M325" s="248">
        <v>44456</v>
      </c>
      <c r="N325" s="246"/>
      <c r="O325" s="246" t="s">
        <v>1915</v>
      </c>
      <c r="P325" s="246"/>
      <c r="Q325" s="246"/>
      <c r="R325" s="246"/>
      <c r="S325" s="246"/>
      <c r="T325" s="246"/>
      <c r="U325" s="246"/>
      <c r="V325" s="246"/>
      <c r="W325" s="246"/>
      <c r="X325" s="244" t="s">
        <v>2149</v>
      </c>
      <c r="Y325" s="244"/>
      <c r="Z325" s="246" t="s">
        <v>1554</v>
      </c>
      <c r="AA325" s="246"/>
      <c r="AB325" s="245"/>
    </row>
    <row r="326" spans="1:29" s="250" customFormat="1">
      <c r="A326" s="244">
        <v>322</v>
      </c>
      <c r="B326" s="245" t="s">
        <v>1916</v>
      </c>
      <c r="C326" s="246"/>
      <c r="D326" s="246" t="s">
        <v>417</v>
      </c>
      <c r="E326" s="246" t="s">
        <v>1917</v>
      </c>
      <c r="F326" s="246" t="s">
        <v>1912</v>
      </c>
      <c r="G326" s="246" t="s">
        <v>411</v>
      </c>
      <c r="H326" s="246" t="s">
        <v>1918</v>
      </c>
      <c r="I326" s="26" t="s">
        <v>1919</v>
      </c>
      <c r="J326" s="248">
        <v>44455</v>
      </c>
      <c r="K326" s="248">
        <v>44561</v>
      </c>
      <c r="L326" s="246" t="s">
        <v>2397</v>
      </c>
      <c r="M326" s="246" t="s">
        <v>2397</v>
      </c>
      <c r="N326" s="246"/>
      <c r="O326" s="246" t="s">
        <v>1923</v>
      </c>
      <c r="P326" s="246"/>
      <c r="Q326" s="246"/>
      <c r="R326" s="246"/>
      <c r="S326" s="246"/>
      <c r="T326" s="246"/>
      <c r="U326" s="246"/>
      <c r="V326" s="246"/>
      <c r="W326" s="246"/>
      <c r="X326" s="244" t="s">
        <v>2395</v>
      </c>
      <c r="Y326" s="244"/>
      <c r="Z326" s="246"/>
      <c r="AA326" s="246"/>
      <c r="AB326" s="245"/>
    </row>
    <row r="327" spans="1:29" s="250" customFormat="1">
      <c r="A327" s="244">
        <v>323</v>
      </c>
      <c r="B327" s="245" t="s">
        <v>1920</v>
      </c>
      <c r="C327" s="246" t="s">
        <v>634</v>
      </c>
      <c r="D327" s="246"/>
      <c r="E327" s="246" t="s">
        <v>1921</v>
      </c>
      <c r="F327" s="246" t="s">
        <v>1912</v>
      </c>
      <c r="G327" s="246" t="s">
        <v>411</v>
      </c>
      <c r="H327" s="246" t="s">
        <v>1922</v>
      </c>
      <c r="I327" s="18">
        <v>20350000</v>
      </c>
      <c r="J327" s="248">
        <v>44455</v>
      </c>
      <c r="K327" s="248">
        <v>44539</v>
      </c>
      <c r="L327" s="248" t="s">
        <v>2043</v>
      </c>
      <c r="M327" s="248" t="s">
        <v>2104</v>
      </c>
      <c r="N327" s="246"/>
      <c r="O327" s="246" t="s">
        <v>742</v>
      </c>
      <c r="P327" s="246"/>
      <c r="Q327" s="246"/>
      <c r="R327" s="246"/>
      <c r="S327" s="246"/>
      <c r="T327" s="246"/>
      <c r="U327" s="246"/>
      <c r="V327" s="246"/>
      <c r="W327" s="246"/>
      <c r="X327" s="253" t="s">
        <v>2110</v>
      </c>
      <c r="Y327" s="244"/>
      <c r="Z327" s="244" t="s">
        <v>1278</v>
      </c>
      <c r="AA327" s="255"/>
      <c r="AB327" s="245"/>
    </row>
    <row r="328" spans="1:29" s="250" customFormat="1">
      <c r="A328" s="244">
        <v>324</v>
      </c>
      <c r="B328" s="245" t="s">
        <v>1933</v>
      </c>
      <c r="C328" s="246" t="s">
        <v>1935</v>
      </c>
      <c r="D328" s="246" t="s">
        <v>1051</v>
      </c>
      <c r="E328" s="246" t="s">
        <v>1936</v>
      </c>
      <c r="F328" s="246" t="s">
        <v>405</v>
      </c>
      <c r="G328" s="246" t="s">
        <v>411</v>
      </c>
      <c r="H328" s="246" t="s">
        <v>406</v>
      </c>
      <c r="I328" s="18">
        <v>13200000</v>
      </c>
      <c r="J328" s="248">
        <v>44456</v>
      </c>
      <c r="K328" s="248">
        <v>44607</v>
      </c>
      <c r="L328" s="248" t="s">
        <v>2664</v>
      </c>
      <c r="M328" s="248" t="s">
        <v>2665</v>
      </c>
      <c r="N328" s="246"/>
      <c r="O328" s="246" t="s">
        <v>545</v>
      </c>
      <c r="P328" s="246"/>
      <c r="Q328" s="246"/>
      <c r="R328" s="246"/>
      <c r="S328" s="246"/>
      <c r="T328" s="246"/>
      <c r="U328" s="246"/>
      <c r="V328" s="246"/>
      <c r="W328" s="246"/>
      <c r="X328" s="244" t="s">
        <v>2503</v>
      </c>
      <c r="Y328" s="251">
        <v>66184</v>
      </c>
      <c r="Z328" s="246"/>
      <c r="AA328" s="246"/>
      <c r="AB328" s="245"/>
    </row>
    <row r="329" spans="1:29" s="250" customFormat="1">
      <c r="A329" s="244">
        <v>325</v>
      </c>
      <c r="B329" s="245" t="s">
        <v>871</v>
      </c>
      <c r="C329" s="246" t="s">
        <v>658</v>
      </c>
      <c r="D329" s="246" t="s">
        <v>414</v>
      </c>
      <c r="E329" s="246" t="s">
        <v>659</v>
      </c>
      <c r="F329" s="246" t="s">
        <v>405</v>
      </c>
      <c r="G329" s="246" t="s">
        <v>411</v>
      </c>
      <c r="H329" s="246" t="s">
        <v>406</v>
      </c>
      <c r="I329" s="18">
        <v>2310000</v>
      </c>
      <c r="J329" s="248">
        <v>44456</v>
      </c>
      <c r="K329" s="246"/>
      <c r="L329" s="248">
        <v>44477</v>
      </c>
      <c r="M329" s="248">
        <v>44483</v>
      </c>
      <c r="N329" s="246"/>
      <c r="O329" s="246" t="s">
        <v>742</v>
      </c>
      <c r="P329" s="246"/>
      <c r="Q329" s="246"/>
      <c r="R329" s="246"/>
      <c r="S329" s="246"/>
      <c r="T329" s="246"/>
      <c r="U329" s="246"/>
      <c r="V329" s="246"/>
      <c r="W329" s="246"/>
      <c r="X329" s="253" t="s">
        <v>1995</v>
      </c>
      <c r="Y329" s="244"/>
      <c r="Z329" s="244" t="s">
        <v>1278</v>
      </c>
      <c r="AA329" s="246"/>
      <c r="AB329" s="245"/>
    </row>
    <row r="330" spans="1:29" s="250" customFormat="1">
      <c r="A330" s="244">
        <v>326</v>
      </c>
      <c r="B330" s="245" t="s">
        <v>416</v>
      </c>
      <c r="C330" s="246" t="s">
        <v>1934</v>
      </c>
      <c r="D330" s="246" t="s">
        <v>404</v>
      </c>
      <c r="E330" s="246" t="s">
        <v>1937</v>
      </c>
      <c r="F330" s="246" t="s">
        <v>405</v>
      </c>
      <c r="G330" s="246" t="s">
        <v>411</v>
      </c>
      <c r="H330" s="246" t="s">
        <v>745</v>
      </c>
      <c r="I330" s="26" t="s">
        <v>1938</v>
      </c>
      <c r="J330" s="248">
        <v>44462</v>
      </c>
      <c r="K330" s="248">
        <v>44561</v>
      </c>
      <c r="L330" s="246" t="s">
        <v>2397</v>
      </c>
      <c r="M330" s="246" t="s">
        <v>2397</v>
      </c>
      <c r="N330" s="246"/>
      <c r="O330" s="246" t="s">
        <v>846</v>
      </c>
      <c r="P330" s="246"/>
      <c r="Q330" s="246"/>
      <c r="R330" s="246"/>
      <c r="S330" s="246"/>
      <c r="T330" s="246"/>
      <c r="U330" s="246"/>
      <c r="V330" s="246"/>
      <c r="W330" s="246"/>
      <c r="X330" s="244" t="s">
        <v>745</v>
      </c>
      <c r="Y330" s="244"/>
      <c r="Z330" s="246" t="s">
        <v>2147</v>
      </c>
      <c r="AA330" s="246"/>
      <c r="AB330" s="245"/>
    </row>
    <row r="331" spans="1:29" s="250" customFormat="1">
      <c r="A331" s="244">
        <v>327</v>
      </c>
      <c r="B331" s="245" t="s">
        <v>407</v>
      </c>
      <c r="C331" s="246" t="s">
        <v>730</v>
      </c>
      <c r="D331" s="246" t="s">
        <v>417</v>
      </c>
      <c r="E331" s="246" t="s">
        <v>1939</v>
      </c>
      <c r="F331" s="246" t="s">
        <v>405</v>
      </c>
      <c r="G331" s="246" t="s">
        <v>411</v>
      </c>
      <c r="H331" s="246" t="s">
        <v>406</v>
      </c>
      <c r="I331" s="18">
        <v>7459760</v>
      </c>
      <c r="J331" s="248">
        <v>44456</v>
      </c>
      <c r="K331" s="248">
        <v>44561</v>
      </c>
      <c r="L331" s="248">
        <v>44524</v>
      </c>
      <c r="M331" s="248">
        <v>44529</v>
      </c>
      <c r="N331" s="246"/>
      <c r="O331" s="246" t="s">
        <v>620</v>
      </c>
      <c r="P331" s="246"/>
      <c r="Q331" s="246"/>
      <c r="R331" s="246"/>
      <c r="S331" s="246"/>
      <c r="T331" s="246"/>
      <c r="U331" s="246"/>
      <c r="V331" s="246"/>
      <c r="W331" s="246"/>
      <c r="X331" s="253" t="s">
        <v>2170</v>
      </c>
      <c r="Y331" s="244"/>
      <c r="Z331" s="244" t="s">
        <v>2576</v>
      </c>
      <c r="AA331" s="246"/>
      <c r="AB331" s="245"/>
    </row>
    <row r="332" spans="1:29" s="250" customFormat="1">
      <c r="A332" s="244">
        <v>328</v>
      </c>
      <c r="B332" s="245" t="s">
        <v>416</v>
      </c>
      <c r="C332" s="246" t="s">
        <v>1946</v>
      </c>
      <c r="D332" s="246" t="s">
        <v>414</v>
      </c>
      <c r="E332" s="246" t="s">
        <v>1947</v>
      </c>
      <c r="F332" s="246" t="s">
        <v>1948</v>
      </c>
      <c r="G332" s="246" t="s">
        <v>1949</v>
      </c>
      <c r="H332" s="246" t="s">
        <v>406</v>
      </c>
      <c r="I332" s="18">
        <v>1540000</v>
      </c>
      <c r="J332" s="248">
        <v>44463</v>
      </c>
      <c r="K332" s="246" t="s">
        <v>1949</v>
      </c>
      <c r="L332" s="248">
        <v>44466</v>
      </c>
      <c r="M332" s="248">
        <v>44469</v>
      </c>
      <c r="N332" s="246"/>
      <c r="O332" s="246" t="s">
        <v>1950</v>
      </c>
      <c r="P332" s="246"/>
      <c r="Q332" s="246"/>
      <c r="R332" s="246"/>
      <c r="S332" s="246"/>
      <c r="T332" s="246"/>
      <c r="U332" s="246"/>
      <c r="V332" s="246"/>
      <c r="W332" s="246"/>
      <c r="X332" s="253" t="s">
        <v>2178</v>
      </c>
      <c r="Y332" s="244"/>
      <c r="Z332" s="244" t="s">
        <v>2576</v>
      </c>
      <c r="AA332" s="255" t="s">
        <v>2179</v>
      </c>
      <c r="AB332" s="245" t="s">
        <v>2474</v>
      </c>
    </row>
    <row r="333" spans="1:29" s="250" customFormat="1">
      <c r="A333" s="244">
        <v>329</v>
      </c>
      <c r="B333" s="245" t="s">
        <v>1951</v>
      </c>
      <c r="C333" s="246" t="s">
        <v>1952</v>
      </c>
      <c r="D333" s="246" t="s">
        <v>1953</v>
      </c>
      <c r="E333" s="246" t="s">
        <v>2111</v>
      </c>
      <c r="F333" s="246" t="s">
        <v>1948</v>
      </c>
      <c r="G333" s="246" t="s">
        <v>1949</v>
      </c>
      <c r="H333" s="246" t="s">
        <v>1954</v>
      </c>
      <c r="I333" s="18">
        <v>6600000</v>
      </c>
      <c r="J333" s="246"/>
      <c r="K333" s="246"/>
      <c r="L333" s="248">
        <v>44462</v>
      </c>
      <c r="M333" s="248">
        <v>44474</v>
      </c>
      <c r="N333" s="246"/>
      <c r="O333" s="246" t="s">
        <v>1955</v>
      </c>
      <c r="P333" s="246"/>
      <c r="Q333" s="246"/>
      <c r="R333" s="246"/>
      <c r="S333" s="246"/>
      <c r="T333" s="246"/>
      <c r="U333" s="246"/>
      <c r="V333" s="246"/>
      <c r="W333" s="246"/>
      <c r="X333" s="253" t="s">
        <v>2150</v>
      </c>
      <c r="Y333" s="244"/>
      <c r="Z333" s="244" t="s">
        <v>1278</v>
      </c>
      <c r="AA333" s="246"/>
      <c r="AB333" s="245"/>
    </row>
    <row r="334" spans="1:29" s="250" customFormat="1">
      <c r="A334" s="244">
        <v>330</v>
      </c>
      <c r="B334" s="245" t="s">
        <v>1941</v>
      </c>
      <c r="C334" s="246" t="s">
        <v>1942</v>
      </c>
      <c r="D334" s="246" t="s">
        <v>899</v>
      </c>
      <c r="E334" s="246" t="s">
        <v>1943</v>
      </c>
      <c r="F334" s="246" t="s">
        <v>405</v>
      </c>
      <c r="G334" s="246" t="s">
        <v>526</v>
      </c>
      <c r="H334" s="246" t="s">
        <v>406</v>
      </c>
      <c r="I334" s="18">
        <v>22000000</v>
      </c>
      <c r="J334" s="248">
        <v>44466</v>
      </c>
      <c r="K334" s="246" t="s">
        <v>526</v>
      </c>
      <c r="L334" s="248">
        <v>44466</v>
      </c>
      <c r="M334" s="248">
        <v>44467</v>
      </c>
      <c r="N334" s="246"/>
      <c r="O334" s="246" t="s">
        <v>691</v>
      </c>
      <c r="P334" s="246"/>
      <c r="Q334" s="246"/>
      <c r="R334" s="246"/>
      <c r="S334" s="246"/>
      <c r="T334" s="246"/>
      <c r="U334" s="246"/>
      <c r="V334" s="246"/>
      <c r="W334" s="246"/>
      <c r="X334" s="253" t="s">
        <v>2151</v>
      </c>
      <c r="Y334" s="244"/>
      <c r="Z334" s="244" t="s">
        <v>1945</v>
      </c>
      <c r="AA334" s="246"/>
      <c r="AB334" s="245"/>
      <c r="AC334" s="246"/>
    </row>
    <row r="335" spans="1:29" s="250" customFormat="1">
      <c r="A335" s="244">
        <v>331</v>
      </c>
      <c r="B335" s="245" t="s">
        <v>1956</v>
      </c>
      <c r="C335" s="246" t="s">
        <v>1957</v>
      </c>
      <c r="D335" s="246" t="s">
        <v>1958</v>
      </c>
      <c r="E335" s="246" t="s">
        <v>2427</v>
      </c>
      <c r="F335" s="246" t="s">
        <v>1948</v>
      </c>
      <c r="G335" s="246" t="s">
        <v>1949</v>
      </c>
      <c r="H335" s="246" t="s">
        <v>1954</v>
      </c>
      <c r="I335" s="18">
        <v>24255000</v>
      </c>
      <c r="J335" s="248">
        <v>44467</v>
      </c>
      <c r="K335" s="248">
        <v>44561</v>
      </c>
      <c r="L335" s="248">
        <v>44552</v>
      </c>
      <c r="M335" s="248">
        <v>44553</v>
      </c>
      <c r="N335" s="246"/>
      <c r="O335" s="246" t="s">
        <v>1959</v>
      </c>
      <c r="P335" s="246"/>
      <c r="Q335" s="246"/>
      <c r="R335" s="246"/>
      <c r="S335" s="246"/>
      <c r="T335" s="246"/>
      <c r="U335" s="246"/>
      <c r="V335" s="246"/>
      <c r="W335" s="246"/>
      <c r="X335" s="253" t="s">
        <v>2388</v>
      </c>
      <c r="Y335" s="244"/>
      <c r="Z335" s="244" t="s">
        <v>2662</v>
      </c>
      <c r="AA335" s="246"/>
      <c r="AB335" s="245"/>
    </row>
    <row r="336" spans="1:29" s="250" customFormat="1">
      <c r="A336" s="244">
        <v>332</v>
      </c>
      <c r="B336" s="245" t="s">
        <v>1960</v>
      </c>
      <c r="C336" s="246"/>
      <c r="D336" s="246" t="s">
        <v>1953</v>
      </c>
      <c r="E336" s="246" t="s">
        <v>1961</v>
      </c>
      <c r="F336" s="246" t="s">
        <v>1948</v>
      </c>
      <c r="G336" s="246" t="s">
        <v>1949</v>
      </c>
      <c r="H336" s="246" t="s">
        <v>1954</v>
      </c>
      <c r="I336" s="18">
        <v>180163144</v>
      </c>
      <c r="J336" s="246"/>
      <c r="K336" s="246"/>
      <c r="L336" s="246" t="s">
        <v>1997</v>
      </c>
      <c r="M336" s="246" t="s">
        <v>1998</v>
      </c>
      <c r="N336" s="246"/>
      <c r="O336" s="246"/>
      <c r="P336" s="246"/>
      <c r="Q336" s="246"/>
      <c r="R336" s="246"/>
      <c r="S336" s="246"/>
      <c r="T336" s="246"/>
      <c r="U336" s="246"/>
      <c r="V336" s="246"/>
      <c r="W336" s="246"/>
      <c r="X336" s="244" t="s">
        <v>2149</v>
      </c>
      <c r="Y336" s="244"/>
      <c r="Z336" s="246"/>
      <c r="AA336" s="246"/>
      <c r="AB336" s="245"/>
    </row>
    <row r="337" spans="1:29" s="250" customFormat="1">
      <c r="A337" s="244">
        <v>333</v>
      </c>
      <c r="B337" s="245" t="s">
        <v>1971</v>
      </c>
      <c r="C337" s="246"/>
      <c r="D337" s="246" t="s">
        <v>744</v>
      </c>
      <c r="E337" s="246" t="s">
        <v>1972</v>
      </c>
      <c r="F337" s="246" t="s">
        <v>405</v>
      </c>
      <c r="G337" s="246" t="s">
        <v>411</v>
      </c>
      <c r="H337" s="246" t="s">
        <v>406</v>
      </c>
      <c r="I337" s="18">
        <v>9680000</v>
      </c>
      <c r="J337" s="248">
        <v>44467</v>
      </c>
      <c r="K337" s="248">
        <v>44530</v>
      </c>
      <c r="L337" s="248">
        <v>44515</v>
      </c>
      <c r="M337" s="248">
        <v>44517</v>
      </c>
      <c r="N337" s="246"/>
      <c r="O337" s="246" t="s">
        <v>923</v>
      </c>
      <c r="P337" s="246"/>
      <c r="Q337" s="246"/>
      <c r="R337" s="246"/>
      <c r="S337" s="246"/>
      <c r="T337" s="246"/>
      <c r="U337" s="246"/>
      <c r="V337" s="246"/>
      <c r="W337" s="246"/>
      <c r="X337" s="253" t="s">
        <v>2528</v>
      </c>
      <c r="Y337" s="244"/>
      <c r="Z337" s="244" t="s">
        <v>2576</v>
      </c>
      <c r="AA337" s="255"/>
      <c r="AB337" s="245" t="s">
        <v>2536</v>
      </c>
      <c r="AC337" s="246"/>
    </row>
    <row r="338" spans="1:29" s="250" customFormat="1">
      <c r="A338" s="244">
        <v>334</v>
      </c>
      <c r="B338" s="245" t="s">
        <v>1974</v>
      </c>
      <c r="C338" s="246" t="s">
        <v>1975</v>
      </c>
      <c r="D338" s="247" t="s">
        <v>411</v>
      </c>
      <c r="E338" s="246" t="s">
        <v>1973</v>
      </c>
      <c r="F338" s="246" t="s">
        <v>2166</v>
      </c>
      <c r="G338" s="246"/>
      <c r="H338" s="246" t="s">
        <v>406</v>
      </c>
      <c r="I338" s="18">
        <v>20000000</v>
      </c>
      <c r="J338" s="248">
        <v>44470</v>
      </c>
      <c r="K338" s="248">
        <v>44865</v>
      </c>
      <c r="L338" s="248">
        <v>44526</v>
      </c>
      <c r="M338" s="248">
        <v>44552</v>
      </c>
      <c r="N338" s="246"/>
      <c r="O338" s="246" t="s">
        <v>790</v>
      </c>
      <c r="P338" s="246"/>
      <c r="Q338" s="246"/>
      <c r="R338" s="246"/>
      <c r="S338" s="246"/>
      <c r="T338" s="246"/>
      <c r="U338" s="246"/>
      <c r="V338" s="246"/>
      <c r="W338" s="246"/>
      <c r="X338" s="244" t="s">
        <v>519</v>
      </c>
      <c r="Y338" s="244"/>
      <c r="Z338" s="246"/>
      <c r="AA338" s="246"/>
      <c r="AB338" s="245"/>
    </row>
    <row r="339" spans="1:29" s="250" customFormat="1">
      <c r="A339" s="244">
        <v>335</v>
      </c>
      <c r="B339" s="245" t="s">
        <v>2299</v>
      </c>
      <c r="C339" s="246" t="s">
        <v>1976</v>
      </c>
      <c r="D339" s="246" t="s">
        <v>410</v>
      </c>
      <c r="E339" s="246" t="s">
        <v>1978</v>
      </c>
      <c r="F339" s="246" t="s">
        <v>405</v>
      </c>
      <c r="G339" s="246" t="s">
        <v>411</v>
      </c>
      <c r="H339" s="246" t="s">
        <v>406</v>
      </c>
      <c r="I339" s="18">
        <v>7700000</v>
      </c>
      <c r="J339" s="248">
        <v>44469</v>
      </c>
      <c r="K339" s="246"/>
      <c r="L339" s="248">
        <v>44470</v>
      </c>
      <c r="M339" s="248">
        <v>44484</v>
      </c>
      <c r="N339" s="246"/>
      <c r="O339" s="246" t="s">
        <v>846</v>
      </c>
      <c r="P339" s="246"/>
      <c r="Q339" s="246"/>
      <c r="R339" s="246"/>
      <c r="S339" s="246"/>
      <c r="T339" s="246"/>
      <c r="U339" s="246"/>
      <c r="V339" s="246"/>
      <c r="W339" s="246"/>
      <c r="X339" s="253" t="s">
        <v>2016</v>
      </c>
      <c r="Y339" s="244"/>
      <c r="Z339" s="244" t="s">
        <v>2145</v>
      </c>
      <c r="AA339" s="246"/>
      <c r="AB339" s="245"/>
    </row>
    <row r="340" spans="1:29" s="250" customFormat="1">
      <c r="A340" s="244">
        <v>336</v>
      </c>
      <c r="B340" s="245" t="s">
        <v>628</v>
      </c>
      <c r="C340" s="246" t="s">
        <v>1977</v>
      </c>
      <c r="D340" s="246" t="s">
        <v>1388</v>
      </c>
      <c r="E340" s="246" t="s">
        <v>1979</v>
      </c>
      <c r="F340" s="246" t="s">
        <v>405</v>
      </c>
      <c r="G340" s="246" t="s">
        <v>411</v>
      </c>
      <c r="H340" s="246" t="s">
        <v>406</v>
      </c>
      <c r="I340" s="18">
        <v>13530000</v>
      </c>
      <c r="J340" s="248">
        <v>44469</v>
      </c>
      <c r="K340" s="246"/>
      <c r="L340" s="248">
        <v>44504</v>
      </c>
      <c r="M340" s="248">
        <v>44505</v>
      </c>
      <c r="N340" s="246"/>
      <c r="O340" s="246" t="s">
        <v>655</v>
      </c>
      <c r="P340" s="246"/>
      <c r="Q340" s="246"/>
      <c r="R340" s="246"/>
      <c r="S340" s="246"/>
      <c r="T340" s="246"/>
      <c r="U340" s="246"/>
      <c r="V340" s="246"/>
      <c r="W340" s="246"/>
      <c r="X340" s="253" t="s">
        <v>2112</v>
      </c>
      <c r="Y340" s="244"/>
      <c r="Z340" s="244" t="s">
        <v>2145</v>
      </c>
      <c r="AA340" s="246"/>
      <c r="AB340" s="245"/>
    </row>
    <row r="341" spans="1:29" s="250" customFormat="1" ht="21" customHeight="1">
      <c r="A341" s="244">
        <v>337</v>
      </c>
      <c r="B341" s="245" t="s">
        <v>1980</v>
      </c>
      <c r="C341" s="246" t="s">
        <v>1981</v>
      </c>
      <c r="D341" s="246" t="s">
        <v>410</v>
      </c>
      <c r="E341" s="246" t="s">
        <v>1978</v>
      </c>
      <c r="F341" s="246" t="s">
        <v>405</v>
      </c>
      <c r="G341" s="246" t="s">
        <v>411</v>
      </c>
      <c r="H341" s="246" t="s">
        <v>406</v>
      </c>
      <c r="I341" s="18">
        <f>6400000*1.1</f>
        <v>7040000.0000000009</v>
      </c>
      <c r="J341" s="248">
        <v>44469</v>
      </c>
      <c r="K341" s="246"/>
      <c r="L341" s="248">
        <v>44489</v>
      </c>
      <c r="M341" s="248">
        <v>44490</v>
      </c>
      <c r="N341" s="246"/>
      <c r="O341" s="246" t="s">
        <v>742</v>
      </c>
      <c r="P341" s="246"/>
      <c r="Q341" s="246"/>
      <c r="R341" s="246"/>
      <c r="S341" s="246"/>
      <c r="T341" s="246"/>
      <c r="U341" s="246"/>
      <c r="V341" s="246"/>
      <c r="W341" s="246"/>
      <c r="X341" s="253" t="s">
        <v>2113</v>
      </c>
      <c r="Y341" s="244"/>
      <c r="Z341" s="244" t="s">
        <v>2145</v>
      </c>
      <c r="AA341" s="255"/>
      <c r="AB341" s="245"/>
    </row>
    <row r="342" spans="1:29" s="250" customFormat="1">
      <c r="A342" s="244">
        <v>338</v>
      </c>
      <c r="B342" s="245" t="s">
        <v>738</v>
      </c>
      <c r="C342" s="246"/>
      <c r="D342" s="246" t="s">
        <v>744</v>
      </c>
      <c r="E342" s="246" t="s">
        <v>1986</v>
      </c>
      <c r="F342" s="246" t="s">
        <v>405</v>
      </c>
      <c r="G342" s="246" t="s">
        <v>411</v>
      </c>
      <c r="H342" s="246" t="s">
        <v>406</v>
      </c>
      <c r="I342" s="18">
        <v>23100000</v>
      </c>
      <c r="J342" s="248">
        <v>44470</v>
      </c>
      <c r="K342" s="246"/>
      <c r="L342" s="248">
        <v>44470</v>
      </c>
      <c r="M342" s="248">
        <v>44470</v>
      </c>
      <c r="N342" s="246"/>
      <c r="O342" s="246" t="s">
        <v>742</v>
      </c>
      <c r="P342" s="246"/>
      <c r="Q342" s="246"/>
      <c r="R342" s="246"/>
      <c r="S342" s="246"/>
      <c r="T342" s="246"/>
      <c r="U342" s="246"/>
      <c r="V342" s="246"/>
      <c r="W342" s="246"/>
      <c r="X342" s="257" t="s">
        <v>2755</v>
      </c>
      <c r="Y342" s="244"/>
      <c r="Z342" s="246" t="s">
        <v>2744</v>
      </c>
      <c r="AA342" s="255" t="s">
        <v>2152</v>
      </c>
      <c r="AB342" s="245" t="s">
        <v>2536</v>
      </c>
    </row>
    <row r="343" spans="1:29" s="250" customFormat="1">
      <c r="A343" s="244">
        <v>339</v>
      </c>
      <c r="B343" s="245" t="s">
        <v>1985</v>
      </c>
      <c r="C343" s="246" t="s">
        <v>1990</v>
      </c>
      <c r="D343" s="246"/>
      <c r="E343" s="246" t="s">
        <v>1988</v>
      </c>
      <c r="F343" s="246" t="s">
        <v>405</v>
      </c>
      <c r="G343" s="246" t="s">
        <v>411</v>
      </c>
      <c r="H343" s="246" t="s">
        <v>406</v>
      </c>
      <c r="I343" s="18">
        <v>1980000</v>
      </c>
      <c r="J343" s="248">
        <v>44474</v>
      </c>
      <c r="K343" s="246"/>
      <c r="L343" s="248">
        <v>44467</v>
      </c>
      <c r="M343" s="248">
        <v>44483</v>
      </c>
      <c r="N343" s="246"/>
      <c r="O343" s="246" t="s">
        <v>1987</v>
      </c>
      <c r="P343" s="246"/>
      <c r="Q343" s="246"/>
      <c r="R343" s="246"/>
      <c r="S343" s="246"/>
      <c r="T343" s="246"/>
      <c r="U343" s="246"/>
      <c r="V343" s="246"/>
      <c r="W343" s="246"/>
      <c r="X343" s="253" t="s">
        <v>2510</v>
      </c>
      <c r="Y343" s="244"/>
      <c r="Z343" s="244" t="s">
        <v>2657</v>
      </c>
      <c r="AA343" s="255" t="s">
        <v>2153</v>
      </c>
      <c r="AB343" s="245"/>
      <c r="AC343" s="246"/>
    </row>
    <row r="344" spans="1:29" s="250" customFormat="1">
      <c r="A344" s="244">
        <v>340</v>
      </c>
      <c r="B344" s="245" t="s">
        <v>1985</v>
      </c>
      <c r="C344" s="246" t="s">
        <v>1990</v>
      </c>
      <c r="D344" s="246"/>
      <c r="E344" s="246" t="s">
        <v>1989</v>
      </c>
      <c r="F344" s="246" t="s">
        <v>405</v>
      </c>
      <c r="G344" s="246" t="s">
        <v>411</v>
      </c>
      <c r="H344" s="246" t="s">
        <v>406</v>
      </c>
      <c r="I344" s="18">
        <v>1760000</v>
      </c>
      <c r="J344" s="248">
        <v>44474</v>
      </c>
      <c r="K344" s="246"/>
      <c r="L344" s="248">
        <v>44470</v>
      </c>
      <c r="M344" s="248">
        <v>44483</v>
      </c>
      <c r="N344" s="246"/>
      <c r="O344" s="246" t="s">
        <v>1987</v>
      </c>
      <c r="P344" s="246"/>
      <c r="Q344" s="246"/>
      <c r="R344" s="246"/>
      <c r="S344" s="246"/>
      <c r="T344" s="246"/>
      <c r="U344" s="246"/>
      <c r="V344" s="246"/>
      <c r="W344" s="246"/>
      <c r="X344" s="253" t="s">
        <v>2154</v>
      </c>
      <c r="Y344" s="244"/>
      <c r="Z344" s="244" t="s">
        <v>2145</v>
      </c>
      <c r="AA344" s="255" t="s">
        <v>2153</v>
      </c>
      <c r="AB344" s="245"/>
      <c r="AC344" s="246"/>
    </row>
    <row r="345" spans="1:29" s="250" customFormat="1">
      <c r="A345" s="244">
        <v>341</v>
      </c>
      <c r="B345" s="245" t="s">
        <v>407</v>
      </c>
      <c r="C345" s="246" t="s">
        <v>408</v>
      </c>
      <c r="D345" s="246" t="s">
        <v>409</v>
      </c>
      <c r="E345" s="246" t="s">
        <v>1991</v>
      </c>
      <c r="F345" s="246" t="s">
        <v>405</v>
      </c>
      <c r="G345" s="246" t="s">
        <v>411</v>
      </c>
      <c r="H345" s="246" t="s">
        <v>406</v>
      </c>
      <c r="I345" s="18">
        <v>16500000</v>
      </c>
      <c r="J345" s="248">
        <v>44475</v>
      </c>
      <c r="K345" s="246"/>
      <c r="L345" s="248">
        <v>44519</v>
      </c>
      <c r="M345" s="248">
        <v>44522</v>
      </c>
      <c r="N345" s="246"/>
      <c r="O345" s="246" t="s">
        <v>809</v>
      </c>
      <c r="P345" s="246"/>
      <c r="Q345" s="246"/>
      <c r="R345" s="246"/>
      <c r="S345" s="246"/>
      <c r="T345" s="246"/>
      <c r="U345" s="246"/>
      <c r="V345" s="246"/>
      <c r="W345" s="246"/>
      <c r="X345" s="258" t="s">
        <v>2175</v>
      </c>
      <c r="Y345" s="244"/>
      <c r="Z345" s="246"/>
      <c r="AA345" s="246"/>
      <c r="AB345" s="245"/>
    </row>
    <row r="346" spans="1:29" s="250" customFormat="1">
      <c r="A346" s="244">
        <v>342</v>
      </c>
      <c r="B346" s="245" t="s">
        <v>1866</v>
      </c>
      <c r="C346" s="246" t="s">
        <v>1867</v>
      </c>
      <c r="D346" s="246" t="s">
        <v>409</v>
      </c>
      <c r="E346" s="246" t="s">
        <v>1873</v>
      </c>
      <c r="F346" s="246" t="s">
        <v>405</v>
      </c>
      <c r="G346" s="246" t="s">
        <v>411</v>
      </c>
      <c r="H346" s="246" t="s">
        <v>406</v>
      </c>
      <c r="I346" s="18">
        <v>5460550</v>
      </c>
      <c r="J346" s="248">
        <v>44476</v>
      </c>
      <c r="K346" s="248">
        <v>44482</v>
      </c>
      <c r="L346" s="248">
        <v>44483</v>
      </c>
      <c r="M346" s="248">
        <v>44490</v>
      </c>
      <c r="N346" s="246"/>
      <c r="O346" s="246" t="s">
        <v>2006</v>
      </c>
      <c r="P346" s="246"/>
      <c r="Q346" s="246"/>
      <c r="R346" s="246"/>
      <c r="S346" s="246"/>
      <c r="T346" s="246"/>
      <c r="U346" s="246"/>
      <c r="V346" s="246"/>
      <c r="W346" s="246"/>
      <c r="X346" s="244" t="s">
        <v>2155</v>
      </c>
      <c r="Y346" s="244"/>
      <c r="Z346" s="246" t="s">
        <v>2147</v>
      </c>
      <c r="AA346" s="246"/>
      <c r="AB346" s="245"/>
    </row>
    <row r="347" spans="1:29" s="250" customFormat="1">
      <c r="A347" s="244">
        <v>343</v>
      </c>
      <c r="B347" s="245" t="s">
        <v>407</v>
      </c>
      <c r="C347" s="246" t="s">
        <v>1471</v>
      </c>
      <c r="D347" s="246" t="s">
        <v>1125</v>
      </c>
      <c r="E347" s="246" t="s">
        <v>1994</v>
      </c>
      <c r="F347" s="246" t="s">
        <v>405</v>
      </c>
      <c r="G347" s="246" t="s">
        <v>411</v>
      </c>
      <c r="H347" s="246" t="s">
        <v>406</v>
      </c>
      <c r="I347" s="18">
        <v>14300000</v>
      </c>
      <c r="J347" s="248">
        <v>44476</v>
      </c>
      <c r="K347" s="248">
        <v>44530</v>
      </c>
      <c r="L347" s="248">
        <v>44530</v>
      </c>
      <c r="M347" s="248">
        <v>44532</v>
      </c>
      <c r="N347" s="246"/>
      <c r="O347" s="246" t="s">
        <v>613</v>
      </c>
      <c r="P347" s="246"/>
      <c r="Q347" s="246"/>
      <c r="R347" s="246"/>
      <c r="S347" s="246"/>
      <c r="T347" s="246"/>
      <c r="U347" s="246"/>
      <c r="V347" s="246"/>
      <c r="W347" s="246"/>
      <c r="X347" s="253" t="s">
        <v>2393</v>
      </c>
      <c r="Y347" s="244"/>
      <c r="Z347" s="244" t="s">
        <v>2618</v>
      </c>
      <c r="AA347" s="246"/>
      <c r="AB347" s="245"/>
    </row>
    <row r="348" spans="1:29" s="250" customFormat="1">
      <c r="A348" s="244">
        <v>344</v>
      </c>
      <c r="B348" s="245" t="s">
        <v>407</v>
      </c>
      <c r="C348" s="246" t="s">
        <v>934</v>
      </c>
      <c r="D348" s="246" t="s">
        <v>404</v>
      </c>
      <c r="E348" s="246" t="s">
        <v>1993</v>
      </c>
      <c r="F348" s="246" t="s">
        <v>405</v>
      </c>
      <c r="G348" s="246" t="s">
        <v>411</v>
      </c>
      <c r="H348" s="246" t="s">
        <v>406</v>
      </c>
      <c r="I348" s="18">
        <v>3575000</v>
      </c>
      <c r="J348" s="248">
        <v>44476</v>
      </c>
      <c r="K348" s="248">
        <v>44499</v>
      </c>
      <c r="L348" s="248">
        <v>44524</v>
      </c>
      <c r="M348" s="248">
        <v>44526</v>
      </c>
      <c r="N348" s="246"/>
      <c r="O348" s="246" t="s">
        <v>846</v>
      </c>
      <c r="P348" s="246"/>
      <c r="Q348" s="246"/>
      <c r="R348" s="246"/>
      <c r="S348" s="246"/>
      <c r="T348" s="246"/>
      <c r="U348" s="246"/>
      <c r="V348" s="246"/>
      <c r="W348" s="246"/>
      <c r="X348" s="253" t="s">
        <v>2392</v>
      </c>
      <c r="Y348" s="244"/>
      <c r="Z348" s="244" t="s">
        <v>2576</v>
      </c>
      <c r="AA348" s="246"/>
      <c r="AB348" s="245"/>
    </row>
    <row r="349" spans="1:29" s="250" customFormat="1">
      <c r="A349" s="244">
        <v>345</v>
      </c>
      <c r="B349" s="245" t="s">
        <v>628</v>
      </c>
      <c r="C349" s="246" t="s">
        <v>1992</v>
      </c>
      <c r="D349" s="246" t="s">
        <v>404</v>
      </c>
      <c r="E349" s="246" t="s">
        <v>2831</v>
      </c>
      <c r="F349" s="246" t="s">
        <v>405</v>
      </c>
      <c r="G349" s="246" t="s">
        <v>411</v>
      </c>
      <c r="H349" s="246" t="s">
        <v>406</v>
      </c>
      <c r="I349" s="18">
        <v>61600000</v>
      </c>
      <c r="J349" s="248">
        <v>44476</v>
      </c>
      <c r="K349" s="246"/>
      <c r="L349" s="248">
        <v>44546</v>
      </c>
      <c r="M349" s="248">
        <v>44554</v>
      </c>
      <c r="N349" s="246"/>
      <c r="O349" s="246" t="s">
        <v>620</v>
      </c>
      <c r="P349" s="246"/>
      <c r="Q349" s="246"/>
      <c r="R349" s="246"/>
      <c r="S349" s="246"/>
      <c r="T349" s="246"/>
      <c r="U349" s="246"/>
      <c r="V349" s="246"/>
      <c r="W349" s="246"/>
      <c r="X349" s="253" t="s">
        <v>2391</v>
      </c>
      <c r="Y349" s="244"/>
      <c r="Z349" s="244" t="s">
        <v>2661</v>
      </c>
      <c r="AA349" s="246"/>
      <c r="AB349" s="245"/>
    </row>
    <row r="350" spans="1:29" s="250" customFormat="1">
      <c r="A350" s="244">
        <v>346</v>
      </c>
      <c r="B350" s="245" t="s">
        <v>407</v>
      </c>
      <c r="C350" s="246" t="s">
        <v>1471</v>
      </c>
      <c r="D350" s="246" t="s">
        <v>1125</v>
      </c>
      <c r="E350" s="246" t="s">
        <v>2001</v>
      </c>
      <c r="F350" s="246" t="s">
        <v>405</v>
      </c>
      <c r="G350" s="246" t="s">
        <v>411</v>
      </c>
      <c r="H350" s="246" t="s">
        <v>406</v>
      </c>
      <c r="I350" s="18">
        <v>79200000</v>
      </c>
      <c r="J350" s="248">
        <v>44476</v>
      </c>
      <c r="K350" s="248">
        <v>44530</v>
      </c>
      <c r="L350" s="248">
        <v>44531</v>
      </c>
      <c r="M350" s="248">
        <v>44532</v>
      </c>
      <c r="N350" s="246"/>
      <c r="O350" s="246" t="s">
        <v>613</v>
      </c>
      <c r="P350" s="246"/>
      <c r="Q350" s="246"/>
      <c r="R350" s="246"/>
      <c r="S350" s="246"/>
      <c r="T350" s="246"/>
      <c r="U350" s="246"/>
      <c r="V350" s="246"/>
      <c r="W350" s="246"/>
      <c r="X350" s="253" t="s">
        <v>2390</v>
      </c>
      <c r="Y350" s="244"/>
      <c r="Z350" s="244" t="s">
        <v>2657</v>
      </c>
      <c r="AA350" s="246"/>
      <c r="AB350" s="245"/>
    </row>
    <row r="351" spans="1:29" s="250" customFormat="1">
      <c r="A351" s="244">
        <v>347</v>
      </c>
      <c r="B351" s="245" t="s">
        <v>407</v>
      </c>
      <c r="C351" s="246" t="s">
        <v>1999</v>
      </c>
      <c r="D351" s="246"/>
      <c r="E351" s="246" t="s">
        <v>2003</v>
      </c>
      <c r="F351" s="246" t="s">
        <v>405</v>
      </c>
      <c r="G351" s="246" t="s">
        <v>411</v>
      </c>
      <c r="H351" s="246" t="s">
        <v>406</v>
      </c>
      <c r="I351" s="18">
        <v>1936000</v>
      </c>
      <c r="J351" s="248">
        <v>44476</v>
      </c>
      <c r="K351" s="246"/>
      <c r="L351" s="248">
        <v>44476</v>
      </c>
      <c r="M351" s="248">
        <v>44483</v>
      </c>
      <c r="N351" s="246"/>
      <c r="O351" s="246" t="s">
        <v>1888</v>
      </c>
      <c r="P351" s="246"/>
      <c r="Q351" s="246"/>
      <c r="R351" s="246"/>
      <c r="S351" s="246"/>
      <c r="T351" s="246"/>
      <c r="U351" s="246"/>
      <c r="V351" s="246"/>
      <c r="W351" s="246"/>
      <c r="X351" s="244" t="s">
        <v>2177</v>
      </c>
      <c r="Y351" s="244"/>
      <c r="Z351" s="258" t="s">
        <v>2575</v>
      </c>
      <c r="AA351" s="246"/>
      <c r="AB351" s="245" t="s">
        <v>2483</v>
      </c>
    </row>
    <row r="352" spans="1:29" s="250" customFormat="1">
      <c r="A352" s="244">
        <v>348</v>
      </c>
      <c r="B352" s="245" t="s">
        <v>1386</v>
      </c>
      <c r="C352" s="246" t="s">
        <v>2000</v>
      </c>
      <c r="D352" s="246" t="s">
        <v>404</v>
      </c>
      <c r="E352" s="246" t="s">
        <v>2002</v>
      </c>
      <c r="F352" s="246" t="s">
        <v>405</v>
      </c>
      <c r="G352" s="246" t="s">
        <v>411</v>
      </c>
      <c r="H352" s="246" t="s">
        <v>406</v>
      </c>
      <c r="I352" s="18">
        <v>6600000</v>
      </c>
      <c r="J352" s="248">
        <v>44477</v>
      </c>
      <c r="K352" s="246"/>
      <c r="L352" s="248">
        <v>44516</v>
      </c>
      <c r="M352" s="248">
        <v>44523</v>
      </c>
      <c r="N352" s="246"/>
      <c r="O352" s="246" t="s">
        <v>742</v>
      </c>
      <c r="P352" s="246"/>
      <c r="Q352" s="246"/>
      <c r="R352" s="246"/>
      <c r="S352" s="246"/>
      <c r="T352" s="246"/>
      <c r="U352" s="246"/>
      <c r="V352" s="246"/>
      <c r="W352" s="246"/>
      <c r="X352" s="253" t="s">
        <v>2509</v>
      </c>
      <c r="Y352" s="244"/>
      <c r="Z352" s="244" t="s">
        <v>2662</v>
      </c>
      <c r="AA352" s="246"/>
      <c r="AB352" s="245"/>
    </row>
    <row r="353" spans="1:30" s="250" customFormat="1">
      <c r="A353" s="244">
        <v>349</v>
      </c>
      <c r="B353" s="245" t="s">
        <v>2009</v>
      </c>
      <c r="C353" s="246" t="s">
        <v>2008</v>
      </c>
      <c r="D353" s="246" t="s">
        <v>2007</v>
      </c>
      <c r="E353" s="246" t="s">
        <v>701</v>
      </c>
      <c r="F353" s="246" t="s">
        <v>2010</v>
      </c>
      <c r="G353" s="246" t="s">
        <v>2011</v>
      </c>
      <c r="H353" s="246" t="s">
        <v>406</v>
      </c>
      <c r="I353" s="18">
        <v>1507000</v>
      </c>
      <c r="J353" s="248">
        <v>44481</v>
      </c>
      <c r="K353" s="248">
        <v>44488</v>
      </c>
      <c r="L353" s="248">
        <v>44501</v>
      </c>
      <c r="M353" s="248">
        <v>44502</v>
      </c>
      <c r="N353" s="246"/>
      <c r="O353" s="246" t="s">
        <v>655</v>
      </c>
      <c r="P353" s="246"/>
      <c r="Q353" s="246"/>
      <c r="R353" s="246"/>
      <c r="S353" s="246"/>
      <c r="T353" s="246"/>
      <c r="U353" s="246"/>
      <c r="V353" s="246"/>
      <c r="W353" s="246"/>
      <c r="X353" s="253" t="s">
        <v>2518</v>
      </c>
      <c r="Y353" s="244" t="s">
        <v>2830</v>
      </c>
      <c r="Z353" s="258" t="s">
        <v>2574</v>
      </c>
      <c r="AA353" s="246"/>
      <c r="AB353" s="245" t="s">
        <v>2544</v>
      </c>
    </row>
    <row r="354" spans="1:30" s="250" customFormat="1">
      <c r="A354" s="244">
        <v>350</v>
      </c>
      <c r="B354" s="245" t="s">
        <v>769</v>
      </c>
      <c r="C354" s="246"/>
      <c r="D354" s="246" t="s">
        <v>409</v>
      </c>
      <c r="E354" s="246" t="s">
        <v>2013</v>
      </c>
      <c r="F354" s="246" t="s">
        <v>519</v>
      </c>
      <c r="G354" s="246" t="s">
        <v>411</v>
      </c>
      <c r="H354" s="246" t="s">
        <v>406</v>
      </c>
      <c r="I354" s="18">
        <v>8297900</v>
      </c>
      <c r="J354" s="248">
        <v>44482</v>
      </c>
      <c r="K354" s="248">
        <v>44482</v>
      </c>
      <c r="L354" s="248">
        <v>44481</v>
      </c>
      <c r="M354" s="248">
        <v>44488</v>
      </c>
      <c r="N354" s="246"/>
      <c r="O354" s="246"/>
      <c r="P354" s="246"/>
      <c r="Q354" s="246"/>
      <c r="R354" s="246"/>
      <c r="S354" s="246"/>
      <c r="T354" s="246"/>
      <c r="U354" s="246"/>
      <c r="V354" s="246"/>
      <c r="W354" s="246"/>
      <c r="X354" s="244" t="s">
        <v>2156</v>
      </c>
      <c r="Y354" s="244"/>
      <c r="Z354" s="246" t="s">
        <v>2147</v>
      </c>
      <c r="AA354" s="246"/>
      <c r="AB354" s="245"/>
    </row>
    <row r="355" spans="1:30" s="250" customFormat="1">
      <c r="A355" s="244">
        <v>351</v>
      </c>
      <c r="B355" s="245" t="s">
        <v>535</v>
      </c>
      <c r="C355" s="246" t="s">
        <v>536</v>
      </c>
      <c r="D355" s="246" t="s">
        <v>409</v>
      </c>
      <c r="E355" s="246" t="s">
        <v>2015</v>
      </c>
      <c r="F355" s="246" t="s">
        <v>519</v>
      </c>
      <c r="G355" s="246" t="s">
        <v>411</v>
      </c>
      <c r="H355" s="246" t="s">
        <v>406</v>
      </c>
      <c r="I355" s="18">
        <v>19569000</v>
      </c>
      <c r="J355" s="248">
        <v>44482</v>
      </c>
      <c r="K355" s="248">
        <v>44530</v>
      </c>
      <c r="L355" s="248">
        <v>44497</v>
      </c>
      <c r="M355" s="248">
        <v>44497</v>
      </c>
      <c r="N355" s="246"/>
      <c r="O355" s="246" t="s">
        <v>2038</v>
      </c>
      <c r="P355" s="246"/>
      <c r="Q355" s="246"/>
      <c r="R355" s="246"/>
      <c r="S355" s="246"/>
      <c r="T355" s="246"/>
      <c r="U355" s="246"/>
      <c r="V355" s="246"/>
      <c r="W355" s="246"/>
      <c r="X355" s="258" t="s">
        <v>2157</v>
      </c>
      <c r="Y355" s="244"/>
      <c r="Z355" s="246" t="s">
        <v>2147</v>
      </c>
      <c r="AA355" s="255" t="s">
        <v>2158</v>
      </c>
      <c r="AB355" s="245"/>
    </row>
    <row r="356" spans="1:30" s="250" customFormat="1">
      <c r="A356" s="244">
        <v>352</v>
      </c>
      <c r="B356" s="245" t="s">
        <v>1544</v>
      </c>
      <c r="C356" s="246" t="s">
        <v>1545</v>
      </c>
      <c r="D356" s="246" t="s">
        <v>409</v>
      </c>
      <c r="E356" s="246" t="s">
        <v>1546</v>
      </c>
      <c r="F356" s="246" t="s">
        <v>519</v>
      </c>
      <c r="G356" s="246" t="s">
        <v>411</v>
      </c>
      <c r="H356" s="246" t="s">
        <v>406</v>
      </c>
      <c r="I356" s="18"/>
      <c r="J356" s="248">
        <v>44482</v>
      </c>
      <c r="K356" s="246"/>
      <c r="L356" s="248">
        <v>44484</v>
      </c>
      <c r="M356" s="248">
        <v>44489</v>
      </c>
      <c r="N356" s="246"/>
      <c r="O356" s="246" t="s">
        <v>742</v>
      </c>
      <c r="P356" s="246"/>
      <c r="Q356" s="246"/>
      <c r="R356" s="246"/>
      <c r="S356" s="246"/>
      <c r="T356" s="246"/>
      <c r="U356" s="246"/>
      <c r="V356" s="246"/>
      <c r="W356" s="246"/>
      <c r="X356" s="244" t="s">
        <v>2481</v>
      </c>
      <c r="Y356" s="253">
        <v>55634</v>
      </c>
      <c r="Z356" s="244" t="s">
        <v>2576</v>
      </c>
      <c r="AA356" s="254" t="s">
        <v>2777</v>
      </c>
      <c r="AB356" s="245" t="s">
        <v>2474</v>
      </c>
    </row>
    <row r="357" spans="1:30" s="250" customFormat="1">
      <c r="A357" s="244">
        <v>353</v>
      </c>
      <c r="B357" s="245" t="s">
        <v>407</v>
      </c>
      <c r="C357" s="246" t="s">
        <v>2014</v>
      </c>
      <c r="D357" s="246" t="s">
        <v>404</v>
      </c>
      <c r="E357" s="246" t="s">
        <v>2422</v>
      </c>
      <c r="F357" s="246" t="s">
        <v>405</v>
      </c>
      <c r="G357" s="246" t="s">
        <v>411</v>
      </c>
      <c r="H357" s="246" t="s">
        <v>406</v>
      </c>
      <c r="I357" s="18">
        <v>16060000</v>
      </c>
      <c r="J357" s="248">
        <v>44482</v>
      </c>
      <c r="K357" s="248">
        <v>44560</v>
      </c>
      <c r="L357" s="248">
        <v>44552</v>
      </c>
      <c r="M357" s="248">
        <v>44554</v>
      </c>
      <c r="N357" s="246"/>
      <c r="O357" s="246" t="s">
        <v>613</v>
      </c>
      <c r="P357" s="246"/>
      <c r="Q357" s="246"/>
      <c r="R357" s="246"/>
      <c r="S357" s="246"/>
      <c r="T357" s="246"/>
      <c r="U357" s="246"/>
      <c r="V357" s="246"/>
      <c r="W357" s="246"/>
      <c r="X357" s="253" t="s">
        <v>2387</v>
      </c>
      <c r="Y357" s="244"/>
      <c r="Z357" s="244" t="s">
        <v>2576</v>
      </c>
      <c r="AA357" s="258" t="s">
        <v>2656</v>
      </c>
      <c r="AB357" s="245"/>
    </row>
    <row r="358" spans="1:30" s="250" customFormat="1">
      <c r="A358" s="244">
        <v>354</v>
      </c>
      <c r="B358" s="245" t="s">
        <v>407</v>
      </c>
      <c r="C358" s="246" t="s">
        <v>2020</v>
      </c>
      <c r="D358" s="246" t="s">
        <v>787</v>
      </c>
      <c r="E358" s="246" t="s">
        <v>2021</v>
      </c>
      <c r="F358" s="246" t="s">
        <v>405</v>
      </c>
      <c r="G358" s="246" t="s">
        <v>411</v>
      </c>
      <c r="H358" s="246" t="s">
        <v>406</v>
      </c>
      <c r="I358" s="18">
        <v>5500000</v>
      </c>
      <c r="J358" s="248">
        <v>44484</v>
      </c>
      <c r="K358" s="246"/>
      <c r="L358" s="248">
        <v>44517</v>
      </c>
      <c r="M358" s="248">
        <v>44523</v>
      </c>
      <c r="N358" s="246"/>
      <c r="O358" s="246" t="s">
        <v>790</v>
      </c>
      <c r="P358" s="246"/>
      <c r="Q358" s="246"/>
      <c r="R358" s="246"/>
      <c r="S358" s="246"/>
      <c r="T358" s="246"/>
      <c r="U358" s="246"/>
      <c r="V358" s="246"/>
      <c r="W358" s="246"/>
      <c r="X358" s="253" t="s">
        <v>2508</v>
      </c>
      <c r="Y358" s="244"/>
      <c r="Z358" s="246" t="s">
        <v>2646</v>
      </c>
      <c r="AA358" s="246"/>
      <c r="AB358" s="245"/>
    </row>
    <row r="359" spans="1:30" s="250" customFormat="1">
      <c r="A359" s="244">
        <v>355</v>
      </c>
      <c r="B359" s="245" t="s">
        <v>550</v>
      </c>
      <c r="C359" s="246"/>
      <c r="D359" s="246" t="s">
        <v>409</v>
      </c>
      <c r="E359" s="246" t="s">
        <v>2371</v>
      </c>
      <c r="F359" s="246"/>
      <c r="G359" s="246" t="s">
        <v>411</v>
      </c>
      <c r="H359" s="246" t="s">
        <v>406</v>
      </c>
      <c r="I359" s="18">
        <v>45425602</v>
      </c>
      <c r="J359" s="248">
        <v>44487</v>
      </c>
      <c r="K359" s="246"/>
      <c r="L359" s="246" t="s">
        <v>2045</v>
      </c>
      <c r="M359" s="248">
        <v>44490</v>
      </c>
      <c r="N359" s="246"/>
      <c r="O359" s="246" t="s">
        <v>2019</v>
      </c>
      <c r="P359" s="246"/>
      <c r="Q359" s="246"/>
      <c r="R359" s="246"/>
      <c r="S359" s="246"/>
      <c r="T359" s="246"/>
      <c r="U359" s="246"/>
      <c r="V359" s="246"/>
      <c r="W359" s="246"/>
      <c r="X359" s="244" t="s">
        <v>2149</v>
      </c>
      <c r="Y359" s="244"/>
      <c r="Z359" s="246"/>
      <c r="AA359" s="246"/>
      <c r="AB359" s="245"/>
    </row>
    <row r="360" spans="1:30" s="250" customFormat="1">
      <c r="A360" s="244">
        <v>356</v>
      </c>
      <c r="B360" s="245" t="s">
        <v>407</v>
      </c>
      <c r="C360" s="246" t="s">
        <v>1594</v>
      </c>
      <c r="D360" s="246" t="s">
        <v>845</v>
      </c>
      <c r="E360" s="246" t="s">
        <v>2022</v>
      </c>
      <c r="F360" s="246" t="s">
        <v>405</v>
      </c>
      <c r="G360" s="246" t="s">
        <v>411</v>
      </c>
      <c r="H360" s="246" t="s">
        <v>406</v>
      </c>
      <c r="I360" s="26" t="s">
        <v>2023</v>
      </c>
      <c r="J360" s="248">
        <v>44488</v>
      </c>
      <c r="K360" s="248">
        <v>44561</v>
      </c>
      <c r="L360" s="246" t="s">
        <v>2397</v>
      </c>
      <c r="M360" s="246" t="s">
        <v>2397</v>
      </c>
      <c r="N360" s="246"/>
      <c r="O360" s="246" t="s">
        <v>620</v>
      </c>
      <c r="P360" s="246"/>
      <c r="Q360" s="246"/>
      <c r="R360" s="246"/>
      <c r="S360" s="246"/>
      <c r="T360" s="246"/>
      <c r="U360" s="246"/>
      <c r="V360" s="246"/>
      <c r="W360" s="246"/>
      <c r="X360" s="244" t="s">
        <v>2395</v>
      </c>
      <c r="Y360" s="244"/>
      <c r="Z360" s="246"/>
      <c r="AA360" s="246"/>
      <c r="AB360" s="245"/>
    </row>
    <row r="361" spans="1:30" s="250" customFormat="1">
      <c r="A361" s="244">
        <v>357</v>
      </c>
      <c r="B361" s="245" t="s">
        <v>407</v>
      </c>
      <c r="C361" s="246" t="s">
        <v>1359</v>
      </c>
      <c r="D361" s="246" t="s">
        <v>1051</v>
      </c>
      <c r="E361" s="246" t="s">
        <v>2024</v>
      </c>
      <c r="F361" s="246" t="s">
        <v>405</v>
      </c>
      <c r="G361" s="246" t="s">
        <v>411</v>
      </c>
      <c r="H361" s="246" t="s">
        <v>406</v>
      </c>
      <c r="I361" s="18">
        <v>2530000</v>
      </c>
      <c r="J361" s="248">
        <v>44488</v>
      </c>
      <c r="K361" s="246"/>
      <c r="L361" s="248">
        <v>44511</v>
      </c>
      <c r="M361" s="248">
        <v>44517</v>
      </c>
      <c r="N361" s="246"/>
      <c r="O361" s="246" t="s">
        <v>742</v>
      </c>
      <c r="P361" s="246"/>
      <c r="Q361" s="246"/>
      <c r="R361" s="246"/>
      <c r="S361" s="246"/>
      <c r="T361" s="246"/>
      <c r="U361" s="246"/>
      <c r="V361" s="246"/>
      <c r="W361" s="246"/>
      <c r="X361" s="253" t="s">
        <v>2467</v>
      </c>
      <c r="Y361" s="244"/>
      <c r="Z361" s="244" t="s">
        <v>2565</v>
      </c>
      <c r="AA361" s="246"/>
      <c r="AB361" s="245" t="s">
        <v>2535</v>
      </c>
    </row>
    <row r="362" spans="1:30" s="250" customFormat="1" ht="15.75" customHeight="1">
      <c r="A362" s="244">
        <v>358</v>
      </c>
      <c r="B362" s="245" t="s">
        <v>2025</v>
      </c>
      <c r="C362" s="246" t="s">
        <v>2026</v>
      </c>
      <c r="D362" s="246" t="s">
        <v>2036</v>
      </c>
      <c r="E362" s="246" t="s">
        <v>2027</v>
      </c>
      <c r="F362" s="246" t="s">
        <v>2028</v>
      </c>
      <c r="G362" s="246" t="s">
        <v>2029</v>
      </c>
      <c r="H362" s="246" t="s">
        <v>406</v>
      </c>
      <c r="I362" s="18">
        <v>13200000</v>
      </c>
      <c r="J362" s="248">
        <v>44488</v>
      </c>
      <c r="K362" s="248">
        <v>44502</v>
      </c>
      <c r="L362" s="248">
        <v>44490</v>
      </c>
      <c r="M362" s="248">
        <v>44495</v>
      </c>
      <c r="N362" s="246"/>
      <c r="O362" s="246" t="s">
        <v>846</v>
      </c>
      <c r="P362" s="246"/>
      <c r="Q362" s="246"/>
      <c r="R362" s="246"/>
      <c r="S362" s="246"/>
      <c r="T362" s="246"/>
      <c r="U362" s="246"/>
      <c r="V362" s="246"/>
      <c r="W362" s="246"/>
      <c r="X362" s="253" t="s">
        <v>2057</v>
      </c>
      <c r="Y362" s="244"/>
      <c r="Z362" s="244" t="s">
        <v>2145</v>
      </c>
      <c r="AA362" s="246"/>
      <c r="AB362" s="245"/>
    </row>
    <row r="363" spans="1:30" s="250" customFormat="1">
      <c r="A363" s="244">
        <v>359</v>
      </c>
      <c r="B363" s="245" t="s">
        <v>2030</v>
      </c>
      <c r="C363" s="246" t="s">
        <v>2031</v>
      </c>
      <c r="D363" s="246" t="s">
        <v>1125</v>
      </c>
      <c r="E363" s="246" t="s">
        <v>2032</v>
      </c>
      <c r="F363" s="246" t="s">
        <v>2028</v>
      </c>
      <c r="G363" s="246" t="s">
        <v>2029</v>
      </c>
      <c r="H363" s="246" t="s">
        <v>406</v>
      </c>
      <c r="I363" s="18">
        <v>1650000</v>
      </c>
      <c r="J363" s="246"/>
      <c r="K363" s="246"/>
      <c r="L363" s="248">
        <v>44488</v>
      </c>
      <c r="M363" s="248">
        <v>44490</v>
      </c>
      <c r="N363" s="246"/>
      <c r="O363" s="246" t="s">
        <v>2037</v>
      </c>
      <c r="P363" s="246"/>
      <c r="Q363" s="246"/>
      <c r="R363" s="246"/>
      <c r="S363" s="246"/>
      <c r="T363" s="246"/>
      <c r="U363" s="246"/>
      <c r="V363" s="246"/>
      <c r="W363" s="246"/>
      <c r="X363" s="253" t="s">
        <v>2468</v>
      </c>
      <c r="Y363" s="244"/>
      <c r="Z363" s="244" t="s">
        <v>2573</v>
      </c>
      <c r="AA363" s="246"/>
      <c r="AB363" s="245" t="s">
        <v>2535</v>
      </c>
    </row>
    <row r="364" spans="1:30" s="250" customFormat="1">
      <c r="A364" s="244">
        <v>360</v>
      </c>
      <c r="B364" s="245" t="s">
        <v>2033</v>
      </c>
      <c r="C364" s="246" t="s">
        <v>2034</v>
      </c>
      <c r="D364" s="246" t="s">
        <v>410</v>
      </c>
      <c r="E364" s="246" t="s">
        <v>2426</v>
      </c>
      <c r="F364" s="246" t="s">
        <v>2028</v>
      </c>
      <c r="G364" s="246" t="s">
        <v>2029</v>
      </c>
      <c r="H364" s="246" t="s">
        <v>406</v>
      </c>
      <c r="I364" s="18">
        <v>65450000</v>
      </c>
      <c r="J364" s="248">
        <v>44488</v>
      </c>
      <c r="K364" s="248">
        <v>44540</v>
      </c>
      <c r="L364" s="248">
        <v>44553</v>
      </c>
      <c r="M364" s="248">
        <v>44554</v>
      </c>
      <c r="N364" s="246"/>
      <c r="O364" s="246" t="s">
        <v>2035</v>
      </c>
      <c r="P364" s="246"/>
      <c r="Q364" s="246"/>
      <c r="R364" s="246"/>
      <c r="S364" s="246"/>
      <c r="T364" s="246"/>
      <c r="U364" s="246"/>
      <c r="V364" s="246"/>
      <c r="W364" s="246"/>
      <c r="X364" s="254" t="s">
        <v>2745</v>
      </c>
      <c r="Y364" s="258"/>
      <c r="Z364" s="244" t="s">
        <v>1278</v>
      </c>
      <c r="AA364" s="255"/>
      <c r="AB364" s="245" t="s">
        <v>2172</v>
      </c>
      <c r="AC364" s="246"/>
    </row>
    <row r="365" spans="1:30" s="250" customFormat="1">
      <c r="A365" s="244">
        <v>361</v>
      </c>
      <c r="B365" s="245" t="s">
        <v>550</v>
      </c>
      <c r="C365" s="246"/>
      <c r="D365" s="246"/>
      <c r="E365" s="246" t="s">
        <v>2039</v>
      </c>
      <c r="F365" s="246" t="s">
        <v>405</v>
      </c>
      <c r="G365" s="246" t="s">
        <v>411</v>
      </c>
      <c r="H365" s="246" t="s">
        <v>406</v>
      </c>
      <c r="I365" s="18">
        <v>23796219</v>
      </c>
      <c r="J365" s="248">
        <v>44489</v>
      </c>
      <c r="K365" s="246"/>
      <c r="L365" s="246" t="s">
        <v>2044</v>
      </c>
      <c r="M365" s="248" t="s">
        <v>2068</v>
      </c>
      <c r="N365" s="246"/>
      <c r="O365" s="246"/>
      <c r="P365" s="246"/>
      <c r="Q365" s="246"/>
      <c r="R365" s="246"/>
      <c r="S365" s="246"/>
      <c r="T365" s="246"/>
      <c r="U365" s="246"/>
      <c r="V365" s="246"/>
      <c r="W365" s="246"/>
      <c r="X365" s="244" t="s">
        <v>2149</v>
      </c>
      <c r="Y365" s="244"/>
      <c r="Z365" s="246"/>
      <c r="AA365" s="246"/>
      <c r="AB365" s="245"/>
    </row>
    <row r="366" spans="1:30" s="250" customFormat="1">
      <c r="A366" s="244">
        <v>362</v>
      </c>
      <c r="B366" s="245" t="s">
        <v>407</v>
      </c>
      <c r="C366" s="246" t="s">
        <v>730</v>
      </c>
      <c r="D366" s="246" t="s">
        <v>417</v>
      </c>
      <c r="E366" s="246" t="s">
        <v>2041</v>
      </c>
      <c r="F366" s="246" t="s">
        <v>405</v>
      </c>
      <c r="G366" s="246" t="s">
        <v>411</v>
      </c>
      <c r="H366" s="246" t="s">
        <v>406</v>
      </c>
      <c r="I366" s="18">
        <v>1595000</v>
      </c>
      <c r="J366" s="248">
        <v>44490</v>
      </c>
      <c r="K366" s="248">
        <v>44530</v>
      </c>
      <c r="L366" s="248">
        <v>44524</v>
      </c>
      <c r="M366" s="248">
        <v>44529</v>
      </c>
      <c r="N366" s="246"/>
      <c r="O366" s="246" t="s">
        <v>846</v>
      </c>
      <c r="P366" s="246"/>
      <c r="Q366" s="246"/>
      <c r="R366" s="246"/>
      <c r="S366" s="246"/>
      <c r="T366" s="246"/>
      <c r="U366" s="246"/>
      <c r="V366" s="246"/>
      <c r="W366" s="246"/>
      <c r="X366" s="253" t="s">
        <v>2389</v>
      </c>
      <c r="Y366" s="244"/>
      <c r="Z366" s="244" t="s">
        <v>2646</v>
      </c>
      <c r="AA366" s="246"/>
      <c r="AB366" s="245"/>
    </row>
    <row r="367" spans="1:30" s="250" customFormat="1">
      <c r="A367" s="244">
        <v>363</v>
      </c>
      <c r="B367" s="245" t="s">
        <v>1544</v>
      </c>
      <c r="C367" s="246" t="s">
        <v>1545</v>
      </c>
      <c r="D367" s="246" t="s">
        <v>409</v>
      </c>
      <c r="E367" s="246" t="s">
        <v>2047</v>
      </c>
      <c r="F367" s="246" t="s">
        <v>405</v>
      </c>
      <c r="G367" s="246" t="s">
        <v>411</v>
      </c>
      <c r="H367" s="246" t="s">
        <v>406</v>
      </c>
      <c r="I367" s="18">
        <v>9680000</v>
      </c>
      <c r="J367" s="248">
        <v>44494</v>
      </c>
      <c r="K367" s="246"/>
      <c r="L367" s="248">
        <v>44491</v>
      </c>
      <c r="M367" s="248">
        <v>44495</v>
      </c>
      <c r="N367" s="246"/>
      <c r="O367" s="246" t="s">
        <v>742</v>
      </c>
      <c r="P367" s="246"/>
      <c r="Q367" s="246"/>
      <c r="R367" s="246"/>
      <c r="S367" s="246"/>
      <c r="T367" s="246"/>
      <c r="U367" s="246"/>
      <c r="V367" s="246"/>
      <c r="W367" s="246"/>
      <c r="X367" s="253" t="s">
        <v>2746</v>
      </c>
      <c r="Y367" s="244"/>
      <c r="Z367" s="244" t="s">
        <v>1278</v>
      </c>
      <c r="AA367" s="246"/>
      <c r="AB367" s="245" t="s">
        <v>2484</v>
      </c>
    </row>
    <row r="368" spans="1:30" s="250" customFormat="1">
      <c r="A368" s="244">
        <v>364</v>
      </c>
      <c r="B368" s="245" t="s">
        <v>2046</v>
      </c>
      <c r="C368" s="246" t="s">
        <v>2049</v>
      </c>
      <c r="D368" s="246" t="s">
        <v>1388</v>
      </c>
      <c r="E368" s="246" t="s">
        <v>2048</v>
      </c>
      <c r="F368" s="246" t="s">
        <v>405</v>
      </c>
      <c r="G368" s="246" t="s">
        <v>411</v>
      </c>
      <c r="H368" s="246" t="s">
        <v>406</v>
      </c>
      <c r="I368" s="18">
        <v>424600000</v>
      </c>
      <c r="J368" s="248">
        <v>44494</v>
      </c>
      <c r="K368" s="248">
        <v>44620</v>
      </c>
      <c r="L368" s="246" t="s">
        <v>2625</v>
      </c>
      <c r="M368" s="246" t="s">
        <v>2852</v>
      </c>
      <c r="N368" s="246"/>
      <c r="O368" s="246" t="s">
        <v>1888</v>
      </c>
      <c r="P368" s="246"/>
      <c r="Q368" s="246"/>
      <c r="R368" s="246"/>
      <c r="S368" s="246"/>
      <c r="T368" s="246"/>
      <c r="U368" s="246"/>
      <c r="V368" s="246"/>
      <c r="W368" s="246"/>
      <c r="X368" s="258" t="s">
        <v>2793</v>
      </c>
      <c r="Y368" s="253">
        <v>61017</v>
      </c>
      <c r="Z368" s="245" t="s">
        <v>2639</v>
      </c>
      <c r="AA368" s="253" t="s">
        <v>2747</v>
      </c>
      <c r="AB368" s="245" t="s">
        <v>2545</v>
      </c>
      <c r="AD368" s="294" t="s">
        <v>2794</v>
      </c>
    </row>
    <row r="369" spans="1:29" s="250" customFormat="1">
      <c r="A369" s="244">
        <v>365</v>
      </c>
      <c r="B369" s="245" t="s">
        <v>407</v>
      </c>
      <c r="C369" s="246" t="s">
        <v>2014</v>
      </c>
      <c r="D369" s="246" t="s">
        <v>404</v>
      </c>
      <c r="E369" s="246" t="s">
        <v>2050</v>
      </c>
      <c r="F369" s="246" t="s">
        <v>405</v>
      </c>
      <c r="G369" s="246" t="s">
        <v>411</v>
      </c>
      <c r="H369" s="246" t="s">
        <v>406</v>
      </c>
      <c r="I369" s="18">
        <v>19800000</v>
      </c>
      <c r="J369" s="248">
        <v>44495</v>
      </c>
      <c r="K369" s="248">
        <v>44561</v>
      </c>
      <c r="L369" s="248">
        <v>44552</v>
      </c>
      <c r="M369" s="248">
        <v>44554</v>
      </c>
      <c r="N369" s="246"/>
      <c r="O369" s="246" t="s">
        <v>846</v>
      </c>
      <c r="P369" s="246"/>
      <c r="Q369" s="246"/>
      <c r="R369" s="246"/>
      <c r="S369" s="246"/>
      <c r="T369" s="246"/>
      <c r="U369" s="246"/>
      <c r="V369" s="246"/>
      <c r="W369" s="246"/>
      <c r="X369" s="253" t="s">
        <v>2387</v>
      </c>
      <c r="Y369" s="244"/>
      <c r="Z369" s="244" t="s">
        <v>2576</v>
      </c>
      <c r="AA369" s="246"/>
      <c r="AB369" s="245"/>
    </row>
    <row r="370" spans="1:29" s="250" customFormat="1">
      <c r="A370" s="244">
        <v>366</v>
      </c>
      <c r="B370" s="245" t="s">
        <v>2051</v>
      </c>
      <c r="C370" s="246" t="s">
        <v>2052</v>
      </c>
      <c r="D370" s="246" t="s">
        <v>414</v>
      </c>
      <c r="E370" s="246" t="s">
        <v>2053</v>
      </c>
      <c r="F370" s="246" t="s">
        <v>405</v>
      </c>
      <c r="G370" s="246" t="s">
        <v>411</v>
      </c>
      <c r="H370" s="246" t="s">
        <v>406</v>
      </c>
      <c r="I370" s="18">
        <f>1500000*1.1</f>
        <v>1650000.0000000002</v>
      </c>
      <c r="J370" s="248">
        <v>44495</v>
      </c>
      <c r="K370" s="248">
        <v>44530</v>
      </c>
      <c r="L370" s="248">
        <v>44495</v>
      </c>
      <c r="M370" s="248">
        <v>44496</v>
      </c>
      <c r="N370" s="246"/>
      <c r="O370" s="246" t="s">
        <v>846</v>
      </c>
      <c r="P370" s="246"/>
      <c r="Q370" s="246"/>
      <c r="R370" s="246"/>
      <c r="S370" s="246"/>
      <c r="T370" s="246"/>
      <c r="U370" s="246"/>
      <c r="V370" s="246"/>
      <c r="W370" s="246"/>
      <c r="X370" s="253" t="s">
        <v>2097</v>
      </c>
      <c r="Y370" s="244"/>
      <c r="Z370" s="244" t="s">
        <v>2145</v>
      </c>
      <c r="AA370" s="246"/>
      <c r="AB370" s="245"/>
    </row>
    <row r="371" spans="1:29" s="250" customFormat="1">
      <c r="A371" s="244">
        <v>367</v>
      </c>
      <c r="B371" s="245" t="s">
        <v>407</v>
      </c>
      <c r="C371" s="246" t="s">
        <v>2067</v>
      </c>
      <c r="D371" s="246" t="s">
        <v>2066</v>
      </c>
      <c r="E371" s="246" t="s">
        <v>2063</v>
      </c>
      <c r="F371" s="246" t="s">
        <v>405</v>
      </c>
      <c r="G371" s="246" t="s">
        <v>411</v>
      </c>
      <c r="H371" s="246" t="s">
        <v>406</v>
      </c>
      <c r="I371" s="26" t="s">
        <v>2064</v>
      </c>
      <c r="J371" s="248">
        <v>44496</v>
      </c>
      <c r="K371" s="246"/>
      <c r="L371" s="246" t="s">
        <v>2397</v>
      </c>
      <c r="M371" s="246" t="s">
        <v>2397</v>
      </c>
      <c r="N371" s="246"/>
      <c r="O371" s="246" t="s">
        <v>2065</v>
      </c>
      <c r="P371" s="246"/>
      <c r="Q371" s="246"/>
      <c r="R371" s="246"/>
      <c r="S371" s="246"/>
      <c r="T371" s="246"/>
      <c r="U371" s="246"/>
      <c r="V371" s="246"/>
      <c r="W371" s="246"/>
      <c r="X371" s="244" t="s">
        <v>2807</v>
      </c>
      <c r="Y371" s="244"/>
      <c r="Z371" s="246"/>
      <c r="AA371" s="246"/>
      <c r="AB371" s="245"/>
    </row>
    <row r="372" spans="1:29" s="250" customFormat="1">
      <c r="A372" s="244">
        <v>368</v>
      </c>
      <c r="B372" s="245" t="s">
        <v>2795</v>
      </c>
      <c r="C372" s="246"/>
      <c r="D372" s="246" t="s">
        <v>409</v>
      </c>
      <c r="E372" s="246" t="s">
        <v>2061</v>
      </c>
      <c r="F372" s="246" t="s">
        <v>405</v>
      </c>
      <c r="G372" s="246" t="s">
        <v>411</v>
      </c>
      <c r="H372" s="246" t="s">
        <v>406</v>
      </c>
      <c r="I372" s="18">
        <v>21800000</v>
      </c>
      <c r="J372" s="248">
        <v>44495</v>
      </c>
      <c r="K372" s="248">
        <v>44512</v>
      </c>
      <c r="L372" s="248">
        <v>44519</v>
      </c>
      <c r="M372" s="248">
        <v>44537</v>
      </c>
      <c r="N372" s="246"/>
      <c r="O372" s="246" t="s">
        <v>2062</v>
      </c>
      <c r="P372" s="246"/>
      <c r="Q372" s="246"/>
      <c r="R372" s="246"/>
      <c r="S372" s="246"/>
      <c r="T372" s="246"/>
      <c r="U372" s="246"/>
      <c r="V372" s="246"/>
      <c r="W372" s="246"/>
      <c r="X372" s="253" t="s">
        <v>2184</v>
      </c>
      <c r="Y372" s="244" t="s">
        <v>2648</v>
      </c>
      <c r="Z372" s="244" t="s">
        <v>2748</v>
      </c>
      <c r="AA372" s="258" t="s">
        <v>2799</v>
      </c>
      <c r="AB372" s="245" t="s">
        <v>2790</v>
      </c>
    </row>
    <row r="373" spans="1:29" s="250" customFormat="1">
      <c r="A373" s="244">
        <v>369</v>
      </c>
      <c r="B373" s="245" t="s">
        <v>664</v>
      </c>
      <c r="C373" s="246"/>
      <c r="D373" s="246" t="s">
        <v>409</v>
      </c>
      <c r="E373" s="246" t="s">
        <v>2060</v>
      </c>
      <c r="F373" s="246" t="s">
        <v>405</v>
      </c>
      <c r="G373" s="246" t="s">
        <v>411</v>
      </c>
      <c r="H373" s="246" t="s">
        <v>406</v>
      </c>
      <c r="I373" s="18">
        <v>78342000</v>
      </c>
      <c r="J373" s="248">
        <v>44497</v>
      </c>
      <c r="K373" s="248">
        <v>44547</v>
      </c>
      <c r="L373" s="248">
        <v>44551</v>
      </c>
      <c r="M373" s="248">
        <v>44553</v>
      </c>
      <c r="N373" s="246"/>
      <c r="O373" s="246" t="s">
        <v>742</v>
      </c>
      <c r="P373" s="246"/>
      <c r="Q373" s="246"/>
      <c r="R373" s="246"/>
      <c r="S373" s="246"/>
      <c r="T373" s="246"/>
      <c r="U373" s="246"/>
      <c r="V373" s="246"/>
      <c r="W373" s="246"/>
      <c r="X373" s="253" t="s">
        <v>2779</v>
      </c>
      <c r="Y373" s="303" t="s">
        <v>2771</v>
      </c>
      <c r="Z373" s="244" t="s">
        <v>2576</v>
      </c>
      <c r="AA373" s="254" t="s">
        <v>2777</v>
      </c>
      <c r="AB373" s="245" t="s">
        <v>2546</v>
      </c>
    </row>
    <row r="374" spans="1:29" s="279" customFormat="1">
      <c r="A374" s="257">
        <v>370</v>
      </c>
      <c r="B374" s="275" t="s">
        <v>407</v>
      </c>
      <c r="C374" s="276" t="s">
        <v>1782</v>
      </c>
      <c r="D374" s="276" t="s">
        <v>409</v>
      </c>
      <c r="E374" s="276" t="s">
        <v>2059</v>
      </c>
      <c r="F374" s="276" t="s">
        <v>519</v>
      </c>
      <c r="G374" s="276" t="s">
        <v>411</v>
      </c>
      <c r="H374" s="246" t="s">
        <v>406</v>
      </c>
      <c r="I374" s="277">
        <v>3102000</v>
      </c>
      <c r="J374" s="278">
        <v>44495</v>
      </c>
      <c r="K374" s="276"/>
      <c r="L374" s="276" t="s">
        <v>2397</v>
      </c>
      <c r="M374" s="276" t="s">
        <v>2397</v>
      </c>
      <c r="N374" s="246"/>
      <c r="O374" s="276" t="s">
        <v>957</v>
      </c>
      <c r="P374" s="246"/>
      <c r="Q374" s="246"/>
      <c r="R374" s="246"/>
      <c r="S374" s="246"/>
      <c r="T374" s="246"/>
      <c r="U374" s="246"/>
      <c r="V374" s="246"/>
      <c r="W374" s="246"/>
      <c r="X374" s="244" t="s">
        <v>2334</v>
      </c>
      <c r="Y374" s="244"/>
      <c r="Z374" s="276"/>
      <c r="AA374" s="276"/>
      <c r="AB374" s="275"/>
    </row>
    <row r="375" spans="1:29" s="250" customFormat="1">
      <c r="A375" s="244">
        <v>371</v>
      </c>
      <c r="B375" s="245" t="s">
        <v>565</v>
      </c>
      <c r="C375" s="246"/>
      <c r="D375" s="246" t="s">
        <v>1051</v>
      </c>
      <c r="E375" s="246" t="s">
        <v>2344</v>
      </c>
      <c r="F375" s="246" t="s">
        <v>405</v>
      </c>
      <c r="G375" s="246" t="s">
        <v>411</v>
      </c>
      <c r="H375" s="246" t="s">
        <v>406</v>
      </c>
      <c r="I375" s="18">
        <v>20130000</v>
      </c>
      <c r="J375" s="248">
        <v>44498</v>
      </c>
      <c r="K375" s="246"/>
      <c r="L375" s="248">
        <v>44498</v>
      </c>
      <c r="M375" s="248">
        <v>44498</v>
      </c>
      <c r="N375" s="246"/>
      <c r="O375" s="246" t="s">
        <v>957</v>
      </c>
      <c r="P375" s="246"/>
      <c r="Q375" s="246"/>
      <c r="R375" s="246"/>
      <c r="S375" s="246"/>
      <c r="T375" s="246"/>
      <c r="U375" s="246"/>
      <c r="V375" s="246"/>
      <c r="W375" s="246"/>
      <c r="X375" s="304" t="s">
        <v>2751</v>
      </c>
      <c r="Y375" s="251"/>
      <c r="Z375" s="246" t="s">
        <v>1278</v>
      </c>
      <c r="AA375" s="258" t="s">
        <v>2750</v>
      </c>
      <c r="AB375" s="245"/>
    </row>
    <row r="376" spans="1:29" s="250" customFormat="1">
      <c r="A376" s="244">
        <v>372</v>
      </c>
      <c r="B376" s="245" t="s">
        <v>407</v>
      </c>
      <c r="C376" s="246" t="s">
        <v>2014</v>
      </c>
      <c r="D376" s="246" t="s">
        <v>404</v>
      </c>
      <c r="E376" s="246" t="s">
        <v>2071</v>
      </c>
      <c r="F376" s="246" t="s">
        <v>405</v>
      </c>
      <c r="G376" s="246" t="s">
        <v>411</v>
      </c>
      <c r="H376" s="246" t="s">
        <v>406</v>
      </c>
      <c r="I376" s="18">
        <v>13640000</v>
      </c>
      <c r="J376" s="248">
        <v>44498</v>
      </c>
      <c r="K376" s="248">
        <v>44561</v>
      </c>
      <c r="L376" s="248">
        <v>44552</v>
      </c>
      <c r="M376" s="248">
        <v>44554</v>
      </c>
      <c r="N376" s="246"/>
      <c r="O376" s="246" t="s">
        <v>846</v>
      </c>
      <c r="P376" s="246"/>
      <c r="Q376" s="246"/>
      <c r="R376" s="246"/>
      <c r="S376" s="246"/>
      <c r="T376" s="246"/>
      <c r="U376" s="246"/>
      <c r="V376" s="246"/>
      <c r="W376" s="246"/>
      <c r="X376" s="253" t="s">
        <v>2387</v>
      </c>
      <c r="Y376" s="244"/>
      <c r="Z376" s="244" t="s">
        <v>2576</v>
      </c>
      <c r="AA376" s="245"/>
      <c r="AB376" s="245"/>
    </row>
    <row r="377" spans="1:29" s="250" customFormat="1">
      <c r="A377" s="244">
        <v>373</v>
      </c>
      <c r="B377" s="245" t="s">
        <v>2069</v>
      </c>
      <c r="C377" s="247" t="s">
        <v>2070</v>
      </c>
      <c r="D377" s="246" t="s">
        <v>409</v>
      </c>
      <c r="E377" s="246" t="s">
        <v>2072</v>
      </c>
      <c r="F377" s="246" t="s">
        <v>405</v>
      </c>
      <c r="G377" s="246" t="s">
        <v>411</v>
      </c>
      <c r="H377" s="246" t="s">
        <v>406</v>
      </c>
      <c r="I377" s="18">
        <v>3400000</v>
      </c>
      <c r="J377" s="248">
        <v>44501</v>
      </c>
      <c r="K377" s="246"/>
      <c r="L377" s="248">
        <v>44501</v>
      </c>
      <c r="M377" s="248">
        <v>44502</v>
      </c>
      <c r="N377" s="246"/>
      <c r="O377" s="246" t="s">
        <v>1042</v>
      </c>
      <c r="P377" s="246"/>
      <c r="Q377" s="246"/>
      <c r="R377" s="246"/>
      <c r="S377" s="246"/>
      <c r="T377" s="246"/>
      <c r="U377" s="246"/>
      <c r="V377" s="246"/>
      <c r="W377" s="246"/>
      <c r="X377" s="253" t="s">
        <v>2336</v>
      </c>
      <c r="Y377" s="251"/>
      <c r="Z377" s="244" t="s">
        <v>2337</v>
      </c>
      <c r="AA377" s="246"/>
      <c r="AB377" s="245"/>
    </row>
    <row r="378" spans="1:29" s="250" customFormat="1">
      <c r="A378" s="244">
        <v>374</v>
      </c>
      <c r="B378" s="245" t="s">
        <v>1141</v>
      </c>
      <c r="C378" s="246" t="s">
        <v>1142</v>
      </c>
      <c r="D378" s="246" t="s">
        <v>1388</v>
      </c>
      <c r="E378" s="246" t="s">
        <v>2421</v>
      </c>
      <c r="F378" s="246" t="s">
        <v>405</v>
      </c>
      <c r="G378" s="246" t="s">
        <v>411</v>
      </c>
      <c r="H378" s="246" t="s">
        <v>406</v>
      </c>
      <c r="I378" s="18">
        <f>19600000*1.1</f>
        <v>21560000</v>
      </c>
      <c r="J378" s="248">
        <v>44503</v>
      </c>
      <c r="K378" s="248">
        <v>44545</v>
      </c>
      <c r="L378" s="248">
        <v>44544</v>
      </c>
      <c r="M378" s="248">
        <v>44554</v>
      </c>
      <c r="N378" s="246"/>
      <c r="O378" s="246" t="s">
        <v>846</v>
      </c>
      <c r="P378" s="246"/>
      <c r="Q378" s="246"/>
      <c r="R378" s="246"/>
      <c r="S378" s="246"/>
      <c r="T378" s="246"/>
      <c r="U378" s="246"/>
      <c r="V378" s="246"/>
      <c r="W378" s="246"/>
      <c r="X378" s="253" t="s">
        <v>2349</v>
      </c>
      <c r="Y378" s="244"/>
      <c r="Z378" s="244" t="s">
        <v>2646</v>
      </c>
      <c r="AA378" s="246"/>
      <c r="AB378" s="245"/>
    </row>
    <row r="379" spans="1:29" s="250" customFormat="1">
      <c r="A379" s="244">
        <v>375</v>
      </c>
      <c r="B379" s="245" t="s">
        <v>550</v>
      </c>
      <c r="C379" s="246"/>
      <c r="D379" s="246" t="s">
        <v>409</v>
      </c>
      <c r="E379" s="246" t="s">
        <v>2079</v>
      </c>
      <c r="F379" s="246" t="s">
        <v>405</v>
      </c>
      <c r="G379" s="246" t="s">
        <v>411</v>
      </c>
      <c r="H379" s="246" t="s">
        <v>406</v>
      </c>
      <c r="I379" s="18">
        <v>2475550</v>
      </c>
      <c r="J379" s="248">
        <v>44503</v>
      </c>
      <c r="K379" s="246"/>
      <c r="L379" s="248">
        <v>44515</v>
      </c>
      <c r="M379" s="248">
        <v>44523</v>
      </c>
      <c r="N379" s="246"/>
      <c r="O379" s="246" t="s">
        <v>742</v>
      </c>
      <c r="P379" s="246"/>
      <c r="Q379" s="246"/>
      <c r="R379" s="246"/>
      <c r="S379" s="246"/>
      <c r="T379" s="246"/>
      <c r="U379" s="246"/>
      <c r="V379" s="246"/>
      <c r="W379" s="246"/>
      <c r="X379" s="258" t="s">
        <v>2561</v>
      </c>
      <c r="Y379" s="244"/>
      <c r="Z379" s="258" t="s">
        <v>2567</v>
      </c>
      <c r="AA379" s="244"/>
      <c r="AB379" s="245" t="s">
        <v>2562</v>
      </c>
    </row>
    <row r="380" spans="1:29" s="250" customFormat="1">
      <c r="A380" s="244">
        <v>376</v>
      </c>
      <c r="B380" s="245" t="s">
        <v>2076</v>
      </c>
      <c r="C380" s="246" t="s">
        <v>2077</v>
      </c>
      <c r="D380" s="246" t="s">
        <v>409</v>
      </c>
      <c r="E380" s="246" t="s">
        <v>2078</v>
      </c>
      <c r="F380" s="246" t="s">
        <v>405</v>
      </c>
      <c r="G380" s="246" t="s">
        <v>411</v>
      </c>
      <c r="H380" s="246" t="s">
        <v>406</v>
      </c>
      <c r="I380" s="18">
        <v>3135000</v>
      </c>
      <c r="J380" s="248">
        <v>44504</v>
      </c>
      <c r="K380" s="246"/>
      <c r="L380" s="248">
        <v>44504</v>
      </c>
      <c r="M380" s="248">
        <v>44504</v>
      </c>
      <c r="N380" s="246"/>
      <c r="O380" s="246" t="s">
        <v>846</v>
      </c>
      <c r="P380" s="246"/>
      <c r="Q380" s="246"/>
      <c r="R380" s="246"/>
      <c r="S380" s="246"/>
      <c r="T380" s="246"/>
      <c r="U380" s="246"/>
      <c r="V380" s="246"/>
      <c r="W380" s="246"/>
      <c r="X380" s="253" t="s">
        <v>2096</v>
      </c>
      <c r="Y380" s="244"/>
      <c r="Z380" s="244" t="s">
        <v>2145</v>
      </c>
      <c r="AA380" s="246"/>
      <c r="AB380" s="245"/>
    </row>
    <row r="381" spans="1:29" s="250" customFormat="1">
      <c r="A381" s="244">
        <v>377</v>
      </c>
      <c r="B381" s="245" t="s">
        <v>1219</v>
      </c>
      <c r="C381" s="246" t="s">
        <v>1223</v>
      </c>
      <c r="D381" s="246" t="s">
        <v>988</v>
      </c>
      <c r="E381" s="246" t="s">
        <v>2089</v>
      </c>
      <c r="F381" s="246" t="s">
        <v>405</v>
      </c>
      <c r="G381" s="246" t="s">
        <v>411</v>
      </c>
      <c r="H381" s="246" t="s">
        <v>406</v>
      </c>
      <c r="I381" s="18">
        <v>3850000</v>
      </c>
      <c r="J381" s="248">
        <v>44504</v>
      </c>
      <c r="K381" s="246"/>
      <c r="L381" s="248">
        <v>44504</v>
      </c>
      <c r="M381" s="248">
        <v>44505</v>
      </c>
      <c r="N381" s="246"/>
      <c r="O381" s="246" t="s">
        <v>753</v>
      </c>
      <c r="P381" s="246"/>
      <c r="Q381" s="246"/>
      <c r="R381" s="246"/>
      <c r="S381" s="246"/>
      <c r="T381" s="246"/>
      <c r="U381" s="246"/>
      <c r="V381" s="246"/>
      <c r="W381" s="246"/>
      <c r="X381" s="253" t="s">
        <v>2507</v>
      </c>
      <c r="Y381" s="244"/>
      <c r="Z381" s="244" t="s">
        <v>2576</v>
      </c>
      <c r="AA381" s="246"/>
      <c r="AB381" s="245"/>
    </row>
    <row r="382" spans="1:29" s="250" customFormat="1">
      <c r="A382" s="244">
        <v>378</v>
      </c>
      <c r="B382" s="245" t="s">
        <v>2081</v>
      </c>
      <c r="C382" s="246" t="s">
        <v>1632</v>
      </c>
      <c r="D382" s="246" t="s">
        <v>899</v>
      </c>
      <c r="E382" s="246" t="s">
        <v>2082</v>
      </c>
      <c r="F382" s="246" t="s">
        <v>405</v>
      </c>
      <c r="G382" s="246" t="s">
        <v>526</v>
      </c>
      <c r="H382" s="246" t="s">
        <v>406</v>
      </c>
      <c r="I382" s="18">
        <v>11000000</v>
      </c>
      <c r="J382" s="248">
        <v>44508</v>
      </c>
      <c r="K382" s="246" t="s">
        <v>526</v>
      </c>
      <c r="L382" s="248">
        <v>44508</v>
      </c>
      <c r="M382" s="248">
        <v>44508</v>
      </c>
      <c r="N382" s="246"/>
      <c r="O382" s="246" t="s">
        <v>691</v>
      </c>
      <c r="P382" s="246"/>
      <c r="Q382" s="246"/>
      <c r="R382" s="246"/>
      <c r="S382" s="246"/>
      <c r="T382" s="246"/>
      <c r="U382" s="246"/>
      <c r="V382" s="246"/>
      <c r="W382" s="246"/>
      <c r="X382" s="253" t="s">
        <v>2083</v>
      </c>
      <c r="Y382" s="244"/>
      <c r="Z382" s="244" t="s">
        <v>2145</v>
      </c>
      <c r="AA382" s="246"/>
      <c r="AB382" s="245"/>
      <c r="AC382" s="246"/>
    </row>
    <row r="383" spans="1:29" s="250" customFormat="1">
      <c r="A383" s="244">
        <v>379</v>
      </c>
      <c r="B383" s="245" t="s">
        <v>2091</v>
      </c>
      <c r="C383" s="246" t="s">
        <v>2093</v>
      </c>
      <c r="D383" s="246" t="s">
        <v>409</v>
      </c>
      <c r="E383" s="246" t="s">
        <v>2090</v>
      </c>
      <c r="F383" s="246" t="s">
        <v>519</v>
      </c>
      <c r="G383" s="246" t="s">
        <v>526</v>
      </c>
      <c r="H383" s="246" t="s">
        <v>406</v>
      </c>
      <c r="I383" s="18">
        <v>165000000</v>
      </c>
      <c r="J383" s="248">
        <v>44508</v>
      </c>
      <c r="K383" s="248">
        <v>45053</v>
      </c>
      <c r="L383" s="248" t="s">
        <v>2875</v>
      </c>
      <c r="M383" s="248" t="s">
        <v>2183</v>
      </c>
      <c r="N383" s="246"/>
      <c r="O383" s="246" t="s">
        <v>706</v>
      </c>
      <c r="P383" s="246"/>
      <c r="Q383" s="246"/>
      <c r="R383" s="246"/>
      <c r="S383" s="246"/>
      <c r="T383" s="246"/>
      <c r="U383" s="246"/>
      <c r="V383" s="246"/>
      <c r="W383" s="246"/>
      <c r="X383" s="244" t="s">
        <v>519</v>
      </c>
      <c r="Y383" s="244"/>
      <c r="Z383" s="246" t="s">
        <v>2752</v>
      </c>
      <c r="AA383" s="246"/>
      <c r="AB383" s="245"/>
    </row>
    <row r="384" spans="1:29" s="250" customFormat="1">
      <c r="A384" s="244">
        <v>380</v>
      </c>
      <c r="B384" s="245" t="s">
        <v>738</v>
      </c>
      <c r="C384" s="246" t="s">
        <v>2095</v>
      </c>
      <c r="E384" s="246" t="s">
        <v>2420</v>
      </c>
      <c r="F384" s="246" t="s">
        <v>405</v>
      </c>
      <c r="G384" s="246" t="s">
        <v>526</v>
      </c>
      <c r="H384" s="246" t="s">
        <v>406</v>
      </c>
      <c r="I384" s="18">
        <v>18612000</v>
      </c>
      <c r="J384" s="248">
        <v>44509</v>
      </c>
      <c r="K384" s="246"/>
      <c r="L384" s="248">
        <v>44544</v>
      </c>
      <c r="M384" s="248">
        <v>44554</v>
      </c>
      <c r="N384" s="246"/>
      <c r="O384" s="246" t="s">
        <v>957</v>
      </c>
      <c r="P384" s="246"/>
      <c r="Q384" s="246"/>
      <c r="R384" s="246"/>
      <c r="S384" s="246"/>
      <c r="T384" s="246"/>
      <c r="U384" s="246"/>
      <c r="V384" s="246"/>
      <c r="W384" s="246"/>
      <c r="X384" s="253" t="s">
        <v>2659</v>
      </c>
      <c r="Y384" s="244"/>
      <c r="Z384" s="244" t="s">
        <v>2660</v>
      </c>
      <c r="AA384" s="246"/>
      <c r="AB384" s="245"/>
    </row>
    <row r="385" spans="1:29" s="250" customFormat="1">
      <c r="A385" s="244">
        <v>381</v>
      </c>
      <c r="B385" s="245" t="s">
        <v>738</v>
      </c>
      <c r="C385" s="246" t="s">
        <v>861</v>
      </c>
      <c r="D385" s="246" t="s">
        <v>988</v>
      </c>
      <c r="E385" s="246" t="s">
        <v>2094</v>
      </c>
      <c r="F385" s="246" t="s">
        <v>405</v>
      </c>
      <c r="G385" s="246" t="s">
        <v>526</v>
      </c>
      <c r="H385" s="246" t="s">
        <v>406</v>
      </c>
      <c r="I385" s="18">
        <v>1980000</v>
      </c>
      <c r="J385" s="248">
        <v>44509</v>
      </c>
      <c r="K385" s="248">
        <v>44538</v>
      </c>
      <c r="L385" s="248">
        <v>44498</v>
      </c>
      <c r="M385" s="248">
        <v>44530</v>
      </c>
      <c r="N385" s="246"/>
      <c r="O385" s="246" t="s">
        <v>957</v>
      </c>
      <c r="P385" s="246"/>
      <c r="Q385" s="246"/>
      <c r="R385" s="246"/>
      <c r="S385" s="246"/>
      <c r="T385" s="246"/>
      <c r="U385" s="246"/>
      <c r="V385" s="246"/>
      <c r="W385" s="246"/>
      <c r="X385" s="244" t="s">
        <v>2176</v>
      </c>
      <c r="Y385" s="254" t="s">
        <v>2653</v>
      </c>
      <c r="Z385" s="244" t="s">
        <v>1278</v>
      </c>
      <c r="AA385" s="253" t="s">
        <v>2652</v>
      </c>
      <c r="AB385" s="245" t="s">
        <v>2474</v>
      </c>
    </row>
    <row r="386" spans="1:29" s="250" customFormat="1">
      <c r="A386" s="244">
        <v>382</v>
      </c>
      <c r="B386" s="245" t="s">
        <v>999</v>
      </c>
      <c r="C386" s="246"/>
      <c r="D386" s="246"/>
      <c r="E386" s="246" t="s">
        <v>2569</v>
      </c>
      <c r="F386" s="246" t="s">
        <v>405</v>
      </c>
      <c r="G386" s="246" t="s">
        <v>526</v>
      </c>
      <c r="H386" s="246" t="s">
        <v>406</v>
      </c>
      <c r="I386" s="18">
        <v>9240000</v>
      </c>
      <c r="J386" s="248">
        <v>44509</v>
      </c>
      <c r="K386" s="246"/>
      <c r="L386" s="248">
        <v>44509</v>
      </c>
      <c r="M386" s="248">
        <v>44515</v>
      </c>
      <c r="N386" s="246"/>
      <c r="O386" s="246" t="s">
        <v>742</v>
      </c>
      <c r="P386" s="246"/>
      <c r="Q386" s="246"/>
      <c r="R386" s="246"/>
      <c r="S386" s="246"/>
      <c r="T386" s="246"/>
      <c r="U386" s="246"/>
      <c r="V386" s="246"/>
      <c r="W386" s="246"/>
      <c r="X386" s="257" t="s">
        <v>2667</v>
      </c>
      <c r="Y386" s="253" t="s">
        <v>2668</v>
      </c>
      <c r="Z386" s="258" t="s">
        <v>2670</v>
      </c>
      <c r="AA386" s="245" t="s">
        <v>2669</v>
      </c>
      <c r="AB386" s="245" t="s">
        <v>2556</v>
      </c>
    </row>
    <row r="387" spans="1:29" s="250" customFormat="1">
      <c r="A387" s="244">
        <v>383</v>
      </c>
      <c r="B387" s="245" t="s">
        <v>1974</v>
      </c>
      <c r="C387" s="246" t="s">
        <v>2101</v>
      </c>
      <c r="D387" s="246" t="s">
        <v>573</v>
      </c>
      <c r="E387" s="246" t="s">
        <v>2098</v>
      </c>
      <c r="F387" s="246" t="s">
        <v>405</v>
      </c>
      <c r="G387" s="246" t="s">
        <v>526</v>
      </c>
      <c r="H387" s="246" t="s">
        <v>406</v>
      </c>
      <c r="I387" s="18">
        <v>48400000</v>
      </c>
      <c r="J387" s="248">
        <v>44510</v>
      </c>
      <c r="K387" s="248">
        <v>44561</v>
      </c>
      <c r="L387" s="248">
        <v>44559</v>
      </c>
      <c r="M387" s="246" t="s">
        <v>2490</v>
      </c>
      <c r="N387" s="246"/>
      <c r="O387" s="246" t="s">
        <v>742</v>
      </c>
      <c r="P387" s="246"/>
      <c r="Q387" s="246"/>
      <c r="R387" s="246"/>
      <c r="S387" s="246"/>
      <c r="T387" s="246"/>
      <c r="U387" s="246"/>
      <c r="V387" s="246"/>
      <c r="W387" s="246"/>
      <c r="X387" s="253" t="s">
        <v>2443</v>
      </c>
      <c r="Y387" s="244"/>
      <c r="Z387" s="244" t="s">
        <v>2516</v>
      </c>
      <c r="AA387" s="255" t="s">
        <v>1554</v>
      </c>
      <c r="AB387" s="245"/>
    </row>
    <row r="388" spans="1:29" s="250" customFormat="1">
      <c r="A388" s="244">
        <v>384</v>
      </c>
      <c r="B388" s="245" t="s">
        <v>407</v>
      </c>
      <c r="C388" s="246" t="s">
        <v>2100</v>
      </c>
      <c r="D388" s="246"/>
      <c r="E388" s="246" t="s">
        <v>2099</v>
      </c>
      <c r="F388" s="246" t="s">
        <v>405</v>
      </c>
      <c r="G388" s="246" t="s">
        <v>526</v>
      </c>
      <c r="H388" s="246" t="s">
        <v>406</v>
      </c>
      <c r="I388" s="18">
        <v>15381300</v>
      </c>
      <c r="J388" s="248">
        <v>44510</v>
      </c>
      <c r="K388" s="246"/>
      <c r="L388" s="248">
        <v>44544</v>
      </c>
      <c r="M388" s="248">
        <v>44547</v>
      </c>
      <c r="N388" s="246"/>
      <c r="O388" s="246" t="s">
        <v>742</v>
      </c>
      <c r="P388" s="246"/>
      <c r="Q388" s="246"/>
      <c r="R388" s="246"/>
      <c r="S388" s="246"/>
      <c r="T388" s="246"/>
      <c r="U388" s="246"/>
      <c r="V388" s="246"/>
      <c r="W388" s="246"/>
      <c r="X388" s="253" t="s">
        <v>2450</v>
      </c>
      <c r="Y388" s="244"/>
      <c r="Z388" s="244" t="s">
        <v>2753</v>
      </c>
      <c r="AA388" s="246"/>
      <c r="AB388" s="245"/>
    </row>
    <row r="389" spans="1:29" s="250" customFormat="1">
      <c r="A389" s="244">
        <v>385</v>
      </c>
      <c r="B389" s="245" t="s">
        <v>1494</v>
      </c>
      <c r="C389" s="246" t="s">
        <v>2116</v>
      </c>
      <c r="D389" s="246" t="s">
        <v>986</v>
      </c>
      <c r="E389" s="246" t="s">
        <v>2114</v>
      </c>
      <c r="F389" s="246" t="s">
        <v>405</v>
      </c>
      <c r="G389" s="246" t="s">
        <v>526</v>
      </c>
      <c r="H389" s="246" t="s">
        <v>406</v>
      </c>
      <c r="I389" s="18">
        <v>1895457</v>
      </c>
      <c r="J389" s="248">
        <v>44510</v>
      </c>
      <c r="K389" s="248">
        <v>44511</v>
      </c>
      <c r="L389" s="248">
        <v>44511</v>
      </c>
      <c r="M389" s="248">
        <v>44512</v>
      </c>
      <c r="N389" s="246"/>
      <c r="O389" s="246" t="s">
        <v>742</v>
      </c>
      <c r="P389" s="246"/>
      <c r="Q389" s="246"/>
      <c r="R389" s="246"/>
      <c r="S389" s="246"/>
      <c r="T389" s="246"/>
      <c r="U389" s="246"/>
      <c r="V389" s="246"/>
      <c r="W389" s="246"/>
      <c r="X389" s="244" t="s">
        <v>2147</v>
      </c>
      <c r="Y389" s="244"/>
      <c r="Z389" s="246" t="s">
        <v>2147</v>
      </c>
      <c r="AA389" s="255" t="s">
        <v>2159</v>
      </c>
      <c r="AB389" s="245"/>
    </row>
    <row r="390" spans="1:29" s="250" customFormat="1">
      <c r="A390" s="244">
        <v>386</v>
      </c>
      <c r="B390" s="245" t="s">
        <v>407</v>
      </c>
      <c r="C390" s="246" t="s">
        <v>1782</v>
      </c>
      <c r="D390" s="246"/>
      <c r="E390" s="246" t="s">
        <v>2115</v>
      </c>
      <c r="F390" s="246" t="s">
        <v>405</v>
      </c>
      <c r="G390" s="246" t="s">
        <v>526</v>
      </c>
      <c r="H390" s="246" t="s">
        <v>406</v>
      </c>
      <c r="I390" s="18">
        <v>3410000</v>
      </c>
      <c r="J390" s="248">
        <v>44510</v>
      </c>
      <c r="K390" s="246"/>
      <c r="L390" s="248">
        <v>44511</v>
      </c>
      <c r="M390" s="248">
        <v>44515</v>
      </c>
      <c r="N390" s="246"/>
      <c r="O390" s="246" t="s">
        <v>957</v>
      </c>
      <c r="P390" s="246"/>
      <c r="Q390" s="246"/>
      <c r="R390" s="246"/>
      <c r="S390" s="246"/>
      <c r="T390" s="246"/>
      <c r="U390" s="246"/>
      <c r="V390" s="246"/>
      <c r="W390" s="246"/>
      <c r="X390" s="253" t="s">
        <v>2506</v>
      </c>
      <c r="Y390" s="244"/>
      <c r="Z390" s="244" t="s">
        <v>2145</v>
      </c>
      <c r="AA390" s="245" t="s">
        <v>2809</v>
      </c>
      <c r="AB390" s="245"/>
    </row>
    <row r="391" spans="1:29" s="250" customFormat="1">
      <c r="A391" s="244">
        <v>387</v>
      </c>
      <c r="B391" s="245" t="s">
        <v>407</v>
      </c>
      <c r="C391" s="246" t="s">
        <v>1782</v>
      </c>
      <c r="D391" s="246"/>
      <c r="E391" s="246" t="s">
        <v>2115</v>
      </c>
      <c r="F391" s="246" t="s">
        <v>405</v>
      </c>
      <c r="G391" s="246" t="s">
        <v>526</v>
      </c>
      <c r="H391" s="246" t="s">
        <v>406</v>
      </c>
      <c r="I391" s="18">
        <v>3410000</v>
      </c>
      <c r="J391" s="248">
        <v>44516</v>
      </c>
      <c r="K391" s="246"/>
      <c r="L391" s="248">
        <v>44519</v>
      </c>
      <c r="M391" s="248">
        <v>44524</v>
      </c>
      <c r="N391" s="246"/>
      <c r="O391" s="246" t="s">
        <v>957</v>
      </c>
      <c r="P391" s="246"/>
      <c r="Q391" s="246"/>
      <c r="R391" s="246"/>
      <c r="S391" s="246"/>
      <c r="T391" s="246"/>
      <c r="U391" s="246"/>
      <c r="V391" s="246"/>
      <c r="W391" s="246"/>
      <c r="X391" s="253" t="s">
        <v>2506</v>
      </c>
      <c r="Y391" s="244"/>
      <c r="Z391" s="244" t="s">
        <v>2564</v>
      </c>
      <c r="AA391" s="245" t="s">
        <v>2809</v>
      </c>
      <c r="AB391" s="245"/>
    </row>
    <row r="392" spans="1:29" s="250" customFormat="1">
      <c r="A392" s="244">
        <v>388</v>
      </c>
      <c r="B392" s="245" t="s">
        <v>407</v>
      </c>
      <c r="C392" s="246" t="s">
        <v>2161</v>
      </c>
      <c r="D392" s="246" t="s">
        <v>409</v>
      </c>
      <c r="E392" s="246" t="s">
        <v>1252</v>
      </c>
      <c r="F392" s="246" t="s">
        <v>405</v>
      </c>
      <c r="G392" s="246" t="s">
        <v>526</v>
      </c>
      <c r="H392" s="246" t="s">
        <v>406</v>
      </c>
      <c r="I392" s="18">
        <v>9900000</v>
      </c>
      <c r="J392" s="248">
        <v>44512</v>
      </c>
      <c r="K392" s="248">
        <v>44540</v>
      </c>
      <c r="L392" s="248">
        <v>44524</v>
      </c>
      <c r="M392" s="248">
        <v>44526</v>
      </c>
      <c r="N392" s="246"/>
      <c r="O392" s="246" t="s">
        <v>742</v>
      </c>
      <c r="P392" s="246"/>
      <c r="Q392" s="246"/>
      <c r="R392" s="246"/>
      <c r="S392" s="246"/>
      <c r="T392" s="246"/>
      <c r="U392" s="246"/>
      <c r="V392" s="246"/>
      <c r="W392" s="246"/>
      <c r="X392" s="253" t="s">
        <v>2163</v>
      </c>
      <c r="Y392" s="244"/>
      <c r="Z392" s="244" t="s">
        <v>2257</v>
      </c>
      <c r="AA392" s="246"/>
      <c r="AB392" s="245"/>
    </row>
    <row r="393" spans="1:29" s="250" customFormat="1">
      <c r="A393" s="244">
        <v>389</v>
      </c>
      <c r="B393" s="245" t="s">
        <v>416</v>
      </c>
      <c r="C393" s="246" t="s">
        <v>505</v>
      </c>
      <c r="D393" s="246"/>
      <c r="E393" s="246" t="s">
        <v>2162</v>
      </c>
      <c r="F393" s="246" t="s">
        <v>405</v>
      </c>
      <c r="G393" s="246" t="s">
        <v>526</v>
      </c>
      <c r="H393" s="246" t="s">
        <v>406</v>
      </c>
      <c r="I393" s="18">
        <v>2156000</v>
      </c>
      <c r="J393" s="248">
        <v>44515</v>
      </c>
      <c r="K393" s="248">
        <v>44540</v>
      </c>
      <c r="L393" s="248">
        <v>44539</v>
      </c>
      <c r="M393" s="248">
        <v>44544</v>
      </c>
      <c r="N393" s="246"/>
      <c r="O393" s="246" t="s">
        <v>742</v>
      </c>
      <c r="P393" s="246"/>
      <c r="Q393" s="246"/>
      <c r="R393" s="246"/>
      <c r="S393" s="246"/>
      <c r="T393" s="246"/>
      <c r="U393" s="246"/>
      <c r="V393" s="246"/>
      <c r="W393" s="246"/>
      <c r="X393" s="253" t="s">
        <v>2452</v>
      </c>
      <c r="Y393" s="244"/>
      <c r="Z393" s="244" t="s">
        <v>2650</v>
      </c>
      <c r="AA393" s="246"/>
      <c r="AB393" s="245"/>
    </row>
    <row r="394" spans="1:29" s="250" customFormat="1">
      <c r="A394" s="244">
        <v>390</v>
      </c>
      <c r="B394" s="245" t="s">
        <v>2160</v>
      </c>
      <c r="C394" s="246"/>
      <c r="D394" s="246"/>
      <c r="E394" s="246" t="s">
        <v>2837</v>
      </c>
      <c r="F394" s="246" t="s">
        <v>405</v>
      </c>
      <c r="G394" s="246" t="s">
        <v>526</v>
      </c>
      <c r="H394" s="246" t="s">
        <v>406</v>
      </c>
      <c r="I394" s="18">
        <v>86900000</v>
      </c>
      <c r="J394" s="248">
        <v>44516</v>
      </c>
      <c r="K394" s="248">
        <v>44918</v>
      </c>
      <c r="L394" s="246"/>
      <c r="N394" s="246"/>
      <c r="O394" s="246" t="s">
        <v>655</v>
      </c>
      <c r="P394" s="246"/>
      <c r="Q394" s="246"/>
      <c r="R394" s="246"/>
      <c r="S394" s="246"/>
      <c r="T394" s="246"/>
      <c r="U394" s="246"/>
      <c r="V394" s="246"/>
      <c r="W394" s="246"/>
      <c r="X394" s="305" t="s">
        <v>2568</v>
      </c>
      <c r="Y394" s="244" t="s">
        <v>2869</v>
      </c>
      <c r="Z394" s="246" t="s">
        <v>2754</v>
      </c>
      <c r="AA394" s="246"/>
      <c r="AB394" s="245"/>
    </row>
    <row r="395" spans="1:29" s="250" customFormat="1">
      <c r="A395" s="244">
        <v>391</v>
      </c>
      <c r="B395" s="245" t="s">
        <v>1670</v>
      </c>
      <c r="C395" s="246" t="s">
        <v>2173</v>
      </c>
      <c r="D395" s="246" t="s">
        <v>744</v>
      </c>
      <c r="E395" s="246" t="s">
        <v>2174</v>
      </c>
      <c r="F395" s="246" t="s">
        <v>405</v>
      </c>
      <c r="G395" s="246" t="s">
        <v>526</v>
      </c>
      <c r="H395" s="246" t="s">
        <v>406</v>
      </c>
      <c r="I395" s="18">
        <v>71500000</v>
      </c>
      <c r="J395" s="248">
        <v>44518</v>
      </c>
      <c r="K395" s="248">
        <v>44214</v>
      </c>
      <c r="L395" s="248">
        <v>44518</v>
      </c>
      <c r="M395" s="248">
        <v>44530</v>
      </c>
      <c r="N395" s="246"/>
      <c r="O395" s="246" t="s">
        <v>691</v>
      </c>
      <c r="P395" s="246"/>
      <c r="Q395" s="246"/>
      <c r="R395" s="246"/>
      <c r="S395" s="246"/>
      <c r="T395" s="246"/>
      <c r="U395" s="246"/>
      <c r="V395" s="246"/>
      <c r="W395" s="246"/>
      <c r="X395" s="257" t="s">
        <v>2756</v>
      </c>
      <c r="Y395" s="244"/>
      <c r="Z395" s="244" t="s">
        <v>2744</v>
      </c>
      <c r="AA395" s="246"/>
      <c r="AB395" s="245" t="s">
        <v>2536</v>
      </c>
      <c r="AC395" s="246"/>
    </row>
    <row r="396" spans="1:29" s="250" customFormat="1">
      <c r="A396" s="244">
        <v>392</v>
      </c>
      <c r="B396" s="245" t="s">
        <v>2051</v>
      </c>
      <c r="C396" s="246"/>
      <c r="D396" s="246" t="s">
        <v>414</v>
      </c>
      <c r="E396" s="246" t="s">
        <v>2293</v>
      </c>
      <c r="F396" s="246" t="s">
        <v>2268</v>
      </c>
      <c r="G396" s="246" t="s">
        <v>2259</v>
      </c>
      <c r="H396" s="246" t="s">
        <v>406</v>
      </c>
      <c r="I396" s="18">
        <v>1210000</v>
      </c>
      <c r="J396" s="248">
        <v>44522</v>
      </c>
      <c r="K396" s="246"/>
      <c r="L396" s="248">
        <v>44522</v>
      </c>
      <c r="M396" s="248">
        <v>44522</v>
      </c>
      <c r="N396" s="246"/>
      <c r="O396" s="246" t="s">
        <v>2283</v>
      </c>
      <c r="P396" s="246"/>
      <c r="Q396" s="246"/>
      <c r="R396" s="246"/>
      <c r="S396" s="246"/>
      <c r="T396" s="246"/>
      <c r="U396" s="246"/>
      <c r="V396" s="246"/>
      <c r="W396" s="246"/>
      <c r="X396" s="253" t="s">
        <v>2333</v>
      </c>
      <c r="Y396" s="244"/>
      <c r="Z396" s="244" t="s">
        <v>2488</v>
      </c>
      <c r="AA396" s="246"/>
      <c r="AB396" s="245"/>
      <c r="AC396" s="246"/>
    </row>
    <row r="397" spans="1:29" s="250" customFormat="1">
      <c r="A397" s="244">
        <v>393</v>
      </c>
      <c r="B397" s="245" t="s">
        <v>2281</v>
      </c>
      <c r="C397" s="246" t="s">
        <v>2291</v>
      </c>
      <c r="D397" s="246" t="s">
        <v>2263</v>
      </c>
      <c r="E397" s="245"/>
      <c r="F397" s="246" t="s">
        <v>2262</v>
      </c>
      <c r="G397" s="246" t="s">
        <v>2259</v>
      </c>
      <c r="H397" s="246" t="s">
        <v>406</v>
      </c>
      <c r="I397" s="18">
        <v>45177000</v>
      </c>
      <c r="J397" s="248">
        <v>44522</v>
      </c>
      <c r="K397" s="248">
        <v>44540</v>
      </c>
      <c r="L397" s="248">
        <v>44552</v>
      </c>
      <c r="M397" s="248">
        <v>44554</v>
      </c>
      <c r="N397" s="246"/>
      <c r="O397" s="246" t="s">
        <v>2292</v>
      </c>
      <c r="P397" s="246"/>
      <c r="Q397" s="246"/>
      <c r="R397" s="246"/>
      <c r="S397" s="246"/>
      <c r="T397" s="246"/>
      <c r="U397" s="246"/>
      <c r="V397" s="246"/>
      <c r="W397" s="246"/>
      <c r="X397" s="244" t="s">
        <v>2262</v>
      </c>
      <c r="Y397" s="244"/>
      <c r="Z397" s="246"/>
      <c r="AA397" s="246"/>
      <c r="AB397" s="245"/>
      <c r="AC397" s="246"/>
    </row>
    <row r="398" spans="1:29" s="250" customFormat="1">
      <c r="A398" s="244">
        <v>394</v>
      </c>
      <c r="B398" s="245" t="s">
        <v>2287</v>
      </c>
      <c r="C398" s="246" t="s">
        <v>2289</v>
      </c>
      <c r="D398" s="246" t="s">
        <v>1131</v>
      </c>
      <c r="E398" s="246" t="s">
        <v>2288</v>
      </c>
      <c r="F398" s="246" t="s">
        <v>519</v>
      </c>
      <c r="G398" s="246" t="s">
        <v>2259</v>
      </c>
      <c r="H398" s="246" t="s">
        <v>406</v>
      </c>
      <c r="I398" s="18">
        <v>5610000</v>
      </c>
      <c r="J398" s="248">
        <v>44523</v>
      </c>
      <c r="K398" s="246"/>
      <c r="L398" s="248">
        <v>44529</v>
      </c>
      <c r="M398" s="248">
        <v>44529</v>
      </c>
      <c r="N398" s="246"/>
      <c r="O398" s="246" t="s">
        <v>2290</v>
      </c>
      <c r="P398" s="246"/>
      <c r="Q398" s="246"/>
      <c r="R398" s="246"/>
      <c r="S398" s="246"/>
      <c r="T398" s="246"/>
      <c r="U398" s="246"/>
      <c r="V398" s="246"/>
      <c r="W398" s="246"/>
      <c r="X398" s="244" t="s">
        <v>2084</v>
      </c>
      <c r="Y398" s="244"/>
      <c r="Z398" s="244" t="s">
        <v>2705</v>
      </c>
      <c r="AA398" s="246"/>
      <c r="AB398" s="245"/>
      <c r="AC398" s="246"/>
    </row>
    <row r="399" spans="1:29" s="250" customFormat="1">
      <c r="A399" s="244">
        <v>395</v>
      </c>
      <c r="B399" s="245" t="s">
        <v>999</v>
      </c>
      <c r="C399" s="246" t="s">
        <v>2285</v>
      </c>
      <c r="D399" s="246" t="s">
        <v>2263</v>
      </c>
      <c r="E399" s="246" t="s">
        <v>2286</v>
      </c>
      <c r="F399" s="246" t="s">
        <v>519</v>
      </c>
      <c r="G399" s="246" t="s">
        <v>2259</v>
      </c>
      <c r="H399" s="246" t="s">
        <v>406</v>
      </c>
      <c r="I399" s="18">
        <v>2970000</v>
      </c>
      <c r="J399" s="248">
        <v>44523</v>
      </c>
      <c r="K399" s="248">
        <v>44532</v>
      </c>
      <c r="L399" s="248">
        <v>44523</v>
      </c>
      <c r="M399" s="248">
        <v>44537</v>
      </c>
      <c r="N399" s="246"/>
      <c r="O399" s="246" t="s">
        <v>742</v>
      </c>
      <c r="P399" s="246"/>
      <c r="Q399" s="246"/>
      <c r="R399" s="246"/>
      <c r="S399" s="246"/>
      <c r="T399" s="246"/>
      <c r="U399" s="246"/>
      <c r="V399" s="246"/>
      <c r="W399" s="246"/>
      <c r="X399" s="244" t="s">
        <v>2084</v>
      </c>
      <c r="Y399" s="244"/>
      <c r="Z399" s="244" t="s">
        <v>2705</v>
      </c>
      <c r="AA399" s="246"/>
      <c r="AB399" s="245"/>
      <c r="AC399" s="246"/>
    </row>
    <row r="400" spans="1:29" s="250" customFormat="1">
      <c r="A400" s="244">
        <v>396</v>
      </c>
      <c r="B400" s="245" t="s">
        <v>2272</v>
      </c>
      <c r="C400" s="246" t="s">
        <v>2284</v>
      </c>
      <c r="D400" s="246" t="s">
        <v>2263</v>
      </c>
      <c r="E400" s="246" t="s">
        <v>1783</v>
      </c>
      <c r="F400" s="246" t="s">
        <v>2268</v>
      </c>
      <c r="G400" s="246" t="s">
        <v>2259</v>
      </c>
      <c r="H400" s="246" t="s">
        <v>406</v>
      </c>
      <c r="I400" s="18">
        <v>3410000</v>
      </c>
      <c r="J400" s="248">
        <v>44523</v>
      </c>
      <c r="K400" s="246"/>
      <c r="L400" s="248">
        <v>44554</v>
      </c>
      <c r="M400" s="246" t="s">
        <v>2485</v>
      </c>
      <c r="N400" s="246"/>
      <c r="O400" s="246" t="s">
        <v>2403</v>
      </c>
      <c r="P400" s="246"/>
      <c r="Q400" s="246"/>
      <c r="R400" s="246"/>
      <c r="S400" s="246"/>
      <c r="T400" s="246"/>
      <c r="U400" s="246"/>
      <c r="V400" s="246"/>
      <c r="W400" s="246"/>
      <c r="X400" s="258" t="s">
        <v>2402</v>
      </c>
      <c r="Y400" s="244"/>
      <c r="Z400" s="246"/>
      <c r="AA400" s="246"/>
      <c r="AB400" s="245"/>
      <c r="AC400" s="246"/>
    </row>
    <row r="401" spans="1:29" s="250" customFormat="1">
      <c r="A401" s="244">
        <v>397</v>
      </c>
      <c r="B401" s="245" t="s">
        <v>2281</v>
      </c>
      <c r="C401" s="246" t="s">
        <v>2282</v>
      </c>
      <c r="D401" s="246" t="s">
        <v>2263</v>
      </c>
      <c r="E401" s="246" t="s">
        <v>2432</v>
      </c>
      <c r="F401" s="246" t="s">
        <v>2268</v>
      </c>
      <c r="G401" s="246" t="s">
        <v>2259</v>
      </c>
      <c r="H401" s="246" t="s">
        <v>406</v>
      </c>
      <c r="I401" s="18">
        <v>10780000</v>
      </c>
      <c r="J401" s="248">
        <v>44523</v>
      </c>
      <c r="K401" s="248">
        <v>44550</v>
      </c>
      <c r="L401" s="248">
        <v>44552</v>
      </c>
      <c r="M401" s="248">
        <v>44553</v>
      </c>
      <c r="N401" s="246"/>
      <c r="O401" s="246" t="s">
        <v>2283</v>
      </c>
      <c r="P401" s="246"/>
      <c r="Q401" s="246"/>
      <c r="R401" s="246"/>
      <c r="S401" s="246"/>
      <c r="T401" s="246"/>
      <c r="U401" s="246"/>
      <c r="V401" s="246"/>
      <c r="W401" s="246"/>
      <c r="X401" s="253" t="s">
        <v>2624</v>
      </c>
      <c r="Y401" s="244"/>
      <c r="Z401" s="244" t="s">
        <v>2757</v>
      </c>
      <c r="AA401" s="246"/>
      <c r="AB401" s="245"/>
      <c r="AC401" s="246"/>
    </row>
    <row r="402" spans="1:29" s="250" customFormat="1">
      <c r="A402" s="244">
        <v>398</v>
      </c>
      <c r="B402" s="245" t="s">
        <v>2278</v>
      </c>
      <c r="C402" s="246"/>
      <c r="D402" s="246" t="s">
        <v>2263</v>
      </c>
      <c r="E402" s="246" t="s">
        <v>2280</v>
      </c>
      <c r="F402" s="246" t="s">
        <v>2268</v>
      </c>
      <c r="G402" s="246" t="s">
        <v>2259</v>
      </c>
      <c r="H402" s="246" t="s">
        <v>406</v>
      </c>
      <c r="I402" s="18">
        <v>77000000</v>
      </c>
      <c r="J402" s="246"/>
      <c r="K402" s="246" t="s">
        <v>2886</v>
      </c>
      <c r="L402" s="246" t="s">
        <v>2298</v>
      </c>
      <c r="M402" s="246" t="s">
        <v>2456</v>
      </c>
      <c r="N402" s="246"/>
      <c r="O402" s="246" t="s">
        <v>2271</v>
      </c>
      <c r="P402" s="246"/>
      <c r="Q402" s="246"/>
      <c r="R402" s="246"/>
      <c r="S402" s="246"/>
      <c r="T402" s="246"/>
      <c r="U402" s="246"/>
      <c r="V402" s="246"/>
      <c r="W402" s="246"/>
      <c r="X402" s="306" t="s">
        <v>2867</v>
      </c>
      <c r="Y402" s="306"/>
      <c r="Z402" s="246" t="s">
        <v>2744</v>
      </c>
      <c r="AA402" s="246"/>
      <c r="AB402" s="245"/>
      <c r="AC402" s="246"/>
    </row>
    <row r="403" spans="1:29" s="250" customFormat="1">
      <c r="A403" s="244">
        <v>399</v>
      </c>
      <c r="B403" s="245" t="s">
        <v>2278</v>
      </c>
      <c r="C403" s="246"/>
      <c r="D403" s="246" t="s">
        <v>988</v>
      </c>
      <c r="E403" s="246" t="s">
        <v>2279</v>
      </c>
      <c r="F403" s="246" t="s">
        <v>2268</v>
      </c>
      <c r="G403" s="246" t="s">
        <v>2259</v>
      </c>
      <c r="H403" s="246" t="s">
        <v>406</v>
      </c>
      <c r="I403" s="18">
        <v>49500000</v>
      </c>
      <c r="K403" s="246" t="s">
        <v>2887</v>
      </c>
      <c r="L403" s="246" t="s">
        <v>2298</v>
      </c>
      <c r="M403" s="246" t="s">
        <v>2456</v>
      </c>
      <c r="N403" s="246"/>
      <c r="O403" s="246" t="s">
        <v>2271</v>
      </c>
      <c r="P403" s="246"/>
      <c r="Q403" s="246"/>
      <c r="R403" s="246"/>
      <c r="S403" s="246"/>
      <c r="T403" s="246"/>
      <c r="U403" s="246"/>
      <c r="V403" s="246"/>
      <c r="W403" s="246"/>
      <c r="X403" s="306" t="s">
        <v>2868</v>
      </c>
      <c r="Y403" s="306"/>
      <c r="Z403" s="246" t="s">
        <v>2758</v>
      </c>
      <c r="AA403" s="246"/>
      <c r="AB403" s="245"/>
      <c r="AC403" s="246"/>
    </row>
    <row r="404" spans="1:29" s="250" customFormat="1">
      <c r="A404" s="244">
        <v>400</v>
      </c>
      <c r="B404" s="245" t="s">
        <v>2276</v>
      </c>
      <c r="C404" s="246"/>
      <c r="D404" s="246" t="s">
        <v>2263</v>
      </c>
      <c r="E404" s="246" t="s">
        <v>2434</v>
      </c>
      <c r="F404" s="246" t="s">
        <v>2268</v>
      </c>
      <c r="G404" s="246" t="s">
        <v>2259</v>
      </c>
      <c r="H404" s="246" t="s">
        <v>406</v>
      </c>
      <c r="I404" s="18">
        <v>2200000</v>
      </c>
      <c r="J404" s="248">
        <v>44524</v>
      </c>
      <c r="K404" s="248">
        <v>44545</v>
      </c>
      <c r="L404" s="248">
        <v>44544</v>
      </c>
      <c r="M404" s="248">
        <v>44552</v>
      </c>
      <c r="N404" s="246"/>
      <c r="O404" s="246" t="s">
        <v>2277</v>
      </c>
      <c r="P404" s="246"/>
      <c r="Q404" s="246"/>
      <c r="R404" s="246"/>
      <c r="S404" s="246"/>
      <c r="T404" s="246"/>
      <c r="U404" s="246"/>
      <c r="V404" s="246"/>
      <c r="W404" s="246"/>
      <c r="X404" s="253" t="s">
        <v>2444</v>
      </c>
      <c r="Y404" s="244"/>
      <c r="Z404" s="244" t="s">
        <v>2660</v>
      </c>
      <c r="AA404" s="246"/>
      <c r="AB404" s="245"/>
      <c r="AC404" s="246"/>
    </row>
    <row r="405" spans="1:29" s="250" customFormat="1">
      <c r="A405" s="244">
        <v>401</v>
      </c>
      <c r="B405" s="245" t="s">
        <v>2272</v>
      </c>
      <c r="C405" s="246" t="s">
        <v>2273</v>
      </c>
      <c r="D405" s="246" t="s">
        <v>2263</v>
      </c>
      <c r="E405" s="246" t="s">
        <v>2274</v>
      </c>
      <c r="F405" s="246" t="s">
        <v>2268</v>
      </c>
      <c r="G405" s="246" t="s">
        <v>2259</v>
      </c>
      <c r="H405" s="246" t="s">
        <v>406</v>
      </c>
      <c r="I405" s="18">
        <v>16500000</v>
      </c>
      <c r="J405" s="248">
        <v>44525</v>
      </c>
      <c r="K405" s="248">
        <v>44530</v>
      </c>
      <c r="L405" s="248">
        <v>44529</v>
      </c>
      <c r="M405" s="248">
        <v>44530</v>
      </c>
      <c r="N405" s="246"/>
      <c r="O405" s="246" t="s">
        <v>2275</v>
      </c>
      <c r="P405" s="246"/>
      <c r="Q405" s="246"/>
      <c r="R405" s="246"/>
      <c r="S405" s="246"/>
      <c r="T405" s="246"/>
      <c r="U405" s="246"/>
      <c r="V405" s="246"/>
      <c r="W405" s="246"/>
      <c r="X405" s="253" t="s">
        <v>2505</v>
      </c>
      <c r="Y405" s="244"/>
      <c r="Z405" s="244" t="s">
        <v>2813</v>
      </c>
      <c r="AA405" s="245"/>
      <c r="AB405" s="245"/>
      <c r="AC405" s="246"/>
    </row>
    <row r="406" spans="1:29" s="250" customFormat="1">
      <c r="A406" s="244">
        <v>402</v>
      </c>
      <c r="B406" s="245" t="s">
        <v>2270</v>
      </c>
      <c r="C406" s="246"/>
      <c r="D406" s="246" t="s">
        <v>2263</v>
      </c>
      <c r="E406" s="246" t="s">
        <v>2345</v>
      </c>
      <c r="F406" s="246" t="s">
        <v>2268</v>
      </c>
      <c r="G406" s="246" t="s">
        <v>2259</v>
      </c>
      <c r="H406" s="246" t="s">
        <v>406</v>
      </c>
      <c r="I406" s="18">
        <v>16665748</v>
      </c>
      <c r="J406" s="246"/>
      <c r="K406" s="246" t="s">
        <v>2876</v>
      </c>
      <c r="L406" s="248">
        <v>44529</v>
      </c>
      <c r="M406" s="248">
        <v>44536</v>
      </c>
      <c r="N406" s="246"/>
      <c r="O406" s="246" t="s">
        <v>2271</v>
      </c>
      <c r="P406" s="246"/>
      <c r="Q406" s="246"/>
      <c r="R406" s="246"/>
      <c r="S406" s="246"/>
      <c r="T406" s="246"/>
      <c r="U406" s="246"/>
      <c r="V406" s="246"/>
      <c r="W406" s="246"/>
      <c r="X406" s="253" t="s">
        <v>2759</v>
      </c>
      <c r="Y406" s="244" t="s">
        <v>2829</v>
      </c>
      <c r="Z406" s="244" t="s">
        <v>2760</v>
      </c>
      <c r="AA406" s="245" t="s">
        <v>2761</v>
      </c>
      <c r="AB406" s="245"/>
      <c r="AC406" s="246"/>
    </row>
    <row r="407" spans="1:29" s="250" customFormat="1">
      <c r="A407" s="244">
        <v>403</v>
      </c>
      <c r="B407" s="245" t="s">
        <v>2264</v>
      </c>
      <c r="C407" s="246" t="s">
        <v>2265</v>
      </c>
      <c r="D407" s="246" t="s">
        <v>2267</v>
      </c>
      <c r="E407" s="246" t="s">
        <v>2266</v>
      </c>
      <c r="F407" s="246" t="s">
        <v>2268</v>
      </c>
      <c r="G407" s="246" t="s">
        <v>2259</v>
      </c>
      <c r="H407" s="246" t="s">
        <v>406</v>
      </c>
      <c r="I407" s="18">
        <v>10500000</v>
      </c>
      <c r="J407" s="248">
        <v>44526</v>
      </c>
      <c r="K407" s="248">
        <v>44582</v>
      </c>
      <c r="L407" s="248">
        <v>44536</v>
      </c>
      <c r="M407" s="246" t="s">
        <v>2458</v>
      </c>
      <c r="N407" s="246"/>
      <c r="O407" s="246" t="s">
        <v>2269</v>
      </c>
      <c r="P407" s="246"/>
      <c r="Q407" s="246"/>
      <c r="R407" s="246"/>
      <c r="S407" s="246"/>
      <c r="T407" s="246"/>
      <c r="U407" s="246"/>
      <c r="V407" s="246"/>
      <c r="W407" s="246"/>
      <c r="X407" s="253" t="s">
        <v>2446</v>
      </c>
      <c r="Y407" s="244"/>
      <c r="Z407" s="244" t="s">
        <v>2619</v>
      </c>
      <c r="AA407" s="246"/>
      <c r="AB407" s="245"/>
      <c r="AC407" s="246"/>
    </row>
    <row r="408" spans="1:29" s="250" customFormat="1" ht="15.75" customHeight="1">
      <c r="A408" s="244">
        <v>404</v>
      </c>
      <c r="B408" s="245" t="s">
        <v>2258</v>
      </c>
      <c r="C408" s="246" t="s">
        <v>2259</v>
      </c>
      <c r="D408" s="246" t="s">
        <v>2263</v>
      </c>
      <c r="E408" s="245" t="s">
        <v>2261</v>
      </c>
      <c r="F408" s="246" t="s">
        <v>2262</v>
      </c>
      <c r="G408" s="246" t="s">
        <v>2259</v>
      </c>
      <c r="H408" s="246" t="s">
        <v>406</v>
      </c>
      <c r="I408" s="18">
        <v>25300000</v>
      </c>
      <c r="J408" s="248">
        <v>44526</v>
      </c>
      <c r="K408" s="248">
        <v>44676</v>
      </c>
      <c r="L408" s="246" t="s">
        <v>2851</v>
      </c>
      <c r="M408" s="246" t="s">
        <v>2850</v>
      </c>
      <c r="N408" s="246"/>
      <c r="O408" s="246" t="s">
        <v>2260</v>
      </c>
      <c r="P408" s="246"/>
      <c r="Q408" s="246"/>
      <c r="R408" s="246"/>
      <c r="S408" s="246"/>
      <c r="T408" s="246"/>
      <c r="U408" s="246"/>
      <c r="V408" s="246"/>
      <c r="W408" s="246"/>
      <c r="X408" s="244" t="s">
        <v>2262</v>
      </c>
      <c r="Y408" s="244"/>
      <c r="Z408" s="246" t="s">
        <v>2744</v>
      </c>
      <c r="AA408" s="246"/>
      <c r="AB408" s="245"/>
      <c r="AC408" s="246"/>
    </row>
    <row r="409" spans="1:29" s="250" customFormat="1">
      <c r="A409" s="244">
        <v>405</v>
      </c>
      <c r="B409" s="245" t="s">
        <v>738</v>
      </c>
      <c r="C409" s="246" t="s">
        <v>861</v>
      </c>
      <c r="D409" s="246" t="s">
        <v>1051</v>
      </c>
      <c r="E409" s="246" t="s">
        <v>2297</v>
      </c>
      <c r="F409" s="246" t="s">
        <v>405</v>
      </c>
      <c r="G409" s="246" t="s">
        <v>411</v>
      </c>
      <c r="H409" s="246" t="s">
        <v>406</v>
      </c>
      <c r="I409" s="18">
        <v>9570000</v>
      </c>
      <c r="J409" s="248">
        <v>44526</v>
      </c>
      <c r="K409" s="246" t="s">
        <v>2876</v>
      </c>
      <c r="L409" s="248">
        <v>44526</v>
      </c>
      <c r="M409" s="248">
        <v>44554</v>
      </c>
      <c r="N409" s="246"/>
      <c r="O409" s="246" t="s">
        <v>957</v>
      </c>
      <c r="P409" s="246"/>
      <c r="Q409" s="246"/>
      <c r="R409" s="246"/>
      <c r="S409" s="246"/>
      <c r="T409" s="246"/>
      <c r="U409" s="246"/>
      <c r="V409" s="246"/>
      <c r="W409" s="246"/>
      <c r="X409" s="253" t="s">
        <v>2463</v>
      </c>
      <c r="Y409" s="244"/>
      <c r="Z409" s="244" t="s">
        <v>2524</v>
      </c>
      <c r="AA409" s="246"/>
      <c r="AB409" s="245"/>
      <c r="AC409" s="246"/>
    </row>
    <row r="410" spans="1:29" s="250" customFormat="1">
      <c r="A410" s="244">
        <v>406</v>
      </c>
      <c r="B410" s="245" t="s">
        <v>407</v>
      </c>
      <c r="C410" s="246" t="s">
        <v>727</v>
      </c>
      <c r="D410" s="246" t="s">
        <v>532</v>
      </c>
      <c r="E410" s="246" t="s">
        <v>2303</v>
      </c>
      <c r="F410" s="246" t="s">
        <v>405</v>
      </c>
      <c r="G410" s="246" t="s">
        <v>411</v>
      </c>
      <c r="H410" s="246" t="s">
        <v>406</v>
      </c>
      <c r="I410" s="18">
        <v>1980000</v>
      </c>
      <c r="J410" s="248">
        <v>44529</v>
      </c>
      <c r="K410" s="246" t="s">
        <v>2877</v>
      </c>
      <c r="L410" s="248">
        <v>44529</v>
      </c>
      <c r="M410" s="248">
        <v>44531</v>
      </c>
      <c r="N410" s="246"/>
      <c r="O410" s="246" t="s">
        <v>957</v>
      </c>
      <c r="P410" s="246"/>
      <c r="Q410" s="246"/>
      <c r="R410" s="246"/>
      <c r="S410" s="246"/>
      <c r="T410" s="246"/>
      <c r="U410" s="246"/>
      <c r="V410" s="246"/>
      <c r="W410" s="246"/>
      <c r="X410" s="258" t="s">
        <v>2523</v>
      </c>
      <c r="Y410" s="244"/>
      <c r="Z410" s="246"/>
      <c r="AA410" s="246"/>
      <c r="AB410" s="245"/>
      <c r="AC410" s="246"/>
    </row>
    <row r="411" spans="1:29" s="250" customFormat="1">
      <c r="A411" s="244">
        <v>407</v>
      </c>
      <c r="B411" s="245" t="s">
        <v>999</v>
      </c>
      <c r="C411" s="246" t="s">
        <v>2301</v>
      </c>
      <c r="D411" s="246" t="s">
        <v>410</v>
      </c>
      <c r="E411" s="246" t="s">
        <v>2304</v>
      </c>
      <c r="F411" s="246" t="s">
        <v>405</v>
      </c>
      <c r="G411" s="246" t="s">
        <v>411</v>
      </c>
      <c r="H411" s="246" t="s">
        <v>406</v>
      </c>
      <c r="I411" s="18">
        <v>8800000</v>
      </c>
      <c r="J411" s="248">
        <v>44529</v>
      </c>
      <c r="K411" s="246"/>
      <c r="L411" s="248">
        <v>44529</v>
      </c>
      <c r="M411" s="248">
        <v>44537</v>
      </c>
      <c r="N411" s="246"/>
      <c r="O411" s="246" t="s">
        <v>742</v>
      </c>
      <c r="P411" s="246"/>
      <c r="Q411" s="246"/>
      <c r="R411" s="246"/>
      <c r="S411" s="246"/>
      <c r="T411" s="246"/>
      <c r="U411" s="246"/>
      <c r="V411" s="246"/>
      <c r="W411" s="246"/>
      <c r="X411" s="253" t="s">
        <v>2445</v>
      </c>
      <c r="Y411" s="244" t="s">
        <v>2827</v>
      </c>
      <c r="Z411" s="244" t="s">
        <v>2576</v>
      </c>
      <c r="AA411" s="258" t="s">
        <v>2828</v>
      </c>
      <c r="AB411" s="245"/>
      <c r="AC411" s="246"/>
    </row>
    <row r="412" spans="1:29" s="250" customFormat="1">
      <c r="A412" s="244">
        <v>408</v>
      </c>
      <c r="B412" s="245" t="s">
        <v>2300</v>
      </c>
      <c r="C412" s="246" t="s">
        <v>2302</v>
      </c>
      <c r="D412" s="246" t="s">
        <v>1388</v>
      </c>
      <c r="E412" s="246" t="s">
        <v>2305</v>
      </c>
      <c r="F412" s="246" t="s">
        <v>405</v>
      </c>
      <c r="G412" s="246" t="s">
        <v>411</v>
      </c>
      <c r="H412" s="246" t="s">
        <v>406</v>
      </c>
      <c r="I412" s="18">
        <v>2970000</v>
      </c>
      <c r="J412" s="248">
        <v>44530</v>
      </c>
      <c r="K412" s="246" t="s">
        <v>2878</v>
      </c>
      <c r="L412" s="246" t="s">
        <v>2703</v>
      </c>
      <c r="M412" s="246" t="s">
        <v>2749</v>
      </c>
      <c r="N412" s="246"/>
      <c r="O412" s="246" t="s">
        <v>846</v>
      </c>
      <c r="P412" s="246"/>
      <c r="Q412" s="246"/>
      <c r="R412" s="246"/>
      <c r="S412" s="246"/>
      <c r="T412" s="246"/>
      <c r="U412" s="246"/>
      <c r="V412" s="246"/>
      <c r="W412" s="246"/>
      <c r="X412" s="306" t="s">
        <v>2514</v>
      </c>
      <c r="Y412" s="306"/>
      <c r="Z412" s="246"/>
      <c r="AA412" s="246"/>
      <c r="AB412" s="245"/>
      <c r="AC412" s="246"/>
    </row>
    <row r="413" spans="1:29" s="250" customFormat="1">
      <c r="A413" s="244">
        <v>409</v>
      </c>
      <c r="B413" s="245" t="s">
        <v>633</v>
      </c>
      <c r="C413" s="246" t="s">
        <v>634</v>
      </c>
      <c r="D413" s="246" t="s">
        <v>404</v>
      </c>
      <c r="E413" s="246" t="s">
        <v>2306</v>
      </c>
      <c r="F413" s="246" t="s">
        <v>405</v>
      </c>
      <c r="G413" s="246" t="s">
        <v>411</v>
      </c>
      <c r="H413" s="246" t="s">
        <v>406</v>
      </c>
      <c r="I413" s="18">
        <v>19360000</v>
      </c>
      <c r="J413" s="248">
        <v>44531</v>
      </c>
      <c r="K413" s="246" t="s">
        <v>2878</v>
      </c>
      <c r="L413" s="246" t="s">
        <v>2836</v>
      </c>
      <c r="M413" s="246" t="s">
        <v>2839</v>
      </c>
      <c r="N413" s="246"/>
      <c r="O413" s="246" t="s">
        <v>742</v>
      </c>
      <c r="P413" s="246"/>
      <c r="Q413" s="246"/>
      <c r="R413" s="246"/>
      <c r="S413" s="246"/>
      <c r="T413" s="246"/>
      <c r="U413" s="246"/>
      <c r="V413" s="246"/>
      <c r="W413" s="246"/>
      <c r="X413" s="306" t="s">
        <v>2514</v>
      </c>
      <c r="Y413" s="306"/>
      <c r="Z413" s="246"/>
      <c r="AA413" s="246"/>
      <c r="AB413" s="245"/>
      <c r="AC413" s="246"/>
    </row>
    <row r="414" spans="1:29" s="250" customFormat="1">
      <c r="A414" s="244">
        <v>410</v>
      </c>
      <c r="B414" s="245" t="s">
        <v>633</v>
      </c>
      <c r="C414" s="246" t="s">
        <v>634</v>
      </c>
      <c r="D414" s="246" t="s">
        <v>1051</v>
      </c>
      <c r="E414" s="246" t="s">
        <v>2307</v>
      </c>
      <c r="F414" s="246" t="s">
        <v>405</v>
      </c>
      <c r="G414" s="246" t="s">
        <v>411</v>
      </c>
      <c r="H414" s="246" t="s">
        <v>406</v>
      </c>
      <c r="I414" s="18">
        <v>9350000</v>
      </c>
      <c r="J414" s="248">
        <v>44531</v>
      </c>
      <c r="K414" s="246" t="s">
        <v>2878</v>
      </c>
      <c r="L414" s="246" t="s">
        <v>2816</v>
      </c>
      <c r="M414" s="246" t="s">
        <v>2863</v>
      </c>
      <c r="N414" s="246"/>
      <c r="O414" s="246" t="s">
        <v>742</v>
      </c>
      <c r="P414" s="246"/>
      <c r="Q414" s="246"/>
      <c r="R414" s="246"/>
      <c r="S414" s="246"/>
      <c r="T414" s="246"/>
      <c r="U414" s="246"/>
      <c r="V414" s="246"/>
      <c r="W414" s="246"/>
      <c r="X414" s="306" t="s">
        <v>2514</v>
      </c>
      <c r="Y414" s="251">
        <v>66438</v>
      </c>
      <c r="Z414" s="246"/>
      <c r="AA414" s="246"/>
      <c r="AB414" s="245"/>
      <c r="AC414" s="246"/>
    </row>
    <row r="415" spans="1:29" s="250" customFormat="1">
      <c r="A415" s="244">
        <v>411</v>
      </c>
      <c r="B415" s="245" t="s">
        <v>633</v>
      </c>
      <c r="C415" s="246" t="s">
        <v>634</v>
      </c>
      <c r="D415" s="246" t="s">
        <v>532</v>
      </c>
      <c r="E415" s="246" t="s">
        <v>1487</v>
      </c>
      <c r="F415" s="246" t="s">
        <v>405</v>
      </c>
      <c r="G415" s="246" t="s">
        <v>411</v>
      </c>
      <c r="H415" s="246" t="s">
        <v>406</v>
      </c>
      <c r="I415" s="18">
        <v>7920000</v>
      </c>
      <c r="J415" s="248">
        <v>44531</v>
      </c>
      <c r="K415" s="246"/>
      <c r="L415" s="246" t="s">
        <v>2491</v>
      </c>
      <c r="M415" s="246" t="s">
        <v>2663</v>
      </c>
      <c r="N415" s="246"/>
      <c r="O415" s="246" t="s">
        <v>742</v>
      </c>
      <c r="P415" s="246"/>
      <c r="Q415" s="246"/>
      <c r="R415" s="246"/>
      <c r="S415" s="246"/>
      <c r="T415" s="246"/>
      <c r="U415" s="246"/>
      <c r="V415" s="246"/>
      <c r="W415" s="246"/>
      <c r="X415" s="253" t="s">
        <v>2462</v>
      </c>
      <c r="Y415" s="244" t="s">
        <v>2825</v>
      </c>
      <c r="Z415" s="244" t="s">
        <v>2658</v>
      </c>
      <c r="AA415" s="246"/>
      <c r="AB415" s="245"/>
      <c r="AC415" s="246"/>
    </row>
    <row r="416" spans="1:29" s="250" customFormat="1">
      <c r="A416" s="244">
        <v>412</v>
      </c>
      <c r="B416" s="245" t="s">
        <v>1219</v>
      </c>
      <c r="C416" s="246" t="s">
        <v>1477</v>
      </c>
      <c r="D416" s="246" t="s">
        <v>410</v>
      </c>
      <c r="E416" s="246" t="s">
        <v>2308</v>
      </c>
      <c r="F416" s="246" t="s">
        <v>405</v>
      </c>
      <c r="G416" s="246" t="s">
        <v>411</v>
      </c>
      <c r="H416" s="246" t="s">
        <v>406</v>
      </c>
      <c r="I416" s="18">
        <v>17600000</v>
      </c>
      <c r="J416" s="248">
        <v>44532</v>
      </c>
      <c r="K416" s="246" t="s">
        <v>2878</v>
      </c>
      <c r="L416" s="246" t="s">
        <v>2683</v>
      </c>
      <c r="M416" s="246" t="s">
        <v>2864</v>
      </c>
      <c r="N416" s="246"/>
      <c r="O416" s="246" t="s">
        <v>742</v>
      </c>
      <c r="P416" s="246"/>
      <c r="Q416" s="246"/>
      <c r="R416" s="246"/>
      <c r="S416" s="246"/>
      <c r="T416" s="246"/>
      <c r="U416" s="246"/>
      <c r="V416" s="246"/>
      <c r="W416" s="246"/>
      <c r="X416" s="306" t="s">
        <v>2514</v>
      </c>
      <c r="Y416" s="253">
        <v>52995</v>
      </c>
      <c r="Z416" s="246" t="s">
        <v>2826</v>
      </c>
      <c r="AA416" s="246"/>
      <c r="AB416" s="245"/>
      <c r="AC416" s="246"/>
    </row>
    <row r="417" spans="1:29" s="250" customFormat="1">
      <c r="A417" s="244">
        <v>413</v>
      </c>
      <c r="B417" s="245" t="s">
        <v>813</v>
      </c>
      <c r="C417" s="246" t="s">
        <v>1481</v>
      </c>
      <c r="D417" s="246" t="s">
        <v>1631</v>
      </c>
      <c r="E417" s="246" t="s">
        <v>2309</v>
      </c>
      <c r="F417" s="246" t="s">
        <v>405</v>
      </c>
      <c r="G417" s="246" t="s">
        <v>411</v>
      </c>
      <c r="H417" s="246" t="s">
        <v>406</v>
      </c>
      <c r="I417" s="18">
        <v>167200000</v>
      </c>
      <c r="J417" s="248">
        <v>44532</v>
      </c>
      <c r="K417" s="248">
        <v>44683</v>
      </c>
      <c r="L417" s="246" t="s">
        <v>2858</v>
      </c>
      <c r="M417" s="246" t="s">
        <v>2859</v>
      </c>
      <c r="N417" s="246"/>
      <c r="O417" s="246" t="s">
        <v>691</v>
      </c>
      <c r="P417" s="246"/>
      <c r="Q417" s="246"/>
      <c r="R417" s="246"/>
      <c r="S417" s="246"/>
      <c r="T417" s="246"/>
      <c r="U417" s="246"/>
      <c r="V417" s="246"/>
      <c r="W417" s="246"/>
      <c r="X417" s="306" t="s">
        <v>2514</v>
      </c>
      <c r="Y417" s="306"/>
      <c r="Z417" s="246"/>
      <c r="AA417" s="246"/>
      <c r="AB417" s="245"/>
      <c r="AC417" s="246"/>
    </row>
    <row r="418" spans="1:29" s="250" customFormat="1">
      <c r="A418" s="244">
        <v>414</v>
      </c>
      <c r="B418" s="245" t="s">
        <v>2310</v>
      </c>
      <c r="C418" s="246" t="s">
        <v>2312</v>
      </c>
      <c r="D418" s="246" t="s">
        <v>1051</v>
      </c>
      <c r="E418" s="246" t="s">
        <v>2326</v>
      </c>
      <c r="F418" s="246" t="s">
        <v>2327</v>
      </c>
      <c r="G418" s="246" t="s">
        <v>2324</v>
      </c>
      <c r="H418" s="246" t="s">
        <v>406</v>
      </c>
      <c r="I418" s="18">
        <v>3850000</v>
      </c>
      <c r="J418" s="248">
        <v>44533</v>
      </c>
      <c r="K418" s="248">
        <v>44540</v>
      </c>
      <c r="L418" s="248">
        <v>44533</v>
      </c>
      <c r="M418" s="248">
        <v>44533</v>
      </c>
      <c r="N418" s="246"/>
      <c r="O418" s="246" t="s">
        <v>2325</v>
      </c>
      <c r="P418" s="246"/>
      <c r="Q418" s="246"/>
      <c r="R418" s="246"/>
      <c r="S418" s="246"/>
      <c r="T418" s="246"/>
      <c r="U418" s="246"/>
      <c r="V418" s="246"/>
      <c r="W418" s="246"/>
      <c r="X418" s="244"/>
      <c r="Y418" s="304"/>
      <c r="Z418" s="244" t="s">
        <v>2764</v>
      </c>
      <c r="AA418" s="304" t="s">
        <v>2529</v>
      </c>
      <c r="AB418" s="245"/>
      <c r="AC418" s="246"/>
    </row>
    <row r="419" spans="1:29" s="250" customFormat="1">
      <c r="A419" s="244">
        <v>415</v>
      </c>
      <c r="B419" s="245" t="s">
        <v>2311</v>
      </c>
      <c r="C419" s="246" t="s">
        <v>2313</v>
      </c>
      <c r="D419" s="246" t="s">
        <v>410</v>
      </c>
      <c r="E419" s="246" t="s">
        <v>2315</v>
      </c>
      <c r="F419" s="246" t="s">
        <v>2318</v>
      </c>
      <c r="G419" s="246" t="s">
        <v>2319</v>
      </c>
      <c r="H419" s="246" t="s">
        <v>406</v>
      </c>
      <c r="I419" s="18">
        <v>19800000</v>
      </c>
      <c r="J419" s="248">
        <v>44533</v>
      </c>
      <c r="K419" s="246"/>
      <c r="L419" s="248">
        <v>44558</v>
      </c>
      <c r="M419" s="248">
        <v>44560</v>
      </c>
      <c r="N419" s="246"/>
      <c r="O419" s="246" t="s">
        <v>2320</v>
      </c>
      <c r="P419" s="246"/>
      <c r="Q419" s="246"/>
      <c r="R419" s="246"/>
      <c r="S419" s="246"/>
      <c r="T419" s="246"/>
      <c r="U419" s="246"/>
      <c r="V419" s="246"/>
      <c r="W419" s="246"/>
      <c r="X419" s="253" t="s">
        <v>2441</v>
      </c>
      <c r="Y419" s="244"/>
      <c r="Z419" s="244" t="s">
        <v>2576</v>
      </c>
      <c r="AA419" s="246"/>
      <c r="AB419" s="245"/>
      <c r="AC419" s="246"/>
    </row>
    <row r="420" spans="1:29" s="250" customFormat="1">
      <c r="A420" s="244">
        <v>416</v>
      </c>
      <c r="B420" s="245" t="s">
        <v>2311</v>
      </c>
      <c r="C420" s="246" t="s">
        <v>1782</v>
      </c>
      <c r="D420" s="246" t="s">
        <v>2314</v>
      </c>
      <c r="E420" s="246" t="s">
        <v>2316</v>
      </c>
      <c r="F420" s="246" t="s">
        <v>405</v>
      </c>
      <c r="G420" s="246" t="s">
        <v>2319</v>
      </c>
      <c r="H420" s="246" t="s">
        <v>406</v>
      </c>
      <c r="I420" s="18">
        <v>12100000</v>
      </c>
      <c r="J420" s="248">
        <v>44533</v>
      </c>
      <c r="K420" s="246"/>
      <c r="L420" s="248">
        <v>44540</v>
      </c>
      <c r="M420" s="248">
        <v>44545</v>
      </c>
      <c r="N420" s="246"/>
      <c r="O420" s="246" t="s">
        <v>2320</v>
      </c>
      <c r="P420" s="246"/>
      <c r="Q420" s="246"/>
      <c r="R420" s="246"/>
      <c r="S420" s="246"/>
      <c r="T420" s="246"/>
      <c r="U420" s="246"/>
      <c r="V420" s="246"/>
      <c r="W420" s="246"/>
      <c r="X420" s="253" t="s">
        <v>2442</v>
      </c>
      <c r="Y420" s="244"/>
      <c r="Z420" s="244" t="s">
        <v>2576</v>
      </c>
      <c r="AA420" s="246"/>
      <c r="AB420" s="245"/>
      <c r="AC420" s="246"/>
    </row>
    <row r="421" spans="1:29" s="250" customFormat="1">
      <c r="A421" s="244">
        <v>417</v>
      </c>
      <c r="B421" s="245" t="s">
        <v>2311</v>
      </c>
      <c r="C421" s="246" t="s">
        <v>1782</v>
      </c>
      <c r="D421" s="246" t="s">
        <v>2314</v>
      </c>
      <c r="E421" s="246" t="s">
        <v>2317</v>
      </c>
      <c r="F421" s="246" t="s">
        <v>405</v>
      </c>
      <c r="G421" s="246" t="s">
        <v>2319</v>
      </c>
      <c r="H421" s="246" t="s">
        <v>406</v>
      </c>
      <c r="I421" s="18">
        <v>13200000</v>
      </c>
      <c r="J421" s="248">
        <v>44533</v>
      </c>
      <c r="K421" s="246" t="s">
        <v>2879</v>
      </c>
      <c r="L421" s="248">
        <v>44540</v>
      </c>
      <c r="M421" s="248">
        <v>44545</v>
      </c>
      <c r="N421" s="246"/>
      <c r="O421" s="246" t="s">
        <v>2320</v>
      </c>
      <c r="P421" s="246"/>
      <c r="Q421" s="246"/>
      <c r="R421" s="246"/>
      <c r="S421" s="246"/>
      <c r="T421" s="246"/>
      <c r="U421" s="246"/>
      <c r="V421" s="246"/>
      <c r="W421" s="246"/>
      <c r="X421" s="253" t="s">
        <v>2645</v>
      </c>
      <c r="Y421" s="244"/>
      <c r="Z421" s="244" t="s">
        <v>2576</v>
      </c>
      <c r="AA421" s="246"/>
      <c r="AB421" s="245"/>
      <c r="AC421" s="246"/>
    </row>
    <row r="422" spans="1:29" s="250" customFormat="1">
      <c r="A422" s="244">
        <v>418</v>
      </c>
      <c r="B422" s="245" t="s">
        <v>2321</v>
      </c>
      <c r="C422" s="246" t="s">
        <v>2322</v>
      </c>
      <c r="D422" s="246" t="s">
        <v>544</v>
      </c>
      <c r="E422" s="246" t="s">
        <v>2323</v>
      </c>
      <c r="F422" s="246" t="s">
        <v>405</v>
      </c>
      <c r="G422" s="246" t="s">
        <v>2324</v>
      </c>
      <c r="H422" s="246" t="s">
        <v>406</v>
      </c>
      <c r="I422" s="18">
        <v>25009600</v>
      </c>
      <c r="J422" s="248">
        <v>44533</v>
      </c>
      <c r="K422" s="293">
        <v>44620</v>
      </c>
      <c r="L422" s="246" t="s">
        <v>2853</v>
      </c>
      <c r="M422" s="246" t="s">
        <v>2854</v>
      </c>
      <c r="N422" s="246"/>
      <c r="O422" s="246" t="s">
        <v>742</v>
      </c>
      <c r="P422" s="246"/>
      <c r="Q422" s="246"/>
      <c r="R422" s="246"/>
      <c r="S422" s="246"/>
      <c r="T422" s="246"/>
      <c r="U422" s="246"/>
      <c r="V422" s="246"/>
      <c r="W422" s="246"/>
      <c r="X422" s="306" t="s">
        <v>2514</v>
      </c>
      <c r="Y422" s="306"/>
      <c r="Z422" s="246"/>
      <c r="AA422" s="246"/>
      <c r="AB422" s="245"/>
      <c r="AC422" s="246"/>
    </row>
    <row r="423" spans="1:29" s="250" customFormat="1">
      <c r="A423" s="244">
        <v>419</v>
      </c>
      <c r="B423" s="245" t="s">
        <v>1245</v>
      </c>
      <c r="C423" s="246"/>
      <c r="D423" s="246" t="s">
        <v>2330</v>
      </c>
      <c r="E423" s="246" t="s">
        <v>2331</v>
      </c>
      <c r="F423" s="246" t="s">
        <v>405</v>
      </c>
      <c r="G423" s="246" t="s">
        <v>411</v>
      </c>
      <c r="H423" s="246" t="s">
        <v>406</v>
      </c>
      <c r="I423" s="18">
        <v>25850000</v>
      </c>
      <c r="J423" s="248">
        <v>44538</v>
      </c>
      <c r="K423" s="293">
        <v>44711</v>
      </c>
      <c r="L423" s="246" t="s">
        <v>2489</v>
      </c>
      <c r="M423" s="246" t="s">
        <v>2586</v>
      </c>
      <c r="N423" s="246"/>
      <c r="O423" s="246" t="s">
        <v>691</v>
      </c>
      <c r="P423" s="246"/>
      <c r="Q423" s="246"/>
      <c r="R423" s="246"/>
      <c r="S423" s="246"/>
      <c r="T423" s="246"/>
      <c r="U423" s="246"/>
      <c r="V423" s="246"/>
      <c r="W423" s="246"/>
      <c r="X423" s="253" t="s">
        <v>2762</v>
      </c>
      <c r="Y423" s="244"/>
      <c r="Z423" s="244" t="s">
        <v>2576</v>
      </c>
      <c r="AA423" s="246"/>
      <c r="AB423" s="245"/>
      <c r="AC423" s="246"/>
    </row>
    <row r="424" spans="1:29" s="250" customFormat="1">
      <c r="A424" s="244">
        <v>420</v>
      </c>
      <c r="B424" s="245" t="s">
        <v>407</v>
      </c>
      <c r="C424" s="246" t="s">
        <v>1957</v>
      </c>
      <c r="D424" s="246" t="s">
        <v>2329</v>
      </c>
      <c r="E424" s="246" t="s">
        <v>2332</v>
      </c>
      <c r="F424" s="246" t="s">
        <v>405</v>
      </c>
      <c r="G424" s="246" t="s">
        <v>411</v>
      </c>
      <c r="H424" s="246" t="s">
        <v>406</v>
      </c>
      <c r="I424" s="18">
        <v>4851000</v>
      </c>
      <c r="J424" s="248">
        <v>44536</v>
      </c>
      <c r="K424" s="248">
        <v>44561</v>
      </c>
      <c r="L424" s="248">
        <v>44557</v>
      </c>
      <c r="M424" s="248">
        <v>44558</v>
      </c>
      <c r="N424" s="246"/>
      <c r="O424" s="246" t="s">
        <v>655</v>
      </c>
      <c r="P424" s="246"/>
      <c r="Q424" s="246"/>
      <c r="R424" s="246"/>
      <c r="S424" s="246"/>
      <c r="T424" s="246"/>
      <c r="U424" s="246"/>
      <c r="V424" s="246"/>
      <c r="W424" s="246"/>
      <c r="X424" s="251" t="s">
        <v>2870</v>
      </c>
      <c r="Y424" s="251"/>
      <c r="Z424" s="246"/>
      <c r="AA424" s="246"/>
      <c r="AB424" s="245"/>
      <c r="AC424" s="246"/>
    </row>
    <row r="425" spans="1:29" s="250" customFormat="1">
      <c r="A425" s="244">
        <v>421</v>
      </c>
      <c r="B425" s="245" t="s">
        <v>1219</v>
      </c>
      <c r="C425" s="246"/>
      <c r="D425" s="246" t="s">
        <v>1051</v>
      </c>
      <c r="E425" s="246" t="s">
        <v>2343</v>
      </c>
      <c r="F425" s="246" t="s">
        <v>405</v>
      </c>
      <c r="G425" s="246" t="s">
        <v>411</v>
      </c>
      <c r="H425" s="246" t="s">
        <v>406</v>
      </c>
      <c r="I425" s="18">
        <v>12100000</v>
      </c>
      <c r="J425" s="248">
        <v>44536</v>
      </c>
      <c r="K425" s="248">
        <v>44231</v>
      </c>
      <c r="L425" s="246" t="s">
        <v>2629</v>
      </c>
      <c r="M425" s="246" t="s">
        <v>2630</v>
      </c>
      <c r="N425" s="246"/>
      <c r="O425" s="246" t="s">
        <v>957</v>
      </c>
      <c r="P425" s="246"/>
      <c r="Q425" s="246"/>
      <c r="R425" s="246"/>
      <c r="S425" s="246"/>
      <c r="T425" s="246"/>
      <c r="U425" s="246"/>
      <c r="V425" s="246"/>
      <c r="W425" s="246"/>
      <c r="X425" s="253" t="s">
        <v>2440</v>
      </c>
      <c r="Y425" s="251" t="s">
        <v>2866</v>
      </c>
      <c r="Z425" s="246" t="s">
        <v>2763</v>
      </c>
      <c r="AA425" s="258" t="s">
        <v>2824</v>
      </c>
      <c r="AB425" s="245" t="s">
        <v>2527</v>
      </c>
      <c r="AC425" s="246"/>
    </row>
    <row r="426" spans="1:29" s="250" customFormat="1">
      <c r="A426" s="244">
        <v>422</v>
      </c>
      <c r="B426" s="245" t="s">
        <v>412</v>
      </c>
      <c r="C426" s="246"/>
      <c r="D426" s="246" t="s">
        <v>409</v>
      </c>
      <c r="E426" s="246" t="s">
        <v>2335</v>
      </c>
      <c r="F426" s="246" t="s">
        <v>519</v>
      </c>
      <c r="G426" s="246" t="s">
        <v>411</v>
      </c>
      <c r="H426" s="246" t="s">
        <v>406</v>
      </c>
      <c r="I426" s="18">
        <v>16500000</v>
      </c>
      <c r="J426" s="248">
        <v>44537</v>
      </c>
      <c r="K426" s="246"/>
      <c r="L426" s="248">
        <v>44529</v>
      </c>
      <c r="M426" s="248">
        <v>44546</v>
      </c>
      <c r="N426" s="246"/>
      <c r="O426" s="246" t="s">
        <v>742</v>
      </c>
      <c r="P426" s="246"/>
      <c r="Q426" s="246"/>
      <c r="R426" s="246"/>
      <c r="S426" s="246"/>
      <c r="T426" s="246"/>
      <c r="U426" s="246"/>
      <c r="V426" s="246"/>
      <c r="W426" s="246"/>
      <c r="X426" s="244" t="s">
        <v>519</v>
      </c>
      <c r="Y426" s="244"/>
      <c r="Z426" s="246"/>
      <c r="AA426" s="246"/>
      <c r="AB426" s="245"/>
      <c r="AC426" s="246"/>
    </row>
    <row r="427" spans="1:29" s="250" customFormat="1">
      <c r="A427" s="244">
        <v>423</v>
      </c>
      <c r="B427" s="245" t="s">
        <v>1691</v>
      </c>
      <c r="C427" s="246" t="s">
        <v>2340</v>
      </c>
      <c r="D427" s="246" t="s">
        <v>414</v>
      </c>
      <c r="E427" s="246" t="s">
        <v>2620</v>
      </c>
      <c r="F427" s="246" t="s">
        <v>405</v>
      </c>
      <c r="G427" s="246" t="s">
        <v>411</v>
      </c>
      <c r="H427" s="246" t="s">
        <v>406</v>
      </c>
      <c r="I427" s="18">
        <v>3300000</v>
      </c>
      <c r="J427" s="248">
        <v>44539</v>
      </c>
      <c r="K427" s="248">
        <v>44539</v>
      </c>
      <c r="L427" s="248">
        <v>44539</v>
      </c>
      <c r="M427" s="248">
        <v>44546</v>
      </c>
      <c r="N427" s="246"/>
      <c r="O427" s="246" t="s">
        <v>957</v>
      </c>
      <c r="P427" s="246"/>
      <c r="Q427" s="246"/>
      <c r="R427" s="246"/>
      <c r="S427" s="246"/>
      <c r="T427" s="246"/>
      <c r="U427" s="246"/>
      <c r="V427" s="246"/>
      <c r="W427" s="246"/>
      <c r="X427" s="253" t="s">
        <v>2451</v>
      </c>
      <c r="Y427" s="244"/>
      <c r="Z427" s="244" t="s">
        <v>2618</v>
      </c>
      <c r="AA427" s="246"/>
      <c r="AB427" s="245"/>
      <c r="AC427" s="246"/>
    </row>
    <row r="428" spans="1:29" s="250" customFormat="1">
      <c r="A428" s="244">
        <v>424</v>
      </c>
      <c r="B428" s="245" t="s">
        <v>407</v>
      </c>
      <c r="C428" s="246" t="s">
        <v>1471</v>
      </c>
      <c r="D428" s="246" t="s">
        <v>1125</v>
      </c>
      <c r="E428" s="246" t="s">
        <v>2339</v>
      </c>
      <c r="F428" s="246" t="s">
        <v>405</v>
      </c>
      <c r="G428" s="246" t="s">
        <v>411</v>
      </c>
      <c r="H428" s="246" t="s">
        <v>406</v>
      </c>
      <c r="I428" s="18">
        <v>19140000</v>
      </c>
      <c r="J428" s="248">
        <v>44540</v>
      </c>
      <c r="K428" s="248">
        <v>44561</v>
      </c>
      <c r="L428" s="248">
        <v>44545</v>
      </c>
      <c r="M428" s="248">
        <v>44547</v>
      </c>
      <c r="N428" s="246"/>
      <c r="O428" s="246" t="s">
        <v>809</v>
      </c>
      <c r="P428" s="246"/>
      <c r="Q428" s="246"/>
      <c r="R428" s="246"/>
      <c r="S428" s="246"/>
      <c r="T428" s="246"/>
      <c r="U428" s="246"/>
      <c r="V428" s="246"/>
      <c r="W428" s="246"/>
      <c r="X428" s="251" t="s">
        <v>2437</v>
      </c>
      <c r="Y428" s="251"/>
      <c r="Z428" s="246"/>
      <c r="AA428" s="246"/>
      <c r="AB428" s="245"/>
      <c r="AC428" s="246"/>
    </row>
    <row r="429" spans="1:29" s="250" customFormat="1">
      <c r="A429" s="244">
        <v>425</v>
      </c>
      <c r="B429" s="245" t="s">
        <v>412</v>
      </c>
      <c r="C429" s="246" t="s">
        <v>985</v>
      </c>
      <c r="D429" s="246" t="s">
        <v>409</v>
      </c>
      <c r="E429" s="246" t="s">
        <v>2348</v>
      </c>
      <c r="F429" s="246" t="s">
        <v>519</v>
      </c>
      <c r="G429" s="246" t="s">
        <v>411</v>
      </c>
      <c r="H429" s="246" t="s">
        <v>406</v>
      </c>
      <c r="I429" s="18">
        <v>27500000</v>
      </c>
      <c r="J429" s="248">
        <v>44532</v>
      </c>
      <c r="K429" s="246"/>
      <c r="L429" s="248">
        <v>44540</v>
      </c>
      <c r="M429" s="248">
        <v>44540</v>
      </c>
      <c r="N429" s="246"/>
      <c r="O429" s="246" t="s">
        <v>742</v>
      </c>
      <c r="P429" s="246"/>
      <c r="Q429" s="246"/>
      <c r="R429" s="246"/>
      <c r="S429" s="246"/>
      <c r="T429" s="246"/>
      <c r="U429" s="246"/>
      <c r="V429" s="246"/>
      <c r="W429" s="246"/>
      <c r="X429" s="244" t="s">
        <v>519</v>
      </c>
      <c r="Y429" s="244"/>
      <c r="Z429" s="246"/>
      <c r="AA429" s="246"/>
      <c r="AB429" s="245"/>
      <c r="AC429" s="246"/>
    </row>
    <row r="430" spans="1:29" s="250" customFormat="1">
      <c r="A430" s="244">
        <v>426</v>
      </c>
      <c r="B430" s="245" t="s">
        <v>738</v>
      </c>
      <c r="C430" s="246" t="s">
        <v>739</v>
      </c>
      <c r="D430" s="246" t="s">
        <v>415</v>
      </c>
      <c r="E430" s="246" t="s">
        <v>2419</v>
      </c>
      <c r="F430" s="246" t="s">
        <v>405</v>
      </c>
      <c r="G430" s="246" t="s">
        <v>411</v>
      </c>
      <c r="H430" s="246" t="s">
        <v>406</v>
      </c>
      <c r="I430" s="18">
        <v>23100000</v>
      </c>
      <c r="J430" s="248">
        <v>44540</v>
      </c>
      <c r="K430" s="248">
        <v>44554</v>
      </c>
      <c r="L430" s="248">
        <v>44544</v>
      </c>
      <c r="M430" s="248">
        <v>44554</v>
      </c>
      <c r="N430" s="246"/>
      <c r="O430" s="246" t="s">
        <v>742</v>
      </c>
      <c r="P430" s="246"/>
      <c r="Q430" s="246"/>
      <c r="R430" s="246"/>
      <c r="S430" s="246"/>
      <c r="T430" s="246"/>
      <c r="U430" s="246"/>
      <c r="V430" s="246"/>
      <c r="W430" s="246"/>
      <c r="X430" s="253" t="s">
        <v>2448</v>
      </c>
      <c r="Y430" s="244"/>
      <c r="Z430" s="244" t="s">
        <v>2651</v>
      </c>
      <c r="AA430" s="246"/>
      <c r="AB430" s="245"/>
      <c r="AC430" s="246"/>
    </row>
    <row r="431" spans="1:29" s="250" customFormat="1">
      <c r="A431" s="244">
        <v>427</v>
      </c>
      <c r="B431" s="245" t="s">
        <v>866</v>
      </c>
      <c r="C431" s="246" t="s">
        <v>867</v>
      </c>
      <c r="D431" s="246" t="s">
        <v>1631</v>
      </c>
      <c r="E431" s="246" t="s">
        <v>2342</v>
      </c>
      <c r="F431" s="246" t="s">
        <v>405</v>
      </c>
      <c r="G431" s="246" t="s">
        <v>411</v>
      </c>
      <c r="H431" s="246" t="s">
        <v>406</v>
      </c>
      <c r="I431" s="18">
        <v>167200000</v>
      </c>
      <c r="J431" s="248">
        <v>44540</v>
      </c>
      <c r="K431" s="246" t="s">
        <v>2880</v>
      </c>
      <c r="L431" s="246" t="s">
        <v>2856</v>
      </c>
      <c r="M431" s="246" t="s">
        <v>2857</v>
      </c>
      <c r="N431" s="246"/>
      <c r="O431" s="246" t="s">
        <v>691</v>
      </c>
      <c r="P431" s="246"/>
      <c r="Q431" s="246"/>
      <c r="R431" s="246"/>
      <c r="S431" s="246"/>
      <c r="T431" s="246"/>
      <c r="U431" s="246"/>
      <c r="V431" s="246"/>
      <c r="W431" s="246"/>
      <c r="X431" s="256" t="s">
        <v>2855</v>
      </c>
      <c r="Y431" s="306"/>
      <c r="Z431" s="246"/>
      <c r="AA431" s="246"/>
      <c r="AB431" s="245"/>
      <c r="AC431" s="246"/>
    </row>
    <row r="432" spans="1:29" s="250" customFormat="1">
      <c r="A432" s="244">
        <v>428</v>
      </c>
      <c r="B432" s="245" t="s">
        <v>2353</v>
      </c>
      <c r="C432" s="246" t="s">
        <v>2357</v>
      </c>
      <c r="D432" s="246" t="s">
        <v>544</v>
      </c>
      <c r="E432" s="246" t="s">
        <v>2358</v>
      </c>
      <c r="F432" s="246" t="s">
        <v>405</v>
      </c>
      <c r="G432" s="246" t="s">
        <v>411</v>
      </c>
      <c r="H432" s="246" t="s">
        <v>406</v>
      </c>
      <c r="I432" s="18">
        <v>4400000</v>
      </c>
      <c r="J432" s="248">
        <v>44543</v>
      </c>
      <c r="K432" s="246"/>
      <c r="L432" s="248">
        <v>44552</v>
      </c>
      <c r="M432" s="248">
        <v>44553</v>
      </c>
      <c r="N432" s="246"/>
      <c r="O432" s="246" t="s">
        <v>957</v>
      </c>
      <c r="P432" s="246"/>
      <c r="Q432" s="246"/>
      <c r="R432" s="246"/>
      <c r="S432" s="246"/>
      <c r="T432" s="246"/>
      <c r="U432" s="246"/>
      <c r="V432" s="246"/>
      <c r="W432" s="246"/>
      <c r="X432" s="253" t="s">
        <v>2439</v>
      </c>
      <c r="Y432" s="244"/>
      <c r="Z432" s="244" t="s">
        <v>2576</v>
      </c>
      <c r="AA432" s="246"/>
      <c r="AB432" s="245"/>
      <c r="AC432" s="246"/>
    </row>
    <row r="433" spans="1:29" s="250" customFormat="1">
      <c r="A433" s="244">
        <v>429</v>
      </c>
      <c r="B433" s="245" t="s">
        <v>407</v>
      </c>
      <c r="C433" s="246" t="s">
        <v>2356</v>
      </c>
      <c r="D433" s="246"/>
      <c r="E433" s="246" t="s">
        <v>2359</v>
      </c>
      <c r="F433" s="246" t="s">
        <v>405</v>
      </c>
      <c r="G433" s="246" t="s">
        <v>411</v>
      </c>
      <c r="H433" s="246" t="s">
        <v>406</v>
      </c>
      <c r="I433" s="18">
        <v>1650000</v>
      </c>
      <c r="J433" s="248">
        <v>44545</v>
      </c>
      <c r="K433" s="246"/>
      <c r="L433" s="248">
        <v>44545</v>
      </c>
      <c r="M433" s="248">
        <v>44547</v>
      </c>
      <c r="N433" s="246"/>
      <c r="O433" s="246" t="s">
        <v>809</v>
      </c>
      <c r="P433" s="246"/>
      <c r="Q433" s="246"/>
      <c r="R433" s="246"/>
      <c r="S433" s="246"/>
      <c r="T433" s="246"/>
      <c r="U433" s="246"/>
      <c r="V433" s="246"/>
      <c r="W433" s="246"/>
      <c r="X433" s="253" t="s">
        <v>2449</v>
      </c>
      <c r="Y433" s="244" t="s">
        <v>2765</v>
      </c>
      <c r="Z433" s="244" t="s">
        <v>2623</v>
      </c>
      <c r="AA433" s="246"/>
      <c r="AB433" s="245"/>
      <c r="AC433" s="246"/>
    </row>
    <row r="434" spans="1:29" s="250" customFormat="1">
      <c r="A434" s="244">
        <v>430</v>
      </c>
      <c r="B434" s="245" t="s">
        <v>738</v>
      </c>
      <c r="C434" s="246" t="s">
        <v>2355</v>
      </c>
      <c r="D434" s="246"/>
      <c r="E434" s="246" t="s">
        <v>2360</v>
      </c>
      <c r="F434" s="246" t="s">
        <v>405</v>
      </c>
      <c r="G434" s="246" t="s">
        <v>411</v>
      </c>
      <c r="H434" s="246" t="s">
        <v>406</v>
      </c>
      <c r="I434" s="18">
        <v>1650000</v>
      </c>
      <c r="J434" s="248">
        <v>44545</v>
      </c>
      <c r="K434" s="246" t="s">
        <v>2881</v>
      </c>
      <c r="L434" s="248">
        <v>44545</v>
      </c>
      <c r="M434" s="248">
        <v>44547</v>
      </c>
      <c r="N434" s="246"/>
      <c r="O434" s="246" t="s">
        <v>742</v>
      </c>
      <c r="P434" s="246"/>
      <c r="Q434" s="246"/>
      <c r="R434" s="246"/>
      <c r="S434" s="246"/>
      <c r="T434" s="246"/>
      <c r="U434" s="246"/>
      <c r="V434" s="246"/>
      <c r="W434" s="246"/>
      <c r="X434" s="244" t="s">
        <v>2530</v>
      </c>
      <c r="Y434" s="244"/>
      <c r="Z434" s="246"/>
      <c r="AA434" s="246"/>
      <c r="AB434" s="245" t="s">
        <v>2531</v>
      </c>
      <c r="AC434" s="246"/>
    </row>
    <row r="435" spans="1:29" s="279" customFormat="1">
      <c r="A435" s="257">
        <v>431</v>
      </c>
      <c r="B435" s="275" t="s">
        <v>407</v>
      </c>
      <c r="C435" s="276" t="s">
        <v>2354</v>
      </c>
      <c r="D435" s="276" t="s">
        <v>414</v>
      </c>
      <c r="E435" s="276" t="s">
        <v>2361</v>
      </c>
      <c r="F435" s="276" t="s">
        <v>405</v>
      </c>
      <c r="G435" s="276" t="s">
        <v>411</v>
      </c>
      <c r="H435" s="246" t="s">
        <v>406</v>
      </c>
      <c r="I435" s="277">
        <v>1540000</v>
      </c>
      <c r="J435" s="278">
        <v>44545</v>
      </c>
      <c r="K435" s="276"/>
      <c r="L435" s="278" t="s">
        <v>2398</v>
      </c>
      <c r="M435" s="276"/>
      <c r="N435" s="276"/>
      <c r="O435" s="276" t="s">
        <v>742</v>
      </c>
      <c r="P435" s="276"/>
      <c r="Q435" s="276"/>
      <c r="R435" s="276"/>
      <c r="S435" s="276"/>
      <c r="T435" s="276"/>
      <c r="U435" s="276"/>
      <c r="V435" s="276"/>
      <c r="W435" s="276"/>
      <c r="X435" s="257" t="s">
        <v>2533</v>
      </c>
      <c r="Y435" s="257"/>
      <c r="Z435" s="276"/>
      <c r="AA435" s="276"/>
      <c r="AB435" s="275"/>
      <c r="AC435" s="276"/>
    </row>
    <row r="436" spans="1:29" s="279" customFormat="1">
      <c r="A436" s="257">
        <v>432</v>
      </c>
      <c r="B436" s="275" t="s">
        <v>407</v>
      </c>
      <c r="C436" s="276" t="s">
        <v>2354</v>
      </c>
      <c r="D436" s="276" t="s">
        <v>414</v>
      </c>
      <c r="E436" s="276" t="s">
        <v>2370</v>
      </c>
      <c r="F436" s="276" t="s">
        <v>405</v>
      </c>
      <c r="G436" s="276" t="s">
        <v>411</v>
      </c>
      <c r="H436" s="246" t="s">
        <v>406</v>
      </c>
      <c r="I436" s="277">
        <v>1540000</v>
      </c>
      <c r="J436" s="278">
        <v>44545</v>
      </c>
      <c r="K436" s="276"/>
      <c r="L436" s="278" t="s">
        <v>2398</v>
      </c>
      <c r="M436" s="276"/>
      <c r="N436" s="276"/>
      <c r="O436" s="276" t="s">
        <v>742</v>
      </c>
      <c r="P436" s="276"/>
      <c r="Q436" s="276"/>
      <c r="R436" s="276"/>
      <c r="S436" s="276"/>
      <c r="T436" s="276"/>
      <c r="U436" s="276"/>
      <c r="V436" s="276"/>
      <c r="W436" s="276"/>
      <c r="X436" s="257" t="s">
        <v>2533</v>
      </c>
      <c r="Y436" s="257"/>
      <c r="Z436" s="276"/>
      <c r="AA436" s="276"/>
      <c r="AB436" s="275"/>
      <c r="AC436" s="276"/>
    </row>
    <row r="437" spans="1:29" s="279" customFormat="1">
      <c r="A437" s="257">
        <v>433</v>
      </c>
      <c r="B437" s="275" t="s">
        <v>407</v>
      </c>
      <c r="C437" s="276" t="s">
        <v>2354</v>
      </c>
      <c r="D437" s="276" t="s">
        <v>414</v>
      </c>
      <c r="E437" s="276" t="s">
        <v>2362</v>
      </c>
      <c r="F437" s="276" t="s">
        <v>405</v>
      </c>
      <c r="G437" s="276" t="s">
        <v>411</v>
      </c>
      <c r="H437" s="246" t="s">
        <v>406</v>
      </c>
      <c r="I437" s="277">
        <v>1980000</v>
      </c>
      <c r="J437" s="278">
        <v>44545</v>
      </c>
      <c r="K437" s="276"/>
      <c r="L437" s="278" t="s">
        <v>2398</v>
      </c>
      <c r="M437" s="276"/>
      <c r="N437" s="276"/>
      <c r="O437" s="276" t="s">
        <v>742</v>
      </c>
      <c r="P437" s="276"/>
      <c r="Q437" s="276"/>
      <c r="R437" s="276"/>
      <c r="S437" s="276"/>
      <c r="T437" s="276"/>
      <c r="U437" s="276"/>
      <c r="V437" s="276"/>
      <c r="W437" s="276"/>
      <c r="X437" s="257" t="s">
        <v>2533</v>
      </c>
      <c r="Y437" s="257"/>
      <c r="Z437" s="276"/>
      <c r="AA437" s="276"/>
      <c r="AB437" s="275"/>
      <c r="AC437" s="276"/>
    </row>
    <row r="438" spans="1:29" s="279" customFormat="1">
      <c r="A438" s="257">
        <v>434</v>
      </c>
      <c r="B438" s="275" t="s">
        <v>407</v>
      </c>
      <c r="C438" s="276" t="s">
        <v>2354</v>
      </c>
      <c r="D438" s="276" t="s">
        <v>414</v>
      </c>
      <c r="E438" s="276" t="s">
        <v>2363</v>
      </c>
      <c r="F438" s="276" t="s">
        <v>405</v>
      </c>
      <c r="G438" s="276" t="s">
        <v>411</v>
      </c>
      <c r="H438" s="246" t="s">
        <v>406</v>
      </c>
      <c r="I438" s="277">
        <v>1870000</v>
      </c>
      <c r="J438" s="278">
        <v>44545</v>
      </c>
      <c r="K438" s="276"/>
      <c r="L438" s="278" t="s">
        <v>2398</v>
      </c>
      <c r="M438" s="276"/>
      <c r="N438" s="276"/>
      <c r="O438" s="276" t="s">
        <v>742</v>
      </c>
      <c r="P438" s="276"/>
      <c r="Q438" s="276"/>
      <c r="R438" s="276"/>
      <c r="S438" s="276"/>
      <c r="T438" s="276"/>
      <c r="U438" s="276"/>
      <c r="V438" s="276"/>
      <c r="W438" s="276"/>
      <c r="X438" s="257" t="s">
        <v>2533</v>
      </c>
      <c r="Y438" s="257"/>
      <c r="Z438" s="276"/>
      <c r="AA438" s="276"/>
      <c r="AB438" s="275"/>
      <c r="AC438" s="276"/>
    </row>
    <row r="439" spans="1:29" s="250" customFormat="1">
      <c r="A439" s="244">
        <v>435</v>
      </c>
      <c r="B439" s="245" t="s">
        <v>2364</v>
      </c>
      <c r="C439" s="246" t="s">
        <v>2365</v>
      </c>
      <c r="D439" s="246" t="s">
        <v>409</v>
      </c>
      <c r="E439" s="246" t="s">
        <v>2366</v>
      </c>
      <c r="F439" s="246" t="s">
        <v>519</v>
      </c>
      <c r="G439" s="246" t="s">
        <v>526</v>
      </c>
      <c r="H439" s="246" t="s">
        <v>406</v>
      </c>
      <c r="I439" s="18">
        <v>4000000</v>
      </c>
      <c r="J439" s="248">
        <v>44547</v>
      </c>
      <c r="K439" s="246" t="s">
        <v>2882</v>
      </c>
      <c r="L439" s="248">
        <v>44552</v>
      </c>
      <c r="M439" s="248">
        <v>44926</v>
      </c>
      <c r="N439" s="246"/>
      <c r="O439" s="246" t="s">
        <v>691</v>
      </c>
      <c r="P439" s="246"/>
      <c r="Q439" s="246"/>
      <c r="R439" s="246"/>
      <c r="S439" s="246"/>
      <c r="T439" s="246"/>
      <c r="U439" s="246"/>
      <c r="V439" s="246"/>
      <c r="W439" s="246"/>
      <c r="X439" s="244" t="s">
        <v>2367</v>
      </c>
      <c r="Y439" s="244"/>
      <c r="Z439" s="244" t="s">
        <v>2766</v>
      </c>
      <c r="AA439" s="246"/>
      <c r="AB439" s="245"/>
      <c r="AC439" s="246"/>
    </row>
    <row r="440" spans="1:29" s="250" customFormat="1">
      <c r="A440" s="244">
        <v>436</v>
      </c>
      <c r="B440" s="245" t="s">
        <v>2375</v>
      </c>
      <c r="C440" s="246" t="s">
        <v>2386</v>
      </c>
      <c r="D440" s="246" t="s">
        <v>948</v>
      </c>
      <c r="E440" s="246" t="s">
        <v>2584</v>
      </c>
      <c r="F440" s="246" t="s">
        <v>405</v>
      </c>
      <c r="G440" s="246" t="s">
        <v>411</v>
      </c>
      <c r="H440" s="246" t="s">
        <v>406</v>
      </c>
      <c r="I440" s="18">
        <v>3960000</v>
      </c>
      <c r="J440" s="248">
        <v>44546</v>
      </c>
      <c r="K440" s="246"/>
      <c r="L440" s="246" t="s">
        <v>2586</v>
      </c>
      <c r="M440" s="246" t="s">
        <v>2585</v>
      </c>
      <c r="N440" s="246"/>
      <c r="O440" s="246" t="s">
        <v>790</v>
      </c>
      <c r="P440" s="246"/>
      <c r="Q440" s="246"/>
      <c r="R440" s="246"/>
      <c r="S440" s="246"/>
      <c r="T440" s="246"/>
      <c r="U440" s="246"/>
      <c r="V440" s="246"/>
      <c r="W440" s="246"/>
      <c r="X440" s="244" t="s">
        <v>2563</v>
      </c>
      <c r="Y440" s="244"/>
      <c r="Z440" s="244" t="s">
        <v>2767</v>
      </c>
      <c r="AA440" s="246"/>
      <c r="AB440" s="245"/>
      <c r="AC440" s="246"/>
    </row>
    <row r="441" spans="1:29" s="250" customFormat="1">
      <c r="A441" s="244">
        <v>437</v>
      </c>
      <c r="B441" s="245" t="s">
        <v>407</v>
      </c>
      <c r="C441" s="246" t="s">
        <v>572</v>
      </c>
      <c r="D441" s="246" t="s">
        <v>409</v>
      </c>
      <c r="E441" s="246" t="s">
        <v>2384</v>
      </c>
      <c r="F441" s="246" t="s">
        <v>519</v>
      </c>
      <c r="G441" s="246" t="s">
        <v>526</v>
      </c>
      <c r="H441" s="246" t="s">
        <v>406</v>
      </c>
      <c r="I441" s="18">
        <v>5379000</v>
      </c>
      <c r="J441" s="248">
        <v>44550</v>
      </c>
      <c r="K441" s="246"/>
      <c r="L441" s="248">
        <v>44553</v>
      </c>
      <c r="M441" s="248">
        <v>44558</v>
      </c>
      <c r="N441" s="246"/>
      <c r="O441" s="246" t="s">
        <v>2385</v>
      </c>
      <c r="P441" s="246"/>
      <c r="Q441" s="246"/>
      <c r="R441" s="246"/>
      <c r="S441" s="246"/>
      <c r="T441" s="246"/>
      <c r="U441" s="246"/>
      <c r="V441" s="246"/>
      <c r="W441" s="246"/>
      <c r="X441" s="244" t="s">
        <v>519</v>
      </c>
      <c r="Y441" s="244"/>
      <c r="Z441" s="246"/>
      <c r="AA441" s="246"/>
      <c r="AB441" s="245"/>
      <c r="AC441" s="246"/>
    </row>
    <row r="442" spans="1:29" s="250" customFormat="1">
      <c r="A442" s="244">
        <v>438</v>
      </c>
      <c r="B442" s="245" t="s">
        <v>407</v>
      </c>
      <c r="C442" s="246" t="s">
        <v>1782</v>
      </c>
      <c r="D442" s="246"/>
      <c r="E442" s="246" t="s">
        <v>2435</v>
      </c>
      <c r="F442" s="246" t="s">
        <v>405</v>
      </c>
      <c r="G442" s="246" t="s">
        <v>411</v>
      </c>
      <c r="H442" s="246" t="s">
        <v>406</v>
      </c>
      <c r="I442" s="18">
        <v>3410000</v>
      </c>
      <c r="J442" s="248">
        <v>44550</v>
      </c>
      <c r="K442" s="246"/>
      <c r="L442" s="248">
        <v>44550</v>
      </c>
      <c r="M442" s="248">
        <v>44551</v>
      </c>
      <c r="N442" s="246"/>
      <c r="O442" s="246" t="s">
        <v>957</v>
      </c>
      <c r="P442" s="246"/>
      <c r="Q442" s="246"/>
      <c r="R442" s="246"/>
      <c r="S442" s="246"/>
      <c r="T442" s="246"/>
      <c r="U442" s="246"/>
      <c r="V442" s="246"/>
      <c r="W442" s="246"/>
      <c r="X442" s="253" t="s">
        <v>2506</v>
      </c>
      <c r="Y442" s="253"/>
      <c r="Z442" s="244" t="s">
        <v>2565</v>
      </c>
      <c r="AA442" s="246"/>
      <c r="AB442" s="245" t="s">
        <v>2558</v>
      </c>
      <c r="AC442" s="246"/>
    </row>
    <row r="443" spans="1:29" s="250" customFormat="1">
      <c r="A443" s="244">
        <v>439</v>
      </c>
      <c r="B443" s="245" t="s">
        <v>2376</v>
      </c>
      <c r="C443" s="246" t="s">
        <v>2383</v>
      </c>
      <c r="D443" s="246" t="s">
        <v>414</v>
      </c>
      <c r="E443" s="246" t="s">
        <v>2433</v>
      </c>
      <c r="F443" s="246" t="s">
        <v>405</v>
      </c>
      <c r="G443" s="246" t="s">
        <v>411</v>
      </c>
      <c r="H443" s="246" t="s">
        <v>406</v>
      </c>
      <c r="I443" s="18">
        <v>1716000</v>
      </c>
      <c r="J443" s="248">
        <v>44547</v>
      </c>
      <c r="K443" s="246" t="s">
        <v>2883</v>
      </c>
      <c r="L443" s="248">
        <v>44551</v>
      </c>
      <c r="M443" s="248">
        <v>44552</v>
      </c>
      <c r="N443" s="246"/>
      <c r="O443" s="246" t="s">
        <v>742</v>
      </c>
      <c r="P443" s="246"/>
      <c r="Q443" s="246"/>
      <c r="R443" s="246"/>
      <c r="S443" s="246"/>
      <c r="T443" s="246"/>
      <c r="U443" s="246"/>
      <c r="V443" s="246"/>
      <c r="W443" s="246"/>
      <c r="X443" s="307" t="s">
        <v>2513</v>
      </c>
      <c r="Y443" s="244" t="s">
        <v>2823</v>
      </c>
      <c r="Z443" s="246"/>
      <c r="AA443" s="246"/>
      <c r="AB443" s="245"/>
      <c r="AC443" s="246"/>
    </row>
    <row r="444" spans="1:29" s="250" customFormat="1">
      <c r="A444" s="244">
        <v>440</v>
      </c>
      <c r="B444" s="245" t="s">
        <v>1455</v>
      </c>
      <c r="C444" s="246" t="s">
        <v>2382</v>
      </c>
      <c r="D444" s="246" t="s">
        <v>1718</v>
      </c>
      <c r="E444" s="246" t="s">
        <v>2381</v>
      </c>
      <c r="F444" s="246" t="s">
        <v>405</v>
      </c>
      <c r="G444" s="246" t="s">
        <v>411</v>
      </c>
      <c r="H444" s="246" t="s">
        <v>406</v>
      </c>
      <c r="I444" s="18">
        <v>5500000</v>
      </c>
      <c r="J444" s="248">
        <v>44551</v>
      </c>
      <c r="K444" s="246" t="s">
        <v>2884</v>
      </c>
      <c r="L444" s="248">
        <v>44551</v>
      </c>
      <c r="M444" s="248">
        <v>44560</v>
      </c>
      <c r="N444" s="246"/>
      <c r="O444" s="246" t="s">
        <v>742</v>
      </c>
      <c r="P444" s="246"/>
      <c r="Q444" s="246"/>
      <c r="R444" s="246"/>
      <c r="S444" s="246"/>
      <c r="T444" s="246"/>
      <c r="U444" s="246"/>
      <c r="V444" s="246"/>
      <c r="W444" s="246"/>
      <c r="X444" s="253" t="s">
        <v>2593</v>
      </c>
      <c r="Y444" s="244"/>
      <c r="Z444" s="244" t="s">
        <v>2622</v>
      </c>
      <c r="AA444" s="246"/>
      <c r="AB444" s="245"/>
      <c r="AC444" s="246"/>
    </row>
    <row r="445" spans="1:29" s="250" customFormat="1">
      <c r="A445" s="244">
        <v>441</v>
      </c>
      <c r="B445" s="245" t="s">
        <v>769</v>
      </c>
      <c r="C445" s="246"/>
      <c r="D445" s="246"/>
      <c r="E445" s="246" t="s">
        <v>2379</v>
      </c>
      <c r="F445" s="246" t="s">
        <v>519</v>
      </c>
      <c r="G445" s="246" t="s">
        <v>411</v>
      </c>
      <c r="H445" s="246" t="s">
        <v>406</v>
      </c>
      <c r="I445" s="18">
        <v>4390400</v>
      </c>
      <c r="J445" s="248">
        <v>44551</v>
      </c>
      <c r="K445" s="246" t="s">
        <v>2882</v>
      </c>
      <c r="L445" s="248">
        <v>44551</v>
      </c>
      <c r="M445" s="248">
        <v>44557</v>
      </c>
      <c r="N445" s="246"/>
      <c r="O445" s="246" t="s">
        <v>2380</v>
      </c>
      <c r="P445" s="246"/>
      <c r="Q445" s="246"/>
      <c r="R445" s="246"/>
      <c r="S445" s="246"/>
      <c r="T445" s="246"/>
      <c r="U445" s="246"/>
      <c r="V445" s="246"/>
      <c r="W445" s="246"/>
      <c r="X445" s="244" t="s">
        <v>2367</v>
      </c>
      <c r="Y445" s="244"/>
      <c r="Z445" s="246"/>
      <c r="AA445" s="246"/>
      <c r="AB445" s="245"/>
      <c r="AC445" s="246"/>
    </row>
    <row r="446" spans="1:29" s="250" customFormat="1">
      <c r="A446" s="244">
        <v>442</v>
      </c>
      <c r="B446" s="245" t="s">
        <v>622</v>
      </c>
      <c r="C446" s="246"/>
      <c r="D446" s="246"/>
      <c r="E446" s="246" t="s">
        <v>2378</v>
      </c>
      <c r="F446" s="246" t="s">
        <v>519</v>
      </c>
      <c r="G446" s="246" t="s">
        <v>411</v>
      </c>
      <c r="H446" s="246" t="s">
        <v>406</v>
      </c>
      <c r="I446" s="18">
        <v>4642000</v>
      </c>
      <c r="J446" s="248">
        <v>44551</v>
      </c>
      <c r="K446" s="246" t="s">
        <v>2882</v>
      </c>
      <c r="L446" s="248">
        <v>44551</v>
      </c>
      <c r="M446" s="246" t="s">
        <v>2490</v>
      </c>
      <c r="N446" s="246"/>
      <c r="O446" s="246" t="s">
        <v>1875</v>
      </c>
      <c r="P446" s="246"/>
      <c r="Q446" s="246"/>
      <c r="R446" s="246"/>
      <c r="S446" s="246"/>
      <c r="T446" s="246"/>
      <c r="U446" s="246"/>
      <c r="V446" s="246"/>
      <c r="W446" s="246"/>
      <c r="X446" s="244" t="s">
        <v>2367</v>
      </c>
      <c r="Y446" s="244"/>
      <c r="Z446" s="246"/>
      <c r="AA446" s="246"/>
      <c r="AB446" s="245"/>
      <c r="AC446" s="246"/>
    </row>
    <row r="447" spans="1:29" s="250" customFormat="1">
      <c r="A447" s="244">
        <v>443</v>
      </c>
      <c r="B447" s="245" t="s">
        <v>407</v>
      </c>
      <c r="C447" s="246" t="s">
        <v>1957</v>
      </c>
      <c r="D447" s="246" t="s">
        <v>532</v>
      </c>
      <c r="E447" s="246" t="s">
        <v>2377</v>
      </c>
      <c r="F447" s="246" t="s">
        <v>405</v>
      </c>
      <c r="G447" s="246" t="s">
        <v>411</v>
      </c>
      <c r="H447" s="246" t="s">
        <v>406</v>
      </c>
      <c r="I447" s="18">
        <v>1980000</v>
      </c>
      <c r="J447" s="248">
        <v>44552</v>
      </c>
      <c r="K447" s="246" t="s">
        <v>2885</v>
      </c>
      <c r="L447" s="248">
        <v>44552</v>
      </c>
      <c r="M447" s="248">
        <v>44557</v>
      </c>
      <c r="N447" s="246"/>
      <c r="O447" s="246" t="s">
        <v>790</v>
      </c>
      <c r="P447" s="246"/>
      <c r="Q447" s="246"/>
      <c r="R447" s="246"/>
      <c r="S447" s="246"/>
      <c r="T447" s="246"/>
      <c r="U447" s="246"/>
      <c r="V447" s="246"/>
      <c r="W447" s="246"/>
      <c r="X447" s="244" t="s">
        <v>2547</v>
      </c>
      <c r="Y447" s="244"/>
      <c r="Z447" s="246"/>
      <c r="AA447" s="246"/>
      <c r="AB447" s="245" t="s">
        <v>2547</v>
      </c>
      <c r="AC447" s="246"/>
    </row>
    <row r="448" spans="1:29" s="250" customFormat="1">
      <c r="A448" s="244">
        <v>444</v>
      </c>
      <c r="B448" s="245" t="s">
        <v>407</v>
      </c>
      <c r="C448" s="246" t="s">
        <v>1957</v>
      </c>
      <c r="D448" s="246" t="s">
        <v>532</v>
      </c>
      <c r="E448" s="246" t="s">
        <v>2400</v>
      </c>
      <c r="F448" s="246" t="s">
        <v>405</v>
      </c>
      <c r="G448" s="246" t="s">
        <v>411</v>
      </c>
      <c r="H448" s="246" t="s">
        <v>406</v>
      </c>
      <c r="I448" s="18">
        <v>1980000</v>
      </c>
      <c r="J448" s="248">
        <v>44554</v>
      </c>
      <c r="K448" s="246" t="s">
        <v>2885</v>
      </c>
      <c r="L448" s="248">
        <v>44554</v>
      </c>
      <c r="M448" s="248">
        <v>44554</v>
      </c>
      <c r="N448" s="246"/>
      <c r="O448" s="246" t="s">
        <v>790</v>
      </c>
      <c r="P448" s="246"/>
      <c r="Q448" s="246"/>
      <c r="R448" s="246"/>
      <c r="S448" s="246"/>
      <c r="T448" s="246"/>
      <c r="U448" s="246"/>
      <c r="V448" s="246"/>
      <c r="W448" s="246"/>
      <c r="X448" s="244" t="s">
        <v>2547</v>
      </c>
      <c r="Y448" s="244"/>
      <c r="Z448" s="246"/>
      <c r="AA448" s="246"/>
      <c r="AB448" s="245" t="s">
        <v>2547</v>
      </c>
      <c r="AC448" s="246"/>
    </row>
    <row r="449" spans="1:29" s="250" customFormat="1">
      <c r="A449" s="244">
        <v>445</v>
      </c>
      <c r="B449" s="245" t="s">
        <v>550</v>
      </c>
      <c r="C449" s="246"/>
      <c r="D449" s="246" t="s">
        <v>409</v>
      </c>
      <c r="E449" s="246" t="s">
        <v>2401</v>
      </c>
      <c r="F449" s="246" t="s">
        <v>519</v>
      </c>
      <c r="G449" s="246" t="s">
        <v>411</v>
      </c>
      <c r="H449" s="246" t="s">
        <v>406</v>
      </c>
      <c r="I449" s="18">
        <v>3460000</v>
      </c>
      <c r="J449" s="248">
        <v>44554</v>
      </c>
      <c r="K449" s="246" t="s">
        <v>2882</v>
      </c>
      <c r="L449" s="248">
        <v>44554</v>
      </c>
      <c r="M449" s="248">
        <v>44554</v>
      </c>
      <c r="N449" s="246"/>
      <c r="O449" s="246" t="s">
        <v>1875</v>
      </c>
      <c r="P449" s="246"/>
      <c r="Q449" s="246"/>
      <c r="R449" s="246"/>
      <c r="S449" s="246"/>
      <c r="T449" s="246"/>
      <c r="U449" s="246"/>
      <c r="V449" s="246"/>
      <c r="W449" s="246"/>
      <c r="X449" s="244" t="s">
        <v>2367</v>
      </c>
      <c r="Y449" s="244"/>
      <c r="Z449" s="246"/>
      <c r="AA449" s="246"/>
      <c r="AB449" s="245"/>
      <c r="AC449" s="246"/>
    </row>
    <row r="450" spans="1:29" s="250" customFormat="1">
      <c r="A450" s="244">
        <v>446</v>
      </c>
      <c r="B450" s="245" t="s">
        <v>2495</v>
      </c>
      <c r="C450" s="246" t="s">
        <v>2494</v>
      </c>
      <c r="D450" s="246" t="s">
        <v>409</v>
      </c>
      <c r="E450" s="246" t="s">
        <v>2492</v>
      </c>
      <c r="F450" s="246" t="s">
        <v>405</v>
      </c>
      <c r="G450" s="246" t="s">
        <v>411</v>
      </c>
      <c r="H450" s="246" t="s">
        <v>406</v>
      </c>
      <c r="I450" s="18">
        <v>24750000</v>
      </c>
      <c r="J450" s="248">
        <v>44924</v>
      </c>
      <c r="K450" s="246" t="s">
        <v>2878</v>
      </c>
      <c r="L450" s="248" t="s">
        <v>2817</v>
      </c>
      <c r="M450" s="248" t="s">
        <v>2863</v>
      </c>
      <c r="N450" s="246"/>
      <c r="O450" s="246" t="s">
        <v>742</v>
      </c>
      <c r="P450" s="246"/>
      <c r="Q450" s="246"/>
      <c r="R450" s="246"/>
      <c r="S450" s="246"/>
      <c r="T450" s="246"/>
      <c r="U450" s="246"/>
      <c r="V450" s="246"/>
      <c r="W450" s="246"/>
      <c r="X450" s="306" t="s">
        <v>2514</v>
      </c>
      <c r="Y450" s="306"/>
      <c r="Z450" s="246"/>
      <c r="AA450" s="246"/>
      <c r="AB450" s="245"/>
      <c r="AC450" s="246"/>
    </row>
    <row r="451" spans="1:29" s="250" customFormat="1">
      <c r="A451" s="244">
        <v>447</v>
      </c>
      <c r="B451" s="245" t="s">
        <v>2493</v>
      </c>
      <c r="C451" s="246" t="s">
        <v>1601</v>
      </c>
      <c r="D451" s="246" t="s">
        <v>988</v>
      </c>
      <c r="E451" s="246" t="s">
        <v>1221</v>
      </c>
      <c r="F451" s="246" t="s">
        <v>405</v>
      </c>
      <c r="G451" s="246" t="s">
        <v>411</v>
      </c>
      <c r="H451" s="246" t="s">
        <v>406</v>
      </c>
      <c r="I451" s="18">
        <v>1980000</v>
      </c>
      <c r="J451" s="248">
        <v>44852</v>
      </c>
      <c r="K451" s="246"/>
      <c r="L451" s="248">
        <v>44926</v>
      </c>
      <c r="M451" s="246" t="s">
        <v>2685</v>
      </c>
      <c r="N451" s="246"/>
      <c r="O451" s="246" t="s">
        <v>742</v>
      </c>
      <c r="P451" s="246"/>
      <c r="Q451" s="246"/>
      <c r="R451" s="246"/>
      <c r="S451" s="246"/>
      <c r="T451" s="246"/>
      <c r="U451" s="246"/>
      <c r="V451" s="246"/>
      <c r="W451" s="246"/>
      <c r="X451" s="253" t="s">
        <v>2532</v>
      </c>
      <c r="Y451" s="244"/>
      <c r="Z451" s="244" t="s">
        <v>2621</v>
      </c>
      <c r="AA451" s="246"/>
      <c r="AB451" s="245"/>
      <c r="AC451" s="246"/>
    </row>
    <row r="452" spans="1:29">
      <c r="A452" s="2"/>
      <c r="B452" s="211"/>
      <c r="C452" s="1"/>
      <c r="D452" s="1"/>
      <c r="E452" s="1"/>
      <c r="F452" s="1"/>
      <c r="G452" s="1"/>
      <c r="H452" s="1"/>
      <c r="I452" s="22"/>
      <c r="J452" s="1"/>
      <c r="K452" s="1"/>
      <c r="L452" s="1"/>
      <c r="M452" s="1"/>
      <c r="N452" s="1"/>
      <c r="P452" s="1"/>
      <c r="Q452" s="1"/>
      <c r="R452" s="1"/>
      <c r="S452" s="1"/>
      <c r="T452" s="1"/>
      <c r="U452" s="1"/>
      <c r="V452" s="1"/>
      <c r="W452" s="1"/>
      <c r="AC452" s="1"/>
    </row>
    <row r="453" spans="1:29">
      <c r="A453" s="2"/>
      <c r="B453" s="211"/>
      <c r="C453" s="1"/>
      <c r="D453" s="1"/>
      <c r="E453" s="1"/>
      <c r="F453" s="1"/>
      <c r="G453" s="1"/>
      <c r="H453" s="1"/>
      <c r="I453" s="22"/>
      <c r="J453" s="1"/>
      <c r="K453" s="1"/>
      <c r="L453" s="1"/>
      <c r="M453" s="1"/>
      <c r="N453" s="1"/>
      <c r="P453" s="1"/>
      <c r="Q453" s="1"/>
      <c r="R453" s="1"/>
      <c r="S453" s="1"/>
      <c r="T453" s="1"/>
      <c r="U453" s="1"/>
      <c r="V453" s="1"/>
      <c r="W453" s="1"/>
      <c r="AC453" s="1"/>
    </row>
    <row r="454" spans="1:29">
      <c r="A454" s="2"/>
      <c r="B454" s="211"/>
      <c r="C454" s="1"/>
      <c r="D454" s="1"/>
      <c r="E454" s="1"/>
      <c r="F454" s="1"/>
      <c r="G454" s="1"/>
      <c r="H454" s="1"/>
      <c r="I454" s="22"/>
      <c r="J454" s="1"/>
      <c r="K454" s="1"/>
      <c r="L454" s="1"/>
      <c r="M454" s="1"/>
      <c r="N454" s="1"/>
      <c r="P454" s="1"/>
      <c r="Q454" s="1"/>
      <c r="R454" s="1"/>
      <c r="S454" s="1"/>
      <c r="T454" s="1"/>
      <c r="U454" s="1"/>
      <c r="V454" s="1"/>
      <c r="W454" s="1"/>
      <c r="AC454" s="1"/>
    </row>
    <row r="455" spans="1:29">
      <c r="A455" s="2"/>
      <c r="B455" s="211"/>
      <c r="C455" s="1"/>
      <c r="D455" s="1"/>
      <c r="E455" s="1"/>
      <c r="F455" s="1"/>
      <c r="G455" s="1"/>
      <c r="H455" s="1"/>
      <c r="I455" s="22"/>
      <c r="J455" s="1"/>
      <c r="K455" s="1"/>
      <c r="L455" s="1"/>
      <c r="M455" s="1"/>
      <c r="N455" s="1"/>
      <c r="P455" s="1"/>
      <c r="Q455" s="1"/>
      <c r="R455" s="1"/>
      <c r="S455" s="1"/>
      <c r="T455" s="1"/>
      <c r="U455" s="1"/>
      <c r="V455" s="1"/>
      <c r="W455" s="1"/>
      <c r="AC455" s="1"/>
    </row>
    <row r="456" spans="1:29">
      <c r="A456" s="2"/>
      <c r="B456" s="211"/>
      <c r="C456" s="1"/>
      <c r="D456" s="1"/>
      <c r="E456" s="1"/>
      <c r="F456" s="1"/>
      <c r="G456" s="1"/>
      <c r="H456" s="1"/>
      <c r="I456" s="22"/>
      <c r="J456" s="1"/>
      <c r="K456" s="1"/>
      <c r="L456" s="1"/>
      <c r="M456" s="1"/>
      <c r="N456" s="1"/>
      <c r="P456" s="1"/>
      <c r="Q456" s="1"/>
      <c r="R456" s="1"/>
      <c r="S456" s="1"/>
      <c r="T456" s="1"/>
      <c r="U456" s="1"/>
      <c r="V456" s="1"/>
      <c r="W456" s="1"/>
      <c r="AC456" s="1"/>
    </row>
    <row r="457" spans="1:29">
      <c r="A457" s="2"/>
      <c r="B457" s="211"/>
      <c r="C457" s="1"/>
      <c r="D457" s="1"/>
      <c r="E457" s="1"/>
      <c r="F457" s="1"/>
      <c r="G457" s="1"/>
      <c r="H457" s="1"/>
      <c r="I457" s="22"/>
      <c r="J457" s="1"/>
      <c r="K457" s="1"/>
      <c r="L457" s="1"/>
      <c r="M457" s="1"/>
      <c r="N457" s="1"/>
      <c r="P457" s="1"/>
      <c r="Q457" s="1"/>
      <c r="R457" s="1"/>
      <c r="S457" s="1"/>
      <c r="T457" s="1"/>
      <c r="U457" s="1"/>
      <c r="V457" s="1"/>
      <c r="W457" s="1"/>
      <c r="AC457" s="1"/>
    </row>
    <row r="458" spans="1:29">
      <c r="A458" s="2"/>
      <c r="B458" s="211"/>
      <c r="C458" s="1"/>
      <c r="D458" s="1"/>
      <c r="E458" s="1"/>
      <c r="F458" s="1"/>
      <c r="G458" s="1"/>
      <c r="H458" s="1"/>
      <c r="I458" s="22"/>
      <c r="J458" s="1"/>
      <c r="K458" s="1"/>
      <c r="L458" s="1"/>
      <c r="M458" s="1"/>
      <c r="N458" s="1"/>
      <c r="P458" s="1"/>
      <c r="Q458" s="1"/>
      <c r="R458" s="1"/>
      <c r="S458" s="1"/>
      <c r="T458" s="1"/>
      <c r="U458" s="1"/>
      <c r="V458" s="1"/>
      <c r="W458" s="1"/>
      <c r="AC458" s="1"/>
    </row>
    <row r="459" spans="1:29">
      <c r="A459" s="2"/>
      <c r="B459" s="211"/>
      <c r="C459" s="1"/>
      <c r="D459" s="1"/>
      <c r="E459" s="1"/>
      <c r="F459" s="1"/>
      <c r="G459" s="1"/>
      <c r="H459" s="1"/>
      <c r="I459" s="22"/>
      <c r="J459" s="1"/>
      <c r="K459" s="1"/>
      <c r="L459" s="1"/>
      <c r="M459" s="1"/>
      <c r="N459" s="1"/>
      <c r="P459" s="1"/>
      <c r="Q459" s="1"/>
      <c r="R459" s="1"/>
      <c r="S459" s="1"/>
      <c r="T459" s="1"/>
      <c r="U459" s="1"/>
      <c r="V459" s="1"/>
      <c r="W459" s="1"/>
      <c r="AC459" s="1"/>
    </row>
    <row r="460" spans="1:29">
      <c r="A460" s="2"/>
      <c r="B460" s="211"/>
      <c r="C460" s="1"/>
      <c r="D460" s="1"/>
      <c r="E460" s="1"/>
      <c r="F460" s="1"/>
      <c r="G460" s="1"/>
      <c r="H460" s="1"/>
      <c r="I460" s="22"/>
      <c r="J460" s="1"/>
      <c r="K460" s="1"/>
      <c r="L460" s="1"/>
      <c r="M460" s="1"/>
      <c r="N460" s="1"/>
      <c r="P460" s="1"/>
      <c r="Q460" s="1"/>
      <c r="R460" s="1"/>
      <c r="S460" s="1"/>
      <c r="T460" s="1"/>
      <c r="U460" s="1"/>
      <c r="V460" s="1"/>
      <c r="W460" s="1"/>
      <c r="AC460" s="1"/>
    </row>
    <row r="461" spans="1:29">
      <c r="A461" s="2"/>
      <c r="B461" s="211"/>
      <c r="C461" s="1"/>
      <c r="D461" s="1"/>
      <c r="E461" s="1"/>
      <c r="F461" s="1"/>
      <c r="G461" s="1"/>
      <c r="H461" s="1"/>
      <c r="I461" s="22"/>
      <c r="J461" s="1"/>
      <c r="K461" s="1"/>
      <c r="L461" s="1"/>
      <c r="M461" s="1"/>
      <c r="N461" s="1"/>
      <c r="P461" s="1"/>
      <c r="Q461" s="1"/>
      <c r="R461" s="1"/>
      <c r="S461" s="1"/>
      <c r="T461" s="1"/>
      <c r="U461" s="1"/>
      <c r="V461" s="1"/>
      <c r="W461" s="1"/>
      <c r="AC461" s="1"/>
    </row>
    <row r="462" spans="1:29">
      <c r="A462" s="2"/>
      <c r="B462" s="211"/>
      <c r="C462" s="1"/>
      <c r="D462" s="1"/>
      <c r="E462" s="1"/>
      <c r="F462" s="1"/>
      <c r="G462" s="1"/>
      <c r="H462" s="1"/>
      <c r="I462" s="22"/>
      <c r="J462" s="1"/>
      <c r="K462" s="1"/>
      <c r="L462" s="1"/>
      <c r="M462" s="1"/>
      <c r="N462" s="1"/>
      <c r="P462" s="1"/>
      <c r="Q462" s="1"/>
      <c r="R462" s="1"/>
      <c r="S462" s="1"/>
      <c r="T462" s="1"/>
      <c r="U462" s="1"/>
      <c r="V462" s="1"/>
      <c r="W462" s="1"/>
      <c r="AC462" s="1"/>
    </row>
    <row r="463" spans="1:29">
      <c r="A463" s="2"/>
      <c r="B463" s="211"/>
      <c r="C463" s="1"/>
      <c r="D463" s="1"/>
      <c r="E463" s="1"/>
      <c r="F463" s="1"/>
      <c r="G463" s="1"/>
      <c r="H463" s="1"/>
      <c r="I463" s="22"/>
      <c r="J463" s="1"/>
      <c r="K463" s="1"/>
      <c r="L463" s="1"/>
      <c r="M463" s="1"/>
      <c r="N463" s="1"/>
      <c r="P463" s="1"/>
      <c r="Q463" s="1"/>
      <c r="R463" s="1"/>
      <c r="S463" s="1"/>
      <c r="T463" s="1"/>
      <c r="U463" s="1"/>
      <c r="V463" s="1"/>
      <c r="W463" s="1"/>
      <c r="AC463" s="1"/>
    </row>
    <row r="464" spans="1:29">
      <c r="A464" s="2"/>
      <c r="B464" s="211"/>
      <c r="C464" s="1"/>
      <c r="D464" s="1"/>
      <c r="E464" s="1"/>
      <c r="F464" s="1"/>
      <c r="G464" s="1"/>
      <c r="H464" s="1"/>
      <c r="I464" s="22"/>
      <c r="J464" s="1"/>
      <c r="K464" s="1"/>
      <c r="L464" s="1"/>
      <c r="M464" s="1"/>
      <c r="N464" s="1"/>
      <c r="P464" s="1"/>
      <c r="Q464" s="1"/>
      <c r="R464" s="1"/>
      <c r="S464" s="1"/>
      <c r="T464" s="1"/>
      <c r="U464" s="1"/>
      <c r="V464" s="1"/>
      <c r="W464" s="1"/>
      <c r="AC464" s="1"/>
    </row>
    <row r="465" spans="1:29">
      <c r="A465" s="2"/>
      <c r="B465" s="211"/>
      <c r="C465" s="1"/>
      <c r="D465" s="1"/>
      <c r="E465" s="1"/>
      <c r="F465" s="1"/>
      <c r="G465" s="1"/>
      <c r="H465" s="1"/>
      <c r="I465" s="22"/>
      <c r="J465" s="1"/>
      <c r="K465" s="1"/>
      <c r="L465" s="1"/>
      <c r="M465" s="1"/>
      <c r="N465" s="1"/>
      <c r="P465" s="1"/>
      <c r="Q465" s="1"/>
      <c r="R465" s="1"/>
      <c r="S465" s="1"/>
      <c r="T465" s="1"/>
      <c r="U465" s="1"/>
      <c r="V465" s="1"/>
      <c r="W465" s="1"/>
      <c r="AC465" s="1"/>
    </row>
    <row r="466" spans="1:29">
      <c r="A466" s="2"/>
      <c r="B466" s="211"/>
      <c r="C466" s="1"/>
      <c r="D466" s="1"/>
      <c r="E466" s="1"/>
      <c r="F466" s="1"/>
      <c r="G466" s="1"/>
      <c r="H466" s="1"/>
      <c r="I466" s="22"/>
      <c r="J466" s="1"/>
      <c r="K466" s="1"/>
      <c r="L466" s="1"/>
      <c r="M466" s="1"/>
      <c r="N466" s="1"/>
      <c r="P466" s="1"/>
      <c r="Q466" s="1"/>
      <c r="R466" s="1"/>
      <c r="S466" s="1"/>
      <c r="T466" s="1"/>
      <c r="U466" s="1"/>
      <c r="V466" s="1"/>
      <c r="W466" s="1"/>
      <c r="AC466" s="1"/>
    </row>
    <row r="467" spans="1:29">
      <c r="A467" s="2"/>
      <c r="B467" s="211"/>
      <c r="C467" s="1"/>
      <c r="D467" s="1"/>
      <c r="E467" s="1"/>
      <c r="F467" s="1"/>
      <c r="G467" s="1"/>
      <c r="H467" s="1"/>
      <c r="I467" s="22"/>
      <c r="J467" s="1"/>
      <c r="K467" s="1"/>
      <c r="L467" s="1"/>
      <c r="M467" s="1"/>
      <c r="N467" s="1"/>
      <c r="P467" s="1"/>
      <c r="Q467" s="1"/>
      <c r="R467" s="1"/>
      <c r="S467" s="1"/>
      <c r="T467" s="1"/>
      <c r="U467" s="1"/>
      <c r="V467" s="1"/>
      <c r="W467" s="1"/>
      <c r="AC467" s="1"/>
    </row>
    <row r="468" spans="1:29">
      <c r="A468" s="2"/>
      <c r="B468" s="211"/>
      <c r="C468" s="1"/>
      <c r="D468" s="1"/>
      <c r="E468" s="1"/>
      <c r="F468" s="1"/>
      <c r="G468" s="1"/>
      <c r="H468" s="1"/>
      <c r="I468" s="22"/>
      <c r="J468" s="1"/>
      <c r="K468" s="1"/>
      <c r="L468" s="1"/>
      <c r="M468" s="1"/>
      <c r="N468" s="1"/>
      <c r="P468" s="1"/>
      <c r="Q468" s="1"/>
      <c r="R468" s="1"/>
      <c r="S468" s="1"/>
      <c r="T468" s="1"/>
      <c r="U468" s="1"/>
      <c r="V468" s="1"/>
      <c r="W468" s="1"/>
      <c r="AC468" s="1"/>
    </row>
    <row r="469" spans="1:29">
      <c r="A469" s="2"/>
      <c r="B469" s="211"/>
      <c r="C469" s="1"/>
      <c r="D469" s="1"/>
      <c r="E469" s="1"/>
      <c r="F469" s="1"/>
      <c r="G469" s="1"/>
      <c r="H469" s="1"/>
      <c r="I469" s="22"/>
      <c r="J469" s="1"/>
      <c r="K469" s="1"/>
      <c r="L469" s="1"/>
      <c r="M469" s="1"/>
      <c r="N469" s="1"/>
      <c r="P469" s="1"/>
      <c r="Q469" s="1"/>
      <c r="R469" s="1"/>
      <c r="S469" s="1"/>
      <c r="T469" s="1"/>
      <c r="U469" s="1"/>
      <c r="V469" s="1"/>
      <c r="W469" s="1"/>
      <c r="AC469" s="1"/>
    </row>
    <row r="470" spans="1:29">
      <c r="A470" s="2"/>
      <c r="B470" s="211"/>
      <c r="C470" s="1"/>
      <c r="D470" s="1"/>
      <c r="E470" s="1"/>
      <c r="F470" s="1"/>
      <c r="G470" s="1"/>
      <c r="H470" s="1"/>
      <c r="I470" s="22"/>
      <c r="J470" s="1"/>
      <c r="K470" s="1"/>
      <c r="L470" s="1"/>
      <c r="M470" s="1"/>
      <c r="N470" s="1"/>
      <c r="P470" s="1"/>
      <c r="Q470" s="1"/>
      <c r="R470" s="1"/>
      <c r="S470" s="1"/>
      <c r="T470" s="1"/>
      <c r="U470" s="1"/>
      <c r="V470" s="1"/>
      <c r="W470" s="1"/>
      <c r="AC470" s="1"/>
    </row>
    <row r="471" spans="1:29">
      <c r="A471" s="2"/>
      <c r="B471" s="211"/>
      <c r="C471" s="1"/>
      <c r="D471" s="1"/>
      <c r="E471" s="1"/>
      <c r="F471" s="1"/>
      <c r="G471" s="1"/>
      <c r="H471" s="1"/>
      <c r="I471" s="22"/>
      <c r="J471" s="1"/>
      <c r="K471" s="1"/>
      <c r="L471" s="1"/>
      <c r="M471" s="1"/>
      <c r="N471" s="1"/>
      <c r="P471" s="1"/>
      <c r="Q471" s="1"/>
      <c r="R471" s="1"/>
      <c r="S471" s="1"/>
      <c r="T471" s="1"/>
      <c r="U471" s="1"/>
      <c r="V471" s="1"/>
      <c r="W471" s="1"/>
      <c r="AC471" s="1"/>
    </row>
    <row r="472" spans="1:29">
      <c r="A472" s="2"/>
      <c r="B472" s="211"/>
      <c r="C472" s="1"/>
      <c r="D472" s="1"/>
      <c r="E472" s="1"/>
      <c r="F472" s="1"/>
      <c r="G472" s="1"/>
      <c r="H472" s="1"/>
      <c r="I472" s="22"/>
      <c r="J472" s="1"/>
      <c r="K472" s="1"/>
      <c r="L472" s="1"/>
      <c r="M472" s="1"/>
      <c r="N472" s="1"/>
      <c r="P472" s="1"/>
      <c r="Q472" s="1"/>
      <c r="R472" s="1"/>
      <c r="S472" s="1"/>
      <c r="T472" s="1"/>
      <c r="U472" s="1"/>
      <c r="V472" s="1"/>
      <c r="W472" s="1"/>
      <c r="AC472" s="1"/>
    </row>
    <row r="473" spans="1:29">
      <c r="A473" s="2"/>
      <c r="B473" s="211"/>
      <c r="C473" s="1"/>
      <c r="D473" s="1"/>
      <c r="E473" s="1"/>
      <c r="F473" s="1"/>
      <c r="G473" s="1"/>
      <c r="H473" s="1"/>
      <c r="I473" s="22"/>
      <c r="J473" s="1"/>
      <c r="K473" s="1"/>
      <c r="L473" s="1"/>
      <c r="M473" s="1"/>
      <c r="N473" s="1"/>
      <c r="P473" s="1"/>
      <c r="Q473" s="1"/>
      <c r="R473" s="1"/>
      <c r="S473" s="1"/>
      <c r="T473" s="1"/>
      <c r="U473" s="1"/>
      <c r="V473" s="1"/>
      <c r="W473" s="1"/>
      <c r="AC473" s="1"/>
    </row>
    <row r="474" spans="1:29">
      <c r="A474" s="2"/>
      <c r="B474" s="211"/>
      <c r="C474" s="1"/>
      <c r="D474" s="1"/>
      <c r="E474" s="1"/>
      <c r="F474" s="1"/>
      <c r="G474" s="1"/>
      <c r="H474" s="1"/>
      <c r="I474" s="22"/>
      <c r="J474" s="1"/>
      <c r="K474" s="1"/>
      <c r="L474" s="1"/>
      <c r="M474" s="1"/>
      <c r="N474" s="1"/>
      <c r="P474" s="1"/>
      <c r="Q474" s="1"/>
      <c r="R474" s="1"/>
      <c r="S474" s="1"/>
      <c r="T474" s="1"/>
      <c r="U474" s="1"/>
      <c r="V474" s="1"/>
      <c r="W474" s="1"/>
      <c r="AC474" s="1"/>
    </row>
    <row r="475" spans="1:29">
      <c r="A475" s="2"/>
      <c r="B475" s="211"/>
      <c r="C475" s="1"/>
      <c r="D475" s="1"/>
      <c r="E475" s="1"/>
      <c r="F475" s="1"/>
      <c r="G475" s="1"/>
      <c r="H475" s="1"/>
      <c r="I475" s="22"/>
      <c r="J475" s="1"/>
      <c r="K475" s="1"/>
      <c r="L475" s="1"/>
      <c r="M475" s="1"/>
      <c r="N475" s="1"/>
      <c r="P475" s="1"/>
      <c r="Q475" s="1"/>
      <c r="R475" s="1"/>
      <c r="S475" s="1"/>
      <c r="T475" s="1"/>
      <c r="U475" s="1"/>
      <c r="V475" s="1"/>
      <c r="W475" s="1"/>
      <c r="AC475" s="1"/>
    </row>
    <row r="476" spans="1:29">
      <c r="A476" s="2"/>
      <c r="B476" s="211"/>
      <c r="C476" s="1"/>
      <c r="D476" s="1"/>
      <c r="E476" s="1"/>
      <c r="F476" s="1"/>
      <c r="G476" s="1"/>
      <c r="H476" s="1"/>
      <c r="I476" s="22"/>
      <c r="J476" s="1"/>
      <c r="K476" s="1"/>
      <c r="L476" s="1"/>
      <c r="M476" s="1"/>
      <c r="N476" s="1"/>
      <c r="P476" s="1"/>
      <c r="Q476" s="1"/>
      <c r="R476" s="1"/>
      <c r="S476" s="1"/>
      <c r="T476" s="1"/>
      <c r="U476" s="1"/>
      <c r="V476" s="1"/>
      <c r="W476" s="1"/>
      <c r="AC476" s="1"/>
    </row>
    <row r="477" spans="1:29">
      <c r="A477" s="2"/>
      <c r="B477" s="211"/>
      <c r="C477" s="1"/>
      <c r="D477" s="1"/>
      <c r="E477" s="1"/>
      <c r="F477" s="1"/>
      <c r="G477" s="1"/>
      <c r="H477" s="1"/>
      <c r="I477" s="22"/>
      <c r="J477" s="1"/>
      <c r="K477" s="1"/>
      <c r="L477" s="1"/>
      <c r="M477" s="1"/>
      <c r="N477" s="1"/>
      <c r="P477" s="1"/>
      <c r="Q477" s="1"/>
      <c r="R477" s="1"/>
      <c r="S477" s="1"/>
      <c r="T477" s="1"/>
      <c r="U477" s="1"/>
      <c r="V477" s="1"/>
      <c r="W477" s="1"/>
      <c r="AC477" s="1"/>
    </row>
    <row r="478" spans="1:29">
      <c r="A478" s="2"/>
      <c r="B478" s="211"/>
      <c r="C478" s="1"/>
      <c r="D478" s="1"/>
      <c r="E478" s="1"/>
      <c r="F478" s="1"/>
      <c r="G478" s="1"/>
      <c r="H478" s="1"/>
      <c r="I478" s="22"/>
      <c r="J478" s="1"/>
      <c r="K478" s="1"/>
      <c r="L478" s="1"/>
      <c r="M478" s="1"/>
      <c r="N478" s="1"/>
      <c r="P478" s="1"/>
      <c r="Q478" s="1"/>
      <c r="R478" s="1"/>
      <c r="S478" s="1"/>
      <c r="T478" s="1"/>
      <c r="U478" s="1"/>
      <c r="V478" s="1"/>
      <c r="W478" s="1"/>
      <c r="AC478" s="1"/>
    </row>
    <row r="479" spans="1:29">
      <c r="A479" s="2"/>
      <c r="B479" s="211"/>
      <c r="C479" s="1"/>
      <c r="D479" s="1"/>
      <c r="E479" s="1"/>
      <c r="F479" s="1"/>
      <c r="G479" s="1"/>
      <c r="H479" s="1"/>
      <c r="I479" s="22"/>
      <c r="J479" s="1"/>
      <c r="K479" s="1"/>
      <c r="L479" s="1"/>
      <c r="M479" s="1"/>
      <c r="N479" s="1"/>
      <c r="P479" s="1"/>
      <c r="Q479" s="1"/>
      <c r="R479" s="1"/>
      <c r="S479" s="1"/>
      <c r="T479" s="1"/>
      <c r="U479" s="1"/>
      <c r="V479" s="1"/>
      <c r="W479" s="1"/>
      <c r="AC479" s="1"/>
    </row>
    <row r="480" spans="1:29">
      <c r="A480" s="2"/>
      <c r="B480" s="211"/>
      <c r="C480" s="1"/>
      <c r="D480" s="1"/>
      <c r="E480" s="1"/>
      <c r="F480" s="1"/>
      <c r="G480" s="1"/>
      <c r="H480" s="1"/>
      <c r="I480" s="22"/>
      <c r="J480" s="1"/>
      <c r="K480" s="1"/>
      <c r="L480" s="1"/>
      <c r="M480" s="1"/>
      <c r="N480" s="1"/>
      <c r="P480" s="1"/>
      <c r="Q480" s="1"/>
      <c r="R480" s="1"/>
      <c r="S480" s="1"/>
      <c r="T480" s="1"/>
      <c r="U480" s="1"/>
      <c r="V480" s="1"/>
      <c r="W480" s="1"/>
      <c r="AC480" s="1"/>
    </row>
    <row r="481" spans="1:29">
      <c r="A481" s="2"/>
      <c r="B481" s="211"/>
      <c r="C481" s="1"/>
      <c r="D481" s="1"/>
      <c r="E481" s="1"/>
      <c r="F481" s="1"/>
      <c r="G481" s="1"/>
      <c r="H481" s="1"/>
      <c r="I481" s="22"/>
      <c r="J481" s="1"/>
      <c r="K481" s="1"/>
      <c r="L481" s="1"/>
      <c r="M481" s="1"/>
      <c r="N481" s="1"/>
      <c r="P481" s="1"/>
      <c r="Q481" s="1"/>
      <c r="R481" s="1"/>
      <c r="S481" s="1"/>
      <c r="T481" s="1"/>
      <c r="U481" s="1"/>
      <c r="V481" s="1"/>
      <c r="W481" s="1"/>
      <c r="AC481" s="1"/>
    </row>
    <row r="482" spans="1:29">
      <c r="A482" s="2"/>
      <c r="B482" s="211"/>
      <c r="C482" s="1"/>
      <c r="D482" s="1"/>
      <c r="E482" s="1"/>
      <c r="F482" s="1"/>
      <c r="G482" s="1"/>
      <c r="H482" s="1"/>
      <c r="I482" s="22"/>
      <c r="J482" s="1"/>
      <c r="K482" s="1"/>
      <c r="L482" s="1"/>
      <c r="M482" s="1"/>
      <c r="N482" s="1"/>
      <c r="P482" s="1"/>
      <c r="Q482" s="1"/>
      <c r="R482" s="1"/>
      <c r="S482" s="1"/>
      <c r="T482" s="1"/>
      <c r="U482" s="1"/>
      <c r="V482" s="1"/>
      <c r="W482" s="1"/>
      <c r="AC482" s="1"/>
    </row>
    <row r="483" spans="1:29">
      <c r="A483" s="2"/>
      <c r="B483" s="211"/>
      <c r="C483" s="1"/>
      <c r="D483" s="1"/>
      <c r="E483" s="1"/>
      <c r="F483" s="1"/>
      <c r="G483" s="1"/>
      <c r="H483" s="1"/>
      <c r="I483" s="22"/>
      <c r="J483" s="1"/>
      <c r="K483" s="1"/>
      <c r="L483" s="1"/>
      <c r="M483" s="1"/>
      <c r="N483" s="1"/>
      <c r="P483" s="1"/>
      <c r="Q483" s="1"/>
      <c r="R483" s="1"/>
      <c r="S483" s="1"/>
      <c r="T483" s="1"/>
      <c r="U483" s="1"/>
      <c r="V483" s="1"/>
      <c r="W483" s="1"/>
      <c r="AC483" s="1"/>
    </row>
    <row r="484" spans="1:29">
      <c r="A484" s="2"/>
      <c r="B484" s="211"/>
      <c r="C484" s="1"/>
      <c r="D484" s="1"/>
      <c r="E484" s="1"/>
      <c r="F484" s="1"/>
      <c r="G484" s="1"/>
      <c r="H484" s="1"/>
      <c r="I484" s="22"/>
      <c r="J484" s="1"/>
      <c r="K484" s="1"/>
      <c r="L484" s="1"/>
      <c r="M484" s="1"/>
      <c r="N484" s="1"/>
      <c r="P484" s="1"/>
      <c r="Q484" s="1"/>
      <c r="R484" s="1"/>
      <c r="S484" s="1"/>
      <c r="T484" s="1"/>
      <c r="U484" s="1"/>
      <c r="V484" s="1"/>
      <c r="W484" s="1"/>
      <c r="AC484" s="1"/>
    </row>
    <row r="485" spans="1:29">
      <c r="A485" s="2"/>
      <c r="B485" s="211"/>
      <c r="C485" s="1"/>
      <c r="D485" s="1"/>
      <c r="E485" s="1"/>
      <c r="F485" s="1"/>
      <c r="G485" s="1"/>
      <c r="H485" s="1"/>
      <c r="I485" s="22"/>
      <c r="J485" s="1"/>
      <c r="K485" s="1"/>
      <c r="L485" s="1"/>
      <c r="M485" s="1"/>
      <c r="N485" s="1"/>
      <c r="P485" s="1"/>
      <c r="Q485" s="1"/>
      <c r="R485" s="1"/>
      <c r="S485" s="1"/>
      <c r="T485" s="1"/>
      <c r="U485" s="1"/>
      <c r="V485" s="1"/>
      <c r="W485" s="1"/>
      <c r="AC485" s="1"/>
    </row>
    <row r="486" spans="1:29">
      <c r="A486" s="2"/>
      <c r="B486" s="211"/>
      <c r="C486" s="1"/>
      <c r="D486" s="1"/>
      <c r="E486" s="1"/>
      <c r="F486" s="1"/>
      <c r="G486" s="1"/>
      <c r="H486" s="1"/>
      <c r="I486" s="22"/>
      <c r="J486" s="1"/>
      <c r="K486" s="1"/>
      <c r="L486" s="1"/>
      <c r="M486" s="1"/>
      <c r="N486" s="1"/>
      <c r="P486" s="1"/>
      <c r="Q486" s="1"/>
      <c r="R486" s="1"/>
      <c r="S486" s="1"/>
      <c r="T486" s="1"/>
      <c r="U486" s="1"/>
      <c r="V486" s="1"/>
      <c r="W486" s="1"/>
      <c r="AC486" s="1"/>
    </row>
    <row r="487" spans="1:29">
      <c r="A487" s="2"/>
      <c r="B487" s="211"/>
      <c r="C487" s="1"/>
      <c r="D487" s="1"/>
      <c r="E487" s="1"/>
      <c r="F487" s="1"/>
      <c r="G487" s="1"/>
      <c r="H487" s="1"/>
      <c r="I487" s="22"/>
      <c r="J487" s="1"/>
      <c r="K487" s="1"/>
      <c r="L487" s="1"/>
      <c r="M487" s="1"/>
      <c r="N487" s="1"/>
      <c r="P487" s="1"/>
      <c r="Q487" s="1"/>
      <c r="R487" s="1"/>
      <c r="S487" s="1"/>
      <c r="T487" s="1"/>
      <c r="U487" s="1"/>
      <c r="V487" s="1"/>
      <c r="W487" s="1"/>
      <c r="AC487" s="1"/>
    </row>
    <row r="488" spans="1:29">
      <c r="A488" s="2"/>
      <c r="B488" s="211"/>
      <c r="C488" s="1"/>
      <c r="D488" s="1"/>
      <c r="E488" s="1"/>
      <c r="F488" s="1"/>
      <c r="G488" s="1"/>
      <c r="H488" s="1"/>
      <c r="I488" s="22"/>
      <c r="J488" s="1"/>
      <c r="K488" s="1"/>
      <c r="L488" s="1"/>
      <c r="M488" s="1"/>
      <c r="N488" s="1"/>
      <c r="P488" s="1"/>
      <c r="Q488" s="1"/>
      <c r="R488" s="1"/>
      <c r="S488" s="1"/>
      <c r="T488" s="1"/>
      <c r="U488" s="1"/>
      <c r="V488" s="1"/>
      <c r="W488" s="1"/>
      <c r="AC488" s="1"/>
    </row>
    <row r="489" spans="1:29">
      <c r="A489" s="2"/>
      <c r="B489" s="211"/>
      <c r="C489" s="1"/>
      <c r="D489" s="1"/>
      <c r="E489" s="1"/>
      <c r="F489" s="1"/>
      <c r="G489" s="1"/>
      <c r="H489" s="1"/>
      <c r="I489" s="22"/>
      <c r="J489" s="1"/>
      <c r="K489" s="1"/>
      <c r="L489" s="1"/>
      <c r="M489" s="1"/>
      <c r="N489" s="1"/>
      <c r="P489" s="1"/>
      <c r="Q489" s="1"/>
      <c r="R489" s="1"/>
      <c r="S489" s="1"/>
      <c r="T489" s="1"/>
      <c r="U489" s="1"/>
      <c r="V489" s="1"/>
      <c r="W489" s="1"/>
      <c r="AC489" s="1"/>
    </row>
    <row r="490" spans="1:29">
      <c r="A490" s="2"/>
      <c r="B490" s="211"/>
      <c r="C490" s="1"/>
      <c r="D490" s="1"/>
      <c r="E490" s="1"/>
      <c r="F490" s="1"/>
      <c r="G490" s="1"/>
      <c r="H490" s="1"/>
      <c r="I490" s="22"/>
      <c r="J490" s="1"/>
      <c r="K490" s="1"/>
      <c r="L490" s="1"/>
      <c r="M490" s="1"/>
      <c r="N490" s="1"/>
      <c r="P490" s="1"/>
      <c r="Q490" s="1"/>
      <c r="R490" s="1"/>
      <c r="S490" s="1"/>
      <c r="T490" s="1"/>
      <c r="U490" s="1"/>
      <c r="V490" s="1"/>
      <c r="W490" s="1"/>
      <c r="AC490" s="1"/>
    </row>
    <row r="491" spans="1:29">
      <c r="A491" s="2"/>
      <c r="B491" s="211"/>
      <c r="C491" s="1"/>
      <c r="D491" s="1"/>
      <c r="E491" s="1"/>
      <c r="F491" s="1"/>
      <c r="G491" s="1"/>
      <c r="H491" s="1"/>
      <c r="I491" s="22"/>
      <c r="J491" s="1"/>
      <c r="K491" s="1"/>
      <c r="L491" s="1"/>
      <c r="M491" s="1"/>
      <c r="N491" s="1"/>
      <c r="P491" s="1"/>
      <c r="Q491" s="1"/>
      <c r="R491" s="1"/>
      <c r="S491" s="1"/>
      <c r="T491" s="1"/>
      <c r="U491" s="1"/>
      <c r="V491" s="1"/>
      <c r="W491" s="1"/>
      <c r="AC491" s="1"/>
    </row>
    <row r="492" spans="1:29">
      <c r="A492" s="2"/>
      <c r="B492" s="211"/>
      <c r="C492" s="1"/>
      <c r="D492" s="1"/>
      <c r="E492" s="1"/>
      <c r="F492" s="1"/>
      <c r="G492" s="1"/>
      <c r="H492" s="1"/>
      <c r="I492" s="22"/>
      <c r="J492" s="1"/>
      <c r="K492" s="1"/>
      <c r="L492" s="1"/>
      <c r="M492" s="1"/>
      <c r="N492" s="1"/>
      <c r="P492" s="1"/>
      <c r="Q492" s="1"/>
      <c r="R492" s="1"/>
      <c r="S492" s="1"/>
      <c r="T492" s="1"/>
      <c r="U492" s="1"/>
      <c r="V492" s="1"/>
      <c r="W492" s="1"/>
      <c r="AC492" s="1"/>
    </row>
    <row r="493" spans="1:29">
      <c r="A493" s="2"/>
      <c r="B493" s="211"/>
      <c r="C493" s="1"/>
      <c r="D493" s="1"/>
      <c r="E493" s="1"/>
      <c r="F493" s="1"/>
      <c r="G493" s="1"/>
      <c r="H493" s="1"/>
      <c r="I493" s="22"/>
      <c r="J493" s="1"/>
      <c r="K493" s="1"/>
      <c r="L493" s="1"/>
      <c r="M493" s="1"/>
      <c r="N493" s="1"/>
      <c r="P493" s="1"/>
      <c r="Q493" s="1"/>
      <c r="R493" s="1"/>
      <c r="S493" s="1"/>
      <c r="T493" s="1"/>
      <c r="U493" s="1"/>
      <c r="V493" s="1"/>
      <c r="W493" s="1"/>
      <c r="AC493" s="1"/>
    </row>
    <row r="494" spans="1:29">
      <c r="A494" s="2"/>
      <c r="B494" s="211"/>
      <c r="C494" s="1"/>
      <c r="D494" s="1"/>
      <c r="E494" s="1"/>
      <c r="F494" s="1"/>
      <c r="G494" s="1"/>
      <c r="H494" s="1"/>
      <c r="I494" s="22"/>
      <c r="J494" s="1"/>
      <c r="K494" s="1"/>
      <c r="L494" s="1"/>
      <c r="M494" s="1"/>
      <c r="N494" s="1"/>
      <c r="P494" s="1"/>
      <c r="Q494" s="1"/>
      <c r="R494" s="1"/>
      <c r="S494" s="1"/>
      <c r="T494" s="1"/>
      <c r="U494" s="1"/>
      <c r="V494" s="1"/>
      <c r="W494" s="1"/>
      <c r="AC494" s="1"/>
    </row>
    <row r="495" spans="1:29">
      <c r="A495" s="2"/>
      <c r="B495" s="211"/>
      <c r="C495" s="1"/>
      <c r="D495" s="1"/>
      <c r="E495" s="1"/>
      <c r="F495" s="1"/>
      <c r="G495" s="1"/>
      <c r="H495" s="1"/>
      <c r="I495" s="22"/>
      <c r="J495" s="1"/>
      <c r="K495" s="1"/>
      <c r="L495" s="1"/>
      <c r="M495" s="1"/>
      <c r="N495" s="1"/>
      <c r="P495" s="1"/>
      <c r="Q495" s="1"/>
      <c r="R495" s="1"/>
      <c r="S495" s="1"/>
      <c r="T495" s="1"/>
      <c r="U495" s="1"/>
      <c r="V495" s="1"/>
      <c r="W495" s="1"/>
      <c r="AC495" s="1"/>
    </row>
    <row r="496" spans="1:29">
      <c r="A496" s="2"/>
      <c r="B496" s="211"/>
      <c r="C496" s="1"/>
      <c r="D496" s="1"/>
      <c r="E496" s="1"/>
      <c r="F496" s="1"/>
      <c r="G496" s="1"/>
      <c r="H496" s="1"/>
      <c r="I496" s="22"/>
      <c r="J496" s="1"/>
      <c r="K496" s="1"/>
      <c r="L496" s="1"/>
      <c r="M496" s="1"/>
      <c r="N496" s="1"/>
      <c r="P496" s="1"/>
      <c r="Q496" s="1"/>
      <c r="R496" s="1"/>
      <c r="S496" s="1"/>
      <c r="T496" s="1"/>
      <c r="U496" s="1"/>
      <c r="V496" s="1"/>
      <c r="W496" s="1"/>
      <c r="AC496" s="1"/>
    </row>
    <row r="497" spans="1:29">
      <c r="A497" s="2"/>
      <c r="B497" s="211"/>
      <c r="C497" s="1"/>
      <c r="D497" s="1"/>
      <c r="E497" s="1"/>
      <c r="F497" s="1"/>
      <c r="G497" s="1"/>
      <c r="H497" s="1"/>
      <c r="I497" s="22"/>
      <c r="J497" s="1"/>
      <c r="K497" s="1"/>
      <c r="L497" s="1"/>
      <c r="M497" s="1"/>
      <c r="N497" s="1"/>
      <c r="P497" s="1"/>
      <c r="Q497" s="1"/>
      <c r="R497" s="1"/>
      <c r="S497" s="1"/>
      <c r="T497" s="1"/>
      <c r="U497" s="1"/>
      <c r="V497" s="1"/>
      <c r="W497" s="1"/>
      <c r="AC497" s="1"/>
    </row>
    <row r="498" spans="1:29">
      <c r="A498" s="2"/>
      <c r="B498" s="211"/>
      <c r="C498" s="1"/>
      <c r="D498" s="1"/>
      <c r="E498" s="1"/>
      <c r="F498" s="1"/>
      <c r="G498" s="1"/>
      <c r="H498" s="1"/>
      <c r="I498" s="22"/>
      <c r="J498" s="1"/>
      <c r="K498" s="1"/>
      <c r="L498" s="1"/>
      <c r="M498" s="1"/>
      <c r="N498" s="1"/>
      <c r="P498" s="1"/>
      <c r="Q498" s="1"/>
      <c r="R498" s="1"/>
      <c r="S498" s="1"/>
      <c r="T498" s="1"/>
      <c r="U498" s="1"/>
      <c r="V498" s="1"/>
      <c r="W498" s="1"/>
      <c r="AC498" s="1"/>
    </row>
    <row r="499" spans="1:29">
      <c r="A499" s="2"/>
      <c r="B499" s="211"/>
      <c r="C499" s="1"/>
      <c r="D499" s="1"/>
      <c r="E499" s="1"/>
      <c r="F499" s="1"/>
      <c r="G499" s="1"/>
      <c r="H499" s="1"/>
      <c r="I499" s="22"/>
      <c r="J499" s="1"/>
      <c r="K499" s="1"/>
      <c r="L499" s="1"/>
      <c r="M499" s="1"/>
      <c r="N499" s="1"/>
      <c r="P499" s="1"/>
      <c r="Q499" s="1"/>
      <c r="R499" s="1"/>
      <c r="S499" s="1"/>
      <c r="T499" s="1"/>
      <c r="U499" s="1"/>
      <c r="V499" s="1"/>
      <c r="W499" s="1"/>
      <c r="AC499" s="1"/>
    </row>
    <row r="500" spans="1:29">
      <c r="A500" s="2"/>
      <c r="B500" s="211"/>
      <c r="C500" s="1"/>
      <c r="D500" s="1"/>
      <c r="E500" s="1"/>
      <c r="F500" s="1"/>
      <c r="G500" s="1"/>
      <c r="H500" s="1"/>
      <c r="I500" s="22"/>
      <c r="J500" s="1"/>
      <c r="K500" s="1"/>
      <c r="L500" s="1"/>
      <c r="M500" s="1"/>
      <c r="N500" s="1"/>
      <c r="P500" s="1"/>
      <c r="Q500" s="1"/>
      <c r="R500" s="1"/>
      <c r="S500" s="1"/>
      <c r="T500" s="1"/>
      <c r="U500" s="1"/>
      <c r="V500" s="1"/>
      <c r="W500" s="1"/>
      <c r="AC500" s="1"/>
    </row>
    <row r="501" spans="1:29">
      <c r="A501" s="2"/>
      <c r="B501" s="211"/>
      <c r="C501" s="1"/>
      <c r="D501" s="1"/>
      <c r="E501" s="1"/>
      <c r="F501" s="1"/>
      <c r="G501" s="1"/>
      <c r="H501" s="1"/>
      <c r="I501" s="22"/>
      <c r="J501" s="1"/>
      <c r="K501" s="1"/>
      <c r="L501" s="1"/>
      <c r="M501" s="1"/>
      <c r="N501" s="1"/>
      <c r="P501" s="1"/>
      <c r="Q501" s="1"/>
      <c r="R501" s="1"/>
      <c r="S501" s="1"/>
      <c r="T501" s="1"/>
      <c r="U501" s="1"/>
      <c r="V501" s="1"/>
      <c r="W501" s="1"/>
      <c r="AC501" s="1"/>
    </row>
    <row r="502" spans="1:29">
      <c r="A502" s="2"/>
      <c r="B502" s="211"/>
      <c r="C502" s="1"/>
      <c r="D502" s="1"/>
      <c r="E502" s="1"/>
      <c r="F502" s="1"/>
      <c r="G502" s="1"/>
      <c r="H502" s="1"/>
      <c r="I502" s="22"/>
      <c r="J502" s="1"/>
      <c r="K502" s="1"/>
      <c r="L502" s="1"/>
      <c r="M502" s="1"/>
      <c r="N502" s="1"/>
      <c r="P502" s="1"/>
      <c r="Q502" s="1"/>
      <c r="R502" s="1"/>
      <c r="S502" s="1"/>
      <c r="T502" s="1"/>
      <c r="U502" s="1"/>
      <c r="V502" s="1"/>
      <c r="W502" s="1"/>
      <c r="AC502" s="1"/>
    </row>
    <row r="503" spans="1:29">
      <c r="A503" s="2"/>
      <c r="B503" s="211"/>
      <c r="C503" s="1"/>
      <c r="D503" s="1"/>
      <c r="E503" s="1"/>
      <c r="F503" s="1"/>
      <c r="G503" s="1"/>
      <c r="H503" s="1"/>
      <c r="I503" s="22"/>
      <c r="J503" s="1"/>
      <c r="K503" s="1"/>
      <c r="L503" s="1"/>
      <c r="M503" s="1"/>
      <c r="N503" s="1"/>
      <c r="P503" s="1"/>
      <c r="Q503" s="1"/>
      <c r="R503" s="1"/>
      <c r="S503" s="1"/>
      <c r="T503" s="1"/>
      <c r="U503" s="1"/>
      <c r="V503" s="1"/>
      <c r="W503" s="1"/>
      <c r="AC503" s="1"/>
    </row>
    <row r="504" spans="1:29">
      <c r="A504" s="2"/>
      <c r="B504" s="211"/>
      <c r="C504" s="1"/>
      <c r="D504" s="1"/>
      <c r="E504" s="1"/>
      <c r="F504" s="1"/>
      <c r="G504" s="1"/>
      <c r="H504" s="1"/>
      <c r="I504" s="22"/>
      <c r="J504" s="1"/>
      <c r="K504" s="1"/>
      <c r="L504" s="1"/>
      <c r="M504" s="1"/>
      <c r="N504" s="1"/>
      <c r="P504" s="1"/>
      <c r="Q504" s="1"/>
      <c r="R504" s="1"/>
      <c r="S504" s="1"/>
      <c r="T504" s="1"/>
      <c r="U504" s="1"/>
      <c r="V504" s="1"/>
      <c r="W504" s="1"/>
      <c r="AC504" s="1"/>
    </row>
    <row r="505" spans="1:29">
      <c r="A505" s="2"/>
      <c r="B505" s="211"/>
      <c r="C505" s="1"/>
      <c r="D505" s="1"/>
      <c r="E505" s="1"/>
      <c r="F505" s="1"/>
      <c r="G505" s="1"/>
      <c r="H505" s="1"/>
      <c r="I505" s="22"/>
      <c r="J505" s="1"/>
      <c r="K505" s="1"/>
      <c r="L505" s="1"/>
      <c r="M505" s="1"/>
      <c r="N505" s="1"/>
      <c r="P505" s="1"/>
      <c r="Q505" s="1"/>
      <c r="R505" s="1"/>
      <c r="S505" s="1"/>
      <c r="T505" s="1"/>
      <c r="U505" s="1"/>
      <c r="V505" s="1"/>
      <c r="W505" s="1"/>
    </row>
    <row r="506" spans="1:29">
      <c r="A506" s="2"/>
      <c r="B506" s="211"/>
      <c r="C506" s="1"/>
      <c r="D506" s="1"/>
      <c r="E506" s="1"/>
      <c r="F506" s="1"/>
      <c r="G506" s="1"/>
      <c r="H506" s="1"/>
      <c r="I506" s="22"/>
      <c r="J506" s="1"/>
      <c r="K506" s="1"/>
      <c r="L506" s="1"/>
      <c r="M506" s="1"/>
      <c r="N506" s="1"/>
      <c r="P506" s="1"/>
      <c r="Q506" s="1"/>
      <c r="R506" s="1"/>
      <c r="S506" s="1"/>
      <c r="T506" s="1"/>
      <c r="U506" s="1"/>
      <c r="V506" s="1"/>
      <c r="W506" s="1"/>
    </row>
    <row r="507" spans="1:29">
      <c r="A507" s="2"/>
      <c r="B507" s="211"/>
      <c r="C507" s="1"/>
      <c r="D507" s="1"/>
      <c r="E507" s="1"/>
      <c r="F507" s="1"/>
      <c r="G507" s="1"/>
      <c r="H507" s="1"/>
      <c r="I507" s="22"/>
      <c r="J507" s="1"/>
      <c r="K507" s="1"/>
      <c r="L507" s="1"/>
      <c r="M507" s="1"/>
      <c r="N507" s="1"/>
      <c r="P507" s="1"/>
      <c r="Q507" s="1"/>
      <c r="R507" s="1"/>
      <c r="S507" s="1"/>
      <c r="T507" s="1"/>
      <c r="U507" s="1"/>
      <c r="V507" s="1"/>
      <c r="W507" s="1"/>
    </row>
    <row r="508" spans="1:29">
      <c r="A508" s="2"/>
      <c r="B508" s="211"/>
      <c r="C508" s="1"/>
      <c r="D508" s="1"/>
      <c r="E508" s="1"/>
      <c r="F508" s="1"/>
      <c r="G508" s="1"/>
      <c r="H508" s="1"/>
      <c r="I508" s="22"/>
      <c r="J508" s="1"/>
      <c r="K508" s="1"/>
      <c r="L508" s="1"/>
      <c r="M508" s="1"/>
      <c r="N508" s="1"/>
      <c r="P508" s="1"/>
      <c r="Q508" s="1"/>
      <c r="R508" s="1"/>
      <c r="S508" s="1"/>
      <c r="T508" s="1"/>
      <c r="U508" s="1"/>
      <c r="V508" s="1"/>
      <c r="W508" s="1"/>
    </row>
    <row r="509" spans="1:29">
      <c r="A509" s="2"/>
      <c r="B509" s="211"/>
      <c r="C509" s="1"/>
      <c r="D509" s="1"/>
      <c r="E509" s="1"/>
      <c r="F509" s="1"/>
      <c r="G509" s="1"/>
      <c r="H509" s="1"/>
      <c r="I509" s="22"/>
      <c r="J509" s="1"/>
      <c r="K509" s="1"/>
      <c r="L509" s="1"/>
      <c r="M509" s="1"/>
      <c r="N509" s="1"/>
      <c r="P509" s="1"/>
      <c r="Q509" s="1"/>
      <c r="R509" s="1"/>
      <c r="S509" s="1"/>
      <c r="T509" s="1"/>
      <c r="U509" s="1"/>
      <c r="V509" s="1"/>
      <c r="W509" s="1"/>
    </row>
    <row r="510" spans="1:29">
      <c r="A510" s="2"/>
      <c r="B510" s="211"/>
      <c r="C510" s="1"/>
      <c r="D510" s="1"/>
      <c r="E510" s="1"/>
      <c r="F510" s="1"/>
      <c r="G510" s="1"/>
      <c r="H510" s="1"/>
      <c r="I510" s="22"/>
      <c r="J510" s="1"/>
      <c r="K510" s="1"/>
      <c r="L510" s="1"/>
      <c r="M510" s="1"/>
      <c r="N510" s="1"/>
      <c r="P510" s="1"/>
      <c r="Q510" s="1"/>
      <c r="R510" s="1"/>
      <c r="S510" s="1"/>
      <c r="T510" s="1"/>
      <c r="U510" s="1"/>
      <c r="V510" s="1"/>
      <c r="W510" s="1"/>
    </row>
    <row r="511" spans="1:29">
      <c r="A511" s="2"/>
      <c r="B511" s="211"/>
      <c r="C511" s="1"/>
      <c r="D511" s="1"/>
      <c r="E511" s="1"/>
      <c r="F511" s="1"/>
      <c r="G511" s="1"/>
      <c r="H511" s="1"/>
      <c r="I511" s="22"/>
      <c r="J511" s="1"/>
      <c r="K511" s="1"/>
      <c r="L511" s="1"/>
      <c r="M511" s="1"/>
      <c r="N511" s="1"/>
      <c r="P511" s="1"/>
      <c r="Q511" s="1"/>
      <c r="R511" s="1"/>
      <c r="S511" s="1"/>
      <c r="T511" s="1"/>
      <c r="U511" s="1"/>
      <c r="V511" s="1"/>
      <c r="W511" s="1"/>
    </row>
    <row r="512" spans="1:29">
      <c r="A512" s="2"/>
      <c r="B512" s="211"/>
      <c r="C512" s="1"/>
      <c r="D512" s="1"/>
      <c r="E512" s="1"/>
      <c r="F512" s="1"/>
      <c r="G512" s="1"/>
      <c r="H512" s="1"/>
      <c r="I512" s="22"/>
      <c r="J512" s="1"/>
      <c r="K512" s="1"/>
      <c r="L512" s="1"/>
      <c r="M512" s="1"/>
      <c r="N512" s="1"/>
      <c r="P512" s="1"/>
      <c r="Q512" s="1"/>
      <c r="R512" s="1"/>
      <c r="S512" s="1"/>
      <c r="T512" s="1"/>
      <c r="U512" s="1"/>
      <c r="V512" s="1"/>
      <c r="W512" s="1"/>
    </row>
    <row r="513" spans="1:23">
      <c r="A513" s="2"/>
      <c r="B513" s="211"/>
      <c r="C513" s="1"/>
      <c r="D513" s="1"/>
      <c r="E513" s="1"/>
      <c r="F513" s="1"/>
      <c r="G513" s="1"/>
      <c r="H513" s="1"/>
      <c r="I513" s="22"/>
      <c r="J513" s="1"/>
      <c r="K513" s="1"/>
      <c r="L513" s="1"/>
      <c r="M513" s="1"/>
      <c r="N513" s="1"/>
      <c r="P513" s="1"/>
      <c r="Q513" s="1"/>
      <c r="R513" s="1"/>
      <c r="S513" s="1"/>
      <c r="T513" s="1"/>
      <c r="U513" s="1"/>
      <c r="V513" s="1"/>
      <c r="W513" s="1"/>
    </row>
    <row r="514" spans="1:23">
      <c r="A514" s="2"/>
      <c r="B514" s="211"/>
      <c r="C514" s="1"/>
      <c r="D514" s="1"/>
      <c r="E514" s="1"/>
      <c r="F514" s="1"/>
      <c r="G514" s="1"/>
      <c r="H514" s="1"/>
      <c r="I514" s="22"/>
      <c r="J514" s="1"/>
      <c r="K514" s="1"/>
      <c r="L514" s="1"/>
      <c r="M514" s="1"/>
      <c r="N514" s="1"/>
      <c r="P514" s="1"/>
      <c r="Q514" s="1"/>
      <c r="R514" s="1"/>
      <c r="S514" s="1"/>
      <c r="T514" s="1"/>
      <c r="U514" s="1"/>
      <c r="V514" s="1"/>
      <c r="W514" s="1"/>
    </row>
    <row r="515" spans="1:23">
      <c r="A515" s="2"/>
      <c r="B515" s="211"/>
      <c r="C515" s="1"/>
      <c r="D515" s="1"/>
      <c r="E515" s="1"/>
      <c r="F515" s="1"/>
      <c r="G515" s="1"/>
      <c r="H515" s="1"/>
      <c r="I515" s="22"/>
      <c r="J515" s="1"/>
      <c r="K515" s="1"/>
      <c r="L515" s="1"/>
      <c r="M515" s="1"/>
      <c r="N515" s="1"/>
      <c r="P515" s="1"/>
      <c r="Q515" s="1"/>
      <c r="R515" s="1"/>
      <c r="S515" s="1"/>
      <c r="T515" s="1"/>
      <c r="U515" s="1"/>
      <c r="V515" s="1"/>
      <c r="W515" s="1"/>
    </row>
    <row r="516" spans="1:23">
      <c r="A516" s="2"/>
      <c r="B516" s="211"/>
      <c r="C516" s="1"/>
      <c r="D516" s="1"/>
      <c r="E516" s="1"/>
      <c r="F516" s="1"/>
      <c r="G516" s="1"/>
      <c r="H516" s="1"/>
      <c r="I516" s="22"/>
      <c r="J516" s="1"/>
      <c r="K516" s="1"/>
      <c r="L516" s="1"/>
      <c r="M516" s="1"/>
      <c r="N516" s="1"/>
      <c r="P516" s="1"/>
      <c r="Q516" s="1"/>
      <c r="R516" s="1"/>
      <c r="S516" s="1"/>
      <c r="T516" s="1"/>
      <c r="U516" s="1"/>
      <c r="V516" s="1"/>
      <c r="W516" s="1"/>
    </row>
    <row r="517" spans="1:23">
      <c r="A517" s="2"/>
      <c r="B517" s="211"/>
      <c r="C517" s="1"/>
      <c r="D517" s="1"/>
      <c r="E517" s="1"/>
      <c r="F517" s="1"/>
      <c r="G517" s="1"/>
      <c r="H517" s="1"/>
      <c r="I517" s="22"/>
      <c r="J517" s="1"/>
      <c r="K517" s="1"/>
      <c r="L517" s="1"/>
      <c r="M517" s="1"/>
      <c r="N517" s="1"/>
      <c r="P517" s="1"/>
      <c r="Q517" s="1"/>
      <c r="R517" s="1"/>
      <c r="S517" s="1"/>
      <c r="T517" s="1"/>
      <c r="U517" s="1"/>
      <c r="V517" s="1"/>
      <c r="W517" s="1"/>
    </row>
    <row r="518" spans="1:23">
      <c r="A518" s="2"/>
      <c r="B518" s="211"/>
      <c r="C518" s="1"/>
      <c r="D518" s="1"/>
      <c r="E518" s="1"/>
      <c r="F518" s="1"/>
      <c r="G518" s="1"/>
      <c r="H518" s="1"/>
      <c r="I518" s="22"/>
      <c r="J518" s="1"/>
      <c r="K518" s="1"/>
      <c r="L518" s="1"/>
      <c r="M518" s="1"/>
      <c r="N518" s="1"/>
      <c r="P518" s="1"/>
      <c r="Q518" s="1"/>
      <c r="R518" s="1"/>
      <c r="S518" s="1"/>
      <c r="T518" s="1"/>
      <c r="U518" s="1"/>
      <c r="V518" s="1"/>
      <c r="W518" s="1"/>
    </row>
    <row r="519" spans="1:23">
      <c r="A519" s="2"/>
      <c r="B519" s="211"/>
      <c r="C519" s="1"/>
      <c r="D519" s="1"/>
      <c r="E519" s="1"/>
      <c r="F519" s="1"/>
      <c r="G519" s="1"/>
      <c r="H519" s="1"/>
      <c r="I519" s="22"/>
      <c r="J519" s="1"/>
      <c r="K519" s="1"/>
      <c r="L519" s="1"/>
      <c r="M519" s="1"/>
      <c r="N519" s="1"/>
      <c r="P519" s="1"/>
      <c r="Q519" s="1"/>
      <c r="R519" s="1"/>
      <c r="S519" s="1"/>
      <c r="T519" s="1"/>
      <c r="U519" s="1"/>
      <c r="V519" s="1"/>
      <c r="W519" s="1"/>
    </row>
    <row r="520" spans="1:23">
      <c r="A520" s="2"/>
      <c r="B520" s="211"/>
      <c r="C520" s="1"/>
      <c r="D520" s="1"/>
      <c r="E520" s="1"/>
      <c r="F520" s="1"/>
      <c r="G520" s="1"/>
      <c r="H520" s="1"/>
      <c r="I520" s="22"/>
      <c r="J520" s="1"/>
      <c r="K520" s="1"/>
      <c r="L520" s="1"/>
      <c r="M520" s="1"/>
      <c r="N520" s="1"/>
      <c r="P520" s="1"/>
      <c r="Q520" s="1"/>
      <c r="R520" s="1"/>
      <c r="S520" s="1"/>
      <c r="T520" s="1"/>
      <c r="U520" s="1"/>
      <c r="V520" s="1"/>
      <c r="W520" s="1"/>
    </row>
    <row r="521" spans="1:23">
      <c r="A521" s="2"/>
      <c r="B521" s="211"/>
      <c r="C521" s="1"/>
      <c r="D521" s="1"/>
      <c r="E521" s="1"/>
      <c r="F521" s="1"/>
      <c r="G521" s="1"/>
      <c r="H521" s="1"/>
      <c r="I521" s="22"/>
      <c r="J521" s="1"/>
      <c r="K521" s="1"/>
      <c r="L521" s="1"/>
      <c r="M521" s="1"/>
      <c r="N521" s="1"/>
      <c r="P521" s="1"/>
      <c r="Q521" s="1"/>
      <c r="R521" s="1"/>
      <c r="S521" s="1"/>
      <c r="T521" s="1"/>
      <c r="U521" s="1"/>
      <c r="V521" s="1"/>
      <c r="W521" s="1"/>
    </row>
    <row r="522" spans="1:23">
      <c r="A522" s="2"/>
      <c r="B522" s="211"/>
      <c r="C522" s="1"/>
      <c r="D522" s="1"/>
      <c r="E522" s="1"/>
      <c r="F522" s="1"/>
      <c r="G522" s="1"/>
      <c r="H522" s="1"/>
      <c r="I522" s="22"/>
      <c r="J522" s="1"/>
      <c r="K522" s="1"/>
      <c r="L522" s="1"/>
      <c r="M522" s="1"/>
      <c r="N522" s="1"/>
      <c r="P522" s="1"/>
      <c r="Q522" s="1"/>
      <c r="R522" s="1"/>
      <c r="S522" s="1"/>
      <c r="T522" s="1"/>
      <c r="U522" s="1"/>
      <c r="V522" s="1"/>
      <c r="W522" s="1"/>
    </row>
    <row r="523" spans="1:23">
      <c r="A523" s="2"/>
      <c r="B523" s="211"/>
      <c r="C523" s="1"/>
      <c r="D523" s="1"/>
      <c r="E523" s="1"/>
      <c r="F523" s="1"/>
      <c r="G523" s="1"/>
      <c r="H523" s="1"/>
      <c r="I523" s="22"/>
      <c r="J523" s="1"/>
      <c r="K523" s="1"/>
      <c r="L523" s="1"/>
      <c r="M523" s="1"/>
      <c r="N523" s="1"/>
      <c r="P523" s="1"/>
      <c r="Q523" s="1"/>
      <c r="R523" s="1"/>
      <c r="S523" s="1"/>
      <c r="T523" s="1"/>
      <c r="U523" s="1"/>
      <c r="V523" s="1"/>
      <c r="W523" s="1"/>
    </row>
    <row r="524" spans="1:23">
      <c r="A524" s="2"/>
      <c r="B524" s="211"/>
      <c r="C524" s="1"/>
      <c r="D524" s="1"/>
      <c r="E524" s="1"/>
      <c r="F524" s="1"/>
      <c r="G524" s="1"/>
      <c r="H524" s="1"/>
      <c r="I524" s="22"/>
      <c r="J524" s="1"/>
      <c r="K524" s="1"/>
      <c r="L524" s="1"/>
      <c r="M524" s="1"/>
      <c r="N524" s="1"/>
      <c r="P524" s="1"/>
      <c r="Q524" s="1"/>
      <c r="R524" s="1"/>
      <c r="S524" s="1"/>
      <c r="T524" s="1"/>
      <c r="U524" s="1"/>
      <c r="V524" s="1"/>
      <c r="W524" s="1"/>
    </row>
    <row r="525" spans="1:23">
      <c r="A525" s="2"/>
      <c r="B525" s="211"/>
      <c r="C525" s="1"/>
      <c r="D525" s="1"/>
      <c r="E525" s="1"/>
      <c r="F525" s="1"/>
      <c r="G525" s="1"/>
      <c r="H525" s="1"/>
      <c r="I525" s="22"/>
      <c r="J525" s="1"/>
      <c r="K525" s="1"/>
      <c r="L525" s="1"/>
      <c r="M525" s="1"/>
      <c r="N525" s="1"/>
      <c r="P525" s="1"/>
      <c r="Q525" s="1"/>
      <c r="R525" s="1"/>
      <c r="S525" s="1"/>
      <c r="T525" s="1"/>
      <c r="U525" s="1"/>
      <c r="V525" s="1"/>
      <c r="W525" s="1"/>
    </row>
    <row r="526" spans="1:23">
      <c r="A526" s="2"/>
      <c r="B526" s="211"/>
      <c r="C526" s="1"/>
      <c r="D526" s="1"/>
      <c r="E526" s="1"/>
      <c r="F526" s="1"/>
      <c r="G526" s="1"/>
      <c r="H526" s="1"/>
      <c r="I526" s="22"/>
      <c r="J526" s="1"/>
      <c r="K526" s="1"/>
      <c r="L526" s="1"/>
      <c r="M526" s="1"/>
      <c r="N526" s="1"/>
      <c r="P526" s="1"/>
      <c r="Q526" s="1"/>
      <c r="R526" s="1"/>
      <c r="S526" s="1"/>
      <c r="T526" s="1"/>
      <c r="U526" s="1"/>
      <c r="V526" s="1"/>
      <c r="W526" s="1"/>
    </row>
    <row r="527" spans="1:23">
      <c r="A527" s="2"/>
      <c r="B527" s="211"/>
      <c r="C527" s="1"/>
      <c r="D527" s="1"/>
      <c r="E527" s="1"/>
      <c r="F527" s="1"/>
      <c r="G527" s="1"/>
      <c r="H527" s="1"/>
      <c r="I527" s="22"/>
      <c r="J527" s="1"/>
      <c r="K527" s="1"/>
      <c r="L527" s="1"/>
      <c r="M527" s="1"/>
      <c r="N527" s="1"/>
      <c r="P527" s="1"/>
      <c r="Q527" s="1"/>
      <c r="R527" s="1"/>
      <c r="S527" s="1"/>
      <c r="T527" s="1"/>
      <c r="U527" s="1"/>
      <c r="V527" s="1"/>
      <c r="W527" s="1"/>
    </row>
    <row r="528" spans="1:23">
      <c r="A528" s="2"/>
      <c r="B528" s="211"/>
      <c r="C528" s="1"/>
      <c r="D528" s="1"/>
      <c r="E528" s="1"/>
      <c r="F528" s="1"/>
      <c r="G528" s="1"/>
      <c r="H528" s="1"/>
      <c r="I528" s="22"/>
      <c r="J528" s="1"/>
      <c r="K528" s="1"/>
      <c r="L528" s="1"/>
      <c r="M528" s="1"/>
      <c r="N528" s="1"/>
      <c r="P528" s="1"/>
      <c r="Q528" s="1"/>
      <c r="R528" s="1"/>
      <c r="S528" s="1"/>
      <c r="T528" s="1"/>
      <c r="U528" s="1"/>
      <c r="V528" s="1"/>
      <c r="W528" s="1"/>
    </row>
    <row r="529" spans="1:23">
      <c r="A529" s="2"/>
      <c r="B529" s="211"/>
      <c r="C529" s="1"/>
      <c r="D529" s="1"/>
      <c r="E529" s="1"/>
      <c r="F529" s="1"/>
      <c r="G529" s="1"/>
      <c r="H529" s="1"/>
      <c r="I529" s="22"/>
      <c r="J529" s="1"/>
      <c r="K529" s="1"/>
      <c r="L529" s="1"/>
      <c r="M529" s="1"/>
      <c r="N529" s="1"/>
      <c r="P529" s="1"/>
      <c r="Q529" s="1"/>
      <c r="R529" s="1"/>
      <c r="S529" s="1"/>
      <c r="T529" s="1"/>
      <c r="U529" s="1"/>
      <c r="V529" s="1"/>
      <c r="W529" s="1"/>
    </row>
    <row r="530" spans="1:23">
      <c r="A530" s="2"/>
      <c r="B530" s="211"/>
      <c r="C530" s="1"/>
      <c r="D530" s="1"/>
      <c r="E530" s="1"/>
      <c r="F530" s="1"/>
      <c r="G530" s="1"/>
      <c r="H530" s="1"/>
      <c r="I530" s="22"/>
      <c r="J530" s="1"/>
      <c r="K530" s="1"/>
      <c r="L530" s="1"/>
      <c r="M530" s="1"/>
      <c r="N530" s="1"/>
      <c r="P530" s="1"/>
      <c r="Q530" s="1"/>
      <c r="R530" s="1"/>
      <c r="S530" s="1"/>
      <c r="T530" s="1"/>
      <c r="U530" s="1"/>
      <c r="V530" s="1"/>
      <c r="W530" s="1"/>
    </row>
    <row r="531" spans="1:23">
      <c r="A531" s="2"/>
      <c r="B531" s="211"/>
      <c r="C531" s="1"/>
      <c r="D531" s="1"/>
      <c r="E531" s="1"/>
      <c r="F531" s="1"/>
      <c r="G531" s="1"/>
      <c r="H531" s="1"/>
      <c r="I531" s="22"/>
      <c r="J531" s="1"/>
      <c r="K531" s="1"/>
      <c r="L531" s="1"/>
      <c r="M531" s="1"/>
      <c r="N531" s="1"/>
      <c r="P531" s="1"/>
      <c r="Q531" s="1"/>
      <c r="R531" s="1"/>
      <c r="S531" s="1"/>
      <c r="T531" s="1"/>
      <c r="U531" s="1"/>
      <c r="V531" s="1"/>
      <c r="W531" s="1"/>
    </row>
    <row r="532" spans="1:23">
      <c r="A532" s="2"/>
      <c r="B532" s="211"/>
      <c r="C532" s="1"/>
      <c r="D532" s="1"/>
      <c r="E532" s="1"/>
      <c r="F532" s="1"/>
      <c r="G532" s="1"/>
      <c r="H532" s="1"/>
      <c r="I532" s="22"/>
      <c r="J532" s="1"/>
      <c r="K532" s="1"/>
      <c r="L532" s="1"/>
      <c r="M532" s="1"/>
      <c r="N532" s="1"/>
      <c r="P532" s="1"/>
      <c r="Q532" s="1"/>
      <c r="R532" s="1"/>
      <c r="S532" s="1"/>
      <c r="T532" s="1"/>
      <c r="U532" s="1"/>
      <c r="V532" s="1"/>
      <c r="W532" s="1"/>
    </row>
    <row r="533" spans="1:23">
      <c r="A533" s="2"/>
      <c r="B533" s="211"/>
      <c r="C533" s="1"/>
      <c r="D533" s="1"/>
      <c r="E533" s="1"/>
      <c r="F533" s="1"/>
      <c r="G533" s="1"/>
      <c r="H533" s="1"/>
      <c r="I533" s="22"/>
      <c r="J533" s="1"/>
      <c r="K533" s="1"/>
      <c r="L533" s="1"/>
      <c r="M533" s="1"/>
      <c r="N533" s="1"/>
      <c r="P533" s="1"/>
      <c r="Q533" s="1"/>
      <c r="R533" s="1"/>
      <c r="S533" s="1"/>
      <c r="T533" s="1"/>
      <c r="U533" s="1"/>
      <c r="V533" s="1"/>
      <c r="W533" s="1"/>
    </row>
    <row r="534" spans="1:23">
      <c r="A534" s="2"/>
      <c r="B534" s="211"/>
      <c r="C534" s="1"/>
      <c r="D534" s="1"/>
      <c r="E534" s="1"/>
      <c r="F534" s="1"/>
      <c r="G534" s="1"/>
      <c r="H534" s="1"/>
      <c r="I534" s="22"/>
      <c r="J534" s="1"/>
      <c r="K534" s="1"/>
      <c r="L534" s="1"/>
      <c r="M534" s="1"/>
      <c r="N534" s="1"/>
      <c r="P534" s="1"/>
      <c r="Q534" s="1"/>
      <c r="R534" s="1"/>
      <c r="S534" s="1"/>
      <c r="T534" s="1"/>
      <c r="U534" s="1"/>
      <c r="V534" s="1"/>
      <c r="W534" s="1"/>
    </row>
    <row r="535" spans="1:23">
      <c r="A535" s="2"/>
      <c r="B535" s="211"/>
      <c r="C535" s="1"/>
      <c r="D535" s="1"/>
      <c r="E535" s="1"/>
      <c r="F535" s="1"/>
      <c r="G535" s="1"/>
      <c r="H535" s="1"/>
      <c r="I535" s="22"/>
      <c r="J535" s="1"/>
      <c r="K535" s="1"/>
      <c r="L535" s="1"/>
      <c r="M535" s="1"/>
      <c r="N535" s="1"/>
      <c r="P535" s="1"/>
      <c r="Q535" s="1"/>
      <c r="R535" s="1"/>
      <c r="S535" s="1"/>
      <c r="T535" s="1"/>
      <c r="U535" s="1"/>
      <c r="V535" s="1"/>
      <c r="W535" s="1"/>
    </row>
    <row r="536" spans="1:23">
      <c r="A536" s="2"/>
      <c r="B536" s="211"/>
      <c r="C536" s="1"/>
      <c r="D536" s="1"/>
      <c r="E536" s="1"/>
      <c r="F536" s="1"/>
      <c r="G536" s="1"/>
      <c r="H536" s="1"/>
      <c r="I536" s="22"/>
      <c r="J536" s="1"/>
      <c r="K536" s="1"/>
      <c r="L536" s="1"/>
      <c r="M536" s="1"/>
      <c r="N536" s="1"/>
      <c r="P536" s="1"/>
      <c r="Q536" s="1"/>
      <c r="R536" s="1"/>
      <c r="S536" s="1"/>
      <c r="T536" s="1"/>
      <c r="U536" s="1"/>
      <c r="V536" s="1"/>
      <c r="W536" s="1"/>
    </row>
    <row r="537" spans="1:23">
      <c r="A537" s="2"/>
      <c r="B537" s="211"/>
      <c r="C537" s="1"/>
      <c r="D537" s="1"/>
      <c r="E537" s="1"/>
      <c r="F537" s="1"/>
      <c r="G537" s="1"/>
      <c r="H537" s="1"/>
      <c r="I537" s="22"/>
      <c r="J537" s="1"/>
      <c r="K537" s="1"/>
      <c r="L537" s="1"/>
      <c r="M537" s="1"/>
      <c r="N537" s="1"/>
      <c r="P537" s="1"/>
      <c r="Q537" s="1"/>
      <c r="R537" s="1"/>
      <c r="S537" s="1"/>
      <c r="T537" s="1"/>
      <c r="U537" s="1"/>
      <c r="V537" s="1"/>
      <c r="W537" s="1"/>
    </row>
    <row r="538" spans="1:23">
      <c r="A538" s="2"/>
      <c r="B538" s="211"/>
      <c r="C538" s="1"/>
      <c r="D538" s="1"/>
      <c r="E538" s="1"/>
      <c r="F538" s="1"/>
      <c r="G538" s="1"/>
      <c r="H538" s="1"/>
      <c r="I538" s="22"/>
      <c r="J538" s="1"/>
      <c r="K538" s="1"/>
      <c r="L538" s="1"/>
      <c r="M538" s="1"/>
      <c r="N538" s="1"/>
      <c r="P538" s="1"/>
      <c r="Q538" s="1"/>
      <c r="R538" s="1"/>
      <c r="S538" s="1"/>
      <c r="T538" s="1"/>
      <c r="U538" s="1"/>
      <c r="V538" s="1"/>
      <c r="W538" s="1"/>
    </row>
    <row r="539" spans="1:23">
      <c r="A539" s="2"/>
      <c r="B539" s="211"/>
      <c r="C539" s="1"/>
      <c r="D539" s="1"/>
      <c r="E539" s="1"/>
      <c r="F539" s="1"/>
      <c r="G539" s="1"/>
      <c r="H539" s="1"/>
      <c r="I539" s="22"/>
      <c r="J539" s="1"/>
      <c r="K539" s="1"/>
      <c r="L539" s="1"/>
      <c r="M539" s="1"/>
      <c r="N539" s="1"/>
      <c r="P539" s="1"/>
      <c r="Q539" s="1"/>
      <c r="R539" s="1"/>
      <c r="S539" s="1"/>
      <c r="T539" s="1"/>
      <c r="U539" s="1"/>
      <c r="V539" s="1"/>
      <c r="W539" s="1"/>
    </row>
    <row r="540" spans="1:23">
      <c r="A540" s="2"/>
      <c r="B540" s="211"/>
      <c r="C540" s="1"/>
      <c r="D540" s="1"/>
      <c r="E540" s="1"/>
      <c r="F540" s="1"/>
      <c r="G540" s="1"/>
      <c r="H540" s="1"/>
      <c r="I540" s="22"/>
      <c r="J540" s="1"/>
      <c r="K540" s="1"/>
      <c r="L540" s="1"/>
      <c r="M540" s="1"/>
      <c r="N540" s="1"/>
      <c r="P540" s="1"/>
      <c r="Q540" s="1"/>
      <c r="R540" s="1"/>
      <c r="S540" s="1"/>
      <c r="T540" s="1"/>
      <c r="U540" s="1"/>
      <c r="V540" s="1"/>
      <c r="W540" s="1"/>
    </row>
    <row r="541" spans="1:23">
      <c r="A541" s="2"/>
      <c r="B541" s="211"/>
      <c r="C541" s="1"/>
      <c r="D541" s="1"/>
      <c r="E541" s="1"/>
      <c r="F541" s="1"/>
      <c r="G541" s="1"/>
      <c r="H541" s="1"/>
      <c r="I541" s="22"/>
      <c r="J541" s="1"/>
      <c r="K541" s="1"/>
      <c r="L541" s="1"/>
      <c r="M541" s="1"/>
      <c r="N541" s="1"/>
      <c r="P541" s="1"/>
      <c r="Q541" s="1"/>
      <c r="R541" s="1"/>
      <c r="S541" s="1"/>
      <c r="T541" s="1"/>
      <c r="U541" s="1"/>
      <c r="V541" s="1"/>
      <c r="W541" s="1"/>
    </row>
    <row r="542" spans="1:23">
      <c r="A542" s="2"/>
      <c r="B542" s="211"/>
      <c r="C542" s="1"/>
      <c r="D542" s="1"/>
      <c r="E542" s="1"/>
      <c r="F542" s="1"/>
      <c r="G542" s="1"/>
      <c r="H542" s="1"/>
      <c r="I542" s="22"/>
      <c r="J542" s="1"/>
      <c r="K542" s="1"/>
      <c r="L542" s="1"/>
      <c r="M542" s="1"/>
      <c r="N542" s="1"/>
      <c r="P542" s="1"/>
      <c r="Q542" s="1"/>
      <c r="R542" s="1"/>
      <c r="S542" s="1"/>
      <c r="T542" s="1"/>
      <c r="U542" s="1"/>
      <c r="V542" s="1"/>
      <c r="W542" s="1"/>
    </row>
    <row r="543" spans="1:23">
      <c r="A543" s="2"/>
      <c r="B543" s="211"/>
      <c r="C543" s="1"/>
      <c r="D543" s="1"/>
      <c r="E543" s="1"/>
      <c r="F543" s="1"/>
      <c r="G543" s="1"/>
      <c r="H543" s="1"/>
      <c r="I543" s="22"/>
      <c r="J543" s="1"/>
      <c r="K543" s="1"/>
      <c r="L543" s="1"/>
      <c r="M543" s="1"/>
      <c r="N543" s="1"/>
      <c r="P543" s="1"/>
      <c r="Q543" s="1"/>
      <c r="R543" s="1"/>
      <c r="S543" s="1"/>
      <c r="T543" s="1"/>
      <c r="U543" s="1"/>
      <c r="V543" s="1"/>
      <c r="W543" s="1"/>
    </row>
    <row r="544" spans="1:23">
      <c r="A544" s="2"/>
      <c r="B544" s="211"/>
      <c r="C544" s="1"/>
      <c r="D544" s="1"/>
      <c r="E544" s="1"/>
      <c r="F544" s="1"/>
      <c r="G544" s="1"/>
      <c r="H544" s="1"/>
      <c r="I544" s="22"/>
      <c r="J544" s="1"/>
      <c r="K544" s="1"/>
      <c r="L544" s="1"/>
      <c r="M544" s="1"/>
      <c r="N544" s="1"/>
      <c r="P544" s="1"/>
      <c r="Q544" s="1"/>
      <c r="R544" s="1"/>
      <c r="S544" s="1"/>
      <c r="T544" s="1"/>
      <c r="U544" s="1"/>
      <c r="V544" s="1"/>
      <c r="W544" s="1"/>
    </row>
    <row r="545" spans="1:23">
      <c r="A545" s="2"/>
      <c r="B545" s="211"/>
      <c r="C545" s="1"/>
      <c r="D545" s="1"/>
      <c r="E545" s="1"/>
      <c r="F545" s="1"/>
      <c r="G545" s="1"/>
      <c r="H545" s="1"/>
      <c r="I545" s="22"/>
      <c r="J545" s="1"/>
      <c r="K545" s="1"/>
      <c r="L545" s="1"/>
      <c r="M545" s="1"/>
      <c r="N545" s="1"/>
      <c r="P545" s="1"/>
      <c r="Q545" s="1"/>
      <c r="R545" s="1"/>
      <c r="S545" s="1"/>
      <c r="T545" s="1"/>
      <c r="U545" s="1"/>
      <c r="V545" s="1"/>
      <c r="W545" s="1"/>
    </row>
    <row r="546" spans="1:23">
      <c r="A546" s="2"/>
      <c r="B546" s="211"/>
      <c r="C546" s="1"/>
      <c r="D546" s="1"/>
      <c r="E546" s="1"/>
      <c r="F546" s="1"/>
      <c r="G546" s="1"/>
      <c r="H546" s="1"/>
      <c r="I546" s="22"/>
      <c r="J546" s="1"/>
      <c r="K546" s="1"/>
      <c r="L546" s="1"/>
      <c r="M546" s="1"/>
      <c r="N546" s="1"/>
      <c r="P546" s="1"/>
      <c r="Q546" s="1"/>
      <c r="R546" s="1"/>
      <c r="S546" s="1"/>
      <c r="T546" s="1"/>
      <c r="U546" s="1"/>
      <c r="V546" s="1"/>
      <c r="W546" s="1"/>
    </row>
    <row r="547" spans="1:23">
      <c r="A547" s="2"/>
      <c r="B547" s="211"/>
      <c r="C547" s="1"/>
      <c r="D547" s="1"/>
      <c r="E547" s="1"/>
      <c r="F547" s="1"/>
      <c r="G547" s="1"/>
      <c r="H547" s="1"/>
      <c r="I547" s="22"/>
      <c r="J547" s="1"/>
      <c r="K547" s="1"/>
      <c r="L547" s="1"/>
      <c r="M547" s="1"/>
      <c r="N547" s="1"/>
      <c r="P547" s="1"/>
      <c r="Q547" s="1"/>
      <c r="R547" s="1"/>
      <c r="S547" s="1"/>
      <c r="T547" s="1"/>
      <c r="U547" s="1"/>
      <c r="V547" s="1"/>
      <c r="W547" s="1"/>
    </row>
    <row r="548" spans="1:23">
      <c r="A548" s="2"/>
      <c r="B548" s="211"/>
      <c r="C548" s="1"/>
      <c r="D548" s="1"/>
      <c r="E548" s="1"/>
      <c r="F548" s="1"/>
      <c r="G548" s="1"/>
      <c r="H548" s="1"/>
      <c r="I548" s="22"/>
      <c r="J548" s="1"/>
      <c r="K548" s="1"/>
      <c r="L548" s="1"/>
      <c r="M548" s="1"/>
      <c r="N548" s="1"/>
      <c r="P548" s="1"/>
      <c r="Q548" s="1"/>
      <c r="R548" s="1"/>
      <c r="S548" s="1"/>
      <c r="T548" s="1"/>
      <c r="U548" s="1"/>
      <c r="V548" s="1"/>
      <c r="W548" s="1"/>
    </row>
    <row r="549" spans="1:23">
      <c r="A549" s="2"/>
      <c r="B549" s="211"/>
      <c r="C549" s="1"/>
      <c r="D549" s="1"/>
      <c r="E549" s="1"/>
      <c r="F549" s="1"/>
      <c r="G549" s="1"/>
      <c r="H549" s="1"/>
      <c r="I549" s="22"/>
      <c r="J549" s="1"/>
      <c r="K549" s="1"/>
      <c r="L549" s="1"/>
      <c r="M549" s="1"/>
      <c r="N549" s="1"/>
      <c r="P549" s="1"/>
      <c r="Q549" s="1"/>
      <c r="R549" s="1"/>
      <c r="S549" s="1"/>
      <c r="T549" s="1"/>
      <c r="U549" s="1"/>
      <c r="V549" s="1"/>
      <c r="W549" s="1"/>
    </row>
    <row r="550" spans="1:23">
      <c r="A550" s="2"/>
      <c r="B550" s="211"/>
      <c r="C550" s="1"/>
      <c r="D550" s="1"/>
      <c r="E550" s="1"/>
      <c r="F550" s="1"/>
      <c r="G550" s="1"/>
      <c r="H550" s="1"/>
      <c r="I550" s="22"/>
      <c r="J550" s="1"/>
      <c r="K550" s="1"/>
      <c r="L550" s="1"/>
      <c r="M550" s="1"/>
      <c r="N550" s="1"/>
      <c r="P550" s="1"/>
      <c r="Q550" s="1"/>
      <c r="R550" s="1"/>
      <c r="S550" s="1"/>
      <c r="T550" s="1"/>
      <c r="U550" s="1"/>
      <c r="V550" s="1"/>
      <c r="W550" s="1"/>
    </row>
    <row r="551" spans="1:23">
      <c r="A551" s="2"/>
      <c r="B551" s="211"/>
      <c r="C551" s="1"/>
      <c r="D551" s="1"/>
      <c r="E551" s="1"/>
      <c r="F551" s="1"/>
      <c r="G551" s="1"/>
      <c r="H551" s="1"/>
      <c r="I551" s="22"/>
      <c r="J551" s="1"/>
      <c r="K551" s="1"/>
      <c r="L551" s="1"/>
      <c r="M551" s="1"/>
      <c r="N551" s="1"/>
      <c r="P551" s="1"/>
      <c r="Q551" s="1"/>
      <c r="R551" s="1"/>
      <c r="S551" s="1"/>
      <c r="T551" s="1"/>
      <c r="U551" s="1"/>
      <c r="V551" s="1"/>
      <c r="W551" s="1"/>
    </row>
    <row r="552" spans="1:23">
      <c r="A552" s="2"/>
      <c r="B552" s="211"/>
      <c r="C552" s="1"/>
      <c r="D552" s="1"/>
      <c r="E552" s="1"/>
      <c r="F552" s="1"/>
      <c r="G552" s="1"/>
      <c r="H552" s="1"/>
      <c r="I552" s="22"/>
      <c r="J552" s="1"/>
      <c r="K552" s="1"/>
      <c r="L552" s="1"/>
      <c r="M552" s="1"/>
      <c r="N552" s="1"/>
      <c r="P552" s="1"/>
      <c r="Q552" s="1"/>
      <c r="R552" s="1"/>
      <c r="S552" s="1"/>
      <c r="T552" s="1"/>
      <c r="U552" s="1"/>
      <c r="V552" s="1"/>
      <c r="W552" s="1"/>
    </row>
    <row r="553" spans="1:23">
      <c r="A553" s="2"/>
      <c r="B553" s="211"/>
      <c r="C553" s="1"/>
      <c r="D553" s="1"/>
      <c r="E553" s="1"/>
      <c r="F553" s="1"/>
      <c r="G553" s="1"/>
      <c r="H553" s="1"/>
      <c r="I553" s="22"/>
      <c r="J553" s="1"/>
      <c r="K553" s="1"/>
      <c r="L553" s="1"/>
      <c r="M553" s="1"/>
      <c r="N553" s="1"/>
      <c r="P553" s="1"/>
      <c r="Q553" s="1"/>
      <c r="R553" s="1"/>
      <c r="S553" s="1"/>
      <c r="T553" s="1"/>
      <c r="U553" s="1"/>
      <c r="V553" s="1"/>
      <c r="W553" s="1"/>
    </row>
    <row r="554" spans="1:23">
      <c r="A554" s="2"/>
      <c r="B554" s="211"/>
      <c r="C554" s="1"/>
      <c r="D554" s="1"/>
      <c r="E554" s="1"/>
      <c r="F554" s="1"/>
      <c r="G554" s="1"/>
      <c r="H554" s="1"/>
      <c r="I554" s="22"/>
      <c r="J554" s="1"/>
      <c r="K554" s="1"/>
      <c r="L554" s="1"/>
      <c r="M554" s="1"/>
      <c r="N554" s="1"/>
      <c r="P554" s="1"/>
      <c r="Q554" s="1"/>
      <c r="R554" s="1"/>
      <c r="S554" s="1"/>
      <c r="T554" s="1"/>
      <c r="U554" s="1"/>
      <c r="V554" s="1"/>
      <c r="W554" s="1"/>
    </row>
    <row r="555" spans="1:23">
      <c r="A555" s="2"/>
      <c r="B555" s="211"/>
      <c r="C555" s="1"/>
      <c r="D555" s="1"/>
      <c r="E555" s="1"/>
      <c r="F555" s="1"/>
      <c r="G555" s="1"/>
      <c r="H555" s="1"/>
      <c r="I555" s="22"/>
      <c r="J555" s="1"/>
      <c r="K555" s="1"/>
      <c r="L555" s="1"/>
      <c r="M555" s="1"/>
      <c r="N555" s="1"/>
      <c r="P555" s="1"/>
      <c r="Q555" s="1"/>
      <c r="R555" s="1"/>
      <c r="S555" s="1"/>
      <c r="T555" s="1"/>
      <c r="U555" s="1"/>
      <c r="V555" s="1"/>
      <c r="W555" s="1"/>
    </row>
    <row r="556" spans="1:23">
      <c r="A556" s="2"/>
      <c r="B556" s="211"/>
      <c r="C556" s="1"/>
      <c r="D556" s="1"/>
      <c r="E556" s="1"/>
      <c r="F556" s="1"/>
      <c r="G556" s="1"/>
      <c r="H556" s="1"/>
      <c r="I556" s="22"/>
      <c r="J556" s="1"/>
      <c r="K556" s="1"/>
      <c r="L556" s="1"/>
      <c r="M556" s="1"/>
      <c r="N556" s="1"/>
      <c r="P556" s="1"/>
      <c r="Q556" s="1"/>
      <c r="R556" s="1"/>
      <c r="S556" s="1"/>
      <c r="T556" s="1"/>
      <c r="U556" s="1"/>
      <c r="V556" s="1"/>
      <c r="W556" s="1"/>
    </row>
    <row r="557" spans="1:23">
      <c r="A557" s="2"/>
      <c r="B557" s="211"/>
      <c r="C557" s="1"/>
      <c r="D557" s="1"/>
      <c r="E557" s="1"/>
      <c r="F557" s="1"/>
      <c r="G557" s="1"/>
      <c r="H557" s="1"/>
      <c r="I557" s="22"/>
      <c r="J557" s="1"/>
      <c r="K557" s="1"/>
      <c r="L557" s="1"/>
      <c r="M557" s="1"/>
      <c r="N557" s="1"/>
      <c r="P557" s="1"/>
      <c r="Q557" s="1"/>
      <c r="R557" s="1"/>
      <c r="S557" s="1"/>
      <c r="T557" s="1"/>
      <c r="U557" s="1"/>
      <c r="V557" s="1"/>
      <c r="W557" s="1"/>
    </row>
    <row r="558" spans="1:23">
      <c r="A558" s="2"/>
      <c r="B558" s="211"/>
      <c r="C558" s="1"/>
      <c r="D558" s="1"/>
      <c r="E558" s="1"/>
      <c r="F558" s="1"/>
      <c r="G558" s="1"/>
      <c r="H558" s="1"/>
      <c r="I558" s="22"/>
      <c r="J558" s="1"/>
      <c r="K558" s="1"/>
      <c r="L558" s="1"/>
      <c r="M558" s="1"/>
      <c r="N558" s="1"/>
      <c r="P558" s="1"/>
      <c r="Q558" s="1"/>
      <c r="R558" s="1"/>
      <c r="S558" s="1"/>
      <c r="T558" s="1"/>
      <c r="U558" s="1"/>
      <c r="V558" s="1"/>
      <c r="W558" s="1"/>
    </row>
    <row r="559" spans="1:23">
      <c r="A559" s="2"/>
      <c r="B559" s="211"/>
      <c r="C559" s="1"/>
      <c r="D559" s="1"/>
      <c r="E559" s="1"/>
      <c r="F559" s="1"/>
      <c r="G559" s="1"/>
      <c r="H559" s="1"/>
      <c r="I559" s="22"/>
      <c r="J559" s="1"/>
      <c r="K559" s="1"/>
      <c r="L559" s="1"/>
      <c r="M559" s="1"/>
      <c r="N559" s="1"/>
      <c r="P559" s="1"/>
      <c r="Q559" s="1"/>
      <c r="R559" s="1"/>
      <c r="S559" s="1"/>
      <c r="T559" s="1"/>
      <c r="U559" s="1"/>
      <c r="V559" s="1"/>
      <c r="W559" s="1"/>
    </row>
    <row r="560" spans="1:23">
      <c r="A560" s="2"/>
      <c r="B560" s="211"/>
      <c r="C560" s="1"/>
      <c r="D560" s="1"/>
      <c r="E560" s="1"/>
      <c r="F560" s="1"/>
      <c r="G560" s="1"/>
      <c r="H560" s="1"/>
      <c r="I560" s="22"/>
      <c r="J560" s="1"/>
      <c r="K560" s="1"/>
      <c r="L560" s="1"/>
      <c r="M560" s="1"/>
      <c r="N560" s="1"/>
      <c r="P560" s="1"/>
      <c r="Q560" s="1"/>
      <c r="R560" s="1"/>
      <c r="S560" s="1"/>
      <c r="T560" s="1"/>
      <c r="U560" s="1"/>
      <c r="V560" s="1"/>
      <c r="W560" s="1"/>
    </row>
    <row r="561" spans="1:23">
      <c r="A561" s="2"/>
      <c r="B561" s="211"/>
      <c r="C561" s="1"/>
      <c r="D561" s="1"/>
      <c r="E561" s="1"/>
      <c r="F561" s="1"/>
      <c r="G561" s="1"/>
      <c r="H561" s="1"/>
      <c r="I561" s="22"/>
      <c r="J561" s="1"/>
      <c r="K561" s="1"/>
      <c r="L561" s="1"/>
      <c r="M561" s="1"/>
      <c r="N561" s="1"/>
      <c r="P561" s="1"/>
      <c r="Q561" s="1"/>
      <c r="R561" s="1"/>
      <c r="S561" s="1"/>
      <c r="T561" s="1"/>
      <c r="U561" s="1"/>
      <c r="V561" s="1"/>
      <c r="W561" s="1"/>
    </row>
    <row r="562" spans="1:23">
      <c r="A562" s="2"/>
      <c r="B562" s="211"/>
      <c r="C562" s="1"/>
      <c r="D562" s="1"/>
      <c r="E562" s="1"/>
      <c r="F562" s="1"/>
      <c r="G562" s="1"/>
      <c r="H562" s="1"/>
      <c r="I562" s="22"/>
      <c r="J562" s="1"/>
      <c r="K562" s="1"/>
      <c r="L562" s="1"/>
      <c r="M562" s="1"/>
      <c r="N562" s="1"/>
      <c r="P562" s="1"/>
      <c r="Q562" s="1"/>
      <c r="R562" s="1"/>
      <c r="S562" s="1"/>
      <c r="T562" s="1"/>
      <c r="U562" s="1"/>
      <c r="V562" s="1"/>
      <c r="W562" s="1"/>
    </row>
    <row r="563" spans="1:23">
      <c r="A563" s="2"/>
      <c r="B563" s="211"/>
      <c r="C563" s="1"/>
      <c r="D563" s="1"/>
      <c r="E563" s="1"/>
      <c r="F563" s="1"/>
      <c r="G563" s="1"/>
      <c r="H563" s="1"/>
      <c r="I563" s="22"/>
      <c r="J563" s="1"/>
      <c r="K563" s="1"/>
      <c r="L563" s="1"/>
      <c r="M563" s="1"/>
      <c r="N563" s="1"/>
      <c r="P563" s="1"/>
      <c r="Q563" s="1"/>
      <c r="R563" s="1"/>
      <c r="S563" s="1"/>
      <c r="T563" s="1"/>
      <c r="U563" s="1"/>
      <c r="V563" s="1"/>
      <c r="W563" s="1"/>
    </row>
    <row r="564" spans="1:23">
      <c r="A564" s="2"/>
      <c r="B564" s="211"/>
      <c r="C564" s="1"/>
      <c r="D564" s="1"/>
      <c r="E564" s="1"/>
      <c r="F564" s="1"/>
      <c r="G564" s="1"/>
      <c r="H564" s="1"/>
      <c r="I564" s="22"/>
      <c r="J564" s="1"/>
      <c r="K564" s="1"/>
      <c r="L564" s="1"/>
      <c r="M564" s="1"/>
      <c r="N564" s="1"/>
      <c r="P564" s="1"/>
      <c r="Q564" s="1"/>
      <c r="R564" s="1"/>
      <c r="S564" s="1"/>
      <c r="T564" s="1"/>
      <c r="U564" s="1"/>
      <c r="V564" s="1"/>
      <c r="W564" s="1"/>
    </row>
    <row r="565" spans="1:23">
      <c r="A565" s="2"/>
      <c r="B565" s="211"/>
      <c r="C565" s="1"/>
      <c r="D565" s="1"/>
      <c r="E565" s="1"/>
      <c r="F565" s="1"/>
      <c r="G565" s="1"/>
      <c r="H565" s="1"/>
      <c r="I565" s="22"/>
      <c r="J565" s="1"/>
      <c r="K565" s="1"/>
      <c r="L565" s="1"/>
      <c r="M565" s="1"/>
      <c r="N565" s="1"/>
      <c r="P565" s="1"/>
      <c r="Q565" s="1"/>
      <c r="R565" s="1"/>
      <c r="S565" s="1"/>
      <c r="T565" s="1"/>
      <c r="U565" s="1"/>
      <c r="V565" s="1"/>
      <c r="W565" s="1"/>
    </row>
    <row r="566" spans="1:23">
      <c r="A566" s="2"/>
      <c r="B566" s="211"/>
      <c r="C566" s="1"/>
      <c r="D566" s="1"/>
      <c r="E566" s="1"/>
      <c r="F566" s="1"/>
      <c r="G566" s="1"/>
      <c r="H566" s="1"/>
      <c r="I566" s="22"/>
      <c r="J566" s="1"/>
      <c r="K566" s="1"/>
      <c r="L566" s="1"/>
      <c r="M566" s="1"/>
      <c r="N566" s="1"/>
      <c r="P566" s="1"/>
      <c r="Q566" s="1"/>
      <c r="R566" s="1"/>
      <c r="S566" s="1"/>
      <c r="T566" s="1"/>
      <c r="U566" s="1"/>
      <c r="V566" s="1"/>
      <c r="W566" s="1"/>
    </row>
    <row r="567" spans="1:23">
      <c r="A567" s="2"/>
      <c r="B567" s="211"/>
      <c r="C567" s="1"/>
      <c r="D567" s="1"/>
      <c r="E567" s="1"/>
      <c r="F567" s="1"/>
      <c r="G567" s="1"/>
      <c r="H567" s="1"/>
      <c r="I567" s="22"/>
      <c r="J567" s="1"/>
      <c r="K567" s="1"/>
      <c r="L567" s="1"/>
      <c r="M567" s="1"/>
      <c r="N567" s="1"/>
      <c r="P567" s="1"/>
      <c r="Q567" s="1"/>
      <c r="R567" s="1"/>
      <c r="S567" s="1"/>
      <c r="T567" s="1"/>
      <c r="U567" s="1"/>
      <c r="V567" s="1"/>
      <c r="W567" s="1"/>
    </row>
    <row r="568" spans="1:23">
      <c r="A568" s="2"/>
      <c r="B568" s="211"/>
      <c r="C568" s="1"/>
      <c r="D568" s="1"/>
      <c r="E568" s="1"/>
      <c r="F568" s="1"/>
      <c r="G568" s="1"/>
      <c r="H568" s="1"/>
      <c r="I568" s="22"/>
      <c r="J568" s="1"/>
      <c r="K568" s="1"/>
      <c r="L568" s="1"/>
      <c r="M568" s="1"/>
      <c r="N568" s="1"/>
      <c r="P568" s="1"/>
      <c r="Q568" s="1"/>
      <c r="R568" s="1"/>
      <c r="S568" s="1"/>
      <c r="T568" s="1"/>
      <c r="U568" s="1"/>
      <c r="V568" s="1"/>
      <c r="W568" s="1"/>
    </row>
    <row r="569" spans="1:23">
      <c r="A569" s="2"/>
      <c r="B569" s="211"/>
      <c r="C569" s="1"/>
      <c r="D569" s="1"/>
      <c r="E569" s="1"/>
      <c r="F569" s="1"/>
      <c r="G569" s="1"/>
      <c r="H569" s="1"/>
      <c r="I569" s="22"/>
      <c r="J569" s="1"/>
      <c r="K569" s="1"/>
      <c r="L569" s="1"/>
      <c r="M569" s="1"/>
      <c r="N569" s="1"/>
      <c r="P569" s="1"/>
      <c r="Q569" s="1"/>
      <c r="R569" s="1"/>
      <c r="S569" s="1"/>
      <c r="T569" s="1"/>
      <c r="U569" s="1"/>
      <c r="V569" s="1"/>
      <c r="W569" s="1"/>
    </row>
    <row r="570" spans="1:23">
      <c r="A570" s="2"/>
      <c r="B570" s="211"/>
      <c r="C570" s="1"/>
      <c r="D570" s="1"/>
      <c r="E570" s="1"/>
      <c r="F570" s="1"/>
      <c r="G570" s="1"/>
      <c r="H570" s="1"/>
      <c r="I570" s="22"/>
      <c r="J570" s="1"/>
      <c r="K570" s="1"/>
      <c r="L570" s="1"/>
      <c r="M570" s="1"/>
      <c r="N570" s="1"/>
      <c r="P570" s="1"/>
      <c r="Q570" s="1"/>
      <c r="R570" s="1"/>
      <c r="S570" s="1"/>
      <c r="T570" s="1"/>
      <c r="U570" s="1"/>
      <c r="V570" s="1"/>
      <c r="W570" s="1"/>
    </row>
    <row r="571" spans="1:23">
      <c r="A571" s="2"/>
      <c r="B571" s="211"/>
      <c r="C571" s="1"/>
      <c r="D571" s="1"/>
      <c r="E571" s="1"/>
      <c r="F571" s="1"/>
      <c r="G571" s="1"/>
      <c r="H571" s="1"/>
      <c r="I571" s="22"/>
      <c r="J571" s="1"/>
      <c r="K571" s="1"/>
      <c r="L571" s="1"/>
      <c r="M571" s="1"/>
      <c r="N571" s="1"/>
      <c r="P571" s="1"/>
      <c r="Q571" s="1"/>
      <c r="R571" s="1"/>
      <c r="S571" s="1"/>
      <c r="T571" s="1"/>
      <c r="U571" s="1"/>
      <c r="V571" s="1"/>
      <c r="W571" s="1"/>
    </row>
    <row r="572" spans="1:23">
      <c r="A572" s="2"/>
      <c r="B572" s="211"/>
      <c r="C572" s="1"/>
      <c r="D572" s="1"/>
      <c r="E572" s="1"/>
      <c r="F572" s="1"/>
      <c r="G572" s="1"/>
      <c r="H572" s="1"/>
      <c r="I572" s="22"/>
      <c r="J572" s="1"/>
      <c r="K572" s="1"/>
      <c r="L572" s="1"/>
      <c r="M572" s="1"/>
      <c r="N572" s="1"/>
      <c r="P572" s="1"/>
      <c r="Q572" s="1"/>
      <c r="R572" s="1"/>
      <c r="S572" s="1"/>
      <c r="T572" s="1"/>
      <c r="U572" s="1"/>
      <c r="V572" s="1"/>
      <c r="W572" s="1"/>
    </row>
    <row r="573" spans="1:23">
      <c r="A573" s="2"/>
      <c r="B573" s="211"/>
      <c r="C573" s="1"/>
      <c r="D573" s="1"/>
      <c r="E573" s="1"/>
      <c r="F573" s="1"/>
      <c r="G573" s="1"/>
      <c r="H573" s="1"/>
      <c r="I573" s="22"/>
      <c r="J573" s="1"/>
      <c r="K573" s="1"/>
      <c r="L573" s="1"/>
      <c r="M573" s="1"/>
      <c r="N573" s="1"/>
      <c r="P573" s="1"/>
      <c r="Q573" s="1"/>
      <c r="R573" s="1"/>
      <c r="S573" s="1"/>
      <c r="T573" s="1"/>
      <c r="U573" s="1"/>
      <c r="V573" s="1"/>
      <c r="W573" s="1"/>
    </row>
    <row r="574" spans="1:23">
      <c r="A574" s="2"/>
      <c r="B574" s="211"/>
      <c r="C574" s="1"/>
      <c r="D574" s="1"/>
      <c r="E574" s="1"/>
      <c r="F574" s="1"/>
      <c r="G574" s="1"/>
      <c r="H574" s="1"/>
      <c r="I574" s="22"/>
      <c r="J574" s="1"/>
      <c r="K574" s="1"/>
      <c r="L574" s="1"/>
      <c r="M574" s="1"/>
      <c r="N574" s="1"/>
      <c r="P574" s="1"/>
      <c r="Q574" s="1"/>
      <c r="R574" s="1"/>
      <c r="S574" s="1"/>
      <c r="T574" s="1"/>
      <c r="U574" s="1"/>
      <c r="V574" s="1"/>
      <c r="W574" s="1"/>
    </row>
    <row r="575" spans="1:23">
      <c r="A575" s="2"/>
      <c r="B575" s="211"/>
      <c r="C575" s="1"/>
      <c r="D575" s="1"/>
      <c r="E575" s="1"/>
      <c r="F575" s="1"/>
      <c r="G575" s="1"/>
      <c r="H575" s="1"/>
      <c r="I575" s="22"/>
      <c r="J575" s="1"/>
      <c r="K575" s="1"/>
      <c r="L575" s="1"/>
      <c r="M575" s="1"/>
      <c r="N575" s="1"/>
      <c r="P575" s="1"/>
      <c r="Q575" s="1"/>
      <c r="R575" s="1"/>
      <c r="S575" s="1"/>
      <c r="T575" s="1"/>
      <c r="U575" s="1"/>
      <c r="V575" s="1"/>
      <c r="W575" s="1"/>
    </row>
    <row r="576" spans="1:23">
      <c r="A576" s="2"/>
      <c r="B576" s="211"/>
      <c r="C576" s="1"/>
      <c r="D576" s="1"/>
      <c r="E576" s="1"/>
      <c r="F576" s="1"/>
      <c r="G576" s="1"/>
      <c r="H576" s="1"/>
      <c r="I576" s="22"/>
      <c r="J576" s="1"/>
      <c r="K576" s="1"/>
      <c r="L576" s="1"/>
      <c r="M576" s="1"/>
      <c r="N576" s="1"/>
      <c r="P576" s="1"/>
      <c r="Q576" s="1"/>
      <c r="R576" s="1"/>
      <c r="S576" s="1"/>
      <c r="T576" s="1"/>
      <c r="U576" s="1"/>
      <c r="V576" s="1"/>
      <c r="W576" s="1"/>
    </row>
    <row r="577" spans="1:23">
      <c r="A577" s="2"/>
      <c r="B577" s="211"/>
      <c r="C577" s="1"/>
      <c r="D577" s="1"/>
      <c r="E577" s="1"/>
      <c r="F577" s="1"/>
      <c r="G577" s="1"/>
      <c r="H577" s="1"/>
      <c r="I577" s="22"/>
      <c r="J577" s="1"/>
      <c r="K577" s="1"/>
      <c r="L577" s="1"/>
      <c r="M577" s="1"/>
      <c r="N577" s="1"/>
      <c r="P577" s="1"/>
      <c r="Q577" s="1"/>
      <c r="R577" s="1"/>
      <c r="S577" s="1"/>
      <c r="T577" s="1"/>
      <c r="U577" s="1"/>
      <c r="V577" s="1"/>
      <c r="W577" s="1"/>
    </row>
    <row r="578" spans="1:23">
      <c r="A578" s="2"/>
      <c r="B578" s="211"/>
      <c r="C578" s="1"/>
      <c r="D578" s="1"/>
      <c r="E578" s="1"/>
      <c r="F578" s="1"/>
      <c r="G578" s="1"/>
      <c r="H578" s="1"/>
      <c r="I578" s="22"/>
      <c r="J578" s="1"/>
      <c r="K578" s="1"/>
      <c r="L578" s="1"/>
      <c r="M578" s="1"/>
      <c r="N578" s="1"/>
      <c r="P578" s="1"/>
      <c r="Q578" s="1"/>
      <c r="R578" s="1"/>
      <c r="S578" s="1"/>
      <c r="T578" s="1"/>
      <c r="U578" s="1"/>
      <c r="V578" s="1"/>
      <c r="W578" s="1"/>
    </row>
    <row r="579" spans="1:23">
      <c r="A579" s="2"/>
      <c r="B579" s="211"/>
      <c r="C579" s="1"/>
      <c r="D579" s="1"/>
      <c r="E579" s="1"/>
      <c r="F579" s="1"/>
      <c r="G579" s="1"/>
      <c r="H579" s="1"/>
      <c r="I579" s="22"/>
      <c r="J579" s="1"/>
      <c r="K579" s="1"/>
      <c r="L579" s="1"/>
      <c r="M579" s="1"/>
      <c r="N579" s="1"/>
      <c r="P579" s="1"/>
      <c r="Q579" s="1"/>
      <c r="R579" s="1"/>
      <c r="S579" s="1"/>
      <c r="T579" s="1"/>
      <c r="U579" s="1"/>
      <c r="V579" s="1"/>
      <c r="W579" s="1"/>
    </row>
    <row r="580" spans="1:23">
      <c r="A580" s="2"/>
      <c r="B580" s="211"/>
      <c r="C580" s="1"/>
      <c r="D580" s="1"/>
      <c r="E580" s="1"/>
      <c r="F580" s="1"/>
      <c r="G580" s="1"/>
      <c r="H580" s="1"/>
      <c r="I580" s="22"/>
      <c r="J580" s="1"/>
      <c r="K580" s="1"/>
      <c r="L580" s="1"/>
      <c r="M580" s="1"/>
      <c r="N580" s="1"/>
      <c r="P580" s="1"/>
      <c r="Q580" s="1"/>
      <c r="R580" s="1"/>
      <c r="S580" s="1"/>
      <c r="T580" s="1"/>
      <c r="U580" s="1"/>
      <c r="V580" s="1"/>
      <c r="W580" s="1"/>
    </row>
    <row r="581" spans="1:23">
      <c r="A581" s="2"/>
      <c r="B581" s="211"/>
      <c r="C581" s="1"/>
      <c r="D581" s="1"/>
      <c r="E581" s="1"/>
      <c r="F581" s="1"/>
      <c r="G581" s="1"/>
      <c r="H581" s="1"/>
      <c r="I581" s="22"/>
      <c r="J581" s="1"/>
      <c r="K581" s="1"/>
      <c r="L581" s="1"/>
      <c r="M581" s="1"/>
      <c r="N581" s="1"/>
      <c r="P581" s="1"/>
      <c r="Q581" s="1"/>
      <c r="R581" s="1"/>
      <c r="S581" s="1"/>
      <c r="T581" s="1"/>
      <c r="U581" s="1"/>
      <c r="V581" s="1"/>
      <c r="W581" s="1"/>
    </row>
    <row r="582" spans="1:23">
      <c r="A582" s="2"/>
      <c r="B582" s="211"/>
      <c r="C582" s="1"/>
      <c r="D582" s="1"/>
      <c r="E582" s="1"/>
      <c r="F582" s="1"/>
      <c r="G582" s="1"/>
      <c r="H582" s="1"/>
      <c r="I582" s="22"/>
      <c r="J582" s="1"/>
      <c r="K582" s="1"/>
      <c r="L582" s="1"/>
      <c r="M582" s="1"/>
      <c r="N582" s="1"/>
      <c r="P582" s="1"/>
      <c r="Q582" s="1"/>
      <c r="R582" s="1"/>
      <c r="S582" s="1"/>
      <c r="T582" s="1"/>
      <c r="U582" s="1"/>
      <c r="V582" s="1"/>
      <c r="W582" s="1"/>
    </row>
    <row r="583" spans="1:23">
      <c r="A583" s="2"/>
      <c r="B583" s="211"/>
      <c r="C583" s="1"/>
      <c r="D583" s="1"/>
      <c r="E583" s="1"/>
      <c r="F583" s="1"/>
      <c r="G583" s="1"/>
      <c r="H583" s="1"/>
      <c r="I583" s="22"/>
      <c r="J583" s="1"/>
      <c r="K583" s="1"/>
      <c r="L583" s="1"/>
      <c r="M583" s="1"/>
      <c r="N583" s="1"/>
      <c r="P583" s="1"/>
      <c r="Q583" s="1"/>
      <c r="R583" s="1"/>
      <c r="S583" s="1"/>
      <c r="T583" s="1"/>
      <c r="U583" s="1"/>
      <c r="V583" s="1"/>
      <c r="W583" s="1"/>
    </row>
    <row r="584" spans="1:23">
      <c r="A584" s="2"/>
      <c r="B584" s="211"/>
      <c r="C584" s="1"/>
      <c r="D584" s="1"/>
      <c r="E584" s="1"/>
      <c r="F584" s="1"/>
      <c r="G584" s="1"/>
      <c r="H584" s="1"/>
      <c r="I584" s="22"/>
      <c r="J584" s="1"/>
      <c r="K584" s="1"/>
      <c r="L584" s="1"/>
      <c r="M584" s="1"/>
      <c r="N584" s="1"/>
      <c r="P584" s="1"/>
      <c r="Q584" s="1"/>
      <c r="R584" s="1"/>
      <c r="S584" s="1"/>
      <c r="T584" s="1"/>
      <c r="U584" s="1"/>
      <c r="V584" s="1"/>
      <c r="W584" s="1"/>
    </row>
    <row r="585" spans="1:23">
      <c r="A585" s="2"/>
      <c r="B585" s="211"/>
      <c r="C585" s="1"/>
      <c r="D585" s="1"/>
      <c r="E585" s="1"/>
      <c r="F585" s="1"/>
      <c r="G585" s="1"/>
      <c r="H585" s="1"/>
      <c r="I585" s="22"/>
      <c r="J585" s="1"/>
      <c r="K585" s="1"/>
      <c r="L585" s="1"/>
      <c r="M585" s="1"/>
      <c r="N585" s="1"/>
      <c r="P585" s="1"/>
      <c r="Q585" s="1"/>
      <c r="R585" s="1"/>
      <c r="S585" s="1"/>
      <c r="T585" s="1"/>
      <c r="U585" s="1"/>
      <c r="V585" s="1"/>
      <c r="W585" s="1"/>
    </row>
    <row r="586" spans="1:23">
      <c r="A586" s="2"/>
      <c r="B586" s="211"/>
      <c r="C586" s="1"/>
      <c r="D586" s="1"/>
      <c r="E586" s="1"/>
      <c r="F586" s="1"/>
      <c r="G586" s="1"/>
      <c r="H586" s="1"/>
      <c r="I586" s="22"/>
      <c r="J586" s="1"/>
      <c r="K586" s="1"/>
      <c r="L586" s="1"/>
      <c r="M586" s="1"/>
      <c r="N586" s="1"/>
      <c r="P586" s="1"/>
      <c r="Q586" s="1"/>
      <c r="R586" s="1"/>
      <c r="S586" s="1"/>
      <c r="T586" s="1"/>
      <c r="U586" s="1"/>
      <c r="V586" s="1"/>
      <c r="W586" s="1"/>
    </row>
    <row r="587" spans="1:23">
      <c r="A587" s="2"/>
      <c r="B587" s="211"/>
      <c r="C587" s="1"/>
      <c r="D587" s="1"/>
      <c r="E587" s="1"/>
      <c r="F587" s="1"/>
      <c r="G587" s="1"/>
      <c r="H587" s="1"/>
      <c r="I587" s="22"/>
      <c r="J587" s="1"/>
      <c r="K587" s="1"/>
      <c r="L587" s="1"/>
      <c r="M587" s="1"/>
      <c r="N587" s="1"/>
      <c r="P587" s="1"/>
      <c r="Q587" s="1"/>
      <c r="R587" s="1"/>
      <c r="S587" s="1"/>
      <c r="T587" s="1"/>
      <c r="U587" s="1"/>
      <c r="V587" s="1"/>
      <c r="W587" s="1"/>
    </row>
    <row r="588" spans="1:23">
      <c r="A588" s="2"/>
      <c r="B588" s="211"/>
      <c r="C588" s="1"/>
      <c r="D588" s="1"/>
      <c r="E588" s="1"/>
      <c r="F588" s="1"/>
      <c r="G588" s="1"/>
      <c r="H588" s="1"/>
      <c r="I588" s="22"/>
      <c r="J588" s="1"/>
      <c r="K588" s="1"/>
      <c r="L588" s="1"/>
      <c r="M588" s="1"/>
      <c r="N588" s="1"/>
      <c r="P588" s="1"/>
      <c r="Q588" s="1"/>
      <c r="R588" s="1"/>
      <c r="S588" s="1"/>
      <c r="T588" s="1"/>
      <c r="U588" s="1"/>
      <c r="V588" s="1"/>
      <c r="W588" s="1"/>
    </row>
    <row r="589" spans="1:23">
      <c r="A589" s="2"/>
      <c r="B589" s="211"/>
      <c r="C589" s="1"/>
      <c r="D589" s="1"/>
      <c r="E589" s="1"/>
      <c r="F589" s="1"/>
      <c r="G589" s="1"/>
      <c r="H589" s="1"/>
      <c r="I589" s="22"/>
      <c r="J589" s="1"/>
      <c r="K589" s="1"/>
      <c r="L589" s="1"/>
      <c r="M589" s="1"/>
      <c r="N589" s="1"/>
      <c r="P589" s="1"/>
      <c r="Q589" s="1"/>
      <c r="R589" s="1"/>
      <c r="S589" s="1"/>
      <c r="T589" s="1"/>
      <c r="U589" s="1"/>
      <c r="V589" s="1"/>
      <c r="W589" s="1"/>
    </row>
    <row r="590" spans="1:23">
      <c r="A590" s="2"/>
      <c r="B590" s="211"/>
      <c r="C590" s="1"/>
      <c r="D590" s="1"/>
      <c r="E590" s="1"/>
      <c r="F590" s="1"/>
      <c r="G590" s="1"/>
      <c r="H590" s="1"/>
      <c r="I590" s="22"/>
      <c r="J590" s="1"/>
      <c r="K590" s="1"/>
      <c r="L590" s="1"/>
      <c r="M590" s="1"/>
      <c r="N590" s="1"/>
      <c r="P590" s="1"/>
      <c r="Q590" s="1"/>
      <c r="R590" s="1"/>
      <c r="S590" s="1"/>
      <c r="T590" s="1"/>
      <c r="U590" s="1"/>
      <c r="V590" s="1"/>
      <c r="W590" s="1"/>
    </row>
    <row r="591" spans="1:23">
      <c r="A591" s="2"/>
      <c r="B591" s="211"/>
      <c r="C591" s="1"/>
      <c r="D591" s="1"/>
      <c r="E591" s="1"/>
      <c r="F591" s="1"/>
      <c r="G591" s="1"/>
      <c r="H591" s="1"/>
      <c r="I591" s="22"/>
      <c r="J591" s="1"/>
      <c r="K591" s="1"/>
      <c r="L591" s="1"/>
      <c r="M591" s="1"/>
      <c r="N591" s="1"/>
      <c r="P591" s="1"/>
      <c r="Q591" s="1"/>
      <c r="R591" s="1"/>
      <c r="S591" s="1"/>
      <c r="T591" s="1"/>
      <c r="U591" s="1"/>
      <c r="V591" s="1"/>
      <c r="W591" s="1"/>
    </row>
    <row r="592" spans="1:23">
      <c r="A592" s="2"/>
      <c r="B592" s="211"/>
      <c r="C592" s="1"/>
      <c r="D592" s="1"/>
      <c r="E592" s="1"/>
      <c r="F592" s="1"/>
      <c r="G592" s="1"/>
      <c r="H592" s="1"/>
      <c r="I592" s="22"/>
      <c r="J592" s="1"/>
      <c r="K592" s="1"/>
      <c r="L592" s="1"/>
      <c r="M592" s="1"/>
      <c r="N592" s="1"/>
      <c r="P592" s="1"/>
      <c r="Q592" s="1"/>
      <c r="R592" s="1"/>
      <c r="S592" s="1"/>
      <c r="T592" s="1"/>
      <c r="U592" s="1"/>
      <c r="V592" s="1"/>
      <c r="W592" s="1"/>
    </row>
    <row r="593" spans="1:23">
      <c r="A593" s="2"/>
      <c r="B593" s="211"/>
      <c r="C593" s="1"/>
      <c r="D593" s="1"/>
      <c r="E593" s="1"/>
      <c r="F593" s="1"/>
      <c r="G593" s="1"/>
      <c r="H593" s="1"/>
      <c r="I593" s="22"/>
      <c r="J593" s="1"/>
      <c r="K593" s="1"/>
      <c r="L593" s="1"/>
      <c r="M593" s="1"/>
      <c r="N593" s="1"/>
      <c r="P593" s="1"/>
      <c r="Q593" s="1"/>
      <c r="R593" s="1"/>
      <c r="S593" s="1"/>
      <c r="T593" s="1"/>
      <c r="U593" s="1"/>
      <c r="V593" s="1"/>
      <c r="W593" s="1"/>
    </row>
    <row r="594" spans="1:23">
      <c r="A594" s="2"/>
      <c r="B594" s="211"/>
      <c r="C594" s="1"/>
      <c r="D594" s="1"/>
      <c r="E594" s="1"/>
      <c r="F594" s="1"/>
      <c r="G594" s="1"/>
      <c r="H594" s="1"/>
      <c r="I594" s="22"/>
      <c r="J594" s="1"/>
      <c r="K594" s="1"/>
      <c r="L594" s="1"/>
      <c r="M594" s="1"/>
      <c r="N594" s="1"/>
      <c r="P594" s="1"/>
      <c r="Q594" s="1"/>
      <c r="R594" s="1"/>
      <c r="S594" s="1"/>
      <c r="T594" s="1"/>
      <c r="U594" s="1"/>
      <c r="V594" s="1"/>
      <c r="W594" s="1"/>
    </row>
    <row r="595" spans="1:23">
      <c r="A595" s="2"/>
      <c r="B595" s="211"/>
      <c r="C595" s="1"/>
      <c r="D595" s="1"/>
      <c r="E595" s="1"/>
      <c r="F595" s="1"/>
      <c r="G595" s="1"/>
      <c r="H595" s="1"/>
      <c r="I595" s="22"/>
      <c r="J595" s="1"/>
      <c r="K595" s="1"/>
      <c r="L595" s="1"/>
      <c r="M595" s="1"/>
      <c r="N595" s="1"/>
      <c r="P595" s="1"/>
      <c r="Q595" s="1"/>
      <c r="R595" s="1"/>
      <c r="S595" s="1"/>
      <c r="T595" s="1"/>
      <c r="U595" s="1"/>
      <c r="V595" s="1"/>
      <c r="W595" s="1"/>
    </row>
    <row r="596" spans="1:23">
      <c r="A596" s="2"/>
      <c r="B596" s="211"/>
      <c r="C596" s="1"/>
      <c r="D596" s="1"/>
      <c r="E596" s="1"/>
      <c r="F596" s="1"/>
      <c r="G596" s="1"/>
      <c r="H596" s="1"/>
      <c r="I596" s="22"/>
      <c r="J596" s="1"/>
      <c r="K596" s="1"/>
      <c r="L596" s="1"/>
      <c r="M596" s="1"/>
      <c r="N596" s="1"/>
      <c r="P596" s="1"/>
      <c r="Q596" s="1"/>
      <c r="R596" s="1"/>
      <c r="S596" s="1"/>
      <c r="T596" s="1"/>
      <c r="U596" s="1"/>
      <c r="V596" s="1"/>
      <c r="W596" s="1"/>
    </row>
    <row r="597" spans="1:23">
      <c r="A597" s="2"/>
      <c r="B597" s="211"/>
      <c r="C597" s="1"/>
      <c r="D597" s="1"/>
      <c r="E597" s="1"/>
      <c r="F597" s="1"/>
      <c r="G597" s="1"/>
      <c r="H597" s="1"/>
      <c r="I597" s="22"/>
      <c r="J597" s="1"/>
      <c r="K597" s="1"/>
      <c r="L597" s="1"/>
      <c r="M597" s="1"/>
      <c r="N597" s="1"/>
      <c r="P597" s="1"/>
      <c r="Q597" s="1"/>
      <c r="R597" s="1"/>
      <c r="S597" s="1"/>
      <c r="T597" s="1"/>
      <c r="U597" s="1"/>
      <c r="V597" s="1"/>
      <c r="W597" s="1"/>
    </row>
    <row r="598" spans="1:23">
      <c r="A598" s="2"/>
      <c r="B598" s="211"/>
      <c r="C598" s="1"/>
      <c r="D598" s="1"/>
      <c r="E598" s="1"/>
      <c r="F598" s="1"/>
      <c r="G598" s="1"/>
      <c r="H598" s="1"/>
      <c r="I598" s="22"/>
      <c r="J598" s="1"/>
      <c r="K598" s="1"/>
      <c r="L598" s="1"/>
      <c r="M598" s="1"/>
      <c r="N598" s="1"/>
      <c r="P598" s="1"/>
      <c r="Q598" s="1"/>
      <c r="R598" s="1"/>
      <c r="S598" s="1"/>
      <c r="T598" s="1"/>
      <c r="U598" s="1"/>
      <c r="V598" s="1"/>
      <c r="W598" s="1"/>
    </row>
    <row r="599" spans="1:23">
      <c r="A599" s="2"/>
      <c r="B599" s="211"/>
      <c r="C599" s="1"/>
      <c r="D599" s="1"/>
      <c r="E599" s="1"/>
      <c r="F599" s="1"/>
      <c r="G599" s="1"/>
      <c r="H599" s="1"/>
      <c r="I599" s="22"/>
      <c r="J599" s="1"/>
      <c r="K599" s="1"/>
      <c r="L599" s="1"/>
      <c r="M599" s="1"/>
      <c r="N599" s="1"/>
      <c r="P599" s="1"/>
      <c r="Q599" s="1"/>
      <c r="R599" s="1"/>
      <c r="S599" s="1"/>
      <c r="T599" s="1"/>
      <c r="U599" s="1"/>
      <c r="V599" s="1"/>
      <c r="W599" s="1"/>
    </row>
    <row r="600" spans="1:23">
      <c r="A600" s="2"/>
      <c r="B600" s="211"/>
      <c r="C600" s="1"/>
      <c r="D600" s="1"/>
      <c r="E600" s="1"/>
      <c r="F600" s="1"/>
      <c r="G600" s="1"/>
      <c r="H600" s="1"/>
      <c r="I600" s="22"/>
      <c r="J600" s="1"/>
      <c r="K600" s="1"/>
      <c r="L600" s="1"/>
      <c r="M600" s="1"/>
      <c r="N600" s="1"/>
      <c r="P600" s="1"/>
      <c r="Q600" s="1"/>
      <c r="R600" s="1"/>
      <c r="S600" s="1"/>
      <c r="T600" s="1"/>
      <c r="U600" s="1"/>
      <c r="V600" s="1"/>
      <c r="W600" s="1"/>
    </row>
    <row r="601" spans="1:23">
      <c r="A601" s="2"/>
      <c r="B601" s="211"/>
      <c r="C601" s="1"/>
      <c r="D601" s="1"/>
      <c r="E601" s="1"/>
      <c r="F601" s="1"/>
      <c r="G601" s="1"/>
      <c r="H601" s="1"/>
      <c r="I601" s="22"/>
      <c r="J601" s="1"/>
      <c r="K601" s="1"/>
      <c r="L601" s="1"/>
      <c r="M601" s="1"/>
      <c r="N601" s="1"/>
      <c r="P601" s="1"/>
      <c r="Q601" s="1"/>
      <c r="R601" s="1"/>
      <c r="S601" s="1"/>
      <c r="T601" s="1"/>
      <c r="U601" s="1"/>
      <c r="V601" s="1"/>
      <c r="W601" s="1"/>
    </row>
    <row r="602" spans="1:23">
      <c r="A602" s="2"/>
      <c r="B602" s="211"/>
      <c r="C602" s="1"/>
      <c r="D602" s="1"/>
      <c r="E602" s="1"/>
      <c r="F602" s="1"/>
      <c r="G602" s="1"/>
      <c r="H602" s="1"/>
      <c r="I602" s="22"/>
      <c r="J602" s="1"/>
      <c r="K602" s="1"/>
      <c r="L602" s="1"/>
      <c r="M602" s="1"/>
      <c r="N602" s="1"/>
      <c r="P602" s="1"/>
      <c r="Q602" s="1"/>
      <c r="R602" s="1"/>
      <c r="S602" s="1"/>
      <c r="T602" s="1"/>
      <c r="U602" s="1"/>
      <c r="V602" s="1"/>
      <c r="W602" s="1"/>
    </row>
    <row r="603" spans="1:23">
      <c r="A603" s="2"/>
      <c r="B603" s="211"/>
      <c r="C603" s="1"/>
      <c r="D603" s="1"/>
      <c r="E603" s="1"/>
      <c r="F603" s="1"/>
      <c r="G603" s="1"/>
      <c r="H603" s="1"/>
      <c r="I603" s="22"/>
      <c r="J603" s="1"/>
      <c r="K603" s="1"/>
      <c r="L603" s="1"/>
      <c r="M603" s="1"/>
      <c r="N603" s="1"/>
      <c r="P603" s="1"/>
      <c r="Q603" s="1"/>
      <c r="R603" s="1"/>
      <c r="S603" s="1"/>
      <c r="T603" s="1"/>
      <c r="U603" s="1"/>
      <c r="V603" s="1"/>
      <c r="W603" s="1"/>
    </row>
    <row r="604" spans="1:23">
      <c r="A604" s="2"/>
      <c r="B604" s="211"/>
      <c r="C604" s="1"/>
      <c r="D604" s="1"/>
      <c r="E604" s="1"/>
      <c r="F604" s="1"/>
      <c r="G604" s="1"/>
      <c r="H604" s="1"/>
      <c r="I604" s="22"/>
      <c r="J604" s="1"/>
      <c r="K604" s="1"/>
      <c r="L604" s="1"/>
      <c r="M604" s="1"/>
      <c r="N604" s="1"/>
      <c r="P604" s="1"/>
      <c r="Q604" s="1"/>
      <c r="R604" s="1"/>
      <c r="S604" s="1"/>
      <c r="T604" s="1"/>
      <c r="U604" s="1"/>
      <c r="V604" s="1"/>
      <c r="W604" s="1"/>
    </row>
    <row r="605" spans="1:23">
      <c r="A605" s="2"/>
      <c r="B605" s="211"/>
      <c r="C605" s="1"/>
      <c r="D605" s="1"/>
      <c r="E605" s="1"/>
      <c r="F605" s="1"/>
      <c r="G605" s="1"/>
      <c r="H605" s="1"/>
      <c r="I605" s="22"/>
      <c r="J605" s="1"/>
      <c r="K605" s="1"/>
      <c r="L605" s="1"/>
      <c r="M605" s="1"/>
      <c r="N605" s="1"/>
      <c r="P605" s="1"/>
      <c r="Q605" s="1"/>
      <c r="R605" s="1"/>
      <c r="S605" s="1"/>
      <c r="T605" s="1"/>
      <c r="U605" s="1"/>
      <c r="V605" s="1"/>
      <c r="W605" s="1"/>
    </row>
    <row r="606" spans="1:23">
      <c r="A606" s="2"/>
      <c r="B606" s="211"/>
      <c r="C606" s="1"/>
      <c r="D606" s="1"/>
      <c r="E606" s="1"/>
      <c r="F606" s="1"/>
      <c r="G606" s="1"/>
      <c r="H606" s="1"/>
      <c r="I606" s="22"/>
      <c r="J606" s="1"/>
      <c r="K606" s="1"/>
      <c r="L606" s="1"/>
      <c r="M606" s="1"/>
      <c r="N606" s="1"/>
      <c r="P606" s="1"/>
      <c r="Q606" s="1"/>
      <c r="R606" s="1"/>
      <c r="S606" s="1"/>
      <c r="T606" s="1"/>
      <c r="U606" s="1"/>
      <c r="V606" s="1"/>
      <c r="W606" s="1"/>
    </row>
    <row r="607" spans="1:23">
      <c r="A607" s="2"/>
      <c r="B607" s="211"/>
      <c r="C607" s="1"/>
      <c r="D607" s="1"/>
      <c r="E607" s="1"/>
      <c r="F607" s="1"/>
      <c r="G607" s="1"/>
      <c r="H607" s="1"/>
      <c r="I607" s="22"/>
      <c r="J607" s="1"/>
      <c r="K607" s="1"/>
      <c r="L607" s="1"/>
      <c r="M607" s="1"/>
      <c r="N607" s="1"/>
      <c r="P607" s="1"/>
      <c r="Q607" s="1"/>
      <c r="R607" s="1"/>
      <c r="S607" s="1"/>
      <c r="T607" s="1"/>
      <c r="U607" s="1"/>
      <c r="V607" s="1"/>
      <c r="W607" s="1"/>
    </row>
    <row r="608" spans="1:23">
      <c r="A608" s="2"/>
      <c r="B608" s="211"/>
      <c r="C608" s="1"/>
      <c r="D608" s="1"/>
      <c r="E608" s="1"/>
      <c r="F608" s="1"/>
      <c r="G608" s="1"/>
      <c r="H608" s="1"/>
      <c r="I608" s="22"/>
      <c r="J608" s="1"/>
      <c r="K608" s="1"/>
      <c r="L608" s="1"/>
      <c r="M608" s="1"/>
      <c r="N608" s="1"/>
      <c r="P608" s="1"/>
      <c r="Q608" s="1"/>
      <c r="R608" s="1"/>
      <c r="S608" s="1"/>
      <c r="T608" s="1"/>
      <c r="U608" s="1"/>
      <c r="V608" s="1"/>
      <c r="W608" s="1"/>
    </row>
    <row r="609" spans="1:23">
      <c r="A609" s="2"/>
      <c r="B609" s="211"/>
      <c r="C609" s="1"/>
      <c r="D609" s="1"/>
      <c r="E609" s="1"/>
      <c r="F609" s="1"/>
      <c r="G609" s="1"/>
      <c r="H609" s="1"/>
      <c r="I609" s="22"/>
      <c r="J609" s="1"/>
      <c r="K609" s="1"/>
      <c r="L609" s="1"/>
      <c r="M609" s="1"/>
      <c r="N609" s="1"/>
      <c r="P609" s="1"/>
      <c r="Q609" s="1"/>
      <c r="R609" s="1"/>
      <c r="S609" s="1"/>
      <c r="T609" s="1"/>
      <c r="U609" s="1"/>
      <c r="V609" s="1"/>
      <c r="W609" s="1"/>
    </row>
    <row r="610" spans="1:23">
      <c r="A610" s="2"/>
      <c r="B610" s="211"/>
      <c r="C610" s="1"/>
      <c r="D610" s="1"/>
      <c r="E610" s="1"/>
      <c r="F610" s="1"/>
      <c r="G610" s="1"/>
      <c r="H610" s="1"/>
      <c r="I610" s="22"/>
      <c r="J610" s="1"/>
      <c r="K610" s="1"/>
      <c r="L610" s="1"/>
      <c r="M610" s="1"/>
      <c r="N610" s="1"/>
      <c r="P610" s="1"/>
      <c r="Q610" s="1"/>
      <c r="R610" s="1"/>
      <c r="S610" s="1"/>
      <c r="T610" s="1"/>
      <c r="U610" s="1"/>
      <c r="V610" s="1"/>
      <c r="W610" s="1"/>
    </row>
    <row r="611" spans="1:23">
      <c r="A611" s="2"/>
      <c r="B611" s="211"/>
      <c r="C611" s="1"/>
      <c r="D611" s="1"/>
      <c r="E611" s="1"/>
      <c r="F611" s="1"/>
      <c r="G611" s="1"/>
      <c r="H611" s="1"/>
      <c r="I611" s="22"/>
      <c r="J611" s="1"/>
      <c r="K611" s="1"/>
      <c r="L611" s="1"/>
      <c r="M611" s="1"/>
      <c r="N611" s="1"/>
      <c r="P611" s="1"/>
      <c r="Q611" s="1"/>
      <c r="R611" s="1"/>
      <c r="S611" s="1"/>
      <c r="T611" s="1"/>
      <c r="U611" s="1"/>
      <c r="V611" s="1"/>
      <c r="W611" s="1"/>
    </row>
    <row r="612" spans="1:23">
      <c r="A612" s="2"/>
      <c r="B612" s="211"/>
      <c r="C612" s="1"/>
      <c r="D612" s="1"/>
      <c r="E612" s="1"/>
      <c r="F612" s="1"/>
      <c r="G612" s="1"/>
      <c r="H612" s="1"/>
      <c r="I612" s="22"/>
      <c r="J612" s="1"/>
      <c r="K612" s="1"/>
      <c r="L612" s="1"/>
      <c r="M612" s="1"/>
      <c r="N612" s="1"/>
      <c r="P612" s="1"/>
      <c r="Q612" s="1"/>
      <c r="R612" s="1"/>
      <c r="S612" s="1"/>
      <c r="T612" s="1"/>
      <c r="U612" s="1"/>
      <c r="V612" s="1"/>
      <c r="W612" s="1"/>
    </row>
    <row r="613" spans="1:23">
      <c r="A613" s="2"/>
      <c r="B613" s="211"/>
      <c r="C613" s="1"/>
      <c r="D613" s="1"/>
      <c r="E613" s="1"/>
      <c r="F613" s="1"/>
      <c r="G613" s="1"/>
      <c r="H613" s="1"/>
      <c r="I613" s="22"/>
      <c r="J613" s="1"/>
      <c r="K613" s="1"/>
      <c r="L613" s="1"/>
      <c r="M613" s="1"/>
      <c r="N613" s="1"/>
      <c r="P613" s="1"/>
      <c r="Q613" s="1"/>
      <c r="R613" s="1"/>
      <c r="S613" s="1"/>
      <c r="T613" s="1"/>
      <c r="U613" s="1"/>
      <c r="V613" s="1"/>
      <c r="W613" s="1"/>
    </row>
    <row r="614" spans="1:23">
      <c r="A614" s="2"/>
      <c r="B614" s="211"/>
      <c r="C614" s="1"/>
      <c r="D614" s="1"/>
      <c r="E614" s="1"/>
      <c r="F614" s="1"/>
      <c r="G614" s="1"/>
      <c r="H614" s="1"/>
      <c r="I614" s="22"/>
      <c r="J614" s="1"/>
      <c r="K614" s="1"/>
      <c r="L614" s="1"/>
      <c r="M614" s="1"/>
      <c r="N614" s="1"/>
      <c r="P614" s="1"/>
      <c r="Q614" s="1"/>
      <c r="R614" s="1"/>
      <c r="S614" s="1"/>
      <c r="T614" s="1"/>
      <c r="U614" s="1"/>
      <c r="V614" s="1"/>
      <c r="W614" s="1"/>
    </row>
    <row r="615" spans="1:23">
      <c r="A615" s="2"/>
      <c r="B615" s="211"/>
      <c r="C615" s="1"/>
      <c r="D615" s="1"/>
      <c r="E615" s="1"/>
      <c r="F615" s="1"/>
      <c r="G615" s="1"/>
      <c r="H615" s="1"/>
      <c r="I615" s="22"/>
      <c r="J615" s="1"/>
      <c r="K615" s="1"/>
      <c r="L615" s="1"/>
      <c r="M615" s="1"/>
      <c r="N615" s="1"/>
      <c r="P615" s="1"/>
      <c r="Q615" s="1"/>
      <c r="R615" s="1"/>
      <c r="S615" s="1"/>
      <c r="T615" s="1"/>
      <c r="U615" s="1"/>
      <c r="V615" s="1"/>
      <c r="W615" s="1"/>
    </row>
    <row r="616" spans="1:23">
      <c r="A616" s="2"/>
      <c r="B616" s="211"/>
      <c r="C616" s="1"/>
      <c r="D616" s="1"/>
      <c r="E616" s="1"/>
      <c r="F616" s="1"/>
      <c r="G616" s="1"/>
      <c r="H616" s="1"/>
      <c r="I616" s="22"/>
      <c r="J616" s="1"/>
      <c r="K616" s="1"/>
      <c r="L616" s="1"/>
      <c r="M616" s="1"/>
      <c r="N616" s="1"/>
      <c r="P616" s="1"/>
      <c r="Q616" s="1"/>
      <c r="R616" s="1"/>
      <c r="S616" s="1"/>
      <c r="T616" s="1"/>
      <c r="U616" s="1"/>
      <c r="V616" s="1"/>
      <c r="W616" s="1"/>
    </row>
    <row r="617" spans="1:23">
      <c r="A617" s="2"/>
      <c r="B617" s="211"/>
      <c r="C617" s="1"/>
      <c r="D617" s="1"/>
      <c r="E617" s="1"/>
      <c r="F617" s="1"/>
      <c r="G617" s="1"/>
      <c r="H617" s="1"/>
      <c r="I617" s="22"/>
      <c r="J617" s="1"/>
      <c r="K617" s="1"/>
      <c r="L617" s="1"/>
      <c r="M617" s="1"/>
      <c r="N617" s="1"/>
      <c r="P617" s="1"/>
      <c r="Q617" s="1"/>
      <c r="R617" s="1"/>
      <c r="S617" s="1"/>
      <c r="T617" s="1"/>
      <c r="U617" s="1"/>
      <c r="V617" s="1"/>
      <c r="W617" s="1"/>
    </row>
    <row r="618" spans="1:23">
      <c r="A618" s="2"/>
      <c r="B618" s="211"/>
      <c r="C618" s="1"/>
      <c r="D618" s="1"/>
      <c r="E618" s="1"/>
      <c r="F618" s="1"/>
      <c r="G618" s="1"/>
      <c r="H618" s="1"/>
      <c r="I618" s="22"/>
      <c r="J618" s="1"/>
      <c r="K618" s="1"/>
      <c r="L618" s="1"/>
      <c r="M618" s="1"/>
      <c r="N618" s="1"/>
      <c r="P618" s="1"/>
      <c r="Q618" s="1"/>
      <c r="R618" s="1"/>
      <c r="S618" s="1"/>
      <c r="T618" s="1"/>
      <c r="U618" s="1"/>
      <c r="V618" s="1"/>
      <c r="W618" s="1"/>
    </row>
    <row r="619" spans="1:23">
      <c r="A619" s="2"/>
      <c r="B619" s="211"/>
      <c r="C619" s="1"/>
      <c r="D619" s="1"/>
      <c r="E619" s="1"/>
      <c r="F619" s="1"/>
      <c r="G619" s="1"/>
      <c r="H619" s="1"/>
      <c r="I619" s="22"/>
      <c r="J619" s="1"/>
      <c r="K619" s="1"/>
      <c r="L619" s="1"/>
      <c r="M619" s="1"/>
      <c r="N619" s="1"/>
      <c r="P619" s="1"/>
      <c r="Q619" s="1"/>
      <c r="R619" s="1"/>
      <c r="S619" s="1"/>
      <c r="T619" s="1"/>
      <c r="U619" s="1"/>
      <c r="V619" s="1"/>
      <c r="W619" s="1"/>
    </row>
    <row r="620" spans="1:23">
      <c r="A620" s="2"/>
      <c r="B620" s="211"/>
      <c r="C620" s="1"/>
      <c r="D620" s="1"/>
      <c r="E620" s="1"/>
      <c r="F620" s="1"/>
      <c r="G620" s="1"/>
      <c r="H620" s="1"/>
      <c r="I620" s="22"/>
      <c r="J620" s="1"/>
      <c r="K620" s="1"/>
      <c r="L620" s="1"/>
      <c r="M620" s="1"/>
      <c r="N620" s="1"/>
      <c r="P620" s="1"/>
      <c r="Q620" s="1"/>
      <c r="R620" s="1"/>
      <c r="S620" s="1"/>
      <c r="T620" s="1"/>
      <c r="U620" s="1"/>
      <c r="V620" s="1"/>
      <c r="W620" s="1"/>
    </row>
    <row r="621" spans="1:23">
      <c r="A621" s="2"/>
      <c r="B621" s="211"/>
      <c r="C621" s="1"/>
      <c r="D621" s="1"/>
      <c r="E621" s="1"/>
      <c r="F621" s="1"/>
      <c r="G621" s="1"/>
      <c r="H621" s="1"/>
      <c r="I621" s="22"/>
      <c r="J621" s="1"/>
      <c r="K621" s="1"/>
      <c r="L621" s="1"/>
      <c r="M621" s="1"/>
      <c r="N621" s="1"/>
      <c r="P621" s="1"/>
      <c r="Q621" s="1"/>
      <c r="R621" s="1"/>
      <c r="S621" s="1"/>
      <c r="T621" s="1"/>
      <c r="U621" s="1"/>
      <c r="V621" s="1"/>
      <c r="W621" s="1"/>
    </row>
    <row r="622" spans="1:23">
      <c r="A622" s="2"/>
      <c r="B622" s="211"/>
      <c r="C622" s="1"/>
      <c r="D622" s="1"/>
      <c r="E622" s="1"/>
      <c r="F622" s="1"/>
      <c r="G622" s="1"/>
      <c r="H622" s="1"/>
      <c r="I622" s="22"/>
      <c r="J622" s="1"/>
      <c r="K622" s="1"/>
      <c r="L622" s="1"/>
      <c r="M622" s="1"/>
      <c r="N622" s="1"/>
      <c r="P622" s="1"/>
      <c r="Q622" s="1"/>
      <c r="R622" s="1"/>
      <c r="S622" s="1"/>
      <c r="T622" s="1"/>
      <c r="U622" s="1"/>
      <c r="V622" s="1"/>
      <c r="W622" s="1"/>
    </row>
    <row r="623" spans="1:23">
      <c r="A623" s="2"/>
      <c r="B623" s="211"/>
      <c r="C623" s="1"/>
      <c r="D623" s="1"/>
      <c r="E623" s="1"/>
      <c r="F623" s="1"/>
      <c r="G623" s="1"/>
      <c r="H623" s="1"/>
      <c r="I623" s="22"/>
      <c r="J623" s="1"/>
      <c r="K623" s="1"/>
      <c r="L623" s="1"/>
      <c r="M623" s="1"/>
      <c r="N623" s="1"/>
      <c r="P623" s="1"/>
      <c r="Q623" s="1"/>
      <c r="R623" s="1"/>
      <c r="S623" s="1"/>
      <c r="T623" s="1"/>
      <c r="U623" s="1"/>
      <c r="V623" s="1"/>
      <c r="W623" s="1"/>
    </row>
    <row r="624" spans="1:23">
      <c r="A624" s="2"/>
      <c r="B624" s="211"/>
      <c r="C624" s="1"/>
      <c r="D624" s="1"/>
      <c r="E624" s="1"/>
      <c r="F624" s="1"/>
      <c r="G624" s="1"/>
      <c r="H624" s="1"/>
      <c r="I624" s="22"/>
      <c r="J624" s="1"/>
      <c r="K624" s="1"/>
      <c r="L624" s="1"/>
      <c r="M624" s="1"/>
      <c r="N624" s="1"/>
      <c r="P624" s="1"/>
      <c r="Q624" s="1"/>
      <c r="R624" s="1"/>
      <c r="S624" s="1"/>
      <c r="T624" s="1"/>
      <c r="U624" s="1"/>
      <c r="V624" s="1"/>
      <c r="W624" s="1"/>
    </row>
    <row r="625" spans="1:23">
      <c r="A625" s="2"/>
      <c r="B625" s="211"/>
      <c r="C625" s="1"/>
      <c r="D625" s="1"/>
      <c r="E625" s="1"/>
      <c r="F625" s="1"/>
      <c r="G625" s="1"/>
      <c r="H625" s="1"/>
      <c r="I625" s="22"/>
      <c r="J625" s="1"/>
      <c r="K625" s="1"/>
      <c r="L625" s="1"/>
      <c r="M625" s="1"/>
      <c r="N625" s="1"/>
      <c r="P625" s="1"/>
      <c r="Q625" s="1"/>
      <c r="R625" s="1"/>
      <c r="S625" s="1"/>
      <c r="T625" s="1"/>
      <c r="U625" s="1"/>
      <c r="V625" s="1"/>
      <c r="W625" s="1"/>
    </row>
    <row r="626" spans="1:23">
      <c r="A626" s="2"/>
      <c r="B626" s="211"/>
      <c r="C626" s="1"/>
      <c r="D626" s="1"/>
      <c r="E626" s="1"/>
      <c r="F626" s="1"/>
      <c r="G626" s="1"/>
      <c r="H626" s="1"/>
      <c r="I626" s="22"/>
      <c r="J626" s="1"/>
      <c r="K626" s="1"/>
      <c r="L626" s="1"/>
      <c r="M626" s="1"/>
      <c r="N626" s="1"/>
      <c r="P626" s="1"/>
      <c r="Q626" s="1"/>
      <c r="R626" s="1"/>
      <c r="S626" s="1"/>
      <c r="T626" s="1"/>
      <c r="U626" s="1"/>
      <c r="V626" s="1"/>
      <c r="W626" s="1"/>
    </row>
    <row r="627" spans="1:23">
      <c r="A627" s="2"/>
      <c r="B627" s="211"/>
      <c r="C627" s="1"/>
      <c r="D627" s="1"/>
      <c r="E627" s="1"/>
      <c r="F627" s="1"/>
      <c r="G627" s="1"/>
      <c r="H627" s="1"/>
      <c r="I627" s="22"/>
      <c r="J627" s="1"/>
      <c r="K627" s="1"/>
      <c r="L627" s="1"/>
      <c r="M627" s="1"/>
      <c r="N627" s="1"/>
      <c r="P627" s="1"/>
      <c r="Q627" s="1"/>
      <c r="R627" s="1"/>
      <c r="S627" s="1"/>
      <c r="T627" s="1"/>
      <c r="U627" s="1"/>
      <c r="V627" s="1"/>
      <c r="W627" s="1"/>
    </row>
    <row r="628" spans="1:23">
      <c r="A628" s="2"/>
      <c r="B628" s="211"/>
      <c r="C628" s="1"/>
      <c r="D628" s="1"/>
      <c r="E628" s="1"/>
      <c r="F628" s="1"/>
      <c r="G628" s="1"/>
      <c r="H628" s="1"/>
      <c r="I628" s="22"/>
      <c r="J628" s="1"/>
      <c r="K628" s="1"/>
      <c r="L628" s="1"/>
      <c r="M628" s="1"/>
      <c r="N628" s="1"/>
      <c r="P628" s="1"/>
      <c r="Q628" s="1"/>
      <c r="R628" s="1"/>
      <c r="S628" s="1"/>
      <c r="T628" s="1"/>
      <c r="U628" s="1"/>
      <c r="V628" s="1"/>
      <c r="W628" s="1"/>
    </row>
    <row r="629" spans="1:23">
      <c r="A629" s="2"/>
      <c r="B629" s="211"/>
      <c r="C629" s="1"/>
      <c r="D629" s="1"/>
      <c r="E629" s="1"/>
      <c r="F629" s="1"/>
      <c r="G629" s="1"/>
      <c r="H629" s="1"/>
      <c r="I629" s="22"/>
      <c r="J629" s="1"/>
      <c r="K629" s="1"/>
      <c r="L629" s="1"/>
      <c r="M629" s="1"/>
      <c r="N629" s="1"/>
      <c r="P629" s="1"/>
      <c r="Q629" s="1"/>
      <c r="R629" s="1"/>
      <c r="S629" s="1"/>
      <c r="T629" s="1"/>
      <c r="U629" s="1"/>
      <c r="V629" s="1"/>
      <c r="W629" s="1"/>
    </row>
    <row r="630" spans="1:23">
      <c r="A630" s="2"/>
      <c r="B630" s="211"/>
      <c r="C630" s="1"/>
      <c r="D630" s="1"/>
      <c r="E630" s="1"/>
      <c r="F630" s="1"/>
      <c r="G630" s="1"/>
      <c r="H630" s="1"/>
      <c r="I630" s="22"/>
      <c r="J630" s="1"/>
      <c r="K630" s="1"/>
      <c r="L630" s="1"/>
      <c r="M630" s="1"/>
      <c r="N630" s="1"/>
      <c r="P630" s="1"/>
      <c r="Q630" s="1"/>
      <c r="R630" s="1"/>
      <c r="S630" s="1"/>
      <c r="T630" s="1"/>
      <c r="U630" s="1"/>
      <c r="V630" s="1"/>
      <c r="W630" s="1"/>
    </row>
    <row r="631" spans="1:23">
      <c r="A631" s="2"/>
      <c r="B631" s="211"/>
      <c r="C631" s="1"/>
      <c r="D631" s="1"/>
      <c r="E631" s="1"/>
      <c r="F631" s="1"/>
      <c r="G631" s="1"/>
      <c r="H631" s="1"/>
      <c r="I631" s="22"/>
      <c r="J631" s="1"/>
      <c r="K631" s="1"/>
      <c r="L631" s="1"/>
      <c r="M631" s="1"/>
      <c r="N631" s="1"/>
      <c r="P631" s="1"/>
      <c r="Q631" s="1"/>
      <c r="R631" s="1"/>
      <c r="S631" s="1"/>
      <c r="T631" s="1"/>
      <c r="U631" s="1"/>
      <c r="V631" s="1"/>
      <c r="W631" s="1"/>
    </row>
    <row r="632" spans="1:23">
      <c r="A632" s="2"/>
      <c r="B632" s="211"/>
      <c r="C632" s="1"/>
      <c r="D632" s="1"/>
      <c r="E632" s="1"/>
      <c r="F632" s="1"/>
      <c r="G632" s="1"/>
      <c r="H632" s="1"/>
      <c r="I632" s="22"/>
      <c r="J632" s="1"/>
      <c r="K632" s="1"/>
      <c r="L632" s="1"/>
      <c r="M632" s="1"/>
      <c r="N632" s="1"/>
      <c r="P632" s="1"/>
      <c r="Q632" s="1"/>
      <c r="R632" s="1"/>
      <c r="S632" s="1"/>
      <c r="T632" s="1"/>
      <c r="U632" s="1"/>
      <c r="V632" s="1"/>
      <c r="W632" s="1"/>
    </row>
    <row r="633" spans="1:23">
      <c r="A633" s="2"/>
      <c r="B633" s="211"/>
      <c r="C633" s="1"/>
      <c r="D633" s="1"/>
      <c r="E633" s="1"/>
      <c r="F633" s="1"/>
      <c r="G633" s="1"/>
      <c r="H633" s="1"/>
      <c r="I633" s="22"/>
      <c r="J633" s="1"/>
      <c r="K633" s="1"/>
      <c r="L633" s="1"/>
      <c r="M633" s="1"/>
      <c r="N633" s="1"/>
      <c r="P633" s="1"/>
      <c r="Q633" s="1"/>
      <c r="R633" s="1"/>
      <c r="S633" s="1"/>
      <c r="T633" s="1"/>
      <c r="U633" s="1"/>
      <c r="V633" s="1"/>
      <c r="W633" s="1"/>
    </row>
    <row r="634" spans="1:23">
      <c r="A634" s="2"/>
      <c r="B634" s="211"/>
      <c r="C634" s="1"/>
      <c r="D634" s="1"/>
      <c r="E634" s="1"/>
      <c r="F634" s="1"/>
      <c r="G634" s="1"/>
      <c r="H634" s="1"/>
      <c r="I634" s="22"/>
      <c r="J634" s="1"/>
      <c r="K634" s="1"/>
      <c r="L634" s="1"/>
      <c r="M634" s="1"/>
      <c r="N634" s="1"/>
      <c r="P634" s="1"/>
      <c r="Q634" s="1"/>
      <c r="R634" s="1"/>
      <c r="S634" s="1"/>
      <c r="T634" s="1"/>
      <c r="U634" s="1"/>
      <c r="V634" s="1"/>
      <c r="W634" s="1"/>
    </row>
    <row r="635" spans="1:23">
      <c r="A635" s="2"/>
      <c r="B635" s="211"/>
      <c r="C635" s="1"/>
      <c r="D635" s="1"/>
      <c r="E635" s="1"/>
      <c r="F635" s="1"/>
      <c r="G635" s="1"/>
      <c r="H635" s="1"/>
      <c r="I635" s="22"/>
      <c r="J635" s="1"/>
      <c r="K635" s="1"/>
      <c r="L635" s="1"/>
      <c r="M635" s="1"/>
      <c r="N635" s="1"/>
      <c r="P635" s="1"/>
      <c r="Q635" s="1"/>
      <c r="R635" s="1"/>
      <c r="S635" s="1"/>
      <c r="T635" s="1"/>
      <c r="U635" s="1"/>
      <c r="V635" s="1"/>
      <c r="W635" s="1"/>
    </row>
    <row r="636" spans="1:23">
      <c r="A636" s="2"/>
      <c r="B636" s="211"/>
      <c r="C636" s="1"/>
      <c r="D636" s="1"/>
      <c r="E636" s="1"/>
      <c r="F636" s="1"/>
      <c r="G636" s="1"/>
      <c r="H636" s="1"/>
      <c r="I636" s="22"/>
      <c r="J636" s="1"/>
      <c r="K636" s="1"/>
      <c r="L636" s="1"/>
      <c r="M636" s="1"/>
      <c r="N636" s="1"/>
      <c r="P636" s="1"/>
      <c r="Q636" s="1"/>
      <c r="R636" s="1"/>
      <c r="S636" s="1"/>
      <c r="T636" s="1"/>
      <c r="U636" s="1"/>
      <c r="V636" s="1"/>
      <c r="W636" s="1"/>
    </row>
    <row r="637" spans="1:23">
      <c r="A637" s="2"/>
      <c r="B637" s="211"/>
      <c r="C637" s="1"/>
      <c r="D637" s="1"/>
      <c r="E637" s="1"/>
      <c r="F637" s="1"/>
      <c r="G637" s="1"/>
      <c r="H637" s="1"/>
      <c r="I637" s="22"/>
      <c r="J637" s="1"/>
      <c r="K637" s="1"/>
      <c r="L637" s="1"/>
      <c r="M637" s="1"/>
      <c r="N637" s="1"/>
      <c r="P637" s="1"/>
      <c r="Q637" s="1"/>
      <c r="R637" s="1"/>
      <c r="S637" s="1"/>
      <c r="T637" s="1"/>
      <c r="U637" s="1"/>
      <c r="V637" s="1"/>
      <c r="W637" s="1"/>
    </row>
    <row r="638" spans="1:23">
      <c r="A638" s="2"/>
      <c r="B638" s="211"/>
      <c r="C638" s="1"/>
      <c r="D638" s="1"/>
      <c r="E638" s="1"/>
      <c r="F638" s="1"/>
      <c r="G638" s="1"/>
      <c r="H638" s="1"/>
      <c r="I638" s="22"/>
      <c r="J638" s="1"/>
      <c r="K638" s="1"/>
      <c r="L638" s="1"/>
      <c r="M638" s="1"/>
      <c r="N638" s="1"/>
      <c r="P638" s="1"/>
      <c r="Q638" s="1"/>
      <c r="R638" s="1"/>
      <c r="S638" s="1"/>
      <c r="T638" s="1"/>
      <c r="U638" s="1"/>
      <c r="V638" s="1"/>
      <c r="W638" s="1"/>
    </row>
    <row r="639" spans="1:23">
      <c r="A639" s="2"/>
      <c r="B639" s="211"/>
      <c r="C639" s="1"/>
      <c r="D639" s="1"/>
      <c r="E639" s="1"/>
      <c r="F639" s="1"/>
      <c r="G639" s="1"/>
      <c r="H639" s="1"/>
      <c r="I639" s="22"/>
      <c r="J639" s="1"/>
      <c r="K639" s="1"/>
      <c r="L639" s="1"/>
      <c r="M639" s="1"/>
      <c r="N639" s="1"/>
      <c r="P639" s="1"/>
      <c r="Q639" s="1"/>
      <c r="R639" s="1"/>
      <c r="S639" s="1"/>
      <c r="T639" s="1"/>
      <c r="U639" s="1"/>
      <c r="V639" s="1"/>
      <c r="W639" s="1"/>
    </row>
    <row r="640" spans="1:23">
      <c r="A640" s="2"/>
      <c r="B640" s="211"/>
      <c r="C640" s="1"/>
      <c r="D640" s="1"/>
      <c r="E640" s="1"/>
      <c r="F640" s="1"/>
      <c r="G640" s="1"/>
      <c r="H640" s="1"/>
      <c r="I640" s="22"/>
      <c r="J640" s="1"/>
      <c r="K640" s="1"/>
      <c r="L640" s="1"/>
      <c r="M640" s="1"/>
      <c r="N640" s="1"/>
      <c r="P640" s="1"/>
      <c r="Q640" s="1"/>
      <c r="R640" s="1"/>
      <c r="S640" s="1"/>
      <c r="T640" s="1"/>
      <c r="U640" s="1"/>
      <c r="V640" s="1"/>
      <c r="W640" s="1"/>
    </row>
    <row r="641" spans="1:23">
      <c r="A641" s="2"/>
      <c r="B641" s="211"/>
      <c r="C641" s="1"/>
      <c r="D641" s="1"/>
      <c r="E641" s="1"/>
      <c r="F641" s="1"/>
      <c r="G641" s="1"/>
      <c r="H641" s="1"/>
      <c r="I641" s="22"/>
      <c r="J641" s="1"/>
      <c r="K641" s="1"/>
      <c r="L641" s="1"/>
      <c r="M641" s="1"/>
      <c r="N641" s="1"/>
      <c r="P641" s="1"/>
      <c r="Q641" s="1"/>
      <c r="R641" s="1"/>
      <c r="S641" s="1"/>
      <c r="T641" s="1"/>
      <c r="U641" s="1"/>
      <c r="V641" s="1"/>
      <c r="W641" s="1"/>
    </row>
    <row r="642" spans="1:23">
      <c r="A642" s="2"/>
      <c r="B642" s="211"/>
      <c r="C642" s="1"/>
      <c r="D642" s="1"/>
      <c r="E642" s="1"/>
      <c r="F642" s="1"/>
      <c r="G642" s="1"/>
      <c r="H642" s="1"/>
      <c r="I642" s="22"/>
      <c r="J642" s="1"/>
      <c r="K642" s="1"/>
      <c r="L642" s="1"/>
      <c r="M642" s="1"/>
      <c r="N642" s="1"/>
      <c r="P642" s="1"/>
      <c r="Q642" s="1"/>
      <c r="R642" s="1"/>
      <c r="S642" s="1"/>
      <c r="T642" s="1"/>
      <c r="U642" s="1"/>
      <c r="V642" s="1"/>
      <c r="W642" s="1"/>
    </row>
    <row r="643" spans="1:23">
      <c r="A643" s="2"/>
      <c r="B643" s="211"/>
      <c r="C643" s="1"/>
      <c r="D643" s="1"/>
      <c r="E643" s="1"/>
      <c r="F643" s="1"/>
      <c r="G643" s="1"/>
      <c r="H643" s="1"/>
      <c r="I643" s="22"/>
      <c r="J643" s="1"/>
      <c r="K643" s="1"/>
      <c r="L643" s="1"/>
      <c r="M643" s="1"/>
      <c r="N643" s="1"/>
      <c r="P643" s="1"/>
      <c r="Q643" s="1"/>
      <c r="R643" s="1"/>
      <c r="S643" s="1"/>
      <c r="T643" s="1"/>
      <c r="U643" s="1"/>
      <c r="V643" s="1"/>
      <c r="W643" s="1"/>
    </row>
    <row r="644" spans="1:23">
      <c r="A644" s="2"/>
      <c r="B644" s="211"/>
      <c r="C644" s="1"/>
      <c r="D644" s="1"/>
      <c r="E644" s="1"/>
      <c r="F644" s="1"/>
      <c r="G644" s="1"/>
      <c r="H644" s="1"/>
      <c r="I644" s="22"/>
      <c r="J644" s="1"/>
      <c r="K644" s="1"/>
      <c r="L644" s="1"/>
      <c r="M644" s="1"/>
      <c r="N644" s="1"/>
      <c r="P644" s="1"/>
      <c r="Q644" s="1"/>
      <c r="R644" s="1"/>
      <c r="S644" s="1"/>
      <c r="T644" s="1"/>
      <c r="U644" s="1"/>
      <c r="V644" s="1"/>
      <c r="W644" s="1"/>
    </row>
    <row r="645" spans="1:23">
      <c r="A645" s="2"/>
      <c r="B645" s="211"/>
      <c r="C645" s="1"/>
      <c r="D645" s="1"/>
      <c r="E645" s="1"/>
      <c r="F645" s="1"/>
      <c r="G645" s="1"/>
      <c r="H645" s="1"/>
      <c r="I645" s="22"/>
      <c r="J645" s="1"/>
      <c r="K645" s="1"/>
      <c r="L645" s="1"/>
      <c r="M645" s="1"/>
      <c r="N645" s="1"/>
      <c r="P645" s="1"/>
      <c r="Q645" s="1"/>
      <c r="R645" s="1"/>
      <c r="S645" s="1"/>
      <c r="T645" s="1"/>
      <c r="U645" s="1"/>
      <c r="V645" s="1"/>
      <c r="W645" s="1"/>
    </row>
    <row r="646" spans="1:23">
      <c r="A646" s="2"/>
      <c r="B646" s="211"/>
      <c r="C646" s="1"/>
      <c r="D646" s="1"/>
      <c r="E646" s="1"/>
      <c r="F646" s="1"/>
      <c r="G646" s="1"/>
      <c r="H646" s="1"/>
      <c r="I646" s="22"/>
      <c r="J646" s="1"/>
      <c r="K646" s="1"/>
      <c r="L646" s="1"/>
      <c r="M646" s="1"/>
      <c r="N646" s="1"/>
      <c r="P646" s="1"/>
      <c r="Q646" s="1"/>
      <c r="R646" s="1"/>
      <c r="S646" s="1"/>
      <c r="T646" s="1"/>
      <c r="U646" s="1"/>
      <c r="V646" s="1"/>
      <c r="W646" s="1"/>
    </row>
    <row r="647" spans="1:23">
      <c r="A647" s="2"/>
      <c r="B647" s="211"/>
      <c r="C647" s="1"/>
      <c r="D647" s="1"/>
      <c r="E647" s="1"/>
      <c r="F647" s="1"/>
      <c r="G647" s="1"/>
      <c r="H647" s="1"/>
      <c r="I647" s="22"/>
      <c r="J647" s="1"/>
      <c r="K647" s="1"/>
      <c r="L647" s="1"/>
      <c r="M647" s="1"/>
      <c r="N647" s="1"/>
      <c r="P647" s="1"/>
      <c r="Q647" s="1"/>
      <c r="R647" s="1"/>
      <c r="S647" s="1"/>
      <c r="T647" s="1"/>
      <c r="U647" s="1"/>
      <c r="V647" s="1"/>
      <c r="W647" s="1"/>
    </row>
    <row r="648" spans="1:23">
      <c r="A648" s="2"/>
      <c r="B648" s="211"/>
      <c r="C648" s="1"/>
      <c r="D648" s="1"/>
      <c r="E648" s="1"/>
      <c r="F648" s="1"/>
      <c r="G648" s="1"/>
      <c r="H648" s="1"/>
      <c r="I648" s="22"/>
      <c r="J648" s="1"/>
      <c r="K648" s="1"/>
      <c r="L648" s="1"/>
      <c r="M648" s="1"/>
      <c r="N648" s="1"/>
      <c r="P648" s="1"/>
      <c r="Q648" s="1"/>
      <c r="R648" s="1"/>
      <c r="S648" s="1"/>
      <c r="T648" s="1"/>
      <c r="U648" s="1"/>
      <c r="V648" s="1"/>
      <c r="W648" s="1"/>
    </row>
    <row r="649" spans="1:23">
      <c r="A649" s="2"/>
      <c r="B649" s="211"/>
      <c r="C649" s="1"/>
      <c r="D649" s="1"/>
      <c r="E649" s="1"/>
      <c r="F649" s="1"/>
      <c r="G649" s="1"/>
      <c r="H649" s="1"/>
      <c r="I649" s="22"/>
      <c r="J649" s="1"/>
      <c r="K649" s="1"/>
      <c r="L649" s="1"/>
      <c r="M649" s="1"/>
      <c r="N649" s="1"/>
      <c r="P649" s="1"/>
      <c r="Q649" s="1"/>
      <c r="R649" s="1"/>
      <c r="S649" s="1"/>
      <c r="T649" s="1"/>
      <c r="U649" s="1"/>
      <c r="V649" s="1"/>
      <c r="W649" s="1"/>
    </row>
    <row r="650" spans="1:23">
      <c r="A650" s="2"/>
      <c r="B650" s="211"/>
      <c r="C650" s="1"/>
      <c r="D650" s="1"/>
      <c r="E650" s="1"/>
      <c r="F650" s="1"/>
      <c r="G650" s="1"/>
      <c r="H650" s="1"/>
      <c r="I650" s="22"/>
      <c r="J650" s="1"/>
      <c r="K650" s="1"/>
      <c r="L650" s="1"/>
      <c r="M650" s="1"/>
      <c r="N650" s="1"/>
      <c r="P650" s="1"/>
      <c r="Q650" s="1"/>
      <c r="R650" s="1"/>
      <c r="S650" s="1"/>
      <c r="T650" s="1"/>
      <c r="U650" s="1"/>
      <c r="V650" s="1"/>
      <c r="W650" s="1"/>
    </row>
    <row r="651" spans="1:23">
      <c r="A651" s="2"/>
      <c r="B651" s="211"/>
      <c r="C651" s="1"/>
      <c r="D651" s="1"/>
      <c r="E651" s="1"/>
      <c r="F651" s="1"/>
      <c r="G651" s="1"/>
      <c r="H651" s="1"/>
      <c r="I651" s="22"/>
      <c r="J651" s="1"/>
      <c r="K651" s="1"/>
      <c r="L651" s="1"/>
      <c r="M651" s="1"/>
      <c r="N651" s="1"/>
      <c r="P651" s="1"/>
      <c r="Q651" s="1"/>
      <c r="R651" s="1"/>
      <c r="S651" s="1"/>
      <c r="T651" s="1"/>
      <c r="U651" s="1"/>
      <c r="V651" s="1"/>
      <c r="W651" s="1"/>
    </row>
    <row r="652" spans="1:23">
      <c r="A652" s="2"/>
      <c r="B652" s="211"/>
      <c r="C652" s="1"/>
      <c r="D652" s="1"/>
      <c r="E652" s="1"/>
      <c r="F652" s="1"/>
      <c r="G652" s="1"/>
      <c r="H652" s="1"/>
      <c r="I652" s="22"/>
      <c r="J652" s="1"/>
      <c r="K652" s="1"/>
      <c r="L652" s="1"/>
      <c r="M652" s="1"/>
      <c r="N652" s="1"/>
      <c r="P652" s="1"/>
      <c r="Q652" s="1"/>
      <c r="R652" s="1"/>
      <c r="S652" s="1"/>
      <c r="T652" s="1"/>
      <c r="U652" s="1"/>
      <c r="V652" s="1"/>
      <c r="W652" s="1"/>
    </row>
    <row r="653" spans="1:23">
      <c r="A653" s="2"/>
      <c r="B653" s="211"/>
      <c r="C653" s="1"/>
      <c r="D653" s="1"/>
      <c r="E653" s="1"/>
      <c r="F653" s="1"/>
      <c r="G653" s="1"/>
      <c r="H653" s="1"/>
      <c r="I653" s="22"/>
      <c r="J653" s="1"/>
      <c r="K653" s="1"/>
      <c r="L653" s="1"/>
      <c r="M653" s="1"/>
      <c r="N653" s="1"/>
      <c r="P653" s="1"/>
      <c r="Q653" s="1"/>
      <c r="R653" s="1"/>
      <c r="S653" s="1"/>
      <c r="T653" s="1"/>
      <c r="U653" s="1"/>
      <c r="V653" s="1"/>
      <c r="W653" s="1"/>
    </row>
    <row r="654" spans="1:23">
      <c r="A654" s="2"/>
      <c r="B654" s="211"/>
      <c r="C654" s="1"/>
      <c r="D654" s="1"/>
      <c r="E654" s="1"/>
      <c r="F654" s="1"/>
      <c r="G654" s="1"/>
      <c r="H654" s="1"/>
      <c r="I654" s="22"/>
      <c r="J654" s="1"/>
      <c r="K654" s="1"/>
      <c r="L654" s="1"/>
      <c r="M654" s="1"/>
      <c r="N654" s="1"/>
      <c r="P654" s="1"/>
      <c r="Q654" s="1"/>
      <c r="R654" s="1"/>
      <c r="S654" s="1"/>
      <c r="T654" s="1"/>
      <c r="U654" s="1"/>
      <c r="V654" s="1"/>
      <c r="W654" s="1"/>
    </row>
    <row r="655" spans="1:23">
      <c r="A655" s="2"/>
      <c r="B655" s="211"/>
      <c r="C655" s="1"/>
      <c r="D655" s="1"/>
      <c r="E655" s="1"/>
      <c r="F655" s="1"/>
      <c r="G655" s="1"/>
      <c r="H655" s="1"/>
      <c r="I655" s="22"/>
      <c r="J655" s="1"/>
      <c r="K655" s="1"/>
      <c r="L655" s="1"/>
      <c r="M655" s="1"/>
      <c r="N655" s="1"/>
      <c r="P655" s="1"/>
      <c r="Q655" s="1"/>
      <c r="R655" s="1"/>
      <c r="S655" s="1"/>
      <c r="T655" s="1"/>
      <c r="U655" s="1"/>
      <c r="V655" s="1"/>
      <c r="W655" s="1"/>
    </row>
    <row r="656" spans="1:23">
      <c r="A656" s="2"/>
      <c r="B656" s="211"/>
      <c r="C656" s="1"/>
      <c r="D656" s="1"/>
      <c r="E656" s="1"/>
      <c r="F656" s="1"/>
      <c r="G656" s="1"/>
      <c r="H656" s="1"/>
      <c r="I656" s="22"/>
      <c r="J656" s="1"/>
      <c r="K656" s="1"/>
      <c r="L656" s="1"/>
      <c r="M656" s="1"/>
      <c r="N656" s="1"/>
      <c r="P656" s="1"/>
      <c r="Q656" s="1"/>
      <c r="R656" s="1"/>
      <c r="S656" s="1"/>
      <c r="T656" s="1"/>
      <c r="U656" s="1"/>
      <c r="V656" s="1"/>
      <c r="W656" s="1"/>
    </row>
    <row r="657" spans="1:23">
      <c r="A657" s="2"/>
      <c r="B657" s="211"/>
      <c r="C657" s="1"/>
      <c r="D657" s="1"/>
      <c r="E657" s="1"/>
      <c r="F657" s="1"/>
      <c r="G657" s="1"/>
      <c r="H657" s="1"/>
      <c r="I657" s="22"/>
      <c r="J657" s="1"/>
      <c r="K657" s="1"/>
      <c r="L657" s="1"/>
      <c r="M657" s="1"/>
      <c r="N657" s="1"/>
      <c r="P657" s="1"/>
      <c r="Q657" s="1"/>
      <c r="R657" s="1"/>
      <c r="S657" s="1"/>
      <c r="T657" s="1"/>
      <c r="U657" s="1"/>
      <c r="V657" s="1"/>
      <c r="W657" s="1"/>
    </row>
    <row r="658" spans="1:23">
      <c r="A658" s="2"/>
      <c r="B658" s="211"/>
      <c r="C658" s="1"/>
      <c r="D658" s="1"/>
      <c r="E658" s="1"/>
      <c r="F658" s="1"/>
      <c r="G658" s="1"/>
      <c r="H658" s="1"/>
      <c r="I658" s="22"/>
      <c r="J658" s="1"/>
      <c r="K658" s="1"/>
      <c r="L658" s="1"/>
      <c r="M658" s="1"/>
      <c r="N658" s="1"/>
      <c r="P658" s="1"/>
      <c r="Q658" s="1"/>
      <c r="R658" s="1"/>
      <c r="S658" s="1"/>
      <c r="T658" s="1"/>
      <c r="U658" s="1"/>
      <c r="V658" s="1"/>
      <c r="W658" s="1"/>
    </row>
    <row r="659" spans="1:23">
      <c r="A659" s="2"/>
      <c r="B659" s="211"/>
      <c r="C659" s="1"/>
      <c r="D659" s="1"/>
      <c r="E659" s="1"/>
      <c r="F659" s="1"/>
      <c r="G659" s="1"/>
      <c r="H659" s="1"/>
      <c r="I659" s="22"/>
      <c r="J659" s="1"/>
      <c r="K659" s="1"/>
      <c r="L659" s="1"/>
      <c r="M659" s="1"/>
      <c r="N659" s="1"/>
      <c r="P659" s="1"/>
      <c r="Q659" s="1"/>
      <c r="R659" s="1"/>
      <c r="S659" s="1"/>
      <c r="T659" s="1"/>
      <c r="U659" s="1"/>
      <c r="V659" s="1"/>
      <c r="W659" s="1"/>
    </row>
    <row r="660" spans="1:23">
      <c r="A660" s="2"/>
      <c r="B660" s="211"/>
      <c r="C660" s="1"/>
      <c r="D660" s="1"/>
      <c r="E660" s="1"/>
      <c r="F660" s="1"/>
      <c r="G660" s="1"/>
      <c r="H660" s="1"/>
      <c r="I660" s="22"/>
      <c r="J660" s="1"/>
      <c r="K660" s="1"/>
      <c r="L660" s="1"/>
      <c r="M660" s="1"/>
      <c r="N660" s="1"/>
      <c r="P660" s="1"/>
      <c r="Q660" s="1"/>
      <c r="R660" s="1"/>
      <c r="S660" s="1"/>
      <c r="T660" s="1"/>
      <c r="U660" s="1"/>
      <c r="V660" s="1"/>
      <c r="W660" s="1"/>
    </row>
    <row r="661" spans="1:23">
      <c r="A661" s="2"/>
      <c r="B661" s="211"/>
      <c r="C661" s="1"/>
      <c r="D661" s="1"/>
      <c r="E661" s="1"/>
      <c r="F661" s="1"/>
      <c r="G661" s="1"/>
      <c r="H661" s="1"/>
      <c r="I661" s="22"/>
      <c r="J661" s="1"/>
      <c r="K661" s="1"/>
      <c r="L661" s="1"/>
      <c r="M661" s="1"/>
      <c r="N661" s="1"/>
      <c r="P661" s="1"/>
      <c r="Q661" s="1"/>
      <c r="R661" s="1"/>
      <c r="S661" s="1"/>
      <c r="T661" s="1"/>
      <c r="U661" s="1"/>
      <c r="V661" s="1"/>
      <c r="W661" s="1"/>
    </row>
    <row r="662" spans="1:23">
      <c r="A662" s="2"/>
      <c r="B662" s="211"/>
      <c r="C662" s="1"/>
      <c r="D662" s="1"/>
      <c r="E662" s="1"/>
      <c r="F662" s="1"/>
      <c r="G662" s="1"/>
      <c r="H662" s="1"/>
      <c r="I662" s="22"/>
      <c r="J662" s="1"/>
      <c r="K662" s="1"/>
      <c r="L662" s="1"/>
      <c r="M662" s="1"/>
      <c r="N662" s="1"/>
      <c r="P662" s="1"/>
      <c r="Q662" s="1"/>
      <c r="R662" s="1"/>
      <c r="S662" s="1"/>
      <c r="T662" s="1"/>
      <c r="U662" s="1"/>
      <c r="V662" s="1"/>
      <c r="W662" s="1"/>
    </row>
    <row r="663" spans="1:23">
      <c r="A663" s="2"/>
      <c r="B663" s="211"/>
      <c r="C663" s="1"/>
      <c r="D663" s="1"/>
      <c r="E663" s="1"/>
      <c r="F663" s="1"/>
      <c r="G663" s="1"/>
      <c r="H663" s="1"/>
      <c r="I663" s="22"/>
      <c r="J663" s="1"/>
      <c r="K663" s="1"/>
      <c r="L663" s="1"/>
      <c r="M663" s="1"/>
      <c r="N663" s="1"/>
      <c r="P663" s="1"/>
      <c r="Q663" s="1"/>
      <c r="R663" s="1"/>
      <c r="S663" s="1"/>
      <c r="T663" s="1"/>
      <c r="U663" s="1"/>
      <c r="V663" s="1"/>
      <c r="W663" s="1"/>
    </row>
    <row r="664" spans="1:23">
      <c r="A664" s="2"/>
      <c r="B664" s="211"/>
      <c r="C664" s="1"/>
      <c r="D664" s="1"/>
      <c r="E664" s="1"/>
      <c r="F664" s="1"/>
      <c r="G664" s="1"/>
      <c r="H664" s="1"/>
      <c r="I664" s="22"/>
      <c r="J664" s="1"/>
      <c r="K664" s="1"/>
      <c r="L664" s="1"/>
      <c r="M664" s="1"/>
      <c r="N664" s="1"/>
      <c r="P664" s="1"/>
      <c r="Q664" s="1"/>
      <c r="R664" s="1"/>
      <c r="S664" s="1"/>
      <c r="T664" s="1"/>
      <c r="U664" s="1"/>
      <c r="V664" s="1"/>
      <c r="W664" s="1"/>
    </row>
    <row r="665" spans="1:23">
      <c r="A665" s="2"/>
      <c r="B665" s="211"/>
      <c r="C665" s="1"/>
      <c r="D665" s="1"/>
      <c r="E665" s="1"/>
      <c r="F665" s="1"/>
      <c r="G665" s="1"/>
      <c r="H665" s="1"/>
      <c r="I665" s="22"/>
      <c r="J665" s="1"/>
      <c r="K665" s="1"/>
      <c r="L665" s="1"/>
      <c r="M665" s="1"/>
      <c r="N665" s="1"/>
      <c r="P665" s="1"/>
      <c r="Q665" s="1"/>
      <c r="R665" s="1"/>
      <c r="S665" s="1"/>
      <c r="T665" s="1"/>
      <c r="U665" s="1"/>
      <c r="V665" s="1"/>
      <c r="W665" s="1"/>
    </row>
    <row r="666" spans="1:23">
      <c r="A666" s="2"/>
      <c r="B666" s="211"/>
      <c r="C666" s="1"/>
      <c r="D666" s="1"/>
      <c r="E666" s="1"/>
      <c r="F666" s="1"/>
      <c r="G666" s="1"/>
      <c r="H666" s="1"/>
      <c r="I666" s="22"/>
      <c r="J666" s="1"/>
      <c r="K666" s="1"/>
      <c r="L666" s="1"/>
      <c r="M666" s="1"/>
      <c r="N666" s="1"/>
      <c r="P666" s="1"/>
      <c r="Q666" s="1"/>
      <c r="R666" s="1"/>
      <c r="S666" s="1"/>
      <c r="T666" s="1"/>
      <c r="U666" s="1"/>
      <c r="V666" s="1"/>
      <c r="W666" s="1"/>
    </row>
    <row r="667" spans="1:23">
      <c r="A667" s="2"/>
      <c r="B667" s="211"/>
      <c r="C667" s="1"/>
      <c r="D667" s="1"/>
      <c r="E667" s="1"/>
      <c r="F667" s="1"/>
      <c r="G667" s="1"/>
      <c r="H667" s="1"/>
      <c r="I667" s="22"/>
      <c r="J667" s="1"/>
      <c r="K667" s="1"/>
      <c r="L667" s="1"/>
      <c r="M667" s="1"/>
      <c r="N667" s="1"/>
      <c r="P667" s="1"/>
      <c r="Q667" s="1"/>
      <c r="R667" s="1"/>
      <c r="S667" s="1"/>
      <c r="T667" s="1"/>
      <c r="U667" s="1"/>
      <c r="V667" s="1"/>
      <c r="W667" s="1"/>
    </row>
    <row r="668" spans="1:23">
      <c r="A668" s="2"/>
      <c r="B668" s="211"/>
      <c r="C668" s="1"/>
      <c r="D668" s="1"/>
      <c r="E668" s="1"/>
      <c r="F668" s="1"/>
      <c r="G668" s="1"/>
      <c r="H668" s="1"/>
      <c r="I668" s="22"/>
      <c r="J668" s="1"/>
      <c r="K668" s="1"/>
      <c r="L668" s="1"/>
      <c r="M668" s="1"/>
      <c r="N668" s="1"/>
      <c r="P668" s="1"/>
      <c r="Q668" s="1"/>
      <c r="R668" s="1"/>
      <c r="S668" s="1"/>
      <c r="T668" s="1"/>
      <c r="U668" s="1"/>
      <c r="V668" s="1"/>
      <c r="W668" s="1"/>
    </row>
    <row r="669" spans="1:23">
      <c r="A669" s="2"/>
      <c r="B669" s="211"/>
      <c r="C669" s="1"/>
      <c r="D669" s="1"/>
      <c r="E669" s="1"/>
      <c r="F669" s="1"/>
      <c r="G669" s="1"/>
      <c r="H669" s="1"/>
      <c r="I669" s="22"/>
      <c r="J669" s="1"/>
      <c r="K669" s="1"/>
      <c r="L669" s="1"/>
      <c r="M669" s="1"/>
      <c r="N669" s="1"/>
      <c r="P669" s="1"/>
      <c r="Q669" s="1"/>
      <c r="R669" s="1"/>
      <c r="S669" s="1"/>
      <c r="T669" s="1"/>
      <c r="U669" s="1"/>
      <c r="V669" s="1"/>
      <c r="W669" s="1"/>
    </row>
    <row r="670" spans="1:23">
      <c r="A670" s="2"/>
      <c r="B670" s="211"/>
      <c r="C670" s="1"/>
      <c r="D670" s="1"/>
      <c r="E670" s="1"/>
      <c r="F670" s="1"/>
      <c r="G670" s="1"/>
      <c r="H670" s="1"/>
      <c r="I670" s="22"/>
      <c r="J670" s="1"/>
      <c r="K670" s="1"/>
      <c r="L670" s="1"/>
      <c r="M670" s="1"/>
      <c r="N670" s="1"/>
      <c r="P670" s="1"/>
      <c r="Q670" s="1"/>
      <c r="R670" s="1"/>
      <c r="S670" s="1"/>
      <c r="T670" s="1"/>
      <c r="U670" s="1"/>
      <c r="V670" s="1"/>
      <c r="W670" s="1"/>
    </row>
    <row r="671" spans="1:23">
      <c r="A671" s="2"/>
      <c r="B671" s="211"/>
      <c r="C671" s="1"/>
      <c r="D671" s="1"/>
      <c r="E671" s="1"/>
      <c r="F671" s="1"/>
      <c r="G671" s="1"/>
      <c r="H671" s="1"/>
      <c r="I671" s="22"/>
      <c r="J671" s="1"/>
      <c r="K671" s="1"/>
      <c r="L671" s="1"/>
      <c r="M671" s="1"/>
      <c r="N671" s="1"/>
      <c r="P671" s="1"/>
      <c r="Q671" s="1"/>
      <c r="R671" s="1"/>
      <c r="S671" s="1"/>
      <c r="T671" s="1"/>
      <c r="U671" s="1"/>
      <c r="V671" s="1"/>
      <c r="W671" s="1"/>
    </row>
    <row r="672" spans="1:23">
      <c r="A672" s="2"/>
      <c r="B672" s="211"/>
      <c r="C672" s="1"/>
      <c r="D672" s="1"/>
      <c r="E672" s="1"/>
      <c r="F672" s="1"/>
      <c r="G672" s="1"/>
      <c r="H672" s="1"/>
      <c r="I672" s="22"/>
      <c r="J672" s="1"/>
      <c r="K672" s="1"/>
      <c r="L672" s="1"/>
      <c r="M672" s="1"/>
      <c r="N672" s="1"/>
      <c r="P672" s="1"/>
      <c r="Q672" s="1"/>
      <c r="R672" s="1"/>
      <c r="S672" s="1"/>
      <c r="T672" s="1"/>
      <c r="U672" s="1"/>
      <c r="V672" s="1"/>
      <c r="W672" s="1"/>
    </row>
    <row r="673" spans="1:23">
      <c r="A673" s="2"/>
      <c r="B673" s="211"/>
      <c r="C673" s="1"/>
      <c r="D673" s="1"/>
      <c r="E673" s="1"/>
      <c r="F673" s="1"/>
      <c r="G673" s="1"/>
      <c r="H673" s="1"/>
      <c r="I673" s="22"/>
      <c r="J673" s="1"/>
      <c r="K673" s="1"/>
      <c r="L673" s="1"/>
      <c r="M673" s="1"/>
      <c r="N673" s="1"/>
      <c r="P673" s="1"/>
      <c r="Q673" s="1"/>
      <c r="R673" s="1"/>
      <c r="S673" s="1"/>
      <c r="T673" s="1"/>
      <c r="U673" s="1"/>
      <c r="V673" s="1"/>
      <c r="W673" s="1"/>
    </row>
    <row r="674" spans="1:23">
      <c r="A674" s="2"/>
      <c r="B674" s="211"/>
      <c r="C674" s="1"/>
      <c r="D674" s="1"/>
      <c r="E674" s="1"/>
      <c r="F674" s="1"/>
      <c r="G674" s="1"/>
      <c r="H674" s="1"/>
      <c r="I674" s="22"/>
      <c r="J674" s="1"/>
      <c r="K674" s="1"/>
      <c r="L674" s="1"/>
      <c r="M674" s="1"/>
      <c r="N674" s="1"/>
      <c r="P674" s="1"/>
      <c r="Q674" s="1"/>
      <c r="R674" s="1"/>
      <c r="S674" s="1"/>
      <c r="T674" s="1"/>
      <c r="U674" s="1"/>
      <c r="V674" s="1"/>
      <c r="W674" s="1"/>
    </row>
    <row r="675" spans="1:23">
      <c r="A675" s="2"/>
      <c r="B675" s="211"/>
      <c r="C675" s="1"/>
      <c r="D675" s="1"/>
      <c r="E675" s="1"/>
      <c r="F675" s="1"/>
      <c r="G675" s="1"/>
      <c r="H675" s="1"/>
      <c r="I675" s="22"/>
      <c r="J675" s="1"/>
      <c r="K675" s="1"/>
      <c r="L675" s="1"/>
      <c r="M675" s="1"/>
      <c r="N675" s="1"/>
      <c r="P675" s="1"/>
      <c r="Q675" s="1"/>
      <c r="R675" s="1"/>
      <c r="S675" s="1"/>
      <c r="T675" s="1"/>
      <c r="U675" s="1"/>
      <c r="V675" s="1"/>
      <c r="W675" s="1"/>
    </row>
    <row r="676" spans="1:23">
      <c r="A676" s="2"/>
      <c r="B676" s="211"/>
      <c r="C676" s="1"/>
      <c r="D676" s="1"/>
      <c r="E676" s="1"/>
      <c r="F676" s="1"/>
      <c r="G676" s="1"/>
      <c r="H676" s="1"/>
      <c r="I676" s="22"/>
      <c r="J676" s="1"/>
      <c r="K676" s="1"/>
      <c r="L676" s="1"/>
      <c r="M676" s="1"/>
      <c r="N676" s="1"/>
      <c r="P676" s="1"/>
      <c r="Q676" s="1"/>
      <c r="R676" s="1"/>
      <c r="S676" s="1"/>
      <c r="T676" s="1"/>
      <c r="U676" s="1"/>
      <c r="V676" s="1"/>
      <c r="W676" s="1"/>
    </row>
    <row r="677" spans="1:23">
      <c r="A677" s="2"/>
      <c r="B677" s="211"/>
      <c r="C677" s="1"/>
      <c r="D677" s="1"/>
      <c r="E677" s="1"/>
      <c r="F677" s="1"/>
      <c r="G677" s="1"/>
      <c r="H677" s="1"/>
      <c r="I677" s="22"/>
      <c r="J677" s="1"/>
      <c r="K677" s="1"/>
      <c r="L677" s="1"/>
      <c r="M677" s="1"/>
      <c r="N677" s="1"/>
      <c r="P677" s="1"/>
      <c r="Q677" s="1"/>
      <c r="R677" s="1"/>
      <c r="S677" s="1"/>
      <c r="T677" s="1"/>
      <c r="U677" s="1"/>
      <c r="V677" s="1"/>
      <c r="W677" s="1"/>
    </row>
    <row r="678" spans="1:23">
      <c r="A678" s="2"/>
      <c r="B678" s="211"/>
      <c r="C678" s="1"/>
      <c r="D678" s="1"/>
      <c r="E678" s="1"/>
      <c r="F678" s="1"/>
      <c r="G678" s="1"/>
      <c r="H678" s="1"/>
      <c r="I678" s="22"/>
      <c r="J678" s="1"/>
      <c r="K678" s="1"/>
      <c r="L678" s="1"/>
      <c r="M678" s="1"/>
      <c r="N678" s="1"/>
      <c r="P678" s="1"/>
      <c r="Q678" s="1"/>
      <c r="R678" s="1"/>
      <c r="S678" s="1"/>
      <c r="T678" s="1"/>
      <c r="U678" s="1"/>
      <c r="V678" s="1"/>
      <c r="W678" s="1"/>
    </row>
    <row r="679" spans="1:23">
      <c r="A679" s="2"/>
      <c r="B679" s="211"/>
      <c r="C679" s="1"/>
      <c r="D679" s="1"/>
      <c r="E679" s="1"/>
      <c r="F679" s="1"/>
      <c r="G679" s="1"/>
      <c r="H679" s="1"/>
      <c r="I679" s="22"/>
      <c r="J679" s="1"/>
      <c r="K679" s="1"/>
      <c r="L679" s="1"/>
      <c r="M679" s="1"/>
      <c r="N679" s="1"/>
      <c r="P679" s="1"/>
      <c r="Q679" s="1"/>
      <c r="R679" s="1"/>
      <c r="S679" s="1"/>
      <c r="T679" s="1"/>
      <c r="U679" s="1"/>
      <c r="V679" s="1"/>
      <c r="W679" s="1"/>
    </row>
    <row r="680" spans="1:23">
      <c r="A680" s="2"/>
      <c r="B680" s="211"/>
      <c r="C680" s="1"/>
      <c r="D680" s="1"/>
      <c r="E680" s="1"/>
      <c r="F680" s="1"/>
      <c r="G680" s="1"/>
      <c r="H680" s="1"/>
      <c r="I680" s="22"/>
      <c r="J680" s="1"/>
      <c r="K680" s="1"/>
      <c r="L680" s="1"/>
      <c r="M680" s="1"/>
      <c r="N680" s="1"/>
      <c r="P680" s="1"/>
      <c r="Q680" s="1"/>
      <c r="R680" s="1"/>
      <c r="S680" s="1"/>
      <c r="T680" s="1"/>
      <c r="U680" s="1"/>
      <c r="V680" s="1"/>
      <c r="W680" s="1"/>
    </row>
    <row r="681" spans="1:23">
      <c r="A681" s="2"/>
      <c r="B681" s="211"/>
      <c r="C681" s="1"/>
      <c r="D681" s="1"/>
      <c r="E681" s="1"/>
      <c r="F681" s="1"/>
      <c r="G681" s="1"/>
      <c r="H681" s="1"/>
      <c r="I681" s="22"/>
      <c r="J681" s="1"/>
      <c r="K681" s="1"/>
      <c r="L681" s="1"/>
      <c r="M681" s="1"/>
      <c r="N681" s="1"/>
      <c r="P681" s="1"/>
      <c r="Q681" s="1"/>
      <c r="R681" s="1"/>
      <c r="S681" s="1"/>
      <c r="T681" s="1"/>
      <c r="U681" s="1"/>
      <c r="V681" s="1"/>
      <c r="W681" s="1"/>
    </row>
    <row r="682" spans="1:23">
      <c r="A682" s="2"/>
      <c r="B682" s="211"/>
      <c r="C682" s="1"/>
      <c r="D682" s="1"/>
      <c r="E682" s="1"/>
      <c r="F682" s="1"/>
      <c r="G682" s="1"/>
      <c r="H682" s="1"/>
      <c r="I682" s="22"/>
      <c r="J682" s="1"/>
      <c r="K682" s="1"/>
      <c r="L682" s="1"/>
      <c r="M682" s="1"/>
      <c r="N682" s="1"/>
      <c r="P682" s="1"/>
      <c r="Q682" s="1"/>
      <c r="R682" s="1"/>
      <c r="S682" s="1"/>
      <c r="T682" s="1"/>
      <c r="U682" s="1"/>
      <c r="V682" s="1"/>
      <c r="W682" s="1"/>
    </row>
    <row r="683" spans="1:23">
      <c r="A683" s="2"/>
      <c r="B683" s="211"/>
      <c r="C683" s="1"/>
      <c r="D683" s="1"/>
      <c r="E683" s="1"/>
      <c r="F683" s="1"/>
      <c r="G683" s="1"/>
      <c r="H683" s="1"/>
      <c r="I683" s="22"/>
      <c r="J683" s="1"/>
      <c r="K683" s="1"/>
      <c r="L683" s="1"/>
      <c r="M683" s="1"/>
      <c r="N683" s="1"/>
      <c r="P683" s="1"/>
      <c r="Q683" s="1"/>
      <c r="R683" s="1"/>
      <c r="S683" s="1"/>
      <c r="T683" s="1"/>
      <c r="U683" s="1"/>
      <c r="V683" s="1"/>
      <c r="W683" s="1"/>
    </row>
    <row r="684" spans="1:23">
      <c r="A684" s="2"/>
      <c r="B684" s="211"/>
      <c r="C684" s="1"/>
      <c r="D684" s="1"/>
      <c r="E684" s="1"/>
      <c r="F684" s="1"/>
      <c r="G684" s="1"/>
      <c r="H684" s="1"/>
      <c r="I684" s="22"/>
      <c r="J684" s="1"/>
      <c r="K684" s="1"/>
      <c r="L684" s="1"/>
      <c r="M684" s="1"/>
      <c r="N684" s="1"/>
      <c r="P684" s="1"/>
      <c r="Q684" s="1"/>
      <c r="R684" s="1"/>
      <c r="S684" s="1"/>
      <c r="T684" s="1"/>
      <c r="U684" s="1"/>
      <c r="V684" s="1"/>
      <c r="W684" s="1"/>
    </row>
    <row r="685" spans="1:23">
      <c r="A685" s="2"/>
      <c r="B685" s="211"/>
      <c r="C685" s="1"/>
      <c r="D685" s="1"/>
      <c r="E685" s="1"/>
      <c r="F685" s="1"/>
      <c r="G685" s="1"/>
      <c r="H685" s="1"/>
      <c r="I685" s="22"/>
      <c r="J685" s="1"/>
      <c r="K685" s="1"/>
      <c r="L685" s="1"/>
      <c r="M685" s="1"/>
      <c r="N685" s="1"/>
      <c r="P685" s="1"/>
      <c r="Q685" s="1"/>
      <c r="R685" s="1"/>
      <c r="S685" s="1"/>
      <c r="T685" s="1"/>
      <c r="U685" s="1"/>
      <c r="V685" s="1"/>
      <c r="W685" s="1"/>
    </row>
    <row r="686" spans="1:23">
      <c r="A686" s="2"/>
      <c r="B686" s="211"/>
      <c r="C686" s="1"/>
      <c r="D686" s="1"/>
      <c r="E686" s="1"/>
      <c r="F686" s="1"/>
      <c r="G686" s="1"/>
      <c r="H686" s="1"/>
      <c r="I686" s="22"/>
      <c r="J686" s="1"/>
      <c r="K686" s="1"/>
      <c r="L686" s="1"/>
      <c r="M686" s="1"/>
      <c r="N686" s="1"/>
      <c r="P686" s="1"/>
      <c r="Q686" s="1"/>
      <c r="R686" s="1"/>
      <c r="S686" s="1"/>
      <c r="T686" s="1"/>
      <c r="U686" s="1"/>
      <c r="V686" s="1"/>
      <c r="W686" s="1"/>
    </row>
    <row r="687" spans="1:23">
      <c r="A687" s="2"/>
      <c r="B687" s="211"/>
      <c r="C687" s="1"/>
      <c r="D687" s="1"/>
      <c r="E687" s="1"/>
      <c r="F687" s="1"/>
      <c r="G687" s="1"/>
      <c r="H687" s="1"/>
      <c r="I687" s="22"/>
      <c r="J687" s="1"/>
      <c r="K687" s="1"/>
      <c r="L687" s="1"/>
      <c r="M687" s="1"/>
      <c r="N687" s="1"/>
      <c r="P687" s="1"/>
      <c r="Q687" s="1"/>
      <c r="R687" s="1"/>
      <c r="S687" s="1"/>
      <c r="T687" s="1"/>
      <c r="U687" s="1"/>
      <c r="V687" s="1"/>
      <c r="W687" s="1"/>
    </row>
    <row r="688" spans="1:23">
      <c r="A688" s="2"/>
      <c r="B688" s="211"/>
      <c r="C688" s="1"/>
      <c r="D688" s="1"/>
      <c r="E688" s="1"/>
      <c r="F688" s="1"/>
      <c r="G688" s="1"/>
      <c r="H688" s="1"/>
      <c r="I688" s="22"/>
      <c r="J688" s="1"/>
      <c r="K688" s="1"/>
      <c r="L688" s="1"/>
      <c r="M688" s="1"/>
      <c r="N688" s="1"/>
      <c r="P688" s="1"/>
      <c r="Q688" s="1"/>
      <c r="R688" s="1"/>
      <c r="S688" s="1"/>
      <c r="T688" s="1"/>
      <c r="U688" s="1"/>
      <c r="V688" s="1"/>
      <c r="W688" s="1"/>
    </row>
    <row r="689" spans="1:23">
      <c r="A689" s="2"/>
      <c r="B689" s="211"/>
      <c r="C689" s="1"/>
      <c r="D689" s="1"/>
      <c r="E689" s="1"/>
      <c r="F689" s="1"/>
      <c r="G689" s="1"/>
      <c r="H689" s="1"/>
      <c r="I689" s="22"/>
      <c r="J689" s="1"/>
      <c r="K689" s="1"/>
      <c r="L689" s="1"/>
      <c r="M689" s="1"/>
      <c r="N689" s="1"/>
      <c r="P689" s="1"/>
      <c r="Q689" s="1"/>
      <c r="R689" s="1"/>
      <c r="S689" s="1"/>
      <c r="T689" s="1"/>
      <c r="U689" s="1"/>
      <c r="V689" s="1"/>
      <c r="W689" s="1"/>
    </row>
    <row r="690" spans="1:23">
      <c r="A690" s="2"/>
      <c r="B690" s="211"/>
      <c r="C690" s="1"/>
      <c r="D690" s="1"/>
      <c r="E690" s="1"/>
      <c r="F690" s="1"/>
      <c r="G690" s="1"/>
      <c r="H690" s="1"/>
      <c r="I690" s="22"/>
      <c r="J690" s="1"/>
      <c r="K690" s="1"/>
      <c r="L690" s="1"/>
      <c r="M690" s="1"/>
      <c r="N690" s="1"/>
      <c r="P690" s="1"/>
      <c r="Q690" s="1"/>
      <c r="R690" s="1"/>
      <c r="S690" s="1"/>
      <c r="T690" s="1"/>
      <c r="U690" s="1"/>
      <c r="V690" s="1"/>
      <c r="W690" s="1"/>
    </row>
    <row r="691" spans="1:23">
      <c r="A691" s="2"/>
      <c r="B691" s="211"/>
      <c r="C691" s="1"/>
      <c r="D691" s="1"/>
      <c r="E691" s="1"/>
      <c r="F691" s="1"/>
      <c r="G691" s="1"/>
      <c r="H691" s="1"/>
      <c r="I691" s="22"/>
      <c r="J691" s="1"/>
      <c r="K691" s="1"/>
      <c r="L691" s="1"/>
      <c r="M691" s="1"/>
      <c r="N691" s="1"/>
      <c r="P691" s="1"/>
      <c r="Q691" s="1"/>
      <c r="R691" s="1"/>
      <c r="S691" s="1"/>
      <c r="T691" s="1"/>
      <c r="U691" s="1"/>
      <c r="V691" s="1"/>
      <c r="W691" s="1"/>
    </row>
    <row r="692" spans="1:23">
      <c r="A692" s="2"/>
      <c r="B692" s="211"/>
      <c r="C692" s="1"/>
      <c r="D692" s="1"/>
      <c r="E692" s="1"/>
      <c r="F692" s="1"/>
      <c r="G692" s="1"/>
      <c r="H692" s="1"/>
      <c r="I692" s="22"/>
      <c r="J692" s="1"/>
      <c r="K692" s="1"/>
      <c r="L692" s="1"/>
      <c r="M692" s="1"/>
      <c r="N692" s="1"/>
      <c r="P692" s="1"/>
      <c r="Q692" s="1"/>
      <c r="R692" s="1"/>
      <c r="S692" s="1"/>
      <c r="T692" s="1"/>
      <c r="U692" s="1"/>
      <c r="V692" s="1"/>
      <c r="W692" s="1"/>
    </row>
    <row r="693" spans="1:23">
      <c r="A693" s="2"/>
      <c r="B693" s="211"/>
      <c r="C693" s="1"/>
      <c r="D693" s="1"/>
      <c r="E693" s="1"/>
      <c r="F693" s="1"/>
      <c r="G693" s="1"/>
      <c r="H693" s="1"/>
      <c r="I693" s="22"/>
      <c r="J693" s="1"/>
      <c r="K693" s="1"/>
      <c r="L693" s="1"/>
      <c r="M693" s="1"/>
      <c r="N693" s="1"/>
      <c r="P693" s="1"/>
      <c r="Q693" s="1"/>
      <c r="R693" s="1"/>
      <c r="S693" s="1"/>
      <c r="T693" s="1"/>
      <c r="U693" s="1"/>
      <c r="V693" s="1"/>
      <c r="W693" s="1"/>
    </row>
    <row r="694" spans="1:23">
      <c r="A694" s="2"/>
      <c r="B694" s="211"/>
      <c r="C694" s="1"/>
      <c r="D694" s="1"/>
      <c r="E694" s="1"/>
      <c r="F694" s="1"/>
      <c r="G694" s="1"/>
      <c r="H694" s="1"/>
      <c r="I694" s="22"/>
      <c r="J694" s="1"/>
      <c r="K694" s="1"/>
      <c r="L694" s="1"/>
      <c r="M694" s="1"/>
      <c r="N694" s="1"/>
      <c r="P694" s="1"/>
      <c r="Q694" s="1"/>
      <c r="R694" s="1"/>
      <c r="S694" s="1"/>
      <c r="T694" s="1"/>
      <c r="U694" s="1"/>
      <c r="V694" s="1"/>
      <c r="W694" s="1"/>
    </row>
    <row r="695" spans="1:23">
      <c r="A695" s="2"/>
      <c r="B695" s="211"/>
      <c r="C695" s="1"/>
      <c r="D695" s="1"/>
      <c r="E695" s="1"/>
      <c r="F695" s="1"/>
      <c r="G695" s="1"/>
      <c r="H695" s="1"/>
      <c r="I695" s="22"/>
      <c r="J695" s="1"/>
      <c r="K695" s="1"/>
      <c r="L695" s="1"/>
      <c r="M695" s="1"/>
      <c r="N695" s="1"/>
      <c r="P695" s="1"/>
      <c r="Q695" s="1"/>
      <c r="R695" s="1"/>
      <c r="S695" s="1"/>
      <c r="T695" s="1"/>
      <c r="U695" s="1"/>
      <c r="V695" s="1"/>
      <c r="W695" s="1"/>
    </row>
    <row r="696" spans="1:23">
      <c r="A696" s="2"/>
      <c r="B696" s="211"/>
      <c r="C696" s="1"/>
      <c r="D696" s="1"/>
      <c r="E696" s="1"/>
      <c r="F696" s="1"/>
      <c r="G696" s="1"/>
      <c r="H696" s="1"/>
      <c r="I696" s="22"/>
      <c r="J696" s="1"/>
      <c r="K696" s="1"/>
      <c r="L696" s="1"/>
      <c r="M696" s="1"/>
      <c r="N696" s="1"/>
      <c r="P696" s="1"/>
      <c r="Q696" s="1"/>
      <c r="R696" s="1"/>
      <c r="S696" s="1"/>
      <c r="T696" s="1"/>
      <c r="U696" s="1"/>
      <c r="V696" s="1"/>
      <c r="W696" s="1"/>
    </row>
    <row r="697" spans="1:23">
      <c r="A697" s="2"/>
      <c r="B697" s="211"/>
      <c r="C697" s="1"/>
      <c r="D697" s="1"/>
      <c r="E697" s="1"/>
      <c r="F697" s="1"/>
      <c r="G697" s="1"/>
      <c r="H697" s="1"/>
      <c r="I697" s="22"/>
      <c r="J697" s="1"/>
      <c r="K697" s="1"/>
      <c r="L697" s="1"/>
      <c r="M697" s="1"/>
      <c r="N697" s="1"/>
      <c r="P697" s="1"/>
      <c r="Q697" s="1"/>
      <c r="R697" s="1"/>
      <c r="S697" s="1"/>
      <c r="T697" s="1"/>
      <c r="U697" s="1"/>
      <c r="V697" s="1"/>
      <c r="W697" s="1"/>
    </row>
    <row r="698" spans="1:23">
      <c r="A698" s="2"/>
      <c r="B698" s="211"/>
      <c r="C698" s="1"/>
      <c r="D698" s="1"/>
      <c r="E698" s="1"/>
      <c r="F698" s="1"/>
      <c r="G698" s="1"/>
      <c r="H698" s="1"/>
      <c r="I698" s="22"/>
      <c r="J698" s="1"/>
      <c r="K698" s="1"/>
      <c r="L698" s="1"/>
      <c r="M698" s="1"/>
      <c r="N698" s="1"/>
      <c r="P698" s="1"/>
      <c r="Q698" s="1"/>
      <c r="R698" s="1"/>
      <c r="S698" s="1"/>
      <c r="T698" s="1"/>
      <c r="U698" s="1"/>
      <c r="V698" s="1"/>
      <c r="W698" s="1"/>
    </row>
    <row r="699" spans="1:23">
      <c r="A699" s="2"/>
      <c r="B699" s="211"/>
      <c r="C699" s="1"/>
      <c r="D699" s="1"/>
      <c r="E699" s="1"/>
      <c r="F699" s="1"/>
      <c r="G699" s="1"/>
      <c r="H699" s="1"/>
      <c r="I699" s="22"/>
      <c r="J699" s="1"/>
      <c r="K699" s="1"/>
      <c r="L699" s="1"/>
      <c r="M699" s="1"/>
      <c r="N699" s="1"/>
      <c r="P699" s="1"/>
      <c r="Q699" s="1"/>
      <c r="R699" s="1"/>
      <c r="S699" s="1"/>
      <c r="T699" s="1"/>
      <c r="U699" s="1"/>
      <c r="V699" s="1"/>
      <c r="W699" s="1"/>
    </row>
    <row r="700" spans="1:23">
      <c r="A700" s="2"/>
      <c r="B700" s="211"/>
      <c r="C700" s="1"/>
      <c r="D700" s="1"/>
      <c r="E700" s="1"/>
      <c r="F700" s="1"/>
      <c r="G700" s="1"/>
      <c r="H700" s="1"/>
      <c r="I700" s="22"/>
      <c r="J700" s="1"/>
      <c r="K700" s="1"/>
      <c r="L700" s="1"/>
      <c r="M700" s="1"/>
      <c r="N700" s="1"/>
      <c r="P700" s="1"/>
      <c r="Q700" s="1"/>
      <c r="R700" s="1"/>
      <c r="S700" s="1"/>
      <c r="T700" s="1"/>
      <c r="U700" s="1"/>
      <c r="V700" s="1"/>
      <c r="W700" s="1"/>
    </row>
    <row r="701" spans="1:23">
      <c r="A701" s="2"/>
      <c r="B701" s="211"/>
      <c r="C701" s="1"/>
      <c r="D701" s="1"/>
      <c r="E701" s="1"/>
      <c r="F701" s="1"/>
      <c r="G701" s="1"/>
      <c r="H701" s="1"/>
      <c r="I701" s="22"/>
      <c r="J701" s="1"/>
      <c r="K701" s="1"/>
      <c r="L701" s="1"/>
      <c r="M701" s="1"/>
      <c r="N701" s="1"/>
      <c r="P701" s="1"/>
      <c r="Q701" s="1"/>
      <c r="R701" s="1"/>
      <c r="S701" s="1"/>
      <c r="T701" s="1"/>
      <c r="U701" s="1"/>
      <c r="V701" s="1"/>
      <c r="W701" s="1"/>
    </row>
    <row r="702" spans="1:23">
      <c r="A702" s="2"/>
      <c r="B702" s="211"/>
      <c r="C702" s="1"/>
      <c r="D702" s="1"/>
      <c r="E702" s="1"/>
      <c r="F702" s="1"/>
      <c r="G702" s="1"/>
      <c r="H702" s="1"/>
      <c r="I702" s="22"/>
      <c r="J702" s="1"/>
      <c r="K702" s="1"/>
      <c r="L702" s="1"/>
      <c r="M702" s="1"/>
      <c r="N702" s="1"/>
      <c r="P702" s="1"/>
      <c r="Q702" s="1"/>
      <c r="R702" s="1"/>
      <c r="S702" s="1"/>
      <c r="T702" s="1"/>
      <c r="U702" s="1"/>
      <c r="V702" s="1"/>
      <c r="W702" s="1"/>
    </row>
    <row r="703" spans="1:23">
      <c r="A703" s="2"/>
      <c r="B703" s="211"/>
      <c r="C703" s="1"/>
      <c r="D703" s="1"/>
      <c r="E703" s="1"/>
      <c r="F703" s="1"/>
      <c r="G703" s="1"/>
      <c r="H703" s="1"/>
      <c r="I703" s="22"/>
      <c r="J703" s="1"/>
      <c r="K703" s="1"/>
      <c r="L703" s="1"/>
      <c r="M703" s="1"/>
      <c r="N703" s="1"/>
      <c r="P703" s="1"/>
      <c r="Q703" s="1"/>
      <c r="R703" s="1"/>
      <c r="S703" s="1"/>
      <c r="T703" s="1"/>
      <c r="U703" s="1"/>
      <c r="V703" s="1"/>
      <c r="W703" s="1"/>
    </row>
    <row r="704" spans="1:23">
      <c r="A704" s="2"/>
      <c r="B704" s="211"/>
      <c r="C704" s="1"/>
      <c r="D704" s="1"/>
      <c r="E704" s="1"/>
      <c r="F704" s="1"/>
      <c r="G704" s="1"/>
      <c r="H704" s="1"/>
      <c r="I704" s="22"/>
      <c r="J704" s="1"/>
      <c r="K704" s="1"/>
      <c r="L704" s="1"/>
      <c r="M704" s="1"/>
      <c r="N704" s="1"/>
      <c r="P704" s="1"/>
      <c r="Q704" s="1"/>
      <c r="R704" s="1"/>
      <c r="S704" s="1"/>
      <c r="T704" s="1"/>
      <c r="U704" s="1"/>
      <c r="V704" s="1"/>
      <c r="W704" s="1"/>
    </row>
    <row r="705" spans="1:23">
      <c r="A705" s="2"/>
      <c r="B705" s="211"/>
      <c r="C705" s="1"/>
      <c r="D705" s="1"/>
      <c r="E705" s="1"/>
      <c r="F705" s="1"/>
      <c r="G705" s="1"/>
      <c r="H705" s="1"/>
      <c r="I705" s="22"/>
      <c r="J705" s="1"/>
      <c r="K705" s="1"/>
      <c r="L705" s="1"/>
      <c r="M705" s="1"/>
      <c r="N705" s="1"/>
      <c r="P705" s="1"/>
      <c r="Q705" s="1"/>
      <c r="R705" s="1"/>
      <c r="S705" s="1"/>
      <c r="T705" s="1"/>
      <c r="U705" s="1"/>
      <c r="V705" s="1"/>
      <c r="W705" s="1"/>
    </row>
    <row r="706" spans="1:23">
      <c r="A706" s="2"/>
      <c r="B706" s="211"/>
      <c r="C706" s="1"/>
      <c r="D706" s="1"/>
      <c r="E706" s="1"/>
      <c r="F706" s="1"/>
      <c r="G706" s="1"/>
      <c r="H706" s="1"/>
      <c r="I706" s="22"/>
      <c r="J706" s="1"/>
      <c r="K706" s="1"/>
      <c r="L706" s="1"/>
      <c r="M706" s="1"/>
      <c r="N706" s="1"/>
      <c r="P706" s="1"/>
      <c r="Q706" s="1"/>
      <c r="R706" s="1"/>
      <c r="S706" s="1"/>
      <c r="T706" s="1"/>
      <c r="U706" s="1"/>
      <c r="V706" s="1"/>
      <c r="W706" s="1"/>
    </row>
    <row r="707" spans="1:23">
      <c r="A707" s="2"/>
      <c r="B707" s="211"/>
      <c r="C707" s="1"/>
      <c r="D707" s="1"/>
      <c r="E707" s="1"/>
      <c r="F707" s="1"/>
      <c r="G707" s="1"/>
      <c r="H707" s="1"/>
      <c r="I707" s="22"/>
      <c r="J707" s="1"/>
      <c r="K707" s="1"/>
      <c r="L707" s="1"/>
      <c r="M707" s="1"/>
      <c r="N707" s="1"/>
      <c r="P707" s="1"/>
      <c r="Q707" s="1"/>
      <c r="R707" s="1"/>
      <c r="S707" s="1"/>
      <c r="T707" s="1"/>
      <c r="U707" s="1"/>
      <c r="V707" s="1"/>
      <c r="W707" s="1"/>
    </row>
    <row r="708" spans="1:23">
      <c r="A708" s="2"/>
      <c r="B708" s="211"/>
      <c r="C708" s="1"/>
      <c r="D708" s="1"/>
      <c r="E708" s="1"/>
      <c r="F708" s="1"/>
      <c r="G708" s="1"/>
      <c r="H708" s="1"/>
      <c r="I708" s="22"/>
      <c r="J708" s="1"/>
      <c r="K708" s="1"/>
      <c r="L708" s="1"/>
      <c r="M708" s="1"/>
      <c r="N708" s="1"/>
      <c r="P708" s="1"/>
      <c r="Q708" s="1"/>
      <c r="R708" s="1"/>
      <c r="S708" s="1"/>
      <c r="T708" s="1"/>
      <c r="U708" s="1"/>
      <c r="V708" s="1"/>
      <c r="W708" s="1"/>
    </row>
    <row r="709" spans="1:23">
      <c r="A709" s="2"/>
      <c r="B709" s="211"/>
      <c r="C709" s="1"/>
      <c r="D709" s="1"/>
      <c r="E709" s="1"/>
      <c r="F709" s="1"/>
      <c r="G709" s="1"/>
      <c r="H709" s="1"/>
      <c r="I709" s="22"/>
      <c r="J709" s="1"/>
      <c r="K709" s="1"/>
      <c r="L709" s="1"/>
      <c r="M709" s="1"/>
      <c r="N709" s="1"/>
      <c r="P709" s="1"/>
      <c r="Q709" s="1"/>
      <c r="R709" s="1"/>
      <c r="S709" s="1"/>
      <c r="T709" s="1"/>
      <c r="U709" s="1"/>
      <c r="V709" s="1"/>
      <c r="W709" s="1"/>
    </row>
    <row r="710" spans="1:23">
      <c r="A710" s="2"/>
      <c r="B710" s="211"/>
      <c r="C710" s="1"/>
      <c r="D710" s="1"/>
      <c r="E710" s="1"/>
      <c r="F710" s="1"/>
      <c r="G710" s="1"/>
      <c r="H710" s="1"/>
      <c r="I710" s="22"/>
      <c r="J710" s="1"/>
      <c r="K710" s="1"/>
      <c r="L710" s="1"/>
      <c r="M710" s="1"/>
      <c r="N710" s="1"/>
      <c r="P710" s="1"/>
      <c r="Q710" s="1"/>
      <c r="R710" s="1"/>
      <c r="S710" s="1"/>
      <c r="T710" s="1"/>
      <c r="U710" s="1"/>
      <c r="V710" s="1"/>
      <c r="W710" s="1"/>
    </row>
    <row r="711" spans="1:23">
      <c r="A711" s="2"/>
      <c r="B711" s="211"/>
      <c r="C711" s="1"/>
      <c r="D711" s="1"/>
      <c r="E711" s="1"/>
      <c r="F711" s="1"/>
      <c r="G711" s="1"/>
      <c r="H711" s="1"/>
      <c r="I711" s="22"/>
      <c r="J711" s="1"/>
      <c r="K711" s="1"/>
      <c r="L711" s="1"/>
      <c r="M711" s="1"/>
      <c r="N711" s="1"/>
      <c r="P711" s="1"/>
      <c r="Q711" s="1"/>
      <c r="R711" s="1"/>
      <c r="S711" s="1"/>
      <c r="T711" s="1"/>
      <c r="U711" s="1"/>
      <c r="V711" s="1"/>
      <c r="W711" s="1"/>
    </row>
    <row r="712" spans="1:23">
      <c r="A712" s="2"/>
      <c r="B712" s="211"/>
      <c r="C712" s="1"/>
      <c r="D712" s="1"/>
      <c r="E712" s="1"/>
      <c r="F712" s="1"/>
      <c r="G712" s="1"/>
      <c r="H712" s="1"/>
      <c r="I712" s="22"/>
      <c r="J712" s="1"/>
      <c r="K712" s="1"/>
      <c r="L712" s="1"/>
      <c r="M712" s="1"/>
      <c r="N712" s="1"/>
      <c r="P712" s="1"/>
      <c r="Q712" s="1"/>
      <c r="R712" s="1"/>
      <c r="S712" s="1"/>
      <c r="T712" s="1"/>
      <c r="U712" s="1"/>
      <c r="V712" s="1"/>
      <c r="W712" s="1"/>
    </row>
    <row r="713" spans="1:23">
      <c r="A713" s="2"/>
      <c r="B713" s="211"/>
      <c r="C713" s="1"/>
      <c r="D713" s="1"/>
      <c r="E713" s="1"/>
      <c r="F713" s="1"/>
      <c r="G713" s="1"/>
      <c r="H713" s="1"/>
      <c r="I713" s="22"/>
      <c r="J713" s="1"/>
      <c r="K713" s="1"/>
      <c r="L713" s="1"/>
      <c r="M713" s="1"/>
      <c r="N713" s="1"/>
      <c r="P713" s="1"/>
      <c r="Q713" s="1"/>
      <c r="R713" s="1"/>
      <c r="S713" s="1"/>
      <c r="T713" s="1"/>
      <c r="U713" s="1"/>
      <c r="V713" s="1"/>
      <c r="W713" s="1"/>
    </row>
    <row r="714" spans="1:23">
      <c r="A714" s="2"/>
      <c r="B714" s="211"/>
      <c r="C714" s="1"/>
      <c r="D714" s="1"/>
      <c r="E714" s="1"/>
      <c r="F714" s="1"/>
      <c r="G714" s="1"/>
      <c r="H714" s="1"/>
      <c r="I714" s="22"/>
      <c r="J714" s="1"/>
      <c r="K714" s="1"/>
      <c r="L714" s="1"/>
      <c r="M714" s="1"/>
      <c r="N714" s="1"/>
      <c r="P714" s="1"/>
      <c r="Q714" s="1"/>
      <c r="R714" s="1"/>
      <c r="S714" s="1"/>
      <c r="T714" s="1"/>
      <c r="U714" s="1"/>
      <c r="V714" s="1"/>
      <c r="W714" s="1"/>
    </row>
    <row r="715" spans="1:23">
      <c r="A715" s="2"/>
      <c r="B715" s="211"/>
      <c r="C715" s="1"/>
      <c r="D715" s="1"/>
      <c r="E715" s="1"/>
      <c r="F715" s="1"/>
      <c r="G715" s="1"/>
      <c r="H715" s="1"/>
      <c r="I715" s="22"/>
      <c r="J715" s="1"/>
      <c r="K715" s="1"/>
      <c r="L715" s="1"/>
      <c r="M715" s="1"/>
      <c r="N715" s="1"/>
      <c r="P715" s="1"/>
      <c r="Q715" s="1"/>
      <c r="R715" s="1"/>
      <c r="S715" s="1"/>
      <c r="T715" s="1"/>
      <c r="U715" s="1"/>
      <c r="V715" s="1"/>
      <c r="W715" s="1"/>
    </row>
    <row r="716" spans="1:23">
      <c r="A716" s="2"/>
      <c r="B716" s="211"/>
      <c r="C716" s="1"/>
      <c r="D716" s="1"/>
      <c r="E716" s="1"/>
      <c r="F716" s="1"/>
      <c r="G716" s="1"/>
      <c r="H716" s="1"/>
      <c r="I716" s="22"/>
      <c r="J716" s="1"/>
      <c r="K716" s="1"/>
      <c r="L716" s="1"/>
      <c r="M716" s="1"/>
      <c r="N716" s="1"/>
      <c r="P716" s="1"/>
      <c r="Q716" s="1"/>
      <c r="R716" s="1"/>
      <c r="S716" s="1"/>
      <c r="T716" s="1"/>
      <c r="U716" s="1"/>
      <c r="V716" s="1"/>
      <c r="W716" s="1"/>
    </row>
    <row r="717" spans="1:23">
      <c r="A717" s="2"/>
      <c r="B717" s="211"/>
      <c r="C717" s="1"/>
      <c r="D717" s="1"/>
      <c r="E717" s="1"/>
      <c r="F717" s="1"/>
      <c r="G717" s="1"/>
      <c r="H717" s="1"/>
      <c r="I717" s="22"/>
      <c r="J717" s="1"/>
      <c r="K717" s="1"/>
      <c r="L717" s="1"/>
      <c r="M717" s="1"/>
      <c r="N717" s="1"/>
      <c r="P717" s="1"/>
      <c r="Q717" s="1"/>
      <c r="R717" s="1"/>
      <c r="S717" s="1"/>
      <c r="T717" s="1"/>
      <c r="U717" s="1"/>
      <c r="V717" s="1"/>
      <c r="W717" s="1"/>
    </row>
    <row r="718" spans="1:23">
      <c r="A718" s="2"/>
      <c r="B718" s="211"/>
      <c r="C718" s="1"/>
      <c r="D718" s="1"/>
      <c r="E718" s="1"/>
      <c r="F718" s="1"/>
      <c r="G718" s="1"/>
      <c r="H718" s="1"/>
      <c r="I718" s="22"/>
      <c r="J718" s="1"/>
      <c r="K718" s="1"/>
      <c r="L718" s="1"/>
      <c r="M718" s="1"/>
      <c r="N718" s="1"/>
      <c r="P718" s="1"/>
      <c r="Q718" s="1"/>
      <c r="R718" s="1"/>
      <c r="S718" s="1"/>
      <c r="T718" s="1"/>
      <c r="U718" s="1"/>
      <c r="V718" s="1"/>
      <c r="W718" s="1"/>
    </row>
    <row r="719" spans="1:23">
      <c r="A719" s="2"/>
      <c r="B719" s="211"/>
      <c r="C719" s="1"/>
      <c r="D719" s="1"/>
      <c r="E719" s="1"/>
      <c r="F719" s="1"/>
      <c r="G719" s="1"/>
      <c r="H719" s="1"/>
      <c r="I719" s="22"/>
      <c r="J719" s="1"/>
      <c r="K719" s="1"/>
      <c r="L719" s="1"/>
      <c r="M719" s="1"/>
      <c r="N719" s="1"/>
      <c r="P719" s="1"/>
      <c r="Q719" s="1"/>
      <c r="R719" s="1"/>
      <c r="S719" s="1"/>
      <c r="T719" s="1"/>
      <c r="U719" s="1"/>
      <c r="V719" s="1"/>
      <c r="W719" s="1"/>
    </row>
    <row r="720" spans="1:23">
      <c r="A720" s="2"/>
      <c r="B720" s="211"/>
      <c r="C720" s="1"/>
      <c r="D720" s="1"/>
      <c r="E720" s="1"/>
      <c r="F720" s="1"/>
      <c r="G720" s="1"/>
      <c r="H720" s="1"/>
      <c r="I720" s="22"/>
      <c r="J720" s="1"/>
      <c r="K720" s="1"/>
      <c r="L720" s="1"/>
      <c r="M720" s="1"/>
      <c r="N720" s="1"/>
      <c r="P720" s="1"/>
      <c r="Q720" s="1"/>
      <c r="R720" s="1"/>
      <c r="S720" s="1"/>
      <c r="T720" s="1"/>
      <c r="U720" s="1"/>
      <c r="V720" s="1"/>
      <c r="W720" s="1"/>
    </row>
    <row r="721" spans="1:23">
      <c r="A721" s="2"/>
      <c r="B721" s="211"/>
      <c r="C721" s="1"/>
      <c r="D721" s="1"/>
      <c r="E721" s="1"/>
      <c r="F721" s="1"/>
      <c r="G721" s="1"/>
      <c r="H721" s="1"/>
      <c r="I721" s="22"/>
      <c r="J721" s="1"/>
      <c r="K721" s="1"/>
      <c r="L721" s="1"/>
      <c r="M721" s="1"/>
      <c r="N721" s="1"/>
      <c r="P721" s="1"/>
      <c r="Q721" s="1"/>
      <c r="R721" s="1"/>
      <c r="S721" s="1"/>
      <c r="T721" s="1"/>
      <c r="U721" s="1"/>
      <c r="V721" s="1"/>
      <c r="W721" s="1"/>
    </row>
    <row r="722" spans="1:23">
      <c r="A722" s="2"/>
      <c r="B722" s="211"/>
      <c r="C722" s="1"/>
      <c r="D722" s="1"/>
      <c r="E722" s="1"/>
      <c r="F722" s="1"/>
      <c r="G722" s="1"/>
      <c r="H722" s="1"/>
      <c r="I722" s="22"/>
      <c r="J722" s="1"/>
      <c r="K722" s="1"/>
      <c r="L722" s="1"/>
      <c r="M722" s="1"/>
      <c r="N722" s="1"/>
      <c r="P722" s="1"/>
      <c r="Q722" s="1"/>
      <c r="R722" s="1"/>
      <c r="S722" s="1"/>
      <c r="T722" s="1"/>
      <c r="U722" s="1"/>
      <c r="V722" s="1"/>
      <c r="W722" s="1"/>
    </row>
    <row r="723" spans="1:23">
      <c r="A723" s="2"/>
      <c r="B723" s="211"/>
      <c r="C723" s="1"/>
      <c r="D723" s="1"/>
      <c r="E723" s="1"/>
      <c r="F723" s="1"/>
      <c r="G723" s="1"/>
      <c r="H723" s="1"/>
      <c r="I723" s="22"/>
      <c r="J723" s="1"/>
      <c r="K723" s="1"/>
      <c r="L723" s="1"/>
      <c r="M723" s="1"/>
      <c r="N723" s="1"/>
      <c r="P723" s="1"/>
      <c r="Q723" s="1"/>
      <c r="R723" s="1"/>
      <c r="S723" s="1"/>
      <c r="T723" s="1"/>
      <c r="U723" s="1"/>
      <c r="V723" s="1"/>
      <c r="W723" s="1"/>
    </row>
    <row r="724" spans="1:23">
      <c r="A724" s="2"/>
      <c r="B724" s="211"/>
      <c r="C724" s="1"/>
      <c r="D724" s="1"/>
      <c r="E724" s="1"/>
      <c r="F724" s="1"/>
      <c r="G724" s="1"/>
      <c r="H724" s="1"/>
      <c r="I724" s="22"/>
      <c r="J724" s="1"/>
      <c r="K724" s="1"/>
      <c r="L724" s="1"/>
      <c r="M724" s="1"/>
      <c r="N724" s="1"/>
      <c r="P724" s="1"/>
      <c r="Q724" s="1"/>
      <c r="R724" s="1"/>
      <c r="S724" s="1"/>
      <c r="T724" s="1"/>
      <c r="U724" s="1"/>
      <c r="V724" s="1"/>
      <c r="W724" s="1"/>
    </row>
    <row r="725" spans="1:23">
      <c r="A725" s="2"/>
      <c r="B725" s="211"/>
      <c r="C725" s="1"/>
      <c r="D725" s="1"/>
      <c r="E725" s="1"/>
      <c r="F725" s="1"/>
      <c r="G725" s="1"/>
      <c r="H725" s="1"/>
      <c r="I725" s="22"/>
      <c r="J725" s="1"/>
      <c r="K725" s="1"/>
      <c r="L725" s="1"/>
      <c r="M725" s="1"/>
      <c r="N725" s="1"/>
      <c r="P725" s="1"/>
      <c r="Q725" s="1"/>
      <c r="R725" s="1"/>
      <c r="S725" s="1"/>
      <c r="T725" s="1"/>
      <c r="U725" s="1"/>
      <c r="V725" s="1"/>
      <c r="W725" s="1"/>
    </row>
    <row r="726" spans="1:23">
      <c r="A726" s="2"/>
      <c r="B726" s="211"/>
      <c r="C726" s="1"/>
      <c r="D726" s="1"/>
      <c r="E726" s="1"/>
      <c r="F726" s="1"/>
      <c r="G726" s="1"/>
      <c r="H726" s="1"/>
      <c r="I726" s="22"/>
      <c r="J726" s="1"/>
      <c r="K726" s="1"/>
      <c r="L726" s="1"/>
      <c r="M726" s="1"/>
      <c r="N726" s="1"/>
      <c r="P726" s="1"/>
      <c r="Q726" s="1"/>
      <c r="R726" s="1"/>
      <c r="S726" s="1"/>
      <c r="T726" s="1"/>
      <c r="U726" s="1"/>
      <c r="V726" s="1"/>
      <c r="W726" s="1"/>
    </row>
    <row r="727" spans="1:23">
      <c r="A727" s="2"/>
      <c r="B727" s="211"/>
      <c r="C727" s="1"/>
      <c r="D727" s="1"/>
      <c r="E727" s="1"/>
      <c r="F727" s="1"/>
      <c r="G727" s="1"/>
      <c r="H727" s="1"/>
      <c r="I727" s="22"/>
      <c r="J727" s="1"/>
      <c r="K727" s="1"/>
      <c r="L727" s="1"/>
      <c r="M727" s="1"/>
      <c r="N727" s="1"/>
      <c r="P727" s="1"/>
      <c r="Q727" s="1"/>
      <c r="R727" s="1"/>
      <c r="S727" s="1"/>
      <c r="T727" s="1"/>
      <c r="U727" s="1"/>
      <c r="V727" s="1"/>
      <c r="W727" s="1"/>
    </row>
    <row r="728" spans="1:23">
      <c r="A728" s="2"/>
      <c r="B728" s="211"/>
      <c r="C728" s="1"/>
      <c r="D728" s="1"/>
      <c r="E728" s="1"/>
      <c r="F728" s="1"/>
      <c r="G728" s="1"/>
      <c r="H728" s="1"/>
      <c r="I728" s="22"/>
      <c r="J728" s="1"/>
      <c r="K728" s="1"/>
      <c r="L728" s="1"/>
      <c r="M728" s="1"/>
      <c r="N728" s="1"/>
      <c r="P728" s="1"/>
      <c r="Q728" s="1"/>
      <c r="R728" s="1"/>
      <c r="S728" s="1"/>
      <c r="T728" s="1"/>
      <c r="U728" s="1"/>
      <c r="V728" s="1"/>
      <c r="W728" s="1"/>
    </row>
    <row r="729" spans="1:23">
      <c r="A729" s="2"/>
      <c r="B729" s="211"/>
      <c r="C729" s="1"/>
      <c r="D729" s="1"/>
      <c r="E729" s="1"/>
      <c r="F729" s="1"/>
      <c r="G729" s="1"/>
      <c r="H729" s="1"/>
      <c r="I729" s="22"/>
      <c r="J729" s="1"/>
      <c r="K729" s="1"/>
      <c r="L729" s="1"/>
      <c r="M729" s="1"/>
      <c r="N729" s="1"/>
      <c r="P729" s="1"/>
      <c r="Q729" s="1"/>
      <c r="R729" s="1"/>
      <c r="S729" s="1"/>
      <c r="T729" s="1"/>
      <c r="U729" s="1"/>
      <c r="V729" s="1"/>
      <c r="W729" s="1"/>
    </row>
    <row r="730" spans="1:23">
      <c r="A730" s="2"/>
      <c r="B730" s="211"/>
      <c r="C730" s="1"/>
      <c r="D730" s="1"/>
      <c r="E730" s="1"/>
      <c r="F730" s="1"/>
      <c r="G730" s="1"/>
      <c r="H730" s="1"/>
      <c r="I730" s="22"/>
      <c r="J730" s="1"/>
      <c r="K730" s="1"/>
      <c r="L730" s="1"/>
      <c r="M730" s="1"/>
      <c r="N730" s="1"/>
      <c r="P730" s="1"/>
      <c r="Q730" s="1"/>
      <c r="R730" s="1"/>
      <c r="S730" s="1"/>
      <c r="T730" s="1"/>
      <c r="U730" s="1"/>
      <c r="V730" s="1"/>
      <c r="W730" s="1"/>
    </row>
    <row r="731" spans="1:23">
      <c r="A731" s="2"/>
      <c r="B731" s="211"/>
      <c r="C731" s="1"/>
      <c r="D731" s="1"/>
      <c r="E731" s="1"/>
      <c r="F731" s="1"/>
      <c r="G731" s="1"/>
      <c r="H731" s="1"/>
      <c r="I731" s="22"/>
      <c r="J731" s="1"/>
      <c r="K731" s="1"/>
      <c r="L731" s="1"/>
      <c r="M731" s="1"/>
      <c r="N731" s="1"/>
      <c r="P731" s="1"/>
      <c r="Q731" s="1"/>
      <c r="R731" s="1"/>
      <c r="S731" s="1"/>
      <c r="T731" s="1"/>
      <c r="U731" s="1"/>
      <c r="V731" s="1"/>
      <c r="W731" s="1"/>
    </row>
    <row r="732" spans="1:23">
      <c r="A732" s="2"/>
      <c r="B732" s="211"/>
      <c r="C732" s="1"/>
      <c r="D732" s="1"/>
      <c r="E732" s="1"/>
      <c r="F732" s="1"/>
      <c r="G732" s="1"/>
      <c r="H732" s="1"/>
      <c r="I732" s="22"/>
      <c r="J732" s="1"/>
      <c r="K732" s="1"/>
      <c r="L732" s="1"/>
      <c r="M732" s="1"/>
      <c r="N732" s="1"/>
      <c r="P732" s="1"/>
      <c r="Q732" s="1"/>
      <c r="R732" s="1"/>
      <c r="S732" s="1"/>
      <c r="T732" s="1"/>
      <c r="U732" s="1"/>
      <c r="V732" s="1"/>
      <c r="W732" s="1"/>
    </row>
    <row r="733" spans="1:23">
      <c r="A733" s="2"/>
      <c r="B733" s="211"/>
      <c r="C733" s="1"/>
      <c r="D733" s="1"/>
      <c r="E733" s="1"/>
      <c r="F733" s="1"/>
      <c r="G733" s="1"/>
      <c r="H733" s="1"/>
      <c r="I733" s="22"/>
      <c r="J733" s="1"/>
      <c r="K733" s="1"/>
      <c r="L733" s="1"/>
      <c r="M733" s="1"/>
      <c r="N733" s="1"/>
      <c r="P733" s="1"/>
      <c r="Q733" s="1"/>
      <c r="R733" s="1"/>
      <c r="S733" s="1"/>
      <c r="T733" s="1"/>
      <c r="U733" s="1"/>
      <c r="V733" s="1"/>
      <c r="W733" s="1"/>
    </row>
    <row r="734" spans="1:23">
      <c r="A734" s="2"/>
      <c r="B734" s="211"/>
      <c r="C734" s="1"/>
      <c r="D734" s="1"/>
      <c r="E734" s="1"/>
      <c r="F734" s="1"/>
      <c r="G734" s="1"/>
      <c r="H734" s="1"/>
      <c r="I734" s="22"/>
      <c r="J734" s="1"/>
      <c r="K734" s="1"/>
      <c r="L734" s="1"/>
      <c r="M734" s="1"/>
      <c r="N734" s="1"/>
      <c r="P734" s="1"/>
      <c r="Q734" s="1"/>
      <c r="R734" s="1"/>
      <c r="S734" s="1"/>
      <c r="T734" s="1"/>
      <c r="U734" s="1"/>
      <c r="V734" s="1"/>
      <c r="W734" s="1"/>
    </row>
    <row r="735" spans="1:23">
      <c r="A735" s="2"/>
      <c r="B735" s="211"/>
      <c r="C735" s="1"/>
      <c r="D735" s="1"/>
      <c r="E735" s="1"/>
      <c r="F735" s="1"/>
      <c r="G735" s="1"/>
      <c r="H735" s="1"/>
      <c r="I735" s="22"/>
      <c r="J735" s="1"/>
      <c r="K735" s="1"/>
      <c r="L735" s="1"/>
      <c r="M735" s="1"/>
      <c r="N735" s="1"/>
      <c r="P735" s="1"/>
      <c r="Q735" s="1"/>
      <c r="R735" s="1"/>
      <c r="S735" s="1"/>
      <c r="T735" s="1"/>
      <c r="U735" s="1"/>
      <c r="V735" s="1"/>
      <c r="W735" s="1"/>
    </row>
    <row r="736" spans="1:23">
      <c r="A736" s="2"/>
      <c r="B736" s="211"/>
      <c r="C736" s="1"/>
      <c r="D736" s="1"/>
      <c r="E736" s="1"/>
      <c r="F736" s="1"/>
      <c r="G736" s="1"/>
      <c r="H736" s="1"/>
      <c r="I736" s="22"/>
      <c r="J736" s="1"/>
      <c r="K736" s="1"/>
      <c r="L736" s="1"/>
      <c r="M736" s="1"/>
      <c r="N736" s="1"/>
      <c r="P736" s="1"/>
      <c r="Q736" s="1"/>
      <c r="R736" s="1"/>
      <c r="S736" s="1"/>
      <c r="T736" s="1"/>
      <c r="U736" s="1"/>
      <c r="V736" s="1"/>
      <c r="W736" s="1"/>
    </row>
    <row r="737" spans="1:23">
      <c r="A737" s="2"/>
      <c r="B737" s="211"/>
      <c r="C737" s="1"/>
      <c r="D737" s="1"/>
      <c r="E737" s="1"/>
      <c r="F737" s="1"/>
      <c r="G737" s="1"/>
      <c r="H737" s="1"/>
      <c r="I737" s="22"/>
      <c r="J737" s="1"/>
      <c r="K737" s="1"/>
      <c r="L737" s="1"/>
      <c r="M737" s="1"/>
      <c r="N737" s="1"/>
      <c r="P737" s="1"/>
      <c r="Q737" s="1"/>
      <c r="R737" s="1"/>
      <c r="S737" s="1"/>
      <c r="T737" s="1"/>
      <c r="U737" s="1"/>
      <c r="V737" s="1"/>
      <c r="W737" s="1"/>
    </row>
    <row r="738" spans="1:23">
      <c r="A738" s="2"/>
      <c r="B738" s="211"/>
      <c r="C738" s="1"/>
      <c r="D738" s="1"/>
      <c r="E738" s="1"/>
      <c r="F738" s="1"/>
      <c r="G738" s="1"/>
      <c r="H738" s="1"/>
      <c r="I738" s="22"/>
      <c r="J738" s="1"/>
      <c r="K738" s="1"/>
      <c r="L738" s="1"/>
      <c r="M738" s="1"/>
      <c r="N738" s="1"/>
      <c r="P738" s="1"/>
      <c r="Q738" s="1"/>
      <c r="R738" s="1"/>
      <c r="S738" s="1"/>
      <c r="T738" s="1"/>
      <c r="U738" s="1"/>
      <c r="V738" s="1"/>
      <c r="W738" s="1"/>
    </row>
    <row r="739" spans="1:23">
      <c r="A739" s="2"/>
      <c r="B739" s="211"/>
      <c r="C739" s="1"/>
      <c r="D739" s="1"/>
      <c r="E739" s="1"/>
      <c r="F739" s="1"/>
      <c r="G739" s="1"/>
      <c r="H739" s="1"/>
      <c r="I739" s="22"/>
      <c r="J739" s="1"/>
      <c r="K739" s="1"/>
      <c r="L739" s="1"/>
      <c r="M739" s="1"/>
      <c r="N739" s="1"/>
      <c r="P739" s="1"/>
      <c r="Q739" s="1"/>
      <c r="R739" s="1"/>
      <c r="S739" s="1"/>
      <c r="T739" s="1"/>
      <c r="U739" s="1"/>
      <c r="V739" s="1"/>
      <c r="W739" s="1"/>
    </row>
    <row r="740" spans="1:23">
      <c r="A740" s="2"/>
      <c r="B740" s="211"/>
      <c r="C740" s="1"/>
      <c r="D740" s="1"/>
      <c r="E740" s="1"/>
      <c r="F740" s="1"/>
      <c r="G740" s="1"/>
      <c r="H740" s="1"/>
      <c r="I740" s="22"/>
      <c r="J740" s="1"/>
      <c r="K740" s="1"/>
      <c r="L740" s="1"/>
      <c r="M740" s="1"/>
      <c r="N740" s="1"/>
      <c r="P740" s="1"/>
      <c r="Q740" s="1"/>
      <c r="R740" s="1"/>
      <c r="S740" s="1"/>
      <c r="T740" s="1"/>
      <c r="U740" s="1"/>
      <c r="V740" s="1"/>
      <c r="W740" s="1"/>
    </row>
    <row r="741" spans="1:23">
      <c r="A741" s="2"/>
      <c r="B741" s="211"/>
      <c r="C741" s="1"/>
      <c r="D741" s="1"/>
      <c r="E741" s="1"/>
      <c r="F741" s="1"/>
      <c r="G741" s="1"/>
      <c r="H741" s="1"/>
      <c r="I741" s="22"/>
      <c r="J741" s="1"/>
      <c r="K741" s="1"/>
      <c r="L741" s="1"/>
      <c r="M741" s="1"/>
      <c r="N741" s="1"/>
      <c r="P741" s="1"/>
      <c r="Q741" s="1"/>
      <c r="R741" s="1"/>
      <c r="S741" s="1"/>
      <c r="T741" s="1"/>
      <c r="U741" s="1"/>
      <c r="V741" s="1"/>
      <c r="W741" s="1"/>
    </row>
    <row r="742" spans="1:23">
      <c r="A742" s="2"/>
      <c r="B742" s="211"/>
      <c r="C742" s="1"/>
      <c r="D742" s="1"/>
      <c r="E742" s="1"/>
      <c r="F742" s="1"/>
      <c r="G742" s="1"/>
      <c r="H742" s="1"/>
      <c r="I742" s="22"/>
      <c r="J742" s="1"/>
      <c r="K742" s="1"/>
      <c r="L742" s="1"/>
      <c r="M742" s="1"/>
      <c r="N742" s="1"/>
      <c r="P742" s="1"/>
      <c r="Q742" s="1"/>
      <c r="R742" s="1"/>
      <c r="S742" s="1"/>
      <c r="T742" s="1"/>
      <c r="U742" s="1"/>
      <c r="V742" s="1"/>
      <c r="W742" s="1"/>
    </row>
    <row r="743" spans="1:23">
      <c r="A743" s="2"/>
      <c r="B743" s="211"/>
      <c r="C743" s="1"/>
      <c r="D743" s="1"/>
      <c r="E743" s="1"/>
      <c r="F743" s="1"/>
      <c r="G743" s="1"/>
      <c r="H743" s="1"/>
      <c r="I743" s="22"/>
      <c r="J743" s="1"/>
      <c r="K743" s="1"/>
      <c r="L743" s="1"/>
      <c r="M743" s="1"/>
      <c r="N743" s="1"/>
      <c r="P743" s="1"/>
      <c r="Q743" s="1"/>
      <c r="R743" s="1"/>
      <c r="S743" s="1"/>
      <c r="T743" s="1"/>
      <c r="U743" s="1"/>
      <c r="V743" s="1"/>
      <c r="W743" s="1"/>
    </row>
    <row r="744" spans="1:23">
      <c r="A744" s="2"/>
      <c r="B744" s="211"/>
      <c r="C744" s="1"/>
      <c r="D744" s="1"/>
      <c r="E744" s="1"/>
      <c r="F744" s="1"/>
      <c r="G744" s="1"/>
      <c r="H744" s="1"/>
      <c r="I744" s="22"/>
      <c r="J744" s="1"/>
      <c r="K744" s="1"/>
      <c r="L744" s="1"/>
      <c r="M744" s="1"/>
      <c r="N744" s="1"/>
      <c r="P744" s="1"/>
      <c r="Q744" s="1"/>
      <c r="R744" s="1"/>
      <c r="S744" s="1"/>
      <c r="T744" s="1"/>
      <c r="U744" s="1"/>
      <c r="V744" s="1"/>
      <c r="W744" s="1"/>
    </row>
    <row r="745" spans="1:23">
      <c r="A745" s="2"/>
      <c r="B745" s="211"/>
      <c r="C745" s="1"/>
      <c r="D745" s="1"/>
      <c r="E745" s="1"/>
      <c r="F745" s="1"/>
      <c r="G745" s="1"/>
      <c r="H745" s="1"/>
      <c r="I745" s="22"/>
      <c r="J745" s="1"/>
      <c r="K745" s="1"/>
      <c r="L745" s="1"/>
      <c r="M745" s="1"/>
      <c r="N745" s="1"/>
      <c r="P745" s="1"/>
      <c r="Q745" s="1"/>
      <c r="R745" s="1"/>
      <c r="S745" s="1"/>
      <c r="T745" s="1"/>
      <c r="U745" s="1"/>
      <c r="V745" s="1"/>
      <c r="W745" s="1"/>
    </row>
    <row r="746" spans="1:23">
      <c r="A746" s="2"/>
      <c r="B746" s="211"/>
      <c r="C746" s="1"/>
      <c r="D746" s="1"/>
      <c r="E746" s="1"/>
      <c r="F746" s="1"/>
      <c r="G746" s="1"/>
      <c r="H746" s="1"/>
      <c r="I746" s="22"/>
      <c r="J746" s="1"/>
      <c r="K746" s="1"/>
      <c r="L746" s="1"/>
      <c r="M746" s="1"/>
      <c r="N746" s="1"/>
      <c r="P746" s="1"/>
      <c r="Q746" s="1"/>
      <c r="R746" s="1"/>
      <c r="S746" s="1"/>
      <c r="T746" s="1"/>
      <c r="U746" s="1"/>
      <c r="V746" s="1"/>
      <c r="W746" s="1"/>
    </row>
    <row r="747" spans="1:23">
      <c r="A747" s="2"/>
      <c r="B747" s="211"/>
      <c r="C747" s="1"/>
      <c r="D747" s="1"/>
      <c r="E747" s="1"/>
      <c r="F747" s="1"/>
      <c r="G747" s="1"/>
      <c r="H747" s="1"/>
      <c r="I747" s="22"/>
      <c r="J747" s="1"/>
      <c r="K747" s="1"/>
      <c r="L747" s="1"/>
      <c r="M747" s="1"/>
      <c r="N747" s="1"/>
      <c r="P747" s="1"/>
      <c r="Q747" s="1"/>
      <c r="R747" s="1"/>
      <c r="S747" s="1"/>
      <c r="T747" s="1"/>
      <c r="U747" s="1"/>
      <c r="V747" s="1"/>
      <c r="W747" s="1"/>
    </row>
    <row r="748" spans="1:23">
      <c r="A748" s="2"/>
      <c r="B748" s="211"/>
      <c r="C748" s="1"/>
      <c r="D748" s="1"/>
      <c r="E748" s="1"/>
      <c r="F748" s="1"/>
      <c r="G748" s="1"/>
      <c r="H748" s="1"/>
      <c r="I748" s="22"/>
      <c r="J748" s="1"/>
      <c r="K748" s="1"/>
      <c r="L748" s="1"/>
      <c r="M748" s="1"/>
      <c r="N748" s="1"/>
      <c r="P748" s="1"/>
      <c r="Q748" s="1"/>
      <c r="R748" s="1"/>
      <c r="S748" s="1"/>
      <c r="T748" s="1"/>
      <c r="U748" s="1"/>
      <c r="V748" s="1"/>
      <c r="W748" s="1"/>
    </row>
    <row r="749" spans="1:23">
      <c r="A749" s="2"/>
      <c r="B749" s="211"/>
      <c r="C749" s="1"/>
      <c r="D749" s="1"/>
      <c r="E749" s="1"/>
      <c r="F749" s="1"/>
      <c r="G749" s="1"/>
      <c r="H749" s="1"/>
      <c r="I749" s="22"/>
      <c r="J749" s="1"/>
      <c r="K749" s="1"/>
      <c r="L749" s="1"/>
      <c r="M749" s="1"/>
      <c r="N749" s="1"/>
      <c r="P749" s="1"/>
      <c r="Q749" s="1"/>
      <c r="R749" s="1"/>
      <c r="S749" s="1"/>
      <c r="T749" s="1"/>
      <c r="U749" s="1"/>
      <c r="V749" s="1"/>
      <c r="W749" s="1"/>
    </row>
    <row r="750" spans="1:23">
      <c r="A750" s="2"/>
      <c r="B750" s="211"/>
      <c r="C750" s="1"/>
      <c r="D750" s="1"/>
      <c r="E750" s="1"/>
      <c r="F750" s="1"/>
      <c r="G750" s="1"/>
      <c r="H750" s="1"/>
      <c r="I750" s="22"/>
      <c r="J750" s="1"/>
      <c r="K750" s="1"/>
      <c r="L750" s="1"/>
      <c r="M750" s="1"/>
      <c r="N750" s="1"/>
      <c r="P750" s="1"/>
      <c r="Q750" s="1"/>
      <c r="R750" s="1"/>
      <c r="S750" s="1"/>
      <c r="T750" s="1"/>
      <c r="U750" s="1"/>
      <c r="V750" s="1"/>
      <c r="W750" s="1"/>
    </row>
    <row r="751" spans="1:23">
      <c r="A751" s="2"/>
      <c r="B751" s="211"/>
      <c r="C751" s="1"/>
      <c r="D751" s="1"/>
      <c r="E751" s="1"/>
      <c r="F751" s="1"/>
      <c r="G751" s="1"/>
      <c r="H751" s="1"/>
      <c r="I751" s="22"/>
      <c r="J751" s="1"/>
      <c r="K751" s="1"/>
      <c r="L751" s="1"/>
      <c r="M751" s="1"/>
      <c r="N751" s="1"/>
      <c r="P751" s="1"/>
      <c r="Q751" s="1"/>
      <c r="R751" s="1"/>
      <c r="S751" s="1"/>
      <c r="T751" s="1"/>
      <c r="U751" s="1"/>
      <c r="V751" s="1"/>
      <c r="W751" s="1"/>
    </row>
    <row r="752" spans="1:23">
      <c r="A752" s="2"/>
      <c r="B752" s="211"/>
      <c r="C752" s="1"/>
      <c r="D752" s="1"/>
      <c r="E752" s="1"/>
      <c r="F752" s="1"/>
      <c r="G752" s="1"/>
      <c r="H752" s="1"/>
      <c r="I752" s="22"/>
      <c r="J752" s="1"/>
      <c r="K752" s="1"/>
      <c r="L752" s="1"/>
      <c r="M752" s="1"/>
      <c r="N752" s="1"/>
      <c r="P752" s="1"/>
      <c r="Q752" s="1"/>
      <c r="R752" s="1"/>
      <c r="S752" s="1"/>
      <c r="T752" s="1"/>
      <c r="U752" s="1"/>
      <c r="V752" s="1"/>
      <c r="W752" s="1"/>
    </row>
    <row r="753" spans="1:23">
      <c r="A753" s="2"/>
      <c r="B753" s="211"/>
      <c r="C753" s="1"/>
      <c r="D753" s="1"/>
      <c r="E753" s="1"/>
      <c r="F753" s="1"/>
      <c r="G753" s="1"/>
      <c r="H753" s="1"/>
      <c r="I753" s="22"/>
      <c r="J753" s="1"/>
      <c r="K753" s="1"/>
      <c r="L753" s="1"/>
      <c r="M753" s="1"/>
      <c r="N753" s="1"/>
      <c r="P753" s="1"/>
      <c r="Q753" s="1"/>
      <c r="R753" s="1"/>
      <c r="S753" s="1"/>
      <c r="T753" s="1"/>
      <c r="U753" s="1"/>
      <c r="V753" s="1"/>
      <c r="W753" s="1"/>
    </row>
    <row r="754" spans="1:23">
      <c r="A754" s="2"/>
      <c r="B754" s="211"/>
      <c r="C754" s="1"/>
      <c r="D754" s="1"/>
      <c r="E754" s="1"/>
      <c r="F754" s="1"/>
      <c r="G754" s="1"/>
      <c r="H754" s="1"/>
      <c r="I754" s="22"/>
      <c r="J754" s="1"/>
      <c r="K754" s="1"/>
      <c r="L754" s="1"/>
      <c r="M754" s="1"/>
      <c r="N754" s="1"/>
      <c r="P754" s="1"/>
      <c r="Q754" s="1"/>
      <c r="R754" s="1"/>
      <c r="S754" s="1"/>
      <c r="T754" s="1"/>
      <c r="U754" s="1"/>
      <c r="V754" s="1"/>
      <c r="W754" s="1"/>
    </row>
    <row r="755" spans="1:23">
      <c r="A755" s="2"/>
      <c r="B755" s="211"/>
      <c r="C755" s="1"/>
      <c r="D755" s="1"/>
      <c r="E755" s="1"/>
      <c r="F755" s="1"/>
      <c r="G755" s="1"/>
      <c r="H755" s="1"/>
      <c r="I755" s="22"/>
      <c r="J755" s="1"/>
      <c r="K755" s="1"/>
      <c r="L755" s="1"/>
      <c r="M755" s="1"/>
      <c r="N755" s="1"/>
      <c r="P755" s="1"/>
      <c r="Q755" s="1"/>
      <c r="R755" s="1"/>
      <c r="S755" s="1"/>
      <c r="T755" s="1"/>
      <c r="U755" s="1"/>
      <c r="V755" s="1"/>
      <c r="W755" s="1"/>
    </row>
    <row r="756" spans="1:23">
      <c r="A756" s="2"/>
      <c r="B756" s="211"/>
      <c r="C756" s="1"/>
      <c r="D756" s="1"/>
      <c r="E756" s="1"/>
      <c r="F756" s="1"/>
      <c r="G756" s="1"/>
      <c r="H756" s="1"/>
      <c r="I756" s="22"/>
      <c r="J756" s="1"/>
      <c r="K756" s="1"/>
      <c r="L756" s="1"/>
      <c r="M756" s="1"/>
      <c r="N756" s="1"/>
      <c r="P756" s="1"/>
      <c r="Q756" s="1"/>
      <c r="R756" s="1"/>
      <c r="S756" s="1"/>
      <c r="T756" s="1"/>
      <c r="U756" s="1"/>
      <c r="V756" s="1"/>
      <c r="W756" s="1"/>
    </row>
    <row r="757" spans="1:23">
      <c r="A757" s="2"/>
      <c r="B757" s="211"/>
      <c r="C757" s="1"/>
      <c r="D757" s="1"/>
      <c r="E757" s="1"/>
      <c r="F757" s="1"/>
      <c r="G757" s="1"/>
      <c r="H757" s="1"/>
      <c r="I757" s="22"/>
      <c r="J757" s="1"/>
      <c r="K757" s="1"/>
      <c r="L757" s="1"/>
      <c r="M757" s="1"/>
      <c r="N757" s="1"/>
      <c r="P757" s="1"/>
      <c r="Q757" s="1"/>
      <c r="R757" s="1"/>
      <c r="S757" s="1"/>
      <c r="T757" s="1"/>
      <c r="U757" s="1"/>
      <c r="V757" s="1"/>
      <c r="W757" s="1"/>
    </row>
    <row r="758" spans="1:23">
      <c r="A758" s="2"/>
      <c r="B758" s="211"/>
      <c r="C758" s="1"/>
      <c r="D758" s="1"/>
      <c r="E758" s="1"/>
      <c r="F758" s="1"/>
      <c r="G758" s="1"/>
      <c r="H758" s="1"/>
      <c r="I758" s="22"/>
      <c r="J758" s="1"/>
      <c r="K758" s="1"/>
      <c r="L758" s="1"/>
      <c r="M758" s="1"/>
      <c r="N758" s="1"/>
      <c r="P758" s="1"/>
      <c r="Q758" s="1"/>
      <c r="R758" s="1"/>
      <c r="S758" s="1"/>
      <c r="T758" s="1"/>
      <c r="U758" s="1"/>
      <c r="V758" s="1"/>
      <c r="W758" s="1"/>
    </row>
    <row r="759" spans="1:23">
      <c r="A759" s="2"/>
      <c r="B759" s="211"/>
      <c r="C759" s="1"/>
      <c r="D759" s="1"/>
      <c r="E759" s="1"/>
      <c r="F759" s="1"/>
      <c r="G759" s="1"/>
      <c r="H759" s="1"/>
      <c r="I759" s="22"/>
      <c r="J759" s="1"/>
      <c r="K759" s="1"/>
      <c r="L759" s="1"/>
      <c r="M759" s="1"/>
      <c r="N759" s="1"/>
      <c r="P759" s="1"/>
      <c r="Q759" s="1"/>
      <c r="R759" s="1"/>
      <c r="S759" s="1"/>
      <c r="T759" s="1"/>
      <c r="U759" s="1"/>
      <c r="V759" s="1"/>
      <c r="W759" s="1"/>
    </row>
    <row r="760" spans="1:23">
      <c r="A760" s="2"/>
      <c r="B760" s="211"/>
      <c r="C760" s="1"/>
      <c r="D760" s="1"/>
      <c r="E760" s="1"/>
      <c r="F760" s="1"/>
      <c r="G760" s="1"/>
      <c r="H760" s="1"/>
      <c r="I760" s="22"/>
      <c r="J760" s="1"/>
      <c r="K760" s="1"/>
      <c r="L760" s="1"/>
      <c r="M760" s="1"/>
      <c r="N760" s="1"/>
      <c r="P760" s="1"/>
      <c r="Q760" s="1"/>
      <c r="R760" s="1"/>
      <c r="S760" s="1"/>
      <c r="T760" s="1"/>
      <c r="U760" s="1"/>
      <c r="V760" s="1"/>
      <c r="W760" s="1"/>
    </row>
    <row r="761" spans="1:23">
      <c r="A761" s="2"/>
      <c r="B761" s="211"/>
      <c r="C761" s="1"/>
      <c r="D761" s="1"/>
      <c r="E761" s="1"/>
      <c r="F761" s="1"/>
      <c r="G761" s="1"/>
      <c r="H761" s="1"/>
      <c r="I761" s="22"/>
      <c r="J761" s="1"/>
      <c r="K761" s="1"/>
      <c r="L761" s="1"/>
      <c r="M761" s="1"/>
      <c r="N761" s="1"/>
      <c r="P761" s="1"/>
      <c r="Q761" s="1"/>
      <c r="R761" s="1"/>
      <c r="S761" s="1"/>
      <c r="T761" s="1"/>
      <c r="U761" s="1"/>
      <c r="V761" s="1"/>
      <c r="W761" s="1"/>
    </row>
    <row r="762" spans="1:23">
      <c r="A762" s="2"/>
      <c r="B762" s="211"/>
      <c r="C762" s="1"/>
      <c r="D762" s="1"/>
      <c r="E762" s="1"/>
      <c r="F762" s="1"/>
      <c r="G762" s="1"/>
      <c r="H762" s="1"/>
      <c r="I762" s="22"/>
      <c r="J762" s="1"/>
      <c r="K762" s="1"/>
      <c r="L762" s="1"/>
      <c r="M762" s="1"/>
      <c r="N762" s="1"/>
      <c r="P762" s="1"/>
      <c r="Q762" s="1"/>
      <c r="R762" s="1"/>
      <c r="S762" s="1"/>
      <c r="T762" s="1"/>
      <c r="U762" s="1"/>
      <c r="V762" s="1"/>
      <c r="W762" s="1"/>
    </row>
    <row r="763" spans="1:23">
      <c r="A763" s="2"/>
      <c r="B763" s="211"/>
      <c r="C763" s="1"/>
      <c r="D763" s="1"/>
      <c r="E763" s="1"/>
      <c r="F763" s="1"/>
      <c r="G763" s="1"/>
      <c r="H763" s="1"/>
      <c r="I763" s="22"/>
      <c r="J763" s="1"/>
      <c r="K763" s="1"/>
      <c r="L763" s="1"/>
      <c r="M763" s="1"/>
      <c r="N763" s="1"/>
      <c r="P763" s="1"/>
      <c r="Q763" s="1"/>
      <c r="R763" s="1"/>
      <c r="S763" s="1"/>
      <c r="T763" s="1"/>
      <c r="U763" s="1"/>
      <c r="V763" s="1"/>
      <c r="W763" s="1"/>
    </row>
    <row r="764" spans="1:23">
      <c r="A764" s="2"/>
      <c r="B764" s="211"/>
      <c r="C764" s="1"/>
      <c r="D764" s="1"/>
      <c r="E764" s="1"/>
      <c r="F764" s="1"/>
      <c r="G764" s="1"/>
      <c r="H764" s="1"/>
      <c r="I764" s="22"/>
      <c r="J764" s="1"/>
      <c r="K764" s="1"/>
      <c r="L764" s="1"/>
      <c r="M764" s="1"/>
      <c r="N764" s="1"/>
      <c r="P764" s="1"/>
      <c r="Q764" s="1"/>
      <c r="R764" s="1"/>
      <c r="S764" s="1"/>
      <c r="T764" s="1"/>
      <c r="U764" s="1"/>
      <c r="V764" s="1"/>
      <c r="W764" s="1"/>
    </row>
    <row r="765" spans="1:23">
      <c r="A765" s="2"/>
      <c r="B765" s="211"/>
      <c r="C765" s="1"/>
      <c r="D765" s="1"/>
      <c r="E765" s="1"/>
      <c r="F765" s="1"/>
      <c r="G765" s="1"/>
      <c r="H765" s="1"/>
      <c r="I765" s="22"/>
      <c r="J765" s="1"/>
      <c r="K765" s="1"/>
      <c r="L765" s="1"/>
      <c r="M765" s="1"/>
      <c r="N765" s="1"/>
      <c r="P765" s="1"/>
      <c r="Q765" s="1"/>
      <c r="R765" s="1"/>
      <c r="S765" s="1"/>
      <c r="T765" s="1"/>
      <c r="U765" s="1"/>
      <c r="V765" s="1"/>
      <c r="W765" s="1"/>
    </row>
    <row r="766" spans="1:23">
      <c r="A766" s="2"/>
      <c r="B766" s="211"/>
      <c r="C766" s="1"/>
      <c r="D766" s="1"/>
      <c r="E766" s="1"/>
      <c r="F766" s="1"/>
      <c r="G766" s="1"/>
      <c r="H766" s="1"/>
      <c r="I766" s="22"/>
      <c r="J766" s="1"/>
      <c r="K766" s="1"/>
      <c r="L766" s="1"/>
      <c r="M766" s="1"/>
      <c r="N766" s="1"/>
      <c r="P766" s="1"/>
      <c r="Q766" s="1"/>
      <c r="R766" s="1"/>
      <c r="S766" s="1"/>
      <c r="T766" s="1"/>
      <c r="U766" s="1"/>
      <c r="V766" s="1"/>
      <c r="W766" s="1"/>
    </row>
    <row r="767" spans="1:23">
      <c r="A767" s="2"/>
      <c r="B767" s="211"/>
      <c r="C767" s="1"/>
      <c r="D767" s="1"/>
      <c r="E767" s="1"/>
      <c r="F767" s="1"/>
      <c r="G767" s="1"/>
      <c r="H767" s="1"/>
      <c r="I767" s="22"/>
      <c r="J767" s="1"/>
      <c r="K767" s="1"/>
      <c r="L767" s="1"/>
      <c r="M767" s="1"/>
      <c r="N767" s="1"/>
      <c r="P767" s="1"/>
      <c r="Q767" s="1"/>
      <c r="R767" s="1"/>
      <c r="S767" s="1"/>
      <c r="T767" s="1"/>
      <c r="U767" s="1"/>
      <c r="V767" s="1"/>
      <c r="W767" s="1"/>
    </row>
    <row r="768" spans="1:23">
      <c r="A768" s="2"/>
      <c r="B768" s="211"/>
      <c r="C768" s="1"/>
      <c r="D768" s="1"/>
      <c r="E768" s="1"/>
      <c r="F768" s="1"/>
      <c r="G768" s="1"/>
      <c r="H768" s="1"/>
      <c r="I768" s="22"/>
      <c r="J768" s="1"/>
      <c r="K768" s="1"/>
      <c r="L768" s="1"/>
      <c r="M768" s="1"/>
      <c r="N768" s="1"/>
      <c r="P768" s="1"/>
      <c r="Q768" s="1"/>
      <c r="R768" s="1"/>
      <c r="S768" s="1"/>
      <c r="T768" s="1"/>
      <c r="U768" s="1"/>
      <c r="V768" s="1"/>
      <c r="W768" s="1"/>
    </row>
    <row r="769" spans="1:23">
      <c r="A769" s="2"/>
      <c r="B769" s="211"/>
      <c r="C769" s="1"/>
      <c r="D769" s="1"/>
      <c r="E769" s="1"/>
      <c r="F769" s="1"/>
      <c r="G769" s="1"/>
      <c r="H769" s="1"/>
      <c r="I769" s="22"/>
      <c r="J769" s="1"/>
      <c r="K769" s="1"/>
      <c r="L769" s="1"/>
      <c r="M769" s="1"/>
      <c r="N769" s="1"/>
      <c r="P769" s="1"/>
      <c r="Q769" s="1"/>
      <c r="R769" s="1"/>
      <c r="S769" s="1"/>
      <c r="T769" s="1"/>
      <c r="U769" s="1"/>
      <c r="V769" s="1"/>
      <c r="W769" s="1"/>
    </row>
    <row r="770" spans="1:23">
      <c r="A770" s="2"/>
      <c r="B770" s="211"/>
      <c r="C770" s="1"/>
      <c r="D770" s="1"/>
      <c r="E770" s="1"/>
      <c r="F770" s="1"/>
      <c r="G770" s="1"/>
      <c r="H770" s="1"/>
      <c r="I770" s="22"/>
      <c r="J770" s="1"/>
      <c r="K770" s="1"/>
      <c r="L770" s="1"/>
      <c r="M770" s="1"/>
      <c r="N770" s="1"/>
      <c r="P770" s="1"/>
      <c r="Q770" s="1"/>
      <c r="R770" s="1"/>
      <c r="S770" s="1"/>
      <c r="T770" s="1"/>
      <c r="U770" s="1"/>
      <c r="V770" s="1"/>
      <c r="W770" s="1"/>
    </row>
    <row r="771" spans="1:23">
      <c r="A771" s="2"/>
      <c r="B771" s="211"/>
      <c r="C771" s="1"/>
      <c r="D771" s="1"/>
      <c r="E771" s="1"/>
      <c r="F771" s="1"/>
      <c r="G771" s="1"/>
      <c r="H771" s="1"/>
      <c r="I771" s="22"/>
      <c r="J771" s="1"/>
      <c r="K771" s="1"/>
      <c r="L771" s="1"/>
      <c r="M771" s="1"/>
      <c r="N771" s="1"/>
      <c r="P771" s="1"/>
      <c r="Q771" s="1"/>
      <c r="R771" s="1"/>
      <c r="S771" s="1"/>
      <c r="T771" s="1"/>
      <c r="U771" s="1"/>
      <c r="V771" s="1"/>
      <c r="W771" s="1"/>
    </row>
    <row r="772" spans="1:23">
      <c r="A772" s="2"/>
      <c r="B772" s="211"/>
      <c r="C772" s="1"/>
      <c r="D772" s="1"/>
      <c r="E772" s="1"/>
      <c r="F772" s="1"/>
      <c r="G772" s="1"/>
      <c r="H772" s="1"/>
      <c r="I772" s="22"/>
      <c r="J772" s="1"/>
      <c r="K772" s="1"/>
      <c r="L772" s="1"/>
      <c r="M772" s="1"/>
      <c r="N772" s="1"/>
      <c r="P772" s="1"/>
      <c r="Q772" s="1"/>
      <c r="R772" s="1"/>
      <c r="S772" s="1"/>
      <c r="T772" s="1"/>
      <c r="U772" s="1"/>
      <c r="V772" s="1"/>
      <c r="W772" s="1"/>
    </row>
    <row r="773" spans="1:23">
      <c r="A773" s="2"/>
      <c r="B773" s="211"/>
      <c r="C773" s="1"/>
      <c r="D773" s="1"/>
      <c r="E773" s="1"/>
      <c r="F773" s="1"/>
      <c r="G773" s="1"/>
      <c r="H773" s="1"/>
      <c r="I773" s="22"/>
      <c r="J773" s="1"/>
      <c r="K773" s="1"/>
      <c r="L773" s="1"/>
      <c r="M773" s="1"/>
      <c r="N773" s="1"/>
      <c r="P773" s="1"/>
      <c r="Q773" s="1"/>
      <c r="R773" s="1"/>
      <c r="S773" s="1"/>
      <c r="T773" s="1"/>
      <c r="U773" s="1"/>
      <c r="V773" s="1"/>
      <c r="W773" s="1"/>
    </row>
    <row r="774" spans="1:23">
      <c r="A774" s="2"/>
      <c r="B774" s="211"/>
      <c r="C774" s="1"/>
      <c r="D774" s="1"/>
      <c r="E774" s="1"/>
      <c r="F774" s="1"/>
      <c r="G774" s="1"/>
      <c r="H774" s="1"/>
      <c r="I774" s="22"/>
      <c r="J774" s="1"/>
      <c r="K774" s="1"/>
      <c r="L774" s="1"/>
      <c r="M774" s="1"/>
      <c r="N774" s="1"/>
      <c r="P774" s="1"/>
      <c r="Q774" s="1"/>
      <c r="R774" s="1"/>
      <c r="S774" s="1"/>
      <c r="T774" s="1"/>
      <c r="U774" s="1"/>
      <c r="V774" s="1"/>
      <c r="W774" s="1"/>
    </row>
    <row r="775" spans="1:23">
      <c r="A775" s="2"/>
      <c r="B775" s="211"/>
      <c r="C775" s="1"/>
      <c r="D775" s="1"/>
      <c r="E775" s="1"/>
      <c r="F775" s="1"/>
      <c r="G775" s="1"/>
      <c r="H775" s="1"/>
      <c r="I775" s="22"/>
      <c r="J775" s="1"/>
      <c r="K775" s="1"/>
      <c r="L775" s="1"/>
      <c r="M775" s="1"/>
      <c r="N775" s="1"/>
      <c r="P775" s="1"/>
      <c r="Q775" s="1"/>
      <c r="R775" s="1"/>
      <c r="S775" s="1"/>
      <c r="T775" s="1"/>
      <c r="U775" s="1"/>
      <c r="V775" s="1"/>
      <c r="W775" s="1"/>
    </row>
    <row r="776" spans="1:23">
      <c r="A776" s="2"/>
      <c r="B776" s="211"/>
      <c r="C776" s="1"/>
      <c r="D776" s="1"/>
      <c r="E776" s="1"/>
      <c r="F776" s="1"/>
      <c r="G776" s="1"/>
      <c r="H776" s="1"/>
      <c r="I776" s="22"/>
      <c r="J776" s="1"/>
      <c r="K776" s="1"/>
      <c r="L776" s="1"/>
      <c r="M776" s="1"/>
      <c r="N776" s="1"/>
      <c r="P776" s="1"/>
      <c r="Q776" s="1"/>
      <c r="R776" s="1"/>
      <c r="S776" s="1"/>
      <c r="T776" s="1"/>
      <c r="U776" s="1"/>
      <c r="V776" s="1"/>
      <c r="W776" s="1"/>
    </row>
    <row r="777" spans="1:23">
      <c r="A777" s="2"/>
      <c r="B777" s="211"/>
      <c r="C777" s="1"/>
      <c r="D777" s="1"/>
      <c r="E777" s="1"/>
      <c r="F777" s="1"/>
      <c r="G777" s="1"/>
      <c r="H777" s="1"/>
      <c r="I777" s="22"/>
      <c r="J777" s="1"/>
      <c r="K777" s="1"/>
      <c r="L777" s="1"/>
      <c r="M777" s="1"/>
      <c r="N777" s="1"/>
      <c r="P777" s="1"/>
      <c r="Q777" s="1"/>
      <c r="R777" s="1"/>
      <c r="S777" s="1"/>
      <c r="T777" s="1"/>
      <c r="U777" s="1"/>
      <c r="V777" s="1"/>
      <c r="W777" s="1"/>
    </row>
    <row r="778" spans="1:23">
      <c r="A778" s="2"/>
      <c r="B778" s="211"/>
      <c r="C778" s="1"/>
      <c r="D778" s="1"/>
      <c r="E778" s="1"/>
      <c r="F778" s="1"/>
      <c r="G778" s="1"/>
      <c r="H778" s="1"/>
      <c r="I778" s="22"/>
      <c r="J778" s="1"/>
      <c r="K778" s="1"/>
      <c r="L778" s="1"/>
      <c r="M778" s="1"/>
      <c r="N778" s="1"/>
      <c r="P778" s="1"/>
      <c r="Q778" s="1"/>
      <c r="R778" s="1"/>
      <c r="S778" s="1"/>
      <c r="T778" s="1"/>
      <c r="U778" s="1"/>
      <c r="V778" s="1"/>
      <c r="W778" s="1"/>
    </row>
    <row r="779" spans="1:23">
      <c r="A779" s="2"/>
      <c r="B779" s="211"/>
      <c r="C779" s="1"/>
      <c r="D779" s="1"/>
      <c r="E779" s="1"/>
      <c r="F779" s="1"/>
      <c r="G779" s="1"/>
      <c r="H779" s="1"/>
      <c r="I779" s="22"/>
      <c r="J779" s="1"/>
      <c r="K779" s="1"/>
      <c r="L779" s="1"/>
      <c r="M779" s="1"/>
      <c r="N779" s="1"/>
      <c r="P779" s="1"/>
      <c r="Q779" s="1"/>
      <c r="R779" s="1"/>
      <c r="S779" s="1"/>
      <c r="T779" s="1"/>
      <c r="U779" s="1"/>
      <c r="V779" s="1"/>
      <c r="W779" s="1"/>
    </row>
    <row r="780" spans="1:23">
      <c r="A780" s="2"/>
      <c r="B780" s="211"/>
      <c r="C780" s="1"/>
      <c r="D780" s="1"/>
      <c r="E780" s="1"/>
      <c r="F780" s="1"/>
      <c r="G780" s="1"/>
      <c r="H780" s="1"/>
      <c r="I780" s="22"/>
      <c r="J780" s="1"/>
      <c r="K780" s="1"/>
      <c r="L780" s="1"/>
      <c r="M780" s="1"/>
      <c r="N780" s="1"/>
      <c r="P780" s="1"/>
      <c r="Q780" s="1"/>
      <c r="R780" s="1"/>
      <c r="S780" s="1"/>
      <c r="T780" s="1"/>
      <c r="U780" s="1"/>
      <c r="V780" s="1"/>
      <c r="W780" s="1"/>
    </row>
    <row r="781" spans="1:23">
      <c r="A781" s="2"/>
      <c r="B781" s="211"/>
      <c r="C781" s="1"/>
      <c r="D781" s="1"/>
      <c r="E781" s="1"/>
      <c r="F781" s="1"/>
      <c r="G781" s="1"/>
      <c r="H781" s="1"/>
      <c r="I781" s="22"/>
      <c r="J781" s="1"/>
      <c r="K781" s="1"/>
      <c r="L781" s="1"/>
      <c r="M781" s="1"/>
      <c r="N781" s="1"/>
      <c r="P781" s="1"/>
      <c r="Q781" s="1"/>
      <c r="R781" s="1"/>
      <c r="S781" s="1"/>
      <c r="T781" s="1"/>
      <c r="U781" s="1"/>
      <c r="V781" s="1"/>
      <c r="W781" s="1"/>
    </row>
    <row r="782" spans="1:23">
      <c r="A782" s="2"/>
      <c r="B782" s="211"/>
      <c r="C782" s="1"/>
      <c r="D782" s="1"/>
      <c r="E782" s="1"/>
      <c r="F782" s="1"/>
      <c r="G782" s="1"/>
      <c r="H782" s="1"/>
      <c r="I782" s="22"/>
      <c r="J782" s="1"/>
      <c r="K782" s="1"/>
      <c r="L782" s="1"/>
      <c r="M782" s="1"/>
      <c r="N782" s="1"/>
      <c r="P782" s="1"/>
      <c r="Q782" s="1"/>
      <c r="R782" s="1"/>
      <c r="S782" s="1"/>
      <c r="T782" s="1"/>
      <c r="U782" s="1"/>
      <c r="V782" s="1"/>
      <c r="W782" s="1"/>
    </row>
    <row r="783" spans="1:23">
      <c r="A783" s="2"/>
      <c r="B783" s="211"/>
      <c r="C783" s="1"/>
      <c r="D783" s="1"/>
      <c r="E783" s="1"/>
      <c r="F783" s="1"/>
      <c r="G783" s="1"/>
      <c r="H783" s="1"/>
      <c r="I783" s="22"/>
      <c r="J783" s="1"/>
      <c r="K783" s="1"/>
      <c r="L783" s="1"/>
      <c r="M783" s="1"/>
      <c r="N783" s="1"/>
      <c r="P783" s="1"/>
      <c r="Q783" s="1"/>
      <c r="R783" s="1"/>
      <c r="S783" s="1"/>
      <c r="T783" s="1"/>
      <c r="U783" s="1"/>
      <c r="V783" s="1"/>
      <c r="W783" s="1"/>
    </row>
    <row r="784" spans="1:23">
      <c r="A784" s="2"/>
      <c r="B784" s="211"/>
      <c r="C784" s="1"/>
      <c r="D784" s="1"/>
      <c r="E784" s="1"/>
      <c r="F784" s="1"/>
      <c r="G784" s="1"/>
      <c r="H784" s="1"/>
      <c r="I784" s="22"/>
      <c r="J784" s="1"/>
      <c r="K784" s="1"/>
      <c r="L784" s="1"/>
      <c r="M784" s="1"/>
      <c r="N784" s="1"/>
      <c r="P784" s="1"/>
      <c r="Q784" s="1"/>
      <c r="R784" s="1"/>
      <c r="S784" s="1"/>
      <c r="T784" s="1"/>
      <c r="U784" s="1"/>
      <c r="V784" s="1"/>
      <c r="W784" s="1"/>
    </row>
    <row r="785" spans="1:23">
      <c r="A785" s="2"/>
      <c r="B785" s="211"/>
      <c r="C785" s="1"/>
      <c r="D785" s="1"/>
      <c r="E785" s="1"/>
      <c r="F785" s="1"/>
      <c r="G785" s="1"/>
      <c r="H785" s="1"/>
      <c r="I785" s="22"/>
      <c r="J785" s="1"/>
      <c r="K785" s="1"/>
      <c r="L785" s="1"/>
      <c r="M785" s="1"/>
      <c r="N785" s="1"/>
      <c r="P785" s="1"/>
      <c r="Q785" s="1"/>
      <c r="R785" s="1"/>
      <c r="S785" s="1"/>
      <c r="T785" s="1"/>
      <c r="U785" s="1"/>
      <c r="V785" s="1"/>
      <c r="W785" s="1"/>
    </row>
    <row r="786" spans="1:23">
      <c r="A786" s="2"/>
      <c r="B786" s="211"/>
      <c r="C786" s="1"/>
      <c r="D786" s="1"/>
      <c r="E786" s="1"/>
      <c r="F786" s="1"/>
      <c r="G786" s="1"/>
      <c r="H786" s="1"/>
      <c r="I786" s="22"/>
      <c r="J786" s="1"/>
      <c r="K786" s="1"/>
      <c r="L786" s="1"/>
      <c r="M786" s="1"/>
      <c r="N786" s="1"/>
      <c r="P786" s="1"/>
      <c r="Q786" s="1"/>
      <c r="R786" s="1"/>
      <c r="S786" s="1"/>
      <c r="T786" s="1"/>
      <c r="U786" s="1"/>
      <c r="V786" s="1"/>
      <c r="W786" s="1"/>
    </row>
    <row r="787" spans="1:23">
      <c r="A787" s="2"/>
      <c r="B787" s="211"/>
      <c r="C787" s="1"/>
      <c r="D787" s="1"/>
      <c r="E787" s="1"/>
      <c r="F787" s="1"/>
      <c r="G787" s="1"/>
      <c r="H787" s="1"/>
      <c r="I787" s="22"/>
      <c r="J787" s="1"/>
      <c r="K787" s="1"/>
      <c r="L787" s="1"/>
      <c r="M787" s="1"/>
      <c r="N787" s="1"/>
      <c r="P787" s="1"/>
      <c r="Q787" s="1"/>
      <c r="R787" s="1"/>
      <c r="S787" s="1"/>
      <c r="T787" s="1"/>
      <c r="U787" s="1"/>
      <c r="V787" s="1"/>
      <c r="W787" s="1"/>
    </row>
    <row r="788" spans="1:23">
      <c r="A788" s="2"/>
      <c r="B788" s="211"/>
      <c r="C788" s="1"/>
      <c r="D788" s="1"/>
      <c r="E788" s="1"/>
      <c r="F788" s="1"/>
      <c r="G788" s="1"/>
      <c r="H788" s="1"/>
      <c r="I788" s="22"/>
      <c r="J788" s="1"/>
      <c r="K788" s="1"/>
      <c r="L788" s="1"/>
      <c r="M788" s="1"/>
      <c r="N788" s="1"/>
      <c r="P788" s="1"/>
      <c r="Q788" s="1"/>
      <c r="R788" s="1"/>
      <c r="S788" s="1"/>
      <c r="T788" s="1"/>
      <c r="U788" s="1"/>
      <c r="V788" s="1"/>
      <c r="W788" s="1"/>
    </row>
    <row r="789" spans="1:23">
      <c r="A789" s="2"/>
      <c r="B789" s="211"/>
      <c r="C789" s="1"/>
      <c r="D789" s="1"/>
      <c r="E789" s="1"/>
      <c r="F789" s="1"/>
      <c r="G789" s="1"/>
      <c r="H789" s="1"/>
      <c r="I789" s="22"/>
      <c r="J789" s="1"/>
      <c r="K789" s="1"/>
      <c r="L789" s="1"/>
      <c r="M789" s="1"/>
      <c r="N789" s="1"/>
      <c r="P789" s="1"/>
      <c r="Q789" s="1"/>
      <c r="R789" s="1"/>
      <c r="S789" s="1"/>
      <c r="T789" s="1"/>
      <c r="U789" s="1"/>
      <c r="V789" s="1"/>
      <c r="W789" s="1"/>
    </row>
    <row r="790" spans="1:23">
      <c r="A790" s="2"/>
      <c r="B790" s="211"/>
      <c r="C790" s="1"/>
      <c r="D790" s="1"/>
      <c r="E790" s="1"/>
      <c r="F790" s="1"/>
      <c r="G790" s="1"/>
      <c r="H790" s="1"/>
      <c r="I790" s="22"/>
      <c r="J790" s="1"/>
      <c r="K790" s="1"/>
      <c r="L790" s="1"/>
      <c r="M790" s="1"/>
      <c r="N790" s="1"/>
      <c r="P790" s="1"/>
      <c r="Q790" s="1"/>
      <c r="R790" s="1"/>
      <c r="S790" s="1"/>
      <c r="T790" s="1"/>
      <c r="U790" s="1"/>
      <c r="V790" s="1"/>
      <c r="W790" s="1"/>
    </row>
    <row r="791" spans="1:23">
      <c r="A791" s="2"/>
      <c r="B791" s="211"/>
      <c r="C791" s="1"/>
      <c r="D791" s="1"/>
      <c r="E791" s="1"/>
      <c r="F791" s="1"/>
      <c r="G791" s="1"/>
      <c r="H791" s="1"/>
      <c r="I791" s="22"/>
      <c r="J791" s="1"/>
      <c r="K791" s="1"/>
      <c r="L791" s="1"/>
      <c r="M791" s="1"/>
      <c r="N791" s="1"/>
      <c r="P791" s="1"/>
      <c r="Q791" s="1"/>
      <c r="R791" s="1"/>
      <c r="S791" s="1"/>
      <c r="T791" s="1"/>
      <c r="U791" s="1"/>
      <c r="V791" s="1"/>
      <c r="W791" s="1"/>
    </row>
    <row r="792" spans="1:23">
      <c r="A792" s="2"/>
      <c r="B792" s="211"/>
      <c r="C792" s="1"/>
      <c r="D792" s="1"/>
      <c r="E792" s="1"/>
      <c r="F792" s="1"/>
      <c r="G792" s="1"/>
      <c r="H792" s="1"/>
      <c r="I792" s="22"/>
      <c r="J792" s="1"/>
      <c r="K792" s="1"/>
      <c r="L792" s="1"/>
      <c r="M792" s="1"/>
      <c r="N792" s="1"/>
      <c r="P792" s="1"/>
      <c r="Q792" s="1"/>
      <c r="R792" s="1"/>
      <c r="S792" s="1"/>
      <c r="T792" s="1"/>
      <c r="U792" s="1"/>
      <c r="V792" s="1"/>
      <c r="W792" s="1"/>
    </row>
    <row r="793" spans="1:23">
      <c r="A793" s="2"/>
      <c r="B793" s="211"/>
      <c r="C793" s="1"/>
      <c r="D793" s="1"/>
      <c r="E793" s="1"/>
      <c r="F793" s="1"/>
      <c r="G793" s="1"/>
      <c r="H793" s="1"/>
      <c r="I793" s="22"/>
      <c r="J793" s="1"/>
      <c r="K793" s="1"/>
      <c r="L793" s="1"/>
      <c r="M793" s="1"/>
      <c r="N793" s="1"/>
      <c r="P793" s="1"/>
      <c r="Q793" s="1"/>
      <c r="R793" s="1"/>
      <c r="S793" s="1"/>
      <c r="T793" s="1"/>
      <c r="U793" s="1"/>
      <c r="V793" s="1"/>
      <c r="W793" s="1"/>
    </row>
    <row r="794" spans="1:23">
      <c r="A794" s="2"/>
      <c r="B794" s="211"/>
      <c r="C794" s="1"/>
      <c r="D794" s="1"/>
      <c r="E794" s="1"/>
      <c r="F794" s="1"/>
      <c r="G794" s="1"/>
      <c r="H794" s="1"/>
      <c r="I794" s="22"/>
      <c r="J794" s="1"/>
      <c r="K794" s="1"/>
      <c r="L794" s="1"/>
      <c r="M794" s="1"/>
      <c r="N794" s="1"/>
      <c r="P794" s="1"/>
      <c r="Q794" s="1"/>
      <c r="R794" s="1"/>
      <c r="S794" s="1"/>
      <c r="T794" s="1"/>
      <c r="U794" s="1"/>
      <c r="V794" s="1"/>
      <c r="W794" s="1"/>
    </row>
    <row r="795" spans="1:23">
      <c r="A795" s="2"/>
      <c r="B795" s="211"/>
      <c r="C795" s="1"/>
      <c r="D795" s="1"/>
      <c r="E795" s="1"/>
      <c r="F795" s="1"/>
      <c r="G795" s="1"/>
      <c r="H795" s="1"/>
      <c r="I795" s="22"/>
      <c r="J795" s="1"/>
      <c r="K795" s="1"/>
      <c r="L795" s="1"/>
      <c r="M795" s="1"/>
      <c r="N795" s="1"/>
      <c r="P795" s="1"/>
      <c r="Q795" s="1"/>
      <c r="R795" s="1"/>
      <c r="S795" s="1"/>
      <c r="T795" s="1"/>
      <c r="U795" s="1"/>
      <c r="V795" s="1"/>
      <c r="W795" s="1"/>
    </row>
    <row r="796" spans="1:23">
      <c r="A796" s="2"/>
      <c r="B796" s="211"/>
      <c r="C796" s="1"/>
      <c r="D796" s="1"/>
      <c r="E796" s="1"/>
      <c r="F796" s="1"/>
      <c r="G796" s="1"/>
      <c r="H796" s="1"/>
      <c r="I796" s="22"/>
      <c r="J796" s="1"/>
      <c r="K796" s="1"/>
      <c r="L796" s="1"/>
      <c r="M796" s="1"/>
      <c r="N796" s="1"/>
      <c r="P796" s="1"/>
      <c r="Q796" s="1"/>
      <c r="R796" s="1"/>
      <c r="S796" s="1"/>
      <c r="T796" s="1"/>
      <c r="U796" s="1"/>
      <c r="V796" s="1"/>
      <c r="W796" s="1"/>
    </row>
    <row r="797" spans="1:23">
      <c r="A797" s="2"/>
      <c r="B797" s="211"/>
      <c r="C797" s="1"/>
      <c r="D797" s="1"/>
      <c r="E797" s="1"/>
      <c r="F797" s="1"/>
      <c r="G797" s="1"/>
      <c r="H797" s="1"/>
      <c r="I797" s="22"/>
      <c r="J797" s="1"/>
      <c r="K797" s="1"/>
      <c r="L797" s="1"/>
      <c r="M797" s="1"/>
      <c r="N797" s="1"/>
      <c r="P797" s="1"/>
      <c r="Q797" s="1"/>
      <c r="R797" s="1"/>
      <c r="S797" s="1"/>
      <c r="T797" s="1"/>
      <c r="U797" s="1"/>
      <c r="V797" s="1"/>
      <c r="W797" s="1"/>
    </row>
    <row r="798" spans="1:23">
      <c r="A798" s="2"/>
      <c r="B798" s="211"/>
      <c r="C798" s="1"/>
      <c r="D798" s="1"/>
      <c r="E798" s="1"/>
      <c r="F798" s="1"/>
      <c r="G798" s="1"/>
      <c r="H798" s="1"/>
      <c r="I798" s="22"/>
      <c r="J798" s="1"/>
      <c r="K798" s="1"/>
      <c r="L798" s="1"/>
      <c r="M798" s="1"/>
      <c r="N798" s="1"/>
      <c r="P798" s="1"/>
      <c r="Q798" s="1"/>
      <c r="R798" s="1"/>
      <c r="S798" s="1"/>
      <c r="T798" s="1"/>
      <c r="U798" s="1"/>
      <c r="V798" s="1"/>
      <c r="W798" s="1"/>
    </row>
    <row r="799" spans="1:23">
      <c r="A799" s="2"/>
      <c r="B799" s="211"/>
      <c r="C799" s="1"/>
      <c r="D799" s="1"/>
      <c r="E799" s="1"/>
      <c r="F799" s="1"/>
      <c r="G799" s="1"/>
      <c r="H799" s="1"/>
      <c r="I799" s="22"/>
      <c r="J799" s="1"/>
      <c r="K799" s="1"/>
      <c r="L799" s="1"/>
      <c r="M799" s="1"/>
      <c r="N799" s="1"/>
      <c r="P799" s="1"/>
      <c r="Q799" s="1"/>
      <c r="R799" s="1"/>
      <c r="S799" s="1"/>
      <c r="T799" s="1"/>
      <c r="U799" s="1"/>
      <c r="V799" s="1"/>
      <c r="W799" s="1"/>
    </row>
    <row r="800" spans="1:23">
      <c r="A800" s="2"/>
      <c r="B800" s="211"/>
      <c r="C800" s="1"/>
      <c r="D800" s="1"/>
      <c r="E800" s="1"/>
      <c r="F800" s="1"/>
      <c r="G800" s="1"/>
      <c r="H800" s="1"/>
      <c r="I800" s="22"/>
      <c r="J800" s="1"/>
      <c r="K800" s="1"/>
      <c r="L800" s="1"/>
      <c r="M800" s="1"/>
      <c r="N800" s="1"/>
      <c r="P800" s="1"/>
      <c r="Q800" s="1"/>
      <c r="R800" s="1"/>
      <c r="S800" s="1"/>
      <c r="T800" s="1"/>
      <c r="U800" s="1"/>
      <c r="V800" s="1"/>
      <c r="W800" s="1"/>
    </row>
    <row r="801" spans="1:23">
      <c r="A801" s="2"/>
      <c r="B801" s="211"/>
      <c r="C801" s="1"/>
      <c r="D801" s="1"/>
      <c r="E801" s="1"/>
      <c r="F801" s="1"/>
      <c r="G801" s="1"/>
      <c r="H801" s="1"/>
      <c r="I801" s="22"/>
      <c r="J801" s="1"/>
      <c r="K801" s="1"/>
      <c r="L801" s="1"/>
      <c r="M801" s="1"/>
      <c r="N801" s="1"/>
      <c r="P801" s="1"/>
      <c r="Q801" s="1"/>
      <c r="R801" s="1"/>
      <c r="S801" s="1"/>
      <c r="T801" s="1"/>
      <c r="U801" s="1"/>
      <c r="V801" s="1"/>
      <c r="W801" s="1"/>
    </row>
    <row r="802" spans="1:23">
      <c r="A802" s="2"/>
      <c r="B802" s="211"/>
      <c r="C802" s="1"/>
      <c r="D802" s="1"/>
      <c r="E802" s="1"/>
      <c r="F802" s="1"/>
      <c r="G802" s="1"/>
      <c r="H802" s="1"/>
      <c r="I802" s="22"/>
      <c r="J802" s="1"/>
      <c r="K802" s="1"/>
      <c r="L802" s="1"/>
      <c r="M802" s="1"/>
      <c r="N802" s="1"/>
      <c r="P802" s="1"/>
      <c r="Q802" s="1"/>
      <c r="R802" s="1"/>
      <c r="S802" s="1"/>
      <c r="T802" s="1"/>
      <c r="U802" s="1"/>
      <c r="V802" s="1"/>
      <c r="W802" s="1"/>
    </row>
    <row r="803" spans="1:23">
      <c r="A803" s="2"/>
      <c r="B803" s="211"/>
      <c r="C803" s="1"/>
      <c r="D803" s="1"/>
      <c r="E803" s="1"/>
      <c r="F803" s="1"/>
      <c r="G803" s="1"/>
      <c r="H803" s="1"/>
      <c r="I803" s="22"/>
      <c r="J803" s="1"/>
      <c r="K803" s="1"/>
      <c r="L803" s="1"/>
      <c r="M803" s="1"/>
      <c r="N803" s="1"/>
      <c r="P803" s="1"/>
      <c r="Q803" s="1"/>
      <c r="R803" s="1"/>
      <c r="S803" s="1"/>
      <c r="T803" s="1"/>
      <c r="U803" s="1"/>
      <c r="V803" s="1"/>
      <c r="W803" s="1"/>
    </row>
    <row r="804" spans="1:23">
      <c r="A804" s="2"/>
      <c r="B804" s="211"/>
      <c r="C804" s="1"/>
      <c r="D804" s="1"/>
      <c r="E804" s="1"/>
      <c r="F804" s="1"/>
      <c r="G804" s="1"/>
      <c r="H804" s="1"/>
      <c r="I804" s="22"/>
      <c r="J804" s="1"/>
      <c r="K804" s="1"/>
      <c r="L804" s="1"/>
      <c r="M804" s="1"/>
      <c r="N804" s="1"/>
      <c r="P804" s="1"/>
      <c r="Q804" s="1"/>
      <c r="R804" s="1"/>
      <c r="S804" s="1"/>
      <c r="T804" s="1"/>
      <c r="U804" s="1"/>
      <c r="V804" s="1"/>
      <c r="W804" s="1"/>
    </row>
    <row r="805" spans="1:23">
      <c r="A805" s="2"/>
      <c r="B805" s="211"/>
      <c r="C805" s="1"/>
      <c r="D805" s="1"/>
      <c r="E805" s="1"/>
      <c r="F805" s="1"/>
      <c r="G805" s="1"/>
      <c r="H805" s="1"/>
      <c r="I805" s="22"/>
      <c r="J805" s="1"/>
      <c r="K805" s="1"/>
      <c r="L805" s="1"/>
      <c r="M805" s="1"/>
      <c r="N805" s="1"/>
      <c r="P805" s="1"/>
      <c r="Q805" s="1"/>
      <c r="R805" s="1"/>
      <c r="S805" s="1"/>
      <c r="T805" s="1"/>
      <c r="U805" s="1"/>
      <c r="V805" s="1"/>
      <c r="W805" s="1"/>
    </row>
    <row r="806" spans="1:23">
      <c r="A806" s="2"/>
      <c r="B806" s="211"/>
      <c r="C806" s="1"/>
      <c r="D806" s="1"/>
      <c r="E806" s="1"/>
      <c r="F806" s="1"/>
      <c r="G806" s="1"/>
      <c r="H806" s="1"/>
      <c r="I806" s="22"/>
      <c r="J806" s="1"/>
      <c r="K806" s="1"/>
      <c r="L806" s="1"/>
      <c r="M806" s="1"/>
      <c r="N806" s="1"/>
      <c r="P806" s="1"/>
      <c r="Q806" s="1"/>
      <c r="R806" s="1"/>
      <c r="S806" s="1"/>
      <c r="T806" s="1"/>
      <c r="U806" s="1"/>
      <c r="V806" s="1"/>
      <c r="W806" s="1"/>
    </row>
    <row r="807" spans="1:23">
      <c r="A807" s="2"/>
      <c r="B807" s="211"/>
      <c r="C807" s="1"/>
      <c r="D807" s="1"/>
      <c r="E807" s="1"/>
      <c r="F807" s="1"/>
      <c r="G807" s="1"/>
      <c r="H807" s="1"/>
      <c r="I807" s="22"/>
      <c r="J807" s="1"/>
      <c r="K807" s="1"/>
      <c r="L807" s="1"/>
      <c r="M807" s="1"/>
      <c r="N807" s="1"/>
      <c r="P807" s="1"/>
      <c r="Q807" s="1"/>
      <c r="R807" s="1"/>
      <c r="S807" s="1"/>
      <c r="T807" s="1"/>
      <c r="U807" s="1"/>
      <c r="V807" s="1"/>
      <c r="W807" s="1"/>
    </row>
    <row r="808" spans="1:23">
      <c r="A808" s="2"/>
      <c r="B808" s="211"/>
      <c r="C808" s="1"/>
      <c r="D808" s="1"/>
      <c r="E808" s="1"/>
      <c r="F808" s="1"/>
      <c r="G808" s="1"/>
      <c r="H808" s="1"/>
      <c r="I808" s="22"/>
      <c r="J808" s="1"/>
      <c r="K808" s="1"/>
      <c r="L808" s="1"/>
      <c r="M808" s="1"/>
      <c r="N808" s="1"/>
      <c r="P808" s="1"/>
      <c r="Q808" s="1"/>
      <c r="R808" s="1"/>
      <c r="S808" s="1"/>
      <c r="T808" s="1"/>
      <c r="U808" s="1"/>
      <c r="V808" s="1"/>
      <c r="W808" s="1"/>
    </row>
    <row r="809" spans="1:23">
      <c r="A809" s="2"/>
      <c r="B809" s="211"/>
      <c r="C809" s="1"/>
      <c r="D809" s="1"/>
      <c r="E809" s="1"/>
      <c r="F809" s="1"/>
      <c r="G809" s="1"/>
      <c r="H809" s="1"/>
      <c r="I809" s="22"/>
      <c r="J809" s="1"/>
      <c r="K809" s="1"/>
      <c r="L809" s="1"/>
      <c r="M809" s="1"/>
      <c r="N809" s="1"/>
      <c r="P809" s="1"/>
      <c r="Q809" s="1"/>
      <c r="R809" s="1"/>
      <c r="S809" s="1"/>
      <c r="T809" s="1"/>
      <c r="U809" s="1"/>
      <c r="V809" s="1"/>
      <c r="W809" s="1"/>
    </row>
    <row r="810" spans="1:23">
      <c r="A810" s="2"/>
      <c r="B810" s="211"/>
      <c r="C810" s="1"/>
      <c r="D810" s="1"/>
      <c r="E810" s="1"/>
      <c r="F810" s="1"/>
      <c r="G810" s="1"/>
      <c r="H810" s="1"/>
      <c r="I810" s="22"/>
      <c r="J810" s="1"/>
      <c r="K810" s="1"/>
      <c r="L810" s="1"/>
      <c r="M810" s="1"/>
      <c r="N810" s="1"/>
      <c r="P810" s="1"/>
      <c r="Q810" s="1"/>
      <c r="R810" s="1"/>
      <c r="S810" s="1"/>
      <c r="T810" s="1"/>
      <c r="U810" s="1"/>
      <c r="V810" s="1"/>
      <c r="W810" s="1"/>
    </row>
    <row r="811" spans="1:23">
      <c r="A811" s="2"/>
      <c r="B811" s="211"/>
      <c r="C811" s="1"/>
      <c r="D811" s="1"/>
      <c r="E811" s="1"/>
      <c r="F811" s="1"/>
      <c r="G811" s="1"/>
      <c r="H811" s="1"/>
      <c r="I811" s="22"/>
      <c r="J811" s="1"/>
      <c r="K811" s="1"/>
      <c r="L811" s="1"/>
      <c r="M811" s="1"/>
      <c r="N811" s="1"/>
      <c r="P811" s="1"/>
      <c r="Q811" s="1"/>
      <c r="R811" s="1"/>
      <c r="S811" s="1"/>
      <c r="T811" s="1"/>
      <c r="U811" s="1"/>
      <c r="V811" s="1"/>
      <c r="W811" s="1"/>
    </row>
    <row r="812" spans="1:23">
      <c r="A812" s="2"/>
      <c r="B812" s="211"/>
      <c r="C812" s="1"/>
      <c r="D812" s="1"/>
      <c r="E812" s="1"/>
      <c r="F812" s="1"/>
      <c r="G812" s="1"/>
      <c r="H812" s="1"/>
      <c r="I812" s="22"/>
      <c r="J812" s="1"/>
      <c r="K812" s="1"/>
      <c r="L812" s="1"/>
      <c r="M812" s="1"/>
      <c r="N812" s="1"/>
      <c r="P812" s="1"/>
      <c r="Q812" s="1"/>
      <c r="R812" s="1"/>
      <c r="S812" s="1"/>
      <c r="T812" s="1"/>
      <c r="U812" s="1"/>
      <c r="V812" s="1"/>
      <c r="W812" s="1"/>
    </row>
    <row r="813" spans="1:23">
      <c r="A813" s="2"/>
      <c r="B813" s="211"/>
      <c r="C813" s="1"/>
      <c r="D813" s="1"/>
      <c r="E813" s="1"/>
      <c r="F813" s="1"/>
      <c r="G813" s="1"/>
      <c r="H813" s="1"/>
      <c r="I813" s="22"/>
      <c r="J813" s="1"/>
      <c r="K813" s="1"/>
      <c r="L813" s="1"/>
      <c r="M813" s="1"/>
      <c r="N813" s="1"/>
      <c r="P813" s="1"/>
      <c r="Q813" s="1"/>
      <c r="R813" s="1"/>
      <c r="S813" s="1"/>
      <c r="T813" s="1"/>
      <c r="U813" s="1"/>
      <c r="V813" s="1"/>
      <c r="W813" s="1"/>
    </row>
    <row r="814" spans="1:23">
      <c r="A814" s="2"/>
      <c r="B814" s="211"/>
      <c r="C814" s="1"/>
      <c r="D814" s="1"/>
      <c r="E814" s="1"/>
      <c r="F814" s="1"/>
      <c r="G814" s="1"/>
      <c r="H814" s="1"/>
      <c r="I814" s="22"/>
      <c r="J814" s="1"/>
      <c r="K814" s="1"/>
      <c r="L814" s="1"/>
      <c r="M814" s="1"/>
      <c r="N814" s="1"/>
      <c r="P814" s="1"/>
      <c r="Q814" s="1"/>
      <c r="R814" s="1"/>
      <c r="S814" s="1"/>
      <c r="T814" s="1"/>
      <c r="U814" s="1"/>
      <c r="V814" s="1"/>
      <c r="W814" s="1"/>
    </row>
    <row r="815" spans="1:23">
      <c r="A815" s="2"/>
      <c r="B815" s="211"/>
      <c r="C815" s="1"/>
      <c r="D815" s="1"/>
      <c r="E815" s="1"/>
      <c r="F815" s="1"/>
      <c r="G815" s="1"/>
      <c r="H815" s="1"/>
      <c r="I815" s="22"/>
      <c r="J815" s="1"/>
      <c r="K815" s="1"/>
      <c r="L815" s="1"/>
      <c r="M815" s="1"/>
      <c r="N815" s="1"/>
      <c r="P815" s="1"/>
      <c r="Q815" s="1"/>
      <c r="R815" s="1"/>
      <c r="S815" s="1"/>
      <c r="T815" s="1"/>
      <c r="U815" s="1"/>
      <c r="V815" s="1"/>
      <c r="W815" s="1"/>
    </row>
    <row r="816" spans="1:23">
      <c r="A816" s="2"/>
      <c r="B816" s="211"/>
      <c r="C816" s="1"/>
      <c r="D816" s="1"/>
      <c r="E816" s="1"/>
      <c r="F816" s="1"/>
      <c r="G816" s="1"/>
      <c r="H816" s="1"/>
      <c r="I816" s="22"/>
      <c r="J816" s="1"/>
      <c r="K816" s="1"/>
      <c r="L816" s="1"/>
      <c r="M816" s="1"/>
      <c r="N816" s="1"/>
      <c r="P816" s="1"/>
      <c r="Q816" s="1"/>
      <c r="R816" s="1"/>
      <c r="S816" s="1"/>
      <c r="T816" s="1"/>
      <c r="U816" s="1"/>
      <c r="V816" s="1"/>
      <c r="W816" s="1"/>
    </row>
    <row r="817" spans="1:23">
      <c r="A817" s="2"/>
      <c r="B817" s="211"/>
      <c r="C817" s="1"/>
      <c r="D817" s="1"/>
      <c r="E817" s="1"/>
      <c r="F817" s="1"/>
      <c r="G817" s="1"/>
      <c r="H817" s="1"/>
      <c r="I817" s="22"/>
      <c r="J817" s="1"/>
      <c r="K817" s="1"/>
      <c r="L817" s="1"/>
      <c r="M817" s="1"/>
      <c r="N817" s="1"/>
      <c r="P817" s="1"/>
      <c r="Q817" s="1"/>
      <c r="R817" s="1"/>
      <c r="S817" s="1"/>
      <c r="T817" s="1"/>
      <c r="U817" s="1"/>
      <c r="V817" s="1"/>
      <c r="W817" s="1"/>
    </row>
    <row r="818" spans="1:23">
      <c r="A818" s="2"/>
      <c r="B818" s="211"/>
      <c r="C818" s="1"/>
      <c r="D818" s="1"/>
      <c r="E818" s="1"/>
      <c r="F818" s="1"/>
      <c r="G818" s="1"/>
      <c r="H818" s="1"/>
      <c r="I818" s="22"/>
      <c r="J818" s="1"/>
      <c r="K818" s="1"/>
      <c r="L818" s="1"/>
      <c r="M818" s="1"/>
      <c r="N818" s="1"/>
      <c r="P818" s="1"/>
      <c r="Q818" s="1"/>
      <c r="R818" s="1"/>
      <c r="S818" s="1"/>
      <c r="T818" s="1"/>
      <c r="U818" s="1"/>
      <c r="V818" s="1"/>
      <c r="W818" s="1"/>
    </row>
    <row r="819" spans="1:23">
      <c r="A819" s="2"/>
      <c r="B819" s="211"/>
      <c r="C819" s="1"/>
      <c r="D819" s="1"/>
      <c r="E819" s="1"/>
      <c r="F819" s="1"/>
      <c r="G819" s="1"/>
      <c r="H819" s="1"/>
      <c r="I819" s="22"/>
      <c r="J819" s="1"/>
      <c r="K819" s="1"/>
      <c r="L819" s="1"/>
      <c r="M819" s="1"/>
      <c r="N819" s="1"/>
      <c r="P819" s="1"/>
      <c r="Q819" s="1"/>
      <c r="R819" s="1"/>
      <c r="S819" s="1"/>
      <c r="T819" s="1"/>
      <c r="U819" s="1"/>
      <c r="V819" s="1"/>
      <c r="W819" s="1"/>
    </row>
    <row r="820" spans="1:23">
      <c r="A820" s="2"/>
      <c r="B820" s="211"/>
      <c r="C820" s="1"/>
      <c r="D820" s="1"/>
      <c r="E820" s="1"/>
      <c r="F820" s="1"/>
      <c r="G820" s="1"/>
      <c r="H820" s="1"/>
      <c r="I820" s="22"/>
      <c r="J820" s="1"/>
      <c r="K820" s="1"/>
      <c r="L820" s="1"/>
      <c r="M820" s="1"/>
      <c r="N820" s="1"/>
      <c r="P820" s="1"/>
      <c r="Q820" s="1"/>
      <c r="R820" s="1"/>
      <c r="S820" s="1"/>
      <c r="T820" s="1"/>
      <c r="U820" s="1"/>
      <c r="V820" s="1"/>
      <c r="W820" s="1"/>
    </row>
    <row r="821" spans="1:23">
      <c r="A821" s="2"/>
      <c r="B821" s="211"/>
      <c r="C821" s="1"/>
      <c r="D821" s="1"/>
      <c r="E821" s="1"/>
      <c r="F821" s="1"/>
      <c r="G821" s="1"/>
      <c r="H821" s="1"/>
      <c r="I821" s="22"/>
      <c r="J821" s="1"/>
      <c r="K821" s="1"/>
      <c r="L821" s="1"/>
      <c r="M821" s="1"/>
      <c r="N821" s="1"/>
      <c r="P821" s="1"/>
      <c r="Q821" s="1"/>
      <c r="R821" s="1"/>
      <c r="S821" s="1"/>
      <c r="T821" s="1"/>
      <c r="U821" s="1"/>
      <c r="V821" s="1"/>
      <c r="W821" s="1"/>
    </row>
    <row r="822" spans="1:23">
      <c r="A822" s="2"/>
      <c r="B822" s="211"/>
      <c r="C822" s="1"/>
      <c r="D822" s="1"/>
      <c r="E822" s="1"/>
      <c r="F822" s="1"/>
      <c r="G822" s="1"/>
      <c r="H822" s="1"/>
      <c r="I822" s="22"/>
      <c r="J822" s="1"/>
      <c r="K822" s="1"/>
      <c r="L822" s="1"/>
      <c r="M822" s="1"/>
      <c r="N822" s="1"/>
      <c r="P822" s="1"/>
      <c r="Q822" s="1"/>
      <c r="R822" s="1"/>
      <c r="S822" s="1"/>
      <c r="T822" s="1"/>
      <c r="U822" s="1"/>
      <c r="V822" s="1"/>
      <c r="W822" s="1"/>
    </row>
    <row r="823" spans="1:23">
      <c r="A823" s="2"/>
      <c r="B823" s="211"/>
      <c r="C823" s="1"/>
      <c r="D823" s="1"/>
      <c r="E823" s="1"/>
      <c r="F823" s="1"/>
      <c r="G823" s="1"/>
      <c r="H823" s="1"/>
      <c r="I823" s="22"/>
      <c r="J823" s="1"/>
      <c r="K823" s="1"/>
      <c r="L823" s="1"/>
      <c r="M823" s="1"/>
      <c r="N823" s="1"/>
      <c r="P823" s="1"/>
      <c r="Q823" s="1"/>
      <c r="R823" s="1"/>
      <c r="S823" s="1"/>
      <c r="T823" s="1"/>
      <c r="U823" s="1"/>
      <c r="V823" s="1"/>
      <c r="W823" s="1"/>
    </row>
    <row r="824" spans="1:23">
      <c r="A824" s="2"/>
      <c r="B824" s="211"/>
      <c r="C824" s="1"/>
      <c r="D824" s="1"/>
      <c r="E824" s="1"/>
      <c r="F824" s="1"/>
      <c r="G824" s="1"/>
      <c r="H824" s="1"/>
      <c r="I824" s="22"/>
      <c r="J824" s="1"/>
      <c r="K824" s="1"/>
      <c r="L824" s="1"/>
      <c r="M824" s="1"/>
      <c r="N824" s="1"/>
      <c r="P824" s="1"/>
      <c r="Q824" s="1"/>
      <c r="R824" s="1"/>
      <c r="S824" s="1"/>
      <c r="T824" s="1"/>
      <c r="U824" s="1"/>
      <c r="V824" s="1"/>
      <c r="W824" s="1"/>
    </row>
    <row r="825" spans="1:23">
      <c r="A825" s="2"/>
      <c r="B825" s="211"/>
      <c r="C825" s="1"/>
      <c r="D825" s="1"/>
      <c r="E825" s="1"/>
      <c r="F825" s="1"/>
      <c r="G825" s="1"/>
      <c r="H825" s="1"/>
      <c r="I825" s="22"/>
      <c r="J825" s="1"/>
      <c r="K825" s="1"/>
      <c r="L825" s="1"/>
      <c r="M825" s="1"/>
      <c r="N825" s="1"/>
      <c r="P825" s="1"/>
      <c r="Q825" s="1"/>
      <c r="R825" s="1"/>
      <c r="S825" s="1"/>
      <c r="T825" s="1"/>
      <c r="U825" s="1"/>
      <c r="V825" s="1"/>
      <c r="W825" s="1"/>
    </row>
    <row r="826" spans="1:23">
      <c r="A826" s="2"/>
      <c r="B826" s="211"/>
      <c r="C826" s="1"/>
      <c r="D826" s="1"/>
      <c r="E826" s="1"/>
      <c r="F826" s="1"/>
      <c r="G826" s="1"/>
      <c r="H826" s="1"/>
      <c r="I826" s="22"/>
      <c r="J826" s="1"/>
      <c r="K826" s="1"/>
      <c r="L826" s="1"/>
      <c r="M826" s="1"/>
      <c r="N826" s="1"/>
      <c r="P826" s="1"/>
      <c r="Q826" s="1"/>
      <c r="R826" s="1"/>
      <c r="S826" s="1"/>
      <c r="T826" s="1"/>
      <c r="U826" s="1"/>
      <c r="V826" s="1"/>
      <c r="W826" s="1"/>
    </row>
    <row r="827" spans="1:23">
      <c r="A827" s="2"/>
      <c r="B827" s="211"/>
      <c r="C827" s="1"/>
      <c r="D827" s="1"/>
      <c r="E827" s="1"/>
      <c r="F827" s="1"/>
      <c r="G827" s="1"/>
      <c r="H827" s="1"/>
      <c r="I827" s="22"/>
      <c r="J827" s="1"/>
      <c r="K827" s="1"/>
      <c r="L827" s="1"/>
      <c r="M827" s="1"/>
      <c r="N827" s="1"/>
      <c r="P827" s="1"/>
      <c r="Q827" s="1"/>
      <c r="R827" s="1"/>
      <c r="S827" s="1"/>
      <c r="T827" s="1"/>
      <c r="U827" s="1"/>
      <c r="V827" s="1"/>
      <c r="W827" s="1"/>
    </row>
    <row r="828" spans="1:23">
      <c r="A828" s="2"/>
      <c r="B828" s="211"/>
      <c r="C828" s="1"/>
      <c r="D828" s="1"/>
      <c r="E828" s="1"/>
      <c r="F828" s="1"/>
      <c r="G828" s="1"/>
      <c r="H828" s="1"/>
      <c r="I828" s="22"/>
      <c r="J828" s="1"/>
      <c r="K828" s="1"/>
      <c r="L828" s="1"/>
      <c r="M828" s="1"/>
      <c r="N828" s="1"/>
      <c r="P828" s="1"/>
      <c r="Q828" s="1"/>
      <c r="R828" s="1"/>
      <c r="S828" s="1"/>
      <c r="T828" s="1"/>
      <c r="U828" s="1"/>
      <c r="V828" s="1"/>
      <c r="W828" s="1"/>
    </row>
    <row r="829" spans="1:23">
      <c r="A829" s="2"/>
      <c r="B829" s="211"/>
      <c r="C829" s="1"/>
      <c r="D829" s="1"/>
      <c r="E829" s="1"/>
      <c r="F829" s="1"/>
      <c r="G829" s="1"/>
      <c r="H829" s="1"/>
      <c r="I829" s="22"/>
      <c r="J829" s="1"/>
      <c r="K829" s="1"/>
      <c r="L829" s="1"/>
      <c r="M829" s="1"/>
      <c r="N829" s="1"/>
      <c r="P829" s="1"/>
      <c r="Q829" s="1"/>
      <c r="R829" s="1"/>
      <c r="S829" s="1"/>
      <c r="T829" s="1"/>
      <c r="U829" s="1"/>
      <c r="V829" s="1"/>
      <c r="W829" s="1"/>
    </row>
    <row r="830" spans="1:23">
      <c r="A830" s="2"/>
      <c r="B830" s="211"/>
      <c r="C830" s="1"/>
      <c r="D830" s="1"/>
      <c r="E830" s="1"/>
      <c r="F830" s="1"/>
      <c r="G830" s="1"/>
      <c r="H830" s="1"/>
      <c r="I830" s="22"/>
      <c r="J830" s="1"/>
      <c r="K830" s="1"/>
      <c r="L830" s="1"/>
      <c r="M830" s="1"/>
      <c r="N830" s="1"/>
      <c r="P830" s="1"/>
      <c r="Q830" s="1"/>
      <c r="R830" s="1"/>
      <c r="S830" s="1"/>
      <c r="T830" s="1"/>
      <c r="U830" s="1"/>
      <c r="V830" s="1"/>
      <c r="W830" s="1"/>
    </row>
    <row r="831" spans="1:23">
      <c r="A831" s="2"/>
      <c r="B831" s="211"/>
      <c r="C831" s="1"/>
      <c r="D831" s="1"/>
      <c r="E831" s="1"/>
      <c r="F831" s="1"/>
      <c r="G831" s="1"/>
      <c r="H831" s="1"/>
      <c r="I831" s="22"/>
      <c r="J831" s="1"/>
      <c r="K831" s="1"/>
      <c r="L831" s="1"/>
      <c r="M831" s="1"/>
      <c r="N831" s="1"/>
      <c r="P831" s="1"/>
      <c r="Q831" s="1"/>
      <c r="R831" s="1"/>
      <c r="S831" s="1"/>
      <c r="T831" s="1"/>
      <c r="U831" s="1"/>
      <c r="V831" s="1"/>
      <c r="W831" s="1"/>
    </row>
    <row r="832" spans="1:23">
      <c r="A832" s="2"/>
      <c r="B832" s="211"/>
      <c r="C832" s="1"/>
      <c r="D832" s="1"/>
      <c r="E832" s="1"/>
      <c r="F832" s="1"/>
      <c r="G832" s="1"/>
      <c r="H832" s="1"/>
      <c r="I832" s="22"/>
      <c r="J832" s="1"/>
      <c r="K832" s="1"/>
      <c r="L832" s="1"/>
      <c r="M832" s="1"/>
      <c r="N832" s="1"/>
      <c r="P832" s="1"/>
      <c r="Q832" s="1"/>
      <c r="R832" s="1"/>
      <c r="S832" s="1"/>
      <c r="T832" s="1"/>
      <c r="U832" s="1"/>
      <c r="V832" s="1"/>
      <c r="W832" s="1"/>
    </row>
    <row r="833" spans="1:23">
      <c r="A833" s="2"/>
      <c r="B833" s="211"/>
      <c r="C833" s="1"/>
      <c r="D833" s="1"/>
      <c r="E833" s="1"/>
      <c r="F833" s="1"/>
      <c r="G833" s="1"/>
      <c r="H833" s="1"/>
      <c r="I833" s="22"/>
      <c r="J833" s="1"/>
      <c r="K833" s="1"/>
      <c r="L833" s="1"/>
      <c r="M833" s="1"/>
      <c r="N833" s="1"/>
      <c r="P833" s="1"/>
      <c r="Q833" s="1"/>
      <c r="R833" s="1"/>
      <c r="S833" s="1"/>
      <c r="T833" s="1"/>
      <c r="U833" s="1"/>
      <c r="V833" s="1"/>
      <c r="W833" s="1"/>
    </row>
    <row r="834" spans="1:23">
      <c r="A834" s="2"/>
      <c r="B834" s="211"/>
      <c r="C834" s="1"/>
      <c r="D834" s="1"/>
      <c r="E834" s="1"/>
      <c r="F834" s="1"/>
      <c r="G834" s="1"/>
      <c r="H834" s="1"/>
      <c r="I834" s="22"/>
      <c r="J834" s="1"/>
      <c r="K834" s="1"/>
      <c r="L834" s="1"/>
      <c r="M834" s="1"/>
      <c r="N834" s="1"/>
      <c r="P834" s="1"/>
      <c r="Q834" s="1"/>
      <c r="R834" s="1"/>
      <c r="S834" s="1"/>
      <c r="T834" s="1"/>
      <c r="U834" s="1"/>
      <c r="V834" s="1"/>
      <c r="W834" s="1"/>
    </row>
    <row r="835" spans="1:23">
      <c r="A835" s="2"/>
      <c r="B835" s="211"/>
      <c r="C835" s="1"/>
      <c r="D835" s="1"/>
      <c r="E835" s="1"/>
      <c r="F835" s="1"/>
      <c r="G835" s="1"/>
      <c r="H835" s="1"/>
      <c r="I835" s="22"/>
      <c r="J835" s="1"/>
      <c r="K835" s="1"/>
      <c r="L835" s="1"/>
      <c r="M835" s="1"/>
      <c r="N835" s="1"/>
      <c r="P835" s="1"/>
      <c r="Q835" s="1"/>
      <c r="R835" s="1"/>
      <c r="S835" s="1"/>
      <c r="T835" s="1"/>
      <c r="U835" s="1"/>
      <c r="V835" s="1"/>
      <c r="W835" s="1"/>
    </row>
    <row r="836" spans="1:23">
      <c r="A836" s="2"/>
      <c r="B836" s="211"/>
      <c r="C836" s="1"/>
      <c r="D836" s="1"/>
      <c r="E836" s="1"/>
      <c r="F836" s="1"/>
      <c r="G836" s="1"/>
      <c r="H836" s="1"/>
      <c r="I836" s="22"/>
      <c r="J836" s="1"/>
      <c r="K836" s="1"/>
      <c r="L836" s="1"/>
      <c r="M836" s="1"/>
      <c r="N836" s="1"/>
      <c r="P836" s="1"/>
      <c r="Q836" s="1"/>
      <c r="R836" s="1"/>
      <c r="S836" s="1"/>
      <c r="T836" s="1"/>
      <c r="U836" s="1"/>
      <c r="V836" s="1"/>
      <c r="W836" s="1"/>
    </row>
    <row r="837" spans="1:23">
      <c r="A837" s="2"/>
      <c r="B837" s="211"/>
      <c r="C837" s="1"/>
      <c r="D837" s="1"/>
      <c r="E837" s="1"/>
      <c r="F837" s="1"/>
      <c r="G837" s="1"/>
      <c r="H837" s="1"/>
      <c r="I837" s="22"/>
      <c r="J837" s="1"/>
      <c r="K837" s="1"/>
      <c r="L837" s="1"/>
      <c r="M837" s="1"/>
      <c r="N837" s="1"/>
      <c r="P837" s="1"/>
      <c r="Q837" s="1"/>
      <c r="R837" s="1"/>
      <c r="S837" s="1"/>
      <c r="T837" s="1"/>
      <c r="U837" s="1"/>
      <c r="V837" s="1"/>
      <c r="W837" s="1"/>
    </row>
    <row r="838" spans="1:23">
      <c r="A838" s="2"/>
      <c r="B838" s="211"/>
      <c r="C838" s="1"/>
      <c r="D838" s="1"/>
      <c r="E838" s="1"/>
      <c r="F838" s="1"/>
      <c r="G838" s="1"/>
      <c r="H838" s="1"/>
      <c r="I838" s="22"/>
      <c r="J838" s="1"/>
      <c r="K838" s="1"/>
      <c r="L838" s="1"/>
      <c r="M838" s="1"/>
      <c r="N838" s="1"/>
      <c r="P838" s="1"/>
      <c r="Q838" s="1"/>
      <c r="R838" s="1"/>
      <c r="S838" s="1"/>
      <c r="T838" s="1"/>
      <c r="U838" s="1"/>
      <c r="V838" s="1"/>
      <c r="W838" s="1"/>
    </row>
    <row r="839" spans="1:23">
      <c r="A839" s="2"/>
      <c r="B839" s="211"/>
      <c r="C839" s="1"/>
      <c r="D839" s="1"/>
      <c r="E839" s="1"/>
      <c r="F839" s="1"/>
      <c r="G839" s="1"/>
      <c r="H839" s="1"/>
      <c r="I839" s="22"/>
      <c r="J839" s="1"/>
      <c r="K839" s="1"/>
      <c r="L839" s="1"/>
      <c r="M839" s="1"/>
      <c r="N839" s="1"/>
      <c r="P839" s="1"/>
      <c r="Q839" s="1"/>
      <c r="R839" s="1"/>
      <c r="S839" s="1"/>
      <c r="T839" s="1"/>
      <c r="U839" s="1"/>
      <c r="V839" s="1"/>
      <c r="W839" s="1"/>
    </row>
    <row r="840" spans="1:23">
      <c r="A840" s="2"/>
      <c r="B840" s="211"/>
      <c r="C840" s="1"/>
      <c r="D840" s="1"/>
      <c r="E840" s="1"/>
      <c r="F840" s="1"/>
      <c r="G840" s="1"/>
      <c r="H840" s="1"/>
      <c r="I840" s="22"/>
      <c r="J840" s="1"/>
      <c r="K840" s="1"/>
      <c r="L840" s="1"/>
      <c r="M840" s="1"/>
      <c r="N840" s="1"/>
      <c r="P840" s="1"/>
      <c r="Q840" s="1"/>
      <c r="R840" s="1"/>
      <c r="S840" s="1"/>
      <c r="T840" s="1"/>
      <c r="U840" s="1"/>
      <c r="V840" s="1"/>
      <c r="W840" s="1"/>
    </row>
    <row r="841" spans="1:23">
      <c r="A841" s="2"/>
      <c r="B841" s="211"/>
      <c r="C841" s="1"/>
      <c r="D841" s="1"/>
      <c r="E841" s="1"/>
      <c r="F841" s="1"/>
      <c r="G841" s="1"/>
      <c r="H841" s="1"/>
      <c r="I841" s="22"/>
      <c r="J841" s="1"/>
      <c r="K841" s="1"/>
      <c r="L841" s="1"/>
      <c r="M841" s="1"/>
      <c r="N841" s="1"/>
      <c r="P841" s="1"/>
      <c r="Q841" s="1"/>
      <c r="R841" s="1"/>
      <c r="S841" s="1"/>
      <c r="T841" s="1"/>
      <c r="U841" s="1"/>
      <c r="V841" s="1"/>
      <c r="W841" s="1"/>
    </row>
    <row r="842" spans="1:23">
      <c r="A842" s="2"/>
      <c r="B842" s="211"/>
      <c r="C842" s="1"/>
      <c r="D842" s="1"/>
      <c r="E842" s="1"/>
      <c r="F842" s="1"/>
      <c r="G842" s="1"/>
      <c r="H842" s="1"/>
      <c r="I842" s="22"/>
      <c r="J842" s="1"/>
      <c r="K842" s="1"/>
      <c r="L842" s="1"/>
      <c r="M842" s="1"/>
      <c r="N842" s="1"/>
      <c r="P842" s="1"/>
      <c r="Q842" s="1"/>
      <c r="R842" s="1"/>
      <c r="S842" s="1"/>
      <c r="T842" s="1"/>
      <c r="U842" s="1"/>
      <c r="V842" s="1"/>
      <c r="W842" s="1"/>
    </row>
    <row r="843" spans="1:23">
      <c r="A843" s="2"/>
      <c r="B843" s="211"/>
      <c r="C843" s="1"/>
      <c r="D843" s="1"/>
      <c r="E843" s="1"/>
      <c r="F843" s="1"/>
      <c r="G843" s="1"/>
      <c r="H843" s="1"/>
      <c r="I843" s="22"/>
      <c r="J843" s="1"/>
      <c r="K843" s="1"/>
      <c r="L843" s="1"/>
      <c r="M843" s="1"/>
      <c r="N843" s="1"/>
      <c r="P843" s="1"/>
      <c r="Q843" s="1"/>
      <c r="R843" s="1"/>
      <c r="S843" s="1"/>
      <c r="T843" s="1"/>
      <c r="U843" s="1"/>
      <c r="V843" s="1"/>
      <c r="W843" s="1"/>
    </row>
    <row r="844" spans="1:23">
      <c r="A844" s="2"/>
      <c r="B844" s="211"/>
      <c r="C844" s="1"/>
      <c r="D844" s="1"/>
      <c r="E844" s="1"/>
      <c r="F844" s="1"/>
      <c r="G844" s="1"/>
      <c r="H844" s="1"/>
      <c r="I844" s="22"/>
      <c r="J844" s="1"/>
      <c r="K844" s="1"/>
      <c r="L844" s="1"/>
      <c r="M844" s="1"/>
      <c r="N844" s="1"/>
      <c r="P844" s="1"/>
      <c r="Q844" s="1"/>
      <c r="R844" s="1"/>
      <c r="S844" s="1"/>
      <c r="T844" s="1"/>
      <c r="U844" s="1"/>
      <c r="V844" s="1"/>
      <c r="W844" s="1"/>
    </row>
    <row r="845" spans="1:23">
      <c r="A845" s="2"/>
      <c r="B845" s="211"/>
      <c r="C845" s="1"/>
      <c r="D845" s="1"/>
      <c r="E845" s="1"/>
      <c r="F845" s="1"/>
      <c r="G845" s="1"/>
      <c r="H845" s="1"/>
      <c r="I845" s="22"/>
      <c r="J845" s="1"/>
      <c r="K845" s="1"/>
      <c r="L845" s="1"/>
      <c r="M845" s="1"/>
      <c r="N845" s="1"/>
      <c r="P845" s="1"/>
      <c r="Q845" s="1"/>
      <c r="R845" s="1"/>
      <c r="S845" s="1"/>
      <c r="T845" s="1"/>
      <c r="U845" s="1"/>
      <c r="V845" s="1"/>
      <c r="W845" s="1"/>
    </row>
    <row r="846" spans="1:23">
      <c r="A846" s="2"/>
      <c r="B846" s="211"/>
      <c r="C846" s="1"/>
      <c r="D846" s="1"/>
      <c r="E846" s="1"/>
      <c r="F846" s="1"/>
      <c r="G846" s="1"/>
      <c r="H846" s="1"/>
      <c r="I846" s="22"/>
      <c r="J846" s="1"/>
      <c r="K846" s="1"/>
      <c r="L846" s="1"/>
      <c r="M846" s="1"/>
      <c r="N846" s="1"/>
      <c r="P846" s="1"/>
      <c r="Q846" s="1"/>
      <c r="R846" s="1"/>
      <c r="S846" s="1"/>
      <c r="T846" s="1"/>
      <c r="U846" s="1"/>
      <c r="V846" s="1"/>
      <c r="W846" s="1"/>
    </row>
    <row r="847" spans="1:23">
      <c r="A847" s="2"/>
      <c r="B847" s="211"/>
      <c r="C847" s="1"/>
      <c r="D847" s="1"/>
      <c r="E847" s="1"/>
      <c r="F847" s="1"/>
      <c r="G847" s="1"/>
      <c r="H847" s="1"/>
      <c r="I847" s="22"/>
      <c r="J847" s="1"/>
      <c r="K847" s="1"/>
      <c r="L847" s="1"/>
      <c r="M847" s="1"/>
      <c r="N847" s="1"/>
      <c r="P847" s="1"/>
      <c r="Q847" s="1"/>
      <c r="R847" s="1"/>
      <c r="S847" s="1"/>
      <c r="T847" s="1"/>
      <c r="U847" s="1"/>
      <c r="V847" s="1"/>
      <c r="W847" s="1"/>
    </row>
    <row r="848" spans="1:23">
      <c r="A848" s="2"/>
      <c r="B848" s="211"/>
      <c r="C848" s="1"/>
      <c r="D848" s="1"/>
      <c r="E848" s="1"/>
      <c r="F848" s="1"/>
      <c r="G848" s="1"/>
      <c r="H848" s="1"/>
      <c r="I848" s="22"/>
      <c r="J848" s="1"/>
      <c r="K848" s="1"/>
      <c r="L848" s="1"/>
      <c r="M848" s="1"/>
      <c r="N848" s="1"/>
      <c r="P848" s="1"/>
      <c r="Q848" s="1"/>
      <c r="R848" s="1"/>
      <c r="S848" s="1"/>
      <c r="T848" s="1"/>
      <c r="U848" s="1"/>
      <c r="V848" s="1"/>
      <c r="W848" s="1"/>
    </row>
    <row r="849" spans="1:23">
      <c r="A849" s="2"/>
      <c r="B849" s="211"/>
      <c r="C849" s="1"/>
      <c r="D849" s="1"/>
      <c r="E849" s="1"/>
      <c r="F849" s="1"/>
      <c r="G849" s="1"/>
      <c r="H849" s="1"/>
      <c r="I849" s="22"/>
      <c r="J849" s="1"/>
      <c r="K849" s="1"/>
      <c r="L849" s="1"/>
      <c r="M849" s="1"/>
      <c r="N849" s="1"/>
      <c r="P849" s="1"/>
      <c r="Q849" s="1"/>
      <c r="R849" s="1"/>
      <c r="S849" s="1"/>
      <c r="T849" s="1"/>
      <c r="U849" s="1"/>
      <c r="V849" s="1"/>
      <c r="W849" s="1"/>
    </row>
    <row r="850" spans="1:23">
      <c r="A850" s="2"/>
      <c r="B850" s="211"/>
      <c r="C850" s="1"/>
      <c r="D850" s="1"/>
      <c r="E850" s="1"/>
      <c r="F850" s="1"/>
      <c r="G850" s="1"/>
      <c r="H850" s="1"/>
      <c r="I850" s="22"/>
      <c r="J850" s="1"/>
      <c r="K850" s="1"/>
      <c r="L850" s="1"/>
      <c r="M850" s="1"/>
      <c r="N850" s="1"/>
      <c r="P850" s="1"/>
      <c r="Q850" s="1"/>
      <c r="R850" s="1"/>
      <c r="S850" s="1"/>
      <c r="T850" s="1"/>
      <c r="U850" s="1"/>
      <c r="V850" s="1"/>
      <c r="W850" s="1"/>
    </row>
    <row r="851" spans="1:23">
      <c r="A851" s="2"/>
      <c r="B851" s="211"/>
      <c r="C851" s="1"/>
      <c r="D851" s="1"/>
      <c r="E851" s="1"/>
      <c r="F851" s="1"/>
      <c r="G851" s="1"/>
      <c r="H851" s="1"/>
      <c r="I851" s="22"/>
      <c r="J851" s="1"/>
      <c r="K851" s="1"/>
      <c r="L851" s="1"/>
      <c r="M851" s="1"/>
      <c r="N851" s="1"/>
      <c r="P851" s="1"/>
      <c r="Q851" s="1"/>
      <c r="R851" s="1"/>
      <c r="S851" s="1"/>
      <c r="T851" s="1"/>
      <c r="U851" s="1"/>
      <c r="V851" s="1"/>
      <c r="W851" s="1"/>
    </row>
    <row r="852" spans="1:23">
      <c r="A852" s="2"/>
      <c r="B852" s="211"/>
      <c r="C852" s="1"/>
      <c r="D852" s="1"/>
      <c r="E852" s="1"/>
      <c r="F852" s="1"/>
      <c r="G852" s="1"/>
      <c r="H852" s="1"/>
      <c r="I852" s="22"/>
      <c r="J852" s="1"/>
      <c r="K852" s="1"/>
      <c r="L852" s="1"/>
      <c r="M852" s="1"/>
      <c r="N852" s="1"/>
      <c r="P852" s="1"/>
      <c r="Q852" s="1"/>
      <c r="R852" s="1"/>
      <c r="S852" s="1"/>
      <c r="T852" s="1"/>
      <c r="U852" s="1"/>
      <c r="V852" s="1"/>
      <c r="W852" s="1"/>
    </row>
    <row r="853" spans="1:23">
      <c r="A853" s="2"/>
      <c r="B853" s="211"/>
      <c r="C853" s="1"/>
      <c r="D853" s="1"/>
      <c r="E853" s="1"/>
      <c r="F853" s="1"/>
      <c r="G853" s="1"/>
      <c r="H853" s="1"/>
      <c r="I853" s="22"/>
      <c r="J853" s="1"/>
      <c r="K853" s="1"/>
      <c r="L853" s="1"/>
      <c r="M853" s="1"/>
      <c r="N853" s="1"/>
      <c r="P853" s="1"/>
      <c r="Q853" s="1"/>
      <c r="R853" s="1"/>
      <c r="S853" s="1"/>
      <c r="T853" s="1"/>
      <c r="U853" s="1"/>
      <c r="V853" s="1"/>
      <c r="W853" s="1"/>
    </row>
    <row r="854" spans="1:23">
      <c r="A854" s="2"/>
      <c r="B854" s="211"/>
      <c r="C854" s="1"/>
      <c r="D854" s="1"/>
      <c r="E854" s="1"/>
      <c r="F854" s="1"/>
      <c r="G854" s="1"/>
      <c r="H854" s="1"/>
      <c r="I854" s="22"/>
      <c r="J854" s="1"/>
      <c r="K854" s="1"/>
      <c r="L854" s="1"/>
      <c r="M854" s="1"/>
      <c r="N854" s="1"/>
      <c r="P854" s="1"/>
      <c r="Q854" s="1"/>
      <c r="R854" s="1"/>
      <c r="S854" s="1"/>
      <c r="T854" s="1"/>
      <c r="U854" s="1"/>
      <c r="V854" s="1"/>
      <c r="W854" s="1"/>
    </row>
    <row r="855" spans="1:23">
      <c r="A855" s="2"/>
      <c r="B855" s="211"/>
      <c r="C855" s="1"/>
      <c r="D855" s="1"/>
      <c r="E855" s="1"/>
      <c r="F855" s="1"/>
      <c r="G855" s="1"/>
      <c r="H855" s="1"/>
      <c r="I855" s="22"/>
      <c r="J855" s="1"/>
      <c r="K855" s="1"/>
      <c r="L855" s="1"/>
      <c r="M855" s="1"/>
      <c r="N855" s="1"/>
      <c r="P855" s="1"/>
      <c r="Q855" s="1"/>
      <c r="R855" s="1"/>
      <c r="S855" s="1"/>
      <c r="T855" s="1"/>
      <c r="U855" s="1"/>
      <c r="V855" s="1"/>
      <c r="W855" s="1"/>
    </row>
    <row r="856" spans="1:23">
      <c r="A856" s="2"/>
      <c r="B856" s="211"/>
      <c r="C856" s="1"/>
      <c r="D856" s="1"/>
      <c r="E856" s="1"/>
      <c r="F856" s="1"/>
      <c r="G856" s="1"/>
      <c r="H856" s="1"/>
      <c r="I856" s="22"/>
      <c r="J856" s="1"/>
      <c r="K856" s="1"/>
      <c r="L856" s="1"/>
      <c r="M856" s="1"/>
      <c r="N856" s="1"/>
      <c r="P856" s="1"/>
      <c r="Q856" s="1"/>
      <c r="R856" s="1"/>
      <c r="S856" s="1"/>
      <c r="T856" s="1"/>
      <c r="U856" s="1"/>
      <c r="V856" s="1"/>
      <c r="W856" s="1"/>
    </row>
    <row r="857" spans="1:23">
      <c r="A857" s="2"/>
      <c r="B857" s="211"/>
      <c r="C857" s="1"/>
      <c r="D857" s="1"/>
      <c r="E857" s="1"/>
      <c r="F857" s="1"/>
      <c r="G857" s="1"/>
      <c r="H857" s="1"/>
      <c r="I857" s="22"/>
      <c r="J857" s="1"/>
      <c r="K857" s="1"/>
      <c r="L857" s="1"/>
      <c r="M857" s="1"/>
      <c r="N857" s="1"/>
      <c r="P857" s="1"/>
      <c r="Q857" s="1"/>
      <c r="R857" s="1"/>
      <c r="S857" s="1"/>
      <c r="T857" s="1"/>
      <c r="U857" s="1"/>
      <c r="V857" s="1"/>
      <c r="W857" s="1"/>
    </row>
    <row r="858" spans="1:23">
      <c r="A858" s="2"/>
      <c r="B858" s="211"/>
      <c r="C858" s="1"/>
      <c r="D858" s="1"/>
      <c r="E858" s="1"/>
      <c r="F858" s="1"/>
      <c r="G858" s="1"/>
      <c r="H858" s="1"/>
      <c r="I858" s="22"/>
      <c r="J858" s="1"/>
      <c r="K858" s="1"/>
      <c r="L858" s="1"/>
      <c r="M858" s="1"/>
      <c r="N858" s="1"/>
      <c r="P858" s="1"/>
      <c r="Q858" s="1"/>
      <c r="R858" s="1"/>
      <c r="S858" s="1"/>
      <c r="T858" s="1"/>
      <c r="U858" s="1"/>
      <c r="V858" s="1"/>
      <c r="W858" s="1"/>
    </row>
    <row r="859" spans="1:23">
      <c r="A859" s="2"/>
      <c r="B859" s="211"/>
      <c r="C859" s="1"/>
      <c r="D859" s="1"/>
      <c r="E859" s="1"/>
      <c r="F859" s="1"/>
      <c r="G859" s="1"/>
      <c r="H859" s="1"/>
      <c r="I859" s="22"/>
      <c r="J859" s="1"/>
      <c r="K859" s="1"/>
      <c r="L859" s="1"/>
      <c r="M859" s="1"/>
      <c r="N859" s="1"/>
      <c r="P859" s="1"/>
      <c r="Q859" s="1"/>
      <c r="R859" s="1"/>
      <c r="S859" s="1"/>
      <c r="T859" s="1"/>
      <c r="U859" s="1"/>
      <c r="V859" s="1"/>
      <c r="W859" s="1"/>
    </row>
    <row r="860" spans="1:23">
      <c r="A860" s="2"/>
      <c r="B860" s="211"/>
      <c r="C860" s="1"/>
      <c r="D860" s="1"/>
      <c r="E860" s="1"/>
      <c r="F860" s="1"/>
      <c r="G860" s="1"/>
      <c r="H860" s="1"/>
      <c r="I860" s="22"/>
      <c r="J860" s="1"/>
      <c r="K860" s="1"/>
      <c r="L860" s="1"/>
      <c r="M860" s="1"/>
      <c r="N860" s="1"/>
      <c r="P860" s="1"/>
      <c r="Q860" s="1"/>
      <c r="R860" s="1"/>
      <c r="S860" s="1"/>
      <c r="T860" s="1"/>
      <c r="U860" s="1"/>
      <c r="V860" s="1"/>
      <c r="W860" s="1"/>
    </row>
    <row r="861" spans="1:23">
      <c r="A861" s="2"/>
      <c r="B861" s="211"/>
      <c r="C861" s="1"/>
      <c r="D861" s="1"/>
      <c r="E861" s="1"/>
      <c r="F861" s="1"/>
      <c r="G861" s="1"/>
      <c r="H861" s="1"/>
      <c r="I861" s="22"/>
      <c r="J861" s="1"/>
      <c r="K861" s="1"/>
      <c r="L861" s="1"/>
      <c r="M861" s="1"/>
      <c r="N861" s="1"/>
      <c r="P861" s="1"/>
      <c r="Q861" s="1"/>
      <c r="R861" s="1"/>
      <c r="S861" s="1"/>
      <c r="T861" s="1"/>
      <c r="U861" s="1"/>
      <c r="V861" s="1"/>
      <c r="W861" s="1"/>
    </row>
    <row r="862" spans="1:23">
      <c r="A862" s="2"/>
      <c r="B862" s="211"/>
      <c r="C862" s="1"/>
      <c r="D862" s="1"/>
      <c r="E862" s="1"/>
      <c r="F862" s="1"/>
      <c r="G862" s="1"/>
      <c r="H862" s="1"/>
      <c r="I862" s="22"/>
      <c r="J862" s="1"/>
      <c r="K862" s="1"/>
      <c r="L862" s="1"/>
      <c r="M862" s="1"/>
      <c r="N862" s="1"/>
      <c r="P862" s="1"/>
      <c r="Q862" s="1"/>
      <c r="R862" s="1"/>
      <c r="S862" s="1"/>
      <c r="T862" s="1"/>
      <c r="U862" s="1"/>
      <c r="V862" s="1"/>
      <c r="W862" s="1"/>
    </row>
    <row r="863" spans="1:23">
      <c r="A863" s="2"/>
      <c r="B863" s="211"/>
      <c r="C863" s="1"/>
      <c r="D863" s="1"/>
      <c r="E863" s="1"/>
      <c r="F863" s="1"/>
      <c r="G863" s="1"/>
      <c r="H863" s="1"/>
      <c r="I863" s="22"/>
      <c r="J863" s="1"/>
      <c r="K863" s="1"/>
      <c r="L863" s="1"/>
      <c r="M863" s="1"/>
      <c r="N863" s="1"/>
      <c r="P863" s="1"/>
      <c r="Q863" s="1"/>
      <c r="R863" s="1"/>
      <c r="S863" s="1"/>
      <c r="T863" s="1"/>
      <c r="U863" s="1"/>
      <c r="V863" s="1"/>
      <c r="W863" s="1"/>
    </row>
    <row r="864" spans="1:23">
      <c r="A864" s="2"/>
      <c r="B864" s="211"/>
      <c r="C864" s="1"/>
      <c r="D864" s="1"/>
      <c r="E864" s="1"/>
      <c r="F864" s="1"/>
      <c r="G864" s="1"/>
      <c r="H864" s="1"/>
      <c r="I864" s="22"/>
      <c r="J864" s="1"/>
      <c r="K864" s="1"/>
      <c r="L864" s="1"/>
      <c r="M864" s="1"/>
      <c r="N864" s="1"/>
      <c r="P864" s="1"/>
      <c r="Q864" s="1"/>
      <c r="R864" s="1"/>
      <c r="S864" s="1"/>
      <c r="T864" s="1"/>
      <c r="U864" s="1"/>
      <c r="V864" s="1"/>
      <c r="W864" s="1"/>
    </row>
    <row r="865" spans="1:23">
      <c r="A865" s="2"/>
      <c r="B865" s="211"/>
      <c r="C865" s="1"/>
      <c r="D865" s="1"/>
      <c r="E865" s="1"/>
      <c r="F865" s="1"/>
      <c r="G865" s="1"/>
      <c r="H865" s="1"/>
      <c r="I865" s="22"/>
      <c r="J865" s="1"/>
      <c r="K865" s="1"/>
      <c r="L865" s="1"/>
      <c r="M865" s="1"/>
      <c r="N865" s="1"/>
      <c r="P865" s="1"/>
      <c r="Q865" s="1"/>
      <c r="R865" s="1"/>
      <c r="S865" s="1"/>
      <c r="T865" s="1"/>
      <c r="U865" s="1"/>
      <c r="V865" s="1"/>
      <c r="W865" s="1"/>
    </row>
    <row r="866" spans="1:23">
      <c r="A866" s="2"/>
      <c r="B866" s="211"/>
      <c r="C866" s="1"/>
      <c r="D866" s="1"/>
      <c r="E866" s="1"/>
      <c r="F866" s="1"/>
      <c r="G866" s="1"/>
      <c r="H866" s="1"/>
      <c r="I866" s="22"/>
      <c r="J866" s="1"/>
      <c r="K866" s="1"/>
      <c r="L866" s="1"/>
      <c r="M866" s="1"/>
      <c r="N866" s="1"/>
      <c r="P866" s="1"/>
      <c r="Q866" s="1"/>
      <c r="R866" s="1"/>
      <c r="S866" s="1"/>
      <c r="T866" s="1"/>
      <c r="U866" s="1"/>
      <c r="V866" s="1"/>
      <c r="W866" s="1"/>
    </row>
    <row r="867" spans="1:23">
      <c r="A867" s="2"/>
      <c r="B867" s="211"/>
      <c r="C867" s="1"/>
      <c r="D867" s="1"/>
      <c r="E867" s="1"/>
      <c r="F867" s="1"/>
      <c r="G867" s="1"/>
      <c r="H867" s="1"/>
      <c r="I867" s="22"/>
      <c r="J867" s="1"/>
      <c r="K867" s="1"/>
      <c r="L867" s="1"/>
      <c r="M867" s="1"/>
      <c r="N867" s="1"/>
      <c r="P867" s="1"/>
      <c r="Q867" s="1"/>
      <c r="R867" s="1"/>
      <c r="S867" s="1"/>
      <c r="T867" s="1"/>
      <c r="U867" s="1"/>
      <c r="V867" s="1"/>
      <c r="W867" s="1"/>
    </row>
    <row r="868" spans="1:23">
      <c r="A868" s="2"/>
      <c r="B868" s="211"/>
      <c r="C868" s="1"/>
      <c r="D868" s="1"/>
      <c r="E868" s="1"/>
      <c r="F868" s="1"/>
      <c r="G868" s="1"/>
      <c r="H868" s="1"/>
      <c r="I868" s="22"/>
      <c r="J868" s="1"/>
      <c r="K868" s="1"/>
      <c r="L868" s="1"/>
      <c r="M868" s="1"/>
      <c r="N868" s="1"/>
      <c r="P868" s="1"/>
      <c r="Q868" s="1"/>
      <c r="R868" s="1"/>
      <c r="S868" s="1"/>
      <c r="T868" s="1"/>
      <c r="U868" s="1"/>
      <c r="V868" s="1"/>
      <c r="W868" s="1"/>
    </row>
    <row r="869" spans="1:23">
      <c r="A869" s="2"/>
      <c r="B869" s="211"/>
      <c r="C869" s="1"/>
      <c r="D869" s="1"/>
      <c r="E869" s="1"/>
      <c r="F869" s="1"/>
      <c r="G869" s="1"/>
      <c r="H869" s="1"/>
      <c r="I869" s="22"/>
      <c r="J869" s="1"/>
      <c r="K869" s="1"/>
      <c r="L869" s="1"/>
      <c r="M869" s="1"/>
      <c r="N869" s="1"/>
      <c r="P869" s="1"/>
      <c r="Q869" s="1"/>
      <c r="R869" s="1"/>
      <c r="S869" s="1"/>
      <c r="T869" s="1"/>
      <c r="U869" s="1"/>
      <c r="V869" s="1"/>
      <c r="W869" s="1"/>
    </row>
    <row r="870" spans="1:23">
      <c r="A870" s="2"/>
      <c r="B870" s="211"/>
      <c r="C870" s="1"/>
      <c r="D870" s="1"/>
      <c r="E870" s="1"/>
      <c r="F870" s="1"/>
      <c r="G870" s="1"/>
      <c r="H870" s="1"/>
      <c r="I870" s="22"/>
      <c r="J870" s="1"/>
      <c r="K870" s="1"/>
      <c r="L870" s="1"/>
      <c r="M870" s="1"/>
      <c r="N870" s="1"/>
      <c r="P870" s="1"/>
      <c r="Q870" s="1"/>
      <c r="R870" s="1"/>
      <c r="S870" s="1"/>
      <c r="T870" s="1"/>
      <c r="U870" s="1"/>
      <c r="V870" s="1"/>
      <c r="W870" s="1"/>
    </row>
    <row r="871" spans="1:23">
      <c r="A871" s="2"/>
      <c r="B871" s="211"/>
      <c r="C871" s="1"/>
      <c r="D871" s="1"/>
      <c r="E871" s="1"/>
      <c r="F871" s="1"/>
      <c r="G871" s="1"/>
      <c r="H871" s="1"/>
      <c r="I871" s="22"/>
      <c r="J871" s="1"/>
      <c r="K871" s="1"/>
      <c r="L871" s="1"/>
      <c r="M871" s="1"/>
      <c r="N871" s="1"/>
      <c r="P871" s="1"/>
      <c r="Q871" s="1"/>
      <c r="R871" s="1"/>
      <c r="S871" s="1"/>
      <c r="T871" s="1"/>
      <c r="U871" s="1"/>
      <c r="V871" s="1"/>
      <c r="W871" s="1"/>
    </row>
    <row r="872" spans="1:23">
      <c r="A872" s="2"/>
      <c r="B872" s="211"/>
      <c r="C872" s="1"/>
      <c r="D872" s="1"/>
      <c r="E872" s="1"/>
      <c r="F872" s="1"/>
      <c r="G872" s="1"/>
      <c r="H872" s="1"/>
      <c r="I872" s="22"/>
      <c r="J872" s="1"/>
      <c r="K872" s="1"/>
      <c r="L872" s="1"/>
      <c r="M872" s="1"/>
      <c r="N872" s="1"/>
      <c r="P872" s="1"/>
      <c r="Q872" s="1"/>
      <c r="R872" s="1"/>
      <c r="S872" s="1"/>
      <c r="T872" s="1"/>
      <c r="U872" s="1"/>
      <c r="V872" s="1"/>
      <c r="W872" s="1"/>
    </row>
    <row r="873" spans="1:23">
      <c r="A873" s="2"/>
      <c r="B873" s="211"/>
      <c r="C873" s="1"/>
      <c r="D873" s="1"/>
      <c r="E873" s="1"/>
      <c r="F873" s="1"/>
      <c r="G873" s="1"/>
      <c r="H873" s="1"/>
      <c r="I873" s="22"/>
      <c r="J873" s="1"/>
      <c r="K873" s="1"/>
      <c r="L873" s="1"/>
      <c r="M873" s="1"/>
      <c r="N873" s="1"/>
      <c r="P873" s="1"/>
      <c r="Q873" s="1"/>
      <c r="R873" s="1"/>
      <c r="S873" s="1"/>
      <c r="T873" s="1"/>
      <c r="U873" s="1"/>
      <c r="V873" s="1"/>
      <c r="W873" s="1"/>
    </row>
    <row r="874" spans="1:23">
      <c r="A874" s="2"/>
      <c r="B874" s="211"/>
      <c r="C874" s="1"/>
      <c r="D874" s="1"/>
      <c r="E874" s="1"/>
      <c r="F874" s="1"/>
      <c r="G874" s="1"/>
      <c r="H874" s="1"/>
      <c r="I874" s="22"/>
      <c r="J874" s="1"/>
      <c r="K874" s="1"/>
      <c r="L874" s="1"/>
      <c r="M874" s="1"/>
      <c r="N874" s="1"/>
      <c r="P874" s="1"/>
      <c r="Q874" s="1"/>
      <c r="R874" s="1"/>
      <c r="S874" s="1"/>
      <c r="T874" s="1"/>
      <c r="U874" s="1"/>
      <c r="V874" s="1"/>
      <c r="W874" s="1"/>
    </row>
    <row r="875" spans="1:23">
      <c r="A875" s="2"/>
      <c r="B875" s="211"/>
      <c r="C875" s="1"/>
      <c r="D875" s="1"/>
      <c r="E875" s="1"/>
      <c r="F875" s="1"/>
      <c r="G875" s="1"/>
      <c r="H875" s="1"/>
      <c r="I875" s="22"/>
      <c r="J875" s="1"/>
      <c r="K875" s="1"/>
      <c r="L875" s="1"/>
      <c r="M875" s="1"/>
      <c r="N875" s="1"/>
      <c r="P875" s="1"/>
      <c r="Q875" s="1"/>
      <c r="R875" s="1"/>
      <c r="S875" s="1"/>
      <c r="T875" s="1"/>
      <c r="U875" s="1"/>
      <c r="V875" s="1"/>
      <c r="W875" s="1"/>
    </row>
    <row r="876" spans="1:23">
      <c r="A876" s="2"/>
      <c r="B876" s="211"/>
      <c r="C876" s="1"/>
      <c r="D876" s="1"/>
      <c r="E876" s="1"/>
      <c r="F876" s="1"/>
      <c r="G876" s="1"/>
      <c r="H876" s="1"/>
      <c r="I876" s="22"/>
      <c r="J876" s="1"/>
      <c r="K876" s="1"/>
      <c r="L876" s="1"/>
      <c r="M876" s="1"/>
      <c r="N876" s="1"/>
      <c r="P876" s="1"/>
      <c r="Q876" s="1"/>
      <c r="R876" s="1"/>
      <c r="S876" s="1"/>
      <c r="T876" s="1"/>
      <c r="U876" s="1"/>
      <c r="V876" s="1"/>
      <c r="W876" s="1"/>
    </row>
    <row r="877" spans="1:23">
      <c r="A877" s="2"/>
      <c r="B877" s="211"/>
      <c r="C877" s="1"/>
      <c r="D877" s="1"/>
      <c r="E877" s="1"/>
      <c r="F877" s="1"/>
      <c r="G877" s="1"/>
      <c r="H877" s="1"/>
      <c r="I877" s="22"/>
      <c r="J877" s="1"/>
      <c r="K877" s="1"/>
      <c r="L877" s="1"/>
      <c r="M877" s="1"/>
      <c r="N877" s="1"/>
      <c r="P877" s="1"/>
      <c r="Q877" s="1"/>
      <c r="R877" s="1"/>
      <c r="S877" s="1"/>
      <c r="T877" s="1"/>
      <c r="U877" s="1"/>
      <c r="V877" s="1"/>
      <c r="W877" s="1"/>
    </row>
    <row r="878" spans="1:23">
      <c r="A878" s="2"/>
      <c r="B878" s="211"/>
      <c r="C878" s="1"/>
      <c r="D878" s="1"/>
      <c r="E878" s="1"/>
      <c r="F878" s="1"/>
      <c r="G878" s="1"/>
      <c r="H878" s="1"/>
      <c r="I878" s="22"/>
      <c r="J878" s="1"/>
      <c r="K878" s="1"/>
      <c r="L878" s="1"/>
      <c r="M878" s="1"/>
      <c r="N878" s="1"/>
      <c r="P878" s="1"/>
      <c r="Q878" s="1"/>
      <c r="R878" s="1"/>
      <c r="S878" s="1"/>
      <c r="T878" s="1"/>
      <c r="U878" s="1"/>
      <c r="V878" s="1"/>
      <c r="W878" s="1"/>
    </row>
    <row r="879" spans="1:23">
      <c r="A879" s="2"/>
      <c r="B879" s="211"/>
      <c r="C879" s="1"/>
      <c r="D879" s="1"/>
      <c r="E879" s="1"/>
      <c r="F879" s="1"/>
      <c r="G879" s="1"/>
      <c r="H879" s="1"/>
      <c r="I879" s="22"/>
      <c r="J879" s="1"/>
      <c r="K879" s="1"/>
      <c r="L879" s="1"/>
      <c r="M879" s="1"/>
      <c r="N879" s="1"/>
      <c r="P879" s="1"/>
      <c r="Q879" s="1"/>
      <c r="R879" s="1"/>
      <c r="S879" s="1"/>
      <c r="T879" s="1"/>
      <c r="U879" s="1"/>
      <c r="V879" s="1"/>
      <c r="W879" s="1"/>
    </row>
    <row r="880" spans="1:23">
      <c r="A880" s="2"/>
      <c r="B880" s="211"/>
      <c r="C880" s="1"/>
      <c r="D880" s="1"/>
      <c r="E880" s="1"/>
      <c r="F880" s="1"/>
      <c r="G880" s="1"/>
      <c r="H880" s="1"/>
      <c r="I880" s="22"/>
      <c r="J880" s="1"/>
      <c r="K880" s="1"/>
      <c r="L880" s="1"/>
      <c r="M880" s="1"/>
      <c r="N880" s="1"/>
      <c r="P880" s="1"/>
      <c r="Q880" s="1"/>
      <c r="R880" s="1"/>
      <c r="S880" s="1"/>
      <c r="T880" s="1"/>
      <c r="U880" s="1"/>
      <c r="V880" s="1"/>
      <c r="W880" s="1"/>
    </row>
    <row r="881" spans="1:23">
      <c r="A881" s="2"/>
      <c r="B881" s="211"/>
      <c r="C881" s="1"/>
      <c r="D881" s="1"/>
      <c r="E881" s="1"/>
      <c r="F881" s="1"/>
      <c r="G881" s="1"/>
      <c r="H881" s="1"/>
      <c r="I881" s="22"/>
      <c r="J881" s="1"/>
      <c r="K881" s="1"/>
      <c r="L881" s="1"/>
      <c r="M881" s="1"/>
      <c r="N881" s="1"/>
      <c r="P881" s="1"/>
      <c r="Q881" s="1"/>
      <c r="R881" s="1"/>
      <c r="S881" s="1"/>
      <c r="T881" s="1"/>
      <c r="U881" s="1"/>
      <c r="V881" s="1"/>
      <c r="W881" s="1"/>
    </row>
    <row r="882" spans="1:23">
      <c r="A882" s="2"/>
      <c r="B882" s="211"/>
      <c r="C882" s="1"/>
      <c r="D882" s="1"/>
      <c r="E882" s="1"/>
      <c r="F882" s="1"/>
      <c r="G882" s="1"/>
      <c r="H882" s="1"/>
      <c r="I882" s="22"/>
      <c r="J882" s="1"/>
      <c r="K882" s="1"/>
      <c r="L882" s="1"/>
      <c r="M882" s="1"/>
      <c r="N882" s="1"/>
      <c r="P882" s="1"/>
      <c r="Q882" s="1"/>
      <c r="R882" s="1"/>
      <c r="S882" s="1"/>
      <c r="T882" s="1"/>
      <c r="U882" s="1"/>
      <c r="V882" s="1"/>
      <c r="W882" s="1"/>
    </row>
    <row r="883" spans="1:23">
      <c r="A883" s="2"/>
      <c r="B883" s="211"/>
      <c r="C883" s="1"/>
      <c r="D883" s="1"/>
      <c r="E883" s="1"/>
      <c r="F883" s="1"/>
      <c r="G883" s="1"/>
      <c r="H883" s="1"/>
      <c r="I883" s="22"/>
      <c r="J883" s="1"/>
      <c r="K883" s="1"/>
      <c r="L883" s="1"/>
      <c r="M883" s="1"/>
      <c r="N883" s="1"/>
      <c r="P883" s="1"/>
      <c r="Q883" s="1"/>
      <c r="R883" s="1"/>
      <c r="S883" s="1"/>
      <c r="T883" s="1"/>
      <c r="U883" s="1"/>
      <c r="V883" s="1"/>
      <c r="W883" s="1"/>
    </row>
    <row r="884" spans="1:23">
      <c r="A884" s="2"/>
      <c r="B884" s="211"/>
      <c r="C884" s="1"/>
      <c r="D884" s="1"/>
      <c r="E884" s="1"/>
      <c r="F884" s="1"/>
      <c r="G884" s="1"/>
      <c r="H884" s="1"/>
      <c r="I884" s="22"/>
      <c r="J884" s="1"/>
      <c r="K884" s="1"/>
      <c r="L884" s="1"/>
      <c r="M884" s="1"/>
      <c r="N884" s="1"/>
      <c r="P884" s="1"/>
      <c r="Q884" s="1"/>
      <c r="R884" s="1"/>
      <c r="S884" s="1"/>
      <c r="T884" s="1"/>
      <c r="U884" s="1"/>
      <c r="V884" s="1"/>
      <c r="W884" s="1"/>
    </row>
    <row r="885" spans="1:23">
      <c r="A885" s="2"/>
      <c r="B885" s="211"/>
      <c r="C885" s="1"/>
      <c r="D885" s="1"/>
      <c r="E885" s="1"/>
      <c r="F885" s="1"/>
      <c r="G885" s="1"/>
      <c r="H885" s="1"/>
      <c r="I885" s="22"/>
      <c r="J885" s="1"/>
      <c r="K885" s="1"/>
      <c r="L885" s="1"/>
      <c r="M885" s="1"/>
      <c r="N885" s="1"/>
      <c r="P885" s="1"/>
      <c r="Q885" s="1"/>
      <c r="R885" s="1"/>
      <c r="S885" s="1"/>
      <c r="T885" s="1"/>
      <c r="U885" s="1"/>
      <c r="V885" s="1"/>
      <c r="W885" s="1"/>
    </row>
    <row r="886" spans="1:23">
      <c r="A886" s="2"/>
      <c r="B886" s="211"/>
      <c r="C886" s="1"/>
      <c r="D886" s="1"/>
      <c r="E886" s="1"/>
      <c r="F886" s="1"/>
      <c r="G886" s="1"/>
      <c r="H886" s="1"/>
      <c r="I886" s="22"/>
      <c r="J886" s="1"/>
      <c r="K886" s="1"/>
      <c r="L886" s="1"/>
      <c r="M886" s="1"/>
      <c r="N886" s="1"/>
      <c r="P886" s="1"/>
      <c r="Q886" s="1"/>
      <c r="R886" s="1"/>
      <c r="S886" s="1"/>
      <c r="T886" s="1"/>
      <c r="U886" s="1"/>
      <c r="V886" s="1"/>
      <c r="W886" s="1"/>
    </row>
    <row r="887" spans="1:23">
      <c r="A887" s="2"/>
      <c r="B887" s="211"/>
      <c r="C887" s="1"/>
      <c r="D887" s="1"/>
      <c r="E887" s="1"/>
      <c r="F887" s="1"/>
      <c r="G887" s="1"/>
      <c r="H887" s="1"/>
      <c r="I887" s="22"/>
      <c r="J887" s="1"/>
      <c r="K887" s="1"/>
      <c r="L887" s="1"/>
      <c r="M887" s="1"/>
      <c r="N887" s="1"/>
      <c r="P887" s="1"/>
      <c r="Q887" s="1"/>
      <c r="R887" s="1"/>
      <c r="S887" s="1"/>
      <c r="T887" s="1"/>
      <c r="U887" s="1"/>
      <c r="V887" s="1"/>
      <c r="W887" s="1"/>
    </row>
    <row r="888" spans="1:23">
      <c r="A888" s="2"/>
      <c r="B888" s="211"/>
      <c r="C888" s="1"/>
      <c r="D888" s="1"/>
      <c r="E888" s="1"/>
      <c r="F888" s="1"/>
      <c r="G888" s="1"/>
      <c r="H888" s="1"/>
      <c r="I888" s="22"/>
      <c r="J888" s="1"/>
      <c r="K888" s="1"/>
      <c r="L888" s="1"/>
      <c r="M888" s="1"/>
      <c r="N888" s="1"/>
      <c r="P888" s="1"/>
      <c r="Q888" s="1"/>
      <c r="R888" s="1"/>
      <c r="S888" s="1"/>
      <c r="T888" s="1"/>
      <c r="U888" s="1"/>
      <c r="V888" s="1"/>
      <c r="W888" s="1"/>
    </row>
    <row r="889" spans="1:23">
      <c r="A889" s="2"/>
      <c r="B889" s="211"/>
      <c r="C889" s="1"/>
      <c r="D889" s="1"/>
      <c r="E889" s="1"/>
      <c r="F889" s="1"/>
      <c r="G889" s="1"/>
      <c r="H889" s="1"/>
      <c r="I889" s="22"/>
      <c r="J889" s="1"/>
      <c r="K889" s="1"/>
      <c r="L889" s="1"/>
      <c r="M889" s="1"/>
      <c r="N889" s="1"/>
      <c r="P889" s="1"/>
      <c r="Q889" s="1"/>
      <c r="R889" s="1"/>
      <c r="S889" s="1"/>
      <c r="T889" s="1"/>
      <c r="U889" s="1"/>
      <c r="V889" s="1"/>
      <c r="W889" s="1"/>
    </row>
    <row r="890" spans="1:23">
      <c r="A890" s="2"/>
      <c r="B890" s="211"/>
      <c r="C890" s="1"/>
      <c r="D890" s="1"/>
      <c r="E890" s="1"/>
      <c r="F890" s="1"/>
      <c r="G890" s="1"/>
      <c r="H890" s="1"/>
      <c r="I890" s="22"/>
      <c r="J890" s="1"/>
      <c r="K890" s="1"/>
      <c r="L890" s="1"/>
      <c r="M890" s="1"/>
      <c r="N890" s="1"/>
      <c r="P890" s="1"/>
      <c r="Q890" s="1"/>
      <c r="R890" s="1"/>
      <c r="S890" s="1"/>
      <c r="T890" s="1"/>
      <c r="U890" s="1"/>
      <c r="V890" s="1"/>
      <c r="W890" s="1"/>
    </row>
    <row r="891" spans="1:23">
      <c r="A891" s="2"/>
      <c r="B891" s="211"/>
      <c r="C891" s="1"/>
      <c r="D891" s="1"/>
      <c r="E891" s="1"/>
      <c r="F891" s="1"/>
      <c r="G891" s="1"/>
      <c r="H891" s="1"/>
      <c r="I891" s="22"/>
      <c r="J891" s="1"/>
      <c r="K891" s="1"/>
      <c r="L891" s="1"/>
      <c r="M891" s="1"/>
      <c r="N891" s="1"/>
      <c r="P891" s="1"/>
      <c r="Q891" s="1"/>
      <c r="R891" s="1"/>
      <c r="S891" s="1"/>
      <c r="T891" s="1"/>
      <c r="U891" s="1"/>
      <c r="V891" s="1"/>
      <c r="W891" s="1"/>
    </row>
    <row r="892" spans="1:23">
      <c r="A892" s="2"/>
      <c r="B892" s="211"/>
      <c r="C892" s="1"/>
      <c r="D892" s="1"/>
      <c r="E892" s="1"/>
      <c r="F892" s="1"/>
      <c r="G892" s="1"/>
      <c r="H892" s="1"/>
      <c r="I892" s="22"/>
      <c r="J892" s="1"/>
      <c r="K892" s="1"/>
      <c r="L892" s="1"/>
      <c r="M892" s="1"/>
      <c r="N892" s="1"/>
      <c r="P892" s="1"/>
      <c r="Q892" s="1"/>
      <c r="R892" s="1"/>
      <c r="S892" s="1"/>
      <c r="T892" s="1"/>
      <c r="U892" s="1"/>
      <c r="V892" s="1"/>
      <c r="W892" s="1"/>
    </row>
    <row r="893" spans="1:23">
      <c r="A893" s="2"/>
      <c r="B893" s="211"/>
      <c r="C893" s="1"/>
      <c r="D893" s="1"/>
      <c r="E893" s="1"/>
      <c r="F893" s="1"/>
      <c r="G893" s="1"/>
      <c r="H893" s="1"/>
      <c r="I893" s="22"/>
      <c r="J893" s="1"/>
      <c r="K893" s="1"/>
      <c r="L893" s="1"/>
      <c r="M893" s="1"/>
      <c r="N893" s="1"/>
      <c r="P893" s="1"/>
      <c r="Q893" s="1"/>
      <c r="R893" s="1"/>
      <c r="S893" s="1"/>
      <c r="T893" s="1"/>
      <c r="U893" s="1"/>
      <c r="V893" s="1"/>
      <c r="W893" s="1"/>
    </row>
    <row r="894" spans="1:23">
      <c r="A894" s="2"/>
      <c r="B894" s="211"/>
      <c r="C894" s="1"/>
      <c r="D894" s="1"/>
      <c r="E894" s="1"/>
      <c r="F894" s="1"/>
      <c r="G894" s="1"/>
      <c r="H894" s="1"/>
      <c r="I894" s="22"/>
      <c r="J894" s="1"/>
      <c r="K894" s="1"/>
      <c r="L894" s="1"/>
      <c r="M894" s="1"/>
      <c r="N894" s="1"/>
      <c r="P894" s="1"/>
      <c r="Q894" s="1"/>
      <c r="R894" s="1"/>
      <c r="S894" s="1"/>
      <c r="T894" s="1"/>
      <c r="U894" s="1"/>
      <c r="V894" s="1"/>
      <c r="W894" s="1"/>
    </row>
    <row r="895" spans="1:23">
      <c r="A895" s="2"/>
      <c r="B895" s="211"/>
      <c r="C895" s="1"/>
      <c r="D895" s="1"/>
      <c r="E895" s="1"/>
      <c r="F895" s="1"/>
      <c r="G895" s="1"/>
      <c r="H895" s="1"/>
      <c r="I895" s="22"/>
      <c r="J895" s="1"/>
      <c r="K895" s="1"/>
      <c r="L895" s="1"/>
      <c r="M895" s="1"/>
      <c r="N895" s="1"/>
      <c r="P895" s="1"/>
      <c r="Q895" s="1"/>
      <c r="R895" s="1"/>
      <c r="S895" s="1"/>
      <c r="T895" s="1"/>
      <c r="U895" s="1"/>
      <c r="V895" s="1"/>
      <c r="W895" s="1"/>
    </row>
    <row r="896" spans="1:23">
      <c r="A896" s="2"/>
      <c r="B896" s="211"/>
      <c r="C896" s="1"/>
      <c r="D896" s="1"/>
      <c r="E896" s="1"/>
      <c r="F896" s="1"/>
      <c r="G896" s="1"/>
      <c r="H896" s="1"/>
      <c r="I896" s="22"/>
      <c r="J896" s="1"/>
      <c r="K896" s="1"/>
      <c r="L896" s="1"/>
      <c r="M896" s="1"/>
      <c r="N896" s="1"/>
      <c r="P896" s="1"/>
      <c r="Q896" s="1"/>
      <c r="R896" s="1"/>
      <c r="S896" s="1"/>
      <c r="T896" s="1"/>
      <c r="U896" s="1"/>
      <c r="V896" s="1"/>
      <c r="W896" s="1"/>
    </row>
    <row r="897" spans="1:23">
      <c r="A897" s="2"/>
      <c r="B897" s="211"/>
      <c r="C897" s="1"/>
      <c r="D897" s="1"/>
      <c r="E897" s="1"/>
      <c r="F897" s="1"/>
      <c r="G897" s="1"/>
      <c r="H897" s="1"/>
      <c r="I897" s="22"/>
      <c r="J897" s="1"/>
      <c r="K897" s="1"/>
      <c r="L897" s="1"/>
      <c r="M897" s="1"/>
      <c r="N897" s="1"/>
      <c r="P897" s="1"/>
      <c r="Q897" s="1"/>
      <c r="R897" s="1"/>
      <c r="S897" s="1"/>
      <c r="T897" s="1"/>
      <c r="U897" s="1"/>
      <c r="V897" s="1"/>
      <c r="W897" s="1"/>
    </row>
    <row r="898" spans="1:23">
      <c r="A898" s="2"/>
      <c r="B898" s="211"/>
      <c r="C898" s="1"/>
      <c r="D898" s="1"/>
      <c r="E898" s="1"/>
      <c r="F898" s="1"/>
      <c r="G898" s="1"/>
      <c r="H898" s="1"/>
      <c r="I898" s="22"/>
      <c r="J898" s="1"/>
      <c r="K898" s="1"/>
      <c r="L898" s="1"/>
      <c r="M898" s="1"/>
      <c r="N898" s="1"/>
      <c r="P898" s="1"/>
      <c r="Q898" s="1"/>
      <c r="R898" s="1"/>
      <c r="S898" s="1"/>
      <c r="T898" s="1"/>
      <c r="U898" s="1"/>
      <c r="V898" s="1"/>
      <c r="W898" s="1"/>
    </row>
    <row r="899" spans="1:23">
      <c r="A899" s="2"/>
      <c r="B899" s="211"/>
      <c r="C899" s="1"/>
      <c r="D899" s="1"/>
      <c r="E899" s="1"/>
      <c r="F899" s="1"/>
      <c r="G899" s="1"/>
      <c r="H899" s="1"/>
      <c r="I899" s="22"/>
      <c r="J899" s="1"/>
      <c r="K899" s="1"/>
      <c r="L899" s="1"/>
      <c r="M899" s="1"/>
      <c r="N899" s="1"/>
      <c r="P899" s="1"/>
      <c r="Q899" s="1"/>
      <c r="R899" s="1"/>
      <c r="S899" s="1"/>
      <c r="T899" s="1"/>
      <c r="U899" s="1"/>
      <c r="V899" s="1"/>
      <c r="W899" s="1"/>
    </row>
    <row r="900" spans="1:23">
      <c r="A900" s="2"/>
      <c r="B900" s="211"/>
      <c r="C900" s="1"/>
      <c r="D900" s="1"/>
      <c r="E900" s="1"/>
      <c r="F900" s="1"/>
      <c r="G900" s="1"/>
      <c r="H900" s="1"/>
      <c r="I900" s="22"/>
      <c r="J900" s="1"/>
      <c r="K900" s="1"/>
      <c r="L900" s="1"/>
      <c r="M900" s="1"/>
      <c r="N900" s="1"/>
      <c r="P900" s="1"/>
      <c r="Q900" s="1"/>
      <c r="R900" s="1"/>
      <c r="S900" s="1"/>
      <c r="T900" s="1"/>
      <c r="U900" s="1"/>
      <c r="V900" s="1"/>
      <c r="W900" s="1"/>
    </row>
    <row r="901" spans="1:23">
      <c r="A901" s="2"/>
      <c r="B901" s="211"/>
      <c r="C901" s="1"/>
      <c r="D901" s="1"/>
      <c r="E901" s="1"/>
      <c r="F901" s="1"/>
      <c r="G901" s="1"/>
      <c r="H901" s="1"/>
      <c r="I901" s="22"/>
      <c r="J901" s="1"/>
      <c r="K901" s="1"/>
      <c r="L901" s="1"/>
      <c r="M901" s="1"/>
      <c r="N901" s="1"/>
      <c r="P901" s="1"/>
      <c r="Q901" s="1"/>
      <c r="R901" s="1"/>
      <c r="S901" s="1"/>
      <c r="T901" s="1"/>
      <c r="U901" s="1"/>
      <c r="V901" s="1"/>
      <c r="W901" s="1"/>
    </row>
    <row r="902" spans="1:23">
      <c r="A902" s="2"/>
      <c r="B902" s="211"/>
      <c r="C902" s="1"/>
      <c r="D902" s="1"/>
      <c r="E902" s="1"/>
      <c r="F902" s="1"/>
      <c r="G902" s="1"/>
      <c r="H902" s="1"/>
      <c r="I902" s="22"/>
      <c r="J902" s="1"/>
      <c r="K902" s="1"/>
      <c r="L902" s="1"/>
      <c r="M902" s="1"/>
      <c r="N902" s="1"/>
      <c r="P902" s="1"/>
      <c r="Q902" s="1"/>
      <c r="R902" s="1"/>
      <c r="S902" s="1"/>
      <c r="T902" s="1"/>
      <c r="U902" s="1"/>
      <c r="V902" s="1"/>
      <c r="W902" s="1"/>
    </row>
    <row r="903" spans="1:23">
      <c r="A903" s="2"/>
      <c r="B903" s="211"/>
      <c r="C903" s="1"/>
      <c r="D903" s="1"/>
      <c r="E903" s="1"/>
      <c r="F903" s="1"/>
      <c r="G903" s="1"/>
      <c r="H903" s="1"/>
      <c r="I903" s="22"/>
      <c r="J903" s="1"/>
      <c r="K903" s="1"/>
      <c r="L903" s="1"/>
      <c r="M903" s="1"/>
      <c r="N903" s="1"/>
      <c r="P903" s="1"/>
      <c r="Q903" s="1"/>
      <c r="R903" s="1"/>
      <c r="S903" s="1"/>
      <c r="T903" s="1"/>
      <c r="U903" s="1"/>
      <c r="V903" s="1"/>
      <c r="W903" s="1"/>
    </row>
    <row r="904" spans="1:23">
      <c r="A904" s="2"/>
      <c r="B904" s="211"/>
      <c r="C904" s="1"/>
      <c r="D904" s="1"/>
      <c r="E904" s="1"/>
      <c r="F904" s="1"/>
      <c r="G904" s="1"/>
      <c r="H904" s="1"/>
      <c r="I904" s="22"/>
      <c r="J904" s="1"/>
      <c r="K904" s="1"/>
      <c r="L904" s="1"/>
      <c r="M904" s="1"/>
      <c r="N904" s="1"/>
      <c r="P904" s="1"/>
      <c r="Q904" s="1"/>
      <c r="R904" s="1"/>
      <c r="S904" s="1"/>
      <c r="T904" s="1"/>
      <c r="U904" s="1"/>
      <c r="V904" s="1"/>
      <c r="W904" s="1"/>
    </row>
    <row r="905" spans="1:23">
      <c r="A905" s="2"/>
      <c r="B905" s="211"/>
      <c r="C905" s="1"/>
      <c r="D905" s="1"/>
      <c r="E905" s="1"/>
      <c r="F905" s="1"/>
      <c r="G905" s="1"/>
      <c r="H905" s="1"/>
      <c r="I905" s="22"/>
      <c r="J905" s="1"/>
      <c r="K905" s="1"/>
      <c r="L905" s="1"/>
      <c r="M905" s="1"/>
      <c r="N905" s="1"/>
      <c r="P905" s="1"/>
      <c r="Q905" s="1"/>
      <c r="R905" s="1"/>
      <c r="S905" s="1"/>
      <c r="T905" s="1"/>
      <c r="U905" s="1"/>
      <c r="V905" s="1"/>
      <c r="W905" s="1"/>
    </row>
    <row r="906" spans="1:23">
      <c r="A906" s="2"/>
      <c r="B906" s="211"/>
      <c r="C906" s="1"/>
      <c r="D906" s="1"/>
      <c r="E906" s="1"/>
      <c r="F906" s="1"/>
      <c r="G906" s="1"/>
      <c r="H906" s="1"/>
      <c r="I906" s="22"/>
      <c r="J906" s="1"/>
      <c r="K906" s="1"/>
      <c r="L906" s="1"/>
      <c r="M906" s="1"/>
      <c r="N906" s="1"/>
      <c r="P906" s="1"/>
      <c r="Q906" s="1"/>
      <c r="R906" s="1"/>
      <c r="S906" s="1"/>
      <c r="T906" s="1"/>
      <c r="U906" s="1"/>
      <c r="V906" s="1"/>
      <c r="W906" s="1"/>
    </row>
    <row r="907" spans="1:23">
      <c r="A907" s="2"/>
      <c r="B907" s="211"/>
      <c r="C907" s="1"/>
      <c r="D907" s="1"/>
      <c r="E907" s="1"/>
      <c r="F907" s="1"/>
      <c r="G907" s="1"/>
      <c r="H907" s="1"/>
      <c r="I907" s="22"/>
      <c r="J907" s="1"/>
      <c r="K907" s="1"/>
      <c r="L907" s="1"/>
      <c r="M907" s="1"/>
      <c r="N907" s="1"/>
      <c r="P907" s="1"/>
      <c r="Q907" s="1"/>
      <c r="R907" s="1"/>
      <c r="S907" s="1"/>
      <c r="T907" s="1"/>
      <c r="U907" s="1"/>
      <c r="V907" s="1"/>
      <c r="W907" s="1"/>
    </row>
    <row r="908" spans="1:23">
      <c r="A908" s="2"/>
      <c r="B908" s="211"/>
      <c r="C908" s="1"/>
      <c r="D908" s="1"/>
      <c r="E908" s="1"/>
      <c r="F908" s="1"/>
      <c r="G908" s="1"/>
      <c r="H908" s="1"/>
      <c r="I908" s="22"/>
      <c r="J908" s="1"/>
      <c r="K908" s="1"/>
      <c r="L908" s="1"/>
      <c r="M908" s="1"/>
      <c r="N908" s="1"/>
      <c r="P908" s="1"/>
      <c r="Q908" s="1"/>
      <c r="R908" s="1"/>
      <c r="S908" s="1"/>
      <c r="T908" s="1"/>
      <c r="U908" s="1"/>
      <c r="V908" s="1"/>
      <c r="W908" s="1"/>
    </row>
    <row r="909" spans="1:23">
      <c r="A909" s="2"/>
      <c r="B909" s="211"/>
      <c r="C909" s="1"/>
      <c r="D909" s="1"/>
      <c r="E909" s="1"/>
      <c r="F909" s="1"/>
      <c r="G909" s="1"/>
      <c r="H909" s="1"/>
      <c r="I909" s="22"/>
      <c r="J909" s="1"/>
      <c r="K909" s="1"/>
      <c r="L909" s="1"/>
      <c r="M909" s="1"/>
      <c r="N909" s="1"/>
      <c r="P909" s="1"/>
      <c r="Q909" s="1"/>
      <c r="R909" s="1"/>
      <c r="S909" s="1"/>
      <c r="T909" s="1"/>
      <c r="U909" s="1"/>
      <c r="V909" s="1"/>
      <c r="W909" s="1"/>
    </row>
    <row r="910" spans="1:23">
      <c r="A910" s="2"/>
      <c r="B910" s="211"/>
      <c r="C910" s="1"/>
      <c r="D910" s="1"/>
      <c r="E910" s="1"/>
      <c r="F910" s="1"/>
      <c r="G910" s="1"/>
      <c r="H910" s="1"/>
      <c r="I910" s="22"/>
      <c r="J910" s="1"/>
      <c r="K910" s="1"/>
      <c r="L910" s="1"/>
      <c r="M910" s="1"/>
      <c r="N910" s="1"/>
      <c r="P910" s="1"/>
      <c r="Q910" s="1"/>
      <c r="R910" s="1"/>
      <c r="S910" s="1"/>
      <c r="T910" s="1"/>
      <c r="U910" s="1"/>
      <c r="V910" s="1"/>
      <c r="W910" s="1"/>
    </row>
    <row r="911" spans="1:23">
      <c r="A911" s="2"/>
      <c r="B911" s="211"/>
      <c r="C911" s="1"/>
      <c r="D911" s="1"/>
      <c r="E911" s="1"/>
      <c r="F911" s="1"/>
      <c r="G911" s="1"/>
      <c r="H911" s="1"/>
      <c r="I911" s="22"/>
      <c r="J911" s="1"/>
      <c r="K911" s="1"/>
      <c r="L911" s="1"/>
      <c r="M911" s="1"/>
      <c r="N911" s="1"/>
      <c r="P911" s="1"/>
      <c r="Q911" s="1"/>
      <c r="R911" s="1"/>
      <c r="S911" s="1"/>
      <c r="T911" s="1"/>
      <c r="U911" s="1"/>
      <c r="V911" s="1"/>
      <c r="W911" s="1"/>
    </row>
    <row r="912" spans="1:23">
      <c r="A912" s="2"/>
      <c r="B912" s="211"/>
      <c r="C912" s="1"/>
      <c r="D912" s="1"/>
      <c r="E912" s="1"/>
      <c r="F912" s="1"/>
      <c r="G912" s="1"/>
      <c r="H912" s="1"/>
      <c r="I912" s="22"/>
      <c r="J912" s="1"/>
      <c r="K912" s="1"/>
      <c r="L912" s="1"/>
      <c r="M912" s="1"/>
      <c r="N912" s="1"/>
      <c r="P912" s="1"/>
      <c r="Q912" s="1"/>
      <c r="R912" s="1"/>
      <c r="S912" s="1"/>
      <c r="T912" s="1"/>
      <c r="U912" s="1"/>
      <c r="V912" s="1"/>
      <c r="W912" s="1"/>
    </row>
    <row r="913" spans="1:23">
      <c r="A913" s="2"/>
      <c r="B913" s="211"/>
      <c r="C913" s="1"/>
      <c r="D913" s="1"/>
      <c r="E913" s="1"/>
      <c r="F913" s="1"/>
      <c r="G913" s="1"/>
      <c r="H913" s="1"/>
      <c r="I913" s="22"/>
      <c r="J913" s="1"/>
      <c r="K913" s="1"/>
      <c r="L913" s="1"/>
      <c r="M913" s="1"/>
      <c r="N913" s="1"/>
      <c r="P913" s="1"/>
      <c r="Q913" s="1"/>
      <c r="R913" s="1"/>
      <c r="S913" s="1"/>
      <c r="T913" s="1"/>
      <c r="U913" s="1"/>
      <c r="V913" s="1"/>
      <c r="W913" s="1"/>
    </row>
    <row r="914" spans="1:23">
      <c r="A914" s="2"/>
      <c r="B914" s="211"/>
      <c r="C914" s="1"/>
      <c r="D914" s="1"/>
      <c r="E914" s="1"/>
      <c r="F914" s="1"/>
      <c r="G914" s="1"/>
      <c r="H914" s="1"/>
      <c r="I914" s="22"/>
      <c r="J914" s="1"/>
      <c r="K914" s="1"/>
      <c r="L914" s="1"/>
      <c r="M914" s="1"/>
      <c r="N914" s="1"/>
      <c r="P914" s="1"/>
      <c r="Q914" s="1"/>
      <c r="R914" s="1"/>
      <c r="S914" s="1"/>
      <c r="T914" s="1"/>
      <c r="U914" s="1"/>
      <c r="V914" s="1"/>
      <c r="W914" s="1"/>
    </row>
    <row r="915" spans="1:23">
      <c r="A915" s="2"/>
      <c r="B915" s="211"/>
      <c r="C915" s="1"/>
      <c r="D915" s="1"/>
      <c r="E915" s="1"/>
      <c r="F915" s="1"/>
      <c r="G915" s="1"/>
      <c r="H915" s="1"/>
      <c r="I915" s="22"/>
      <c r="J915" s="1"/>
      <c r="K915" s="1"/>
      <c r="L915" s="1"/>
      <c r="M915" s="1"/>
      <c r="N915" s="1"/>
      <c r="P915" s="1"/>
      <c r="Q915" s="1"/>
      <c r="R915" s="1"/>
      <c r="S915" s="1"/>
      <c r="T915" s="1"/>
      <c r="U915" s="1"/>
      <c r="V915" s="1"/>
      <c r="W915" s="1"/>
    </row>
    <row r="916" spans="1:23">
      <c r="A916" s="2"/>
      <c r="B916" s="211"/>
      <c r="C916" s="1"/>
      <c r="D916" s="1"/>
      <c r="E916" s="1"/>
      <c r="F916" s="1"/>
      <c r="G916" s="1"/>
      <c r="H916" s="1"/>
      <c r="I916" s="22"/>
      <c r="J916" s="1"/>
      <c r="K916" s="1"/>
      <c r="L916" s="1"/>
      <c r="M916" s="1"/>
      <c r="N916" s="1"/>
      <c r="P916" s="1"/>
      <c r="Q916" s="1"/>
      <c r="R916" s="1"/>
      <c r="S916" s="1"/>
      <c r="T916" s="1"/>
      <c r="U916" s="1"/>
      <c r="V916" s="1"/>
      <c r="W916" s="1"/>
    </row>
    <row r="917" spans="1:23">
      <c r="A917" s="2"/>
      <c r="B917" s="211"/>
      <c r="C917" s="1"/>
      <c r="D917" s="1"/>
      <c r="E917" s="1"/>
      <c r="F917" s="1"/>
      <c r="G917" s="1"/>
      <c r="H917" s="1"/>
      <c r="I917" s="22"/>
      <c r="J917" s="1"/>
      <c r="K917" s="1"/>
      <c r="L917" s="1"/>
      <c r="M917" s="1"/>
      <c r="N917" s="1"/>
      <c r="P917" s="1"/>
      <c r="Q917" s="1"/>
      <c r="R917" s="1"/>
      <c r="S917" s="1"/>
      <c r="T917" s="1"/>
      <c r="U917" s="1"/>
      <c r="V917" s="1"/>
      <c r="W917" s="1"/>
    </row>
    <row r="918" spans="1:23">
      <c r="A918" s="2"/>
      <c r="B918" s="211"/>
      <c r="C918" s="1"/>
      <c r="D918" s="1"/>
      <c r="E918" s="1"/>
      <c r="F918" s="1"/>
      <c r="G918" s="1"/>
      <c r="H918" s="1"/>
      <c r="I918" s="22"/>
      <c r="J918" s="1"/>
      <c r="K918" s="1"/>
      <c r="L918" s="1"/>
      <c r="M918" s="1"/>
      <c r="N918" s="1"/>
      <c r="P918" s="1"/>
      <c r="Q918" s="1"/>
      <c r="R918" s="1"/>
      <c r="S918" s="1"/>
      <c r="T918" s="1"/>
      <c r="U918" s="1"/>
      <c r="V918" s="1"/>
      <c r="W918" s="1"/>
    </row>
    <row r="919" spans="1:23">
      <c r="A919" s="2"/>
      <c r="B919" s="211"/>
      <c r="C919" s="1"/>
      <c r="D919" s="1"/>
      <c r="E919" s="1"/>
      <c r="F919" s="1"/>
      <c r="G919" s="1"/>
      <c r="H919" s="1"/>
      <c r="I919" s="22"/>
      <c r="J919" s="1"/>
      <c r="K919" s="1"/>
      <c r="L919" s="1"/>
      <c r="M919" s="1"/>
      <c r="N919" s="1"/>
      <c r="P919" s="1"/>
      <c r="Q919" s="1"/>
      <c r="R919" s="1"/>
      <c r="S919" s="1"/>
      <c r="T919" s="1"/>
      <c r="U919" s="1"/>
      <c r="V919" s="1"/>
      <c r="W919" s="1"/>
    </row>
    <row r="920" spans="1:23">
      <c r="A920" s="2"/>
      <c r="B920" s="211"/>
      <c r="C920" s="1"/>
      <c r="D920" s="1"/>
      <c r="E920" s="1"/>
      <c r="F920" s="1"/>
      <c r="G920" s="1"/>
      <c r="H920" s="1"/>
      <c r="I920" s="22"/>
      <c r="J920" s="1"/>
      <c r="K920" s="1"/>
      <c r="L920" s="1"/>
      <c r="M920" s="1"/>
      <c r="N920" s="1"/>
      <c r="P920" s="1"/>
      <c r="Q920" s="1"/>
      <c r="R920" s="1"/>
      <c r="S920" s="1"/>
      <c r="T920" s="1"/>
      <c r="U920" s="1"/>
      <c r="V920" s="1"/>
      <c r="W920" s="1"/>
    </row>
    <row r="921" spans="1:23">
      <c r="A921" s="2"/>
      <c r="B921" s="211"/>
      <c r="C921" s="1"/>
      <c r="D921" s="1"/>
      <c r="E921" s="1"/>
      <c r="F921" s="1"/>
      <c r="G921" s="1"/>
      <c r="H921" s="1"/>
      <c r="I921" s="22"/>
      <c r="J921" s="1"/>
      <c r="K921" s="1"/>
      <c r="L921" s="1"/>
      <c r="M921" s="1"/>
      <c r="N921" s="1"/>
      <c r="P921" s="1"/>
      <c r="Q921" s="1"/>
      <c r="R921" s="1"/>
      <c r="S921" s="1"/>
      <c r="T921" s="1"/>
      <c r="U921" s="1"/>
      <c r="V921" s="1"/>
      <c r="W921" s="1"/>
    </row>
    <row r="922" spans="1:23">
      <c r="A922" s="2"/>
      <c r="B922" s="211"/>
      <c r="C922" s="1"/>
      <c r="D922" s="1"/>
      <c r="E922" s="1"/>
      <c r="F922" s="1"/>
      <c r="G922" s="1"/>
      <c r="H922" s="1"/>
      <c r="I922" s="22"/>
      <c r="J922" s="1"/>
      <c r="K922" s="1"/>
      <c r="L922" s="1"/>
      <c r="M922" s="1"/>
      <c r="N922" s="1"/>
      <c r="P922" s="1"/>
      <c r="Q922" s="1"/>
      <c r="R922" s="1"/>
      <c r="S922" s="1"/>
      <c r="T922" s="1"/>
      <c r="U922" s="1"/>
      <c r="V922" s="1"/>
      <c r="W922" s="1"/>
    </row>
    <row r="923" spans="1:23">
      <c r="A923" s="2"/>
      <c r="B923" s="211"/>
      <c r="C923" s="1"/>
      <c r="D923" s="1"/>
      <c r="E923" s="1"/>
      <c r="F923" s="1"/>
      <c r="G923" s="1"/>
      <c r="H923" s="1"/>
      <c r="I923" s="22"/>
      <c r="J923" s="1"/>
      <c r="K923" s="1"/>
      <c r="L923" s="1"/>
      <c r="M923" s="1"/>
      <c r="N923" s="1"/>
      <c r="P923" s="1"/>
      <c r="Q923" s="1"/>
      <c r="R923" s="1"/>
      <c r="S923" s="1"/>
      <c r="T923" s="1"/>
      <c r="U923" s="1"/>
      <c r="V923" s="1"/>
      <c r="W923" s="1"/>
    </row>
    <row r="924" spans="1:23">
      <c r="A924" s="2"/>
      <c r="B924" s="211"/>
      <c r="C924" s="1"/>
      <c r="D924" s="1"/>
      <c r="E924" s="1"/>
      <c r="F924" s="1"/>
      <c r="G924" s="1"/>
      <c r="H924" s="1"/>
      <c r="I924" s="22"/>
      <c r="J924" s="1"/>
      <c r="K924" s="1"/>
      <c r="L924" s="1"/>
      <c r="M924" s="1"/>
      <c r="N924" s="1"/>
      <c r="P924" s="1"/>
      <c r="Q924" s="1"/>
      <c r="R924" s="1"/>
      <c r="S924" s="1"/>
      <c r="T924" s="1"/>
      <c r="U924" s="1"/>
      <c r="V924" s="1"/>
      <c r="W924" s="1"/>
    </row>
  </sheetData>
  <autoFilter ref="A3:AD451" xr:uid="{00000000-0009-0000-0000-000000000000}"/>
  <phoneticPr fontId="7" type="noConversion"/>
  <pageMargins left="0.25" right="0.25" top="0.75" bottom="0.75" header="0.3" footer="0.3"/>
  <pageSetup paperSize="9" scale="1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T145"/>
  <sheetViews>
    <sheetView workbookViewId="0">
      <pane ySplit="6" topLeftCell="A133" activePane="bottomLeft" state="frozen"/>
      <selection pane="bottomLeft" activeCell="D136" sqref="D136"/>
    </sheetView>
  </sheetViews>
  <sheetFormatPr defaultRowHeight="16.5"/>
  <cols>
    <col min="1" max="1" width="11.5" style="30" customWidth="1"/>
    <col min="2" max="2" width="20.25" style="30" customWidth="1"/>
    <col min="3" max="3" width="54.5" style="39" customWidth="1"/>
    <col min="4" max="4" width="17.125" style="33" customWidth="1"/>
    <col min="5" max="5" width="20.875" style="33" customWidth="1"/>
    <col min="6" max="6" width="21.625" style="34" customWidth="1"/>
    <col min="7" max="7" width="21.75" style="35" customWidth="1"/>
    <col min="8" max="8" width="11.5" style="36" customWidth="1"/>
    <col min="9" max="9" width="20.25" style="36" customWidth="1"/>
    <col min="10" max="10" width="30.25" style="35" customWidth="1"/>
    <col min="11" max="11" width="39.75" style="39" customWidth="1"/>
    <col min="12" max="12" width="15.25" style="30" customWidth="1"/>
    <col min="13" max="13" width="10.625" style="30" bestFit="1" customWidth="1"/>
    <col min="14" max="14" width="10" style="30"/>
    <col min="15" max="15" width="12" style="30" customWidth="1"/>
    <col min="16" max="16384" width="9" style="30"/>
  </cols>
  <sheetData>
    <row r="1" spans="1:13" ht="20.25" customHeight="1">
      <c r="B1" s="31" t="s">
        <v>49</v>
      </c>
      <c r="C1" s="32"/>
      <c r="I1" s="37" t="s">
        <v>50</v>
      </c>
      <c r="J1" s="38" t="s">
        <v>51</v>
      </c>
      <c r="K1" s="32" t="s">
        <v>52</v>
      </c>
    </row>
    <row r="2" spans="1:13" ht="20.25" customHeight="1">
      <c r="E2" s="40"/>
      <c r="F2" s="41" t="s">
        <v>53</v>
      </c>
      <c r="H2" s="42" t="s">
        <v>54</v>
      </c>
      <c r="I2" s="42"/>
      <c r="K2" s="30" t="s">
        <v>55</v>
      </c>
    </row>
    <row r="3" spans="1:13" ht="20.25" customHeight="1">
      <c r="A3" s="43" t="s">
        <v>56</v>
      </c>
      <c r="B3" s="43"/>
      <c r="C3" s="44"/>
      <c r="D3" s="45"/>
      <c r="E3" s="46"/>
    </row>
    <row r="4" spans="1:13" ht="20.25" customHeight="1">
      <c r="E4" s="40"/>
      <c r="K4" s="47" t="s">
        <v>57</v>
      </c>
    </row>
    <row r="5" spans="1:13" ht="20.25" customHeight="1">
      <c r="E5" s="40"/>
      <c r="F5" s="33"/>
      <c r="K5" s="39" t="s">
        <v>58</v>
      </c>
    </row>
    <row r="6" spans="1:13" s="33" customFormat="1" ht="20.25" customHeight="1">
      <c r="A6" s="37" t="s">
        <v>59</v>
      </c>
      <c r="B6" s="37" t="s">
        <v>60</v>
      </c>
      <c r="C6" s="37" t="s">
        <v>61</v>
      </c>
      <c r="D6" s="37" t="s">
        <v>62</v>
      </c>
      <c r="E6" s="48" t="s">
        <v>63</v>
      </c>
      <c r="F6" s="49" t="s">
        <v>64</v>
      </c>
      <c r="G6" s="38" t="s">
        <v>65</v>
      </c>
      <c r="H6" s="36" t="s">
        <v>66</v>
      </c>
      <c r="I6" s="36"/>
      <c r="J6" s="38" t="s">
        <v>67</v>
      </c>
      <c r="K6" s="37" t="s">
        <v>68</v>
      </c>
      <c r="L6" s="50" t="s">
        <v>69</v>
      </c>
      <c r="M6" s="37" t="s">
        <v>70</v>
      </c>
    </row>
    <row r="7" spans="1:13" s="33" customFormat="1" ht="20.25" customHeight="1">
      <c r="A7" s="37"/>
      <c r="B7" s="37"/>
      <c r="C7" s="37"/>
      <c r="D7" s="37"/>
      <c r="E7" s="48"/>
      <c r="F7" s="49"/>
      <c r="G7" s="38"/>
      <c r="H7" s="36"/>
      <c r="I7" s="36"/>
      <c r="J7" s="38"/>
      <c r="K7" s="37"/>
      <c r="L7" s="37"/>
    </row>
    <row r="8" spans="1:13" s="60" customFormat="1" ht="20.25" customHeight="1">
      <c r="A8" s="51"/>
      <c r="B8" s="52"/>
      <c r="C8" s="53"/>
      <c r="D8" s="54"/>
      <c r="E8" s="55"/>
      <c r="F8" s="56"/>
      <c r="G8" s="57"/>
      <c r="H8" s="58"/>
      <c r="I8" s="58"/>
      <c r="J8" s="57"/>
      <c r="K8" s="59"/>
    </row>
    <row r="9" spans="1:13" s="71" customFormat="1" ht="20.25" customHeight="1">
      <c r="A9" s="61" t="s">
        <v>104</v>
      </c>
      <c r="B9" s="62" t="s">
        <v>103</v>
      </c>
      <c r="C9" s="63" t="s">
        <v>97</v>
      </c>
      <c r="D9" s="62" t="s">
        <v>105</v>
      </c>
      <c r="E9" s="64" t="s">
        <v>98</v>
      </c>
      <c r="F9" s="65" t="s">
        <v>106</v>
      </c>
      <c r="G9" s="66" t="s">
        <v>107</v>
      </c>
      <c r="H9" s="67" t="s">
        <v>95</v>
      </c>
      <c r="I9" s="68"/>
      <c r="J9" s="69" t="s">
        <v>108</v>
      </c>
      <c r="K9" s="70"/>
    </row>
    <row r="10" spans="1:13" s="60" customFormat="1" ht="19.5" customHeight="1">
      <c r="A10" s="60" t="s">
        <v>109</v>
      </c>
      <c r="C10" s="59"/>
      <c r="D10" s="54"/>
      <c r="E10" s="54"/>
      <c r="F10" s="56"/>
      <c r="G10" s="57"/>
      <c r="H10" s="58"/>
      <c r="I10" s="58"/>
      <c r="J10" s="57"/>
      <c r="K10" s="59"/>
    </row>
    <row r="11" spans="1:13" s="72" customFormat="1" ht="19.5" customHeight="1">
      <c r="C11" s="73"/>
      <c r="D11" s="74"/>
      <c r="E11" s="74"/>
      <c r="F11" s="75"/>
      <c r="G11" s="76"/>
      <c r="H11" s="77"/>
      <c r="I11" s="77"/>
      <c r="J11" s="76"/>
      <c r="K11" s="73"/>
    </row>
    <row r="12" spans="1:13" s="72" customFormat="1" ht="19.5" customHeight="1">
      <c r="C12" s="78" t="s">
        <v>111</v>
      </c>
      <c r="D12" s="74"/>
      <c r="E12" s="74"/>
      <c r="F12" s="75"/>
      <c r="G12" s="76"/>
      <c r="H12" s="77"/>
      <c r="I12" s="77"/>
      <c r="J12" s="76"/>
      <c r="K12" s="73"/>
    </row>
    <row r="13" spans="1:13" s="81" customFormat="1" ht="19.5" customHeight="1">
      <c r="A13" s="79" t="s">
        <v>110</v>
      </c>
      <c r="B13" s="80" t="s">
        <v>77</v>
      </c>
      <c r="D13" s="81" t="s">
        <v>94</v>
      </c>
      <c r="E13" s="82" t="s">
        <v>112</v>
      </c>
      <c r="F13" s="83"/>
      <c r="G13" s="76">
        <v>42916</v>
      </c>
      <c r="H13" s="84" t="s">
        <v>76</v>
      </c>
      <c r="I13" s="85"/>
      <c r="J13" s="76">
        <v>42915</v>
      </c>
      <c r="K13" s="86" t="s">
        <v>113</v>
      </c>
    </row>
    <row r="14" spans="1:13" s="90" customFormat="1" ht="19.5" customHeight="1">
      <c r="A14" s="87" t="s">
        <v>110</v>
      </c>
      <c r="B14" s="88" t="s">
        <v>77</v>
      </c>
      <c r="C14" s="89" t="s">
        <v>114</v>
      </c>
      <c r="D14" s="90" t="s">
        <v>94</v>
      </c>
      <c r="E14" s="91" t="s">
        <v>115</v>
      </c>
      <c r="F14" s="83"/>
      <c r="G14" s="76">
        <v>42916</v>
      </c>
      <c r="H14" s="84" t="s">
        <v>76</v>
      </c>
      <c r="I14" s="92"/>
      <c r="J14" s="76">
        <v>42915</v>
      </c>
      <c r="K14" s="89" t="s">
        <v>113</v>
      </c>
    </row>
    <row r="15" spans="1:13" s="90" customFormat="1" ht="19.5" customHeight="1">
      <c r="A15" s="87" t="s">
        <v>116</v>
      </c>
      <c r="B15" s="88" t="s">
        <v>77</v>
      </c>
      <c r="C15" s="89" t="s">
        <v>85</v>
      </c>
      <c r="D15" s="90" t="s">
        <v>94</v>
      </c>
      <c r="E15" s="91" t="s">
        <v>117</v>
      </c>
      <c r="F15" s="83"/>
      <c r="G15" s="76">
        <v>42916</v>
      </c>
      <c r="H15" s="84" t="s">
        <v>76</v>
      </c>
      <c r="I15" s="92"/>
      <c r="J15" s="76">
        <v>42915</v>
      </c>
      <c r="K15" s="89" t="s">
        <v>113</v>
      </c>
    </row>
    <row r="16" spans="1:13" s="99" customFormat="1" ht="19.5" customHeight="1">
      <c r="A16" s="93" t="s">
        <v>118</v>
      </c>
      <c r="B16" s="94" t="s">
        <v>80</v>
      </c>
      <c r="C16" s="95" t="s">
        <v>119</v>
      </c>
      <c r="D16" s="90" t="s">
        <v>94</v>
      </c>
      <c r="E16" s="96" t="s">
        <v>120</v>
      </c>
      <c r="F16" s="83"/>
      <c r="G16" s="76">
        <v>42916</v>
      </c>
      <c r="H16" s="84" t="s">
        <v>76</v>
      </c>
      <c r="I16" s="97"/>
      <c r="J16" s="76">
        <v>42915</v>
      </c>
      <c r="K16" s="98" t="s">
        <v>113</v>
      </c>
    </row>
    <row r="17" spans="1:26" s="101" customFormat="1" ht="18" customHeight="1">
      <c r="A17" s="100" t="s">
        <v>121</v>
      </c>
      <c r="B17" s="101" t="s">
        <v>77</v>
      </c>
      <c r="C17" s="102" t="s">
        <v>122</v>
      </c>
      <c r="D17" s="101" t="s">
        <v>92</v>
      </c>
      <c r="E17" s="103" t="s">
        <v>123</v>
      </c>
      <c r="F17" s="101" t="s">
        <v>124</v>
      </c>
      <c r="G17" s="104">
        <v>42810</v>
      </c>
      <c r="H17" s="77" t="s">
        <v>76</v>
      </c>
      <c r="J17" s="105">
        <v>42440</v>
      </c>
      <c r="K17" s="106"/>
      <c r="L17" s="106"/>
      <c r="M17" s="107"/>
      <c r="N17" s="102"/>
      <c r="O17" s="102"/>
      <c r="Q17" s="102"/>
      <c r="S17" s="108"/>
      <c r="U17" s="109"/>
      <c r="V17" s="109"/>
      <c r="X17" s="102"/>
      <c r="Z17" s="102"/>
    </row>
    <row r="18" spans="1:26" s="101" customFormat="1" ht="21.75" customHeight="1">
      <c r="A18" s="100" t="s">
        <v>125</v>
      </c>
      <c r="B18" s="101" t="s">
        <v>126</v>
      </c>
      <c r="C18" s="102" t="s">
        <v>127</v>
      </c>
      <c r="D18" s="101" t="s">
        <v>73</v>
      </c>
      <c r="E18" s="103" t="s">
        <v>2196</v>
      </c>
      <c r="F18" s="101" t="s">
        <v>128</v>
      </c>
      <c r="G18" s="104">
        <v>43096</v>
      </c>
      <c r="H18" s="77" t="s">
        <v>76</v>
      </c>
      <c r="J18" s="105">
        <v>43091</v>
      </c>
      <c r="K18" s="106"/>
      <c r="L18" s="106"/>
      <c r="M18" s="107"/>
      <c r="N18" s="102"/>
      <c r="O18" s="102"/>
      <c r="Q18" s="102"/>
      <c r="S18" s="108"/>
      <c r="U18" s="109"/>
      <c r="V18" s="109"/>
      <c r="X18" s="102"/>
      <c r="Z18" s="102"/>
    </row>
    <row r="19" spans="1:26" s="121" customFormat="1" ht="21.75" customHeight="1">
      <c r="A19" s="110" t="s">
        <v>125</v>
      </c>
      <c r="B19" s="111" t="s">
        <v>126</v>
      </c>
      <c r="C19" s="112" t="s">
        <v>129</v>
      </c>
      <c r="D19" s="111" t="s">
        <v>73</v>
      </c>
      <c r="E19" s="113"/>
      <c r="F19" s="111" t="s">
        <v>130</v>
      </c>
      <c r="G19" s="114">
        <v>43467</v>
      </c>
      <c r="H19" s="115" t="s">
        <v>76</v>
      </c>
      <c r="I19" s="111"/>
      <c r="J19" s="116">
        <v>43462</v>
      </c>
      <c r="K19" s="117"/>
      <c r="L19" s="118"/>
      <c r="M19" s="119"/>
      <c r="N19" s="120"/>
      <c r="O19" s="120"/>
      <c r="Q19" s="120"/>
      <c r="S19" s="122"/>
      <c r="U19" s="123"/>
      <c r="V19" s="123"/>
      <c r="X19" s="120"/>
      <c r="Z19" s="120"/>
    </row>
    <row r="20" spans="1:26" s="72" customFormat="1" ht="20.25" customHeight="1">
      <c r="A20" s="100" t="s">
        <v>131</v>
      </c>
      <c r="B20" s="101" t="s">
        <v>82</v>
      </c>
      <c r="C20" s="102" t="s">
        <v>132</v>
      </c>
      <c r="D20" s="101" t="s">
        <v>72</v>
      </c>
      <c r="E20" s="103" t="s">
        <v>133</v>
      </c>
      <c r="F20" s="101" t="s">
        <v>134</v>
      </c>
      <c r="G20" s="104">
        <v>42936</v>
      </c>
      <c r="H20" s="124" t="s">
        <v>76</v>
      </c>
      <c r="I20" s="101"/>
      <c r="J20" s="105">
        <v>42886</v>
      </c>
      <c r="K20" s="106"/>
    </row>
    <row r="21" spans="1:26" s="72" customFormat="1" ht="20.25" customHeight="1">
      <c r="A21" s="93" t="s">
        <v>135</v>
      </c>
      <c r="B21" s="94" t="s">
        <v>77</v>
      </c>
      <c r="C21" s="95" t="s">
        <v>136</v>
      </c>
      <c r="D21" s="94" t="s">
        <v>137</v>
      </c>
      <c r="E21" s="125" t="s">
        <v>87</v>
      </c>
      <c r="F21" s="126" t="s">
        <v>138</v>
      </c>
      <c r="G21" s="127">
        <v>43038</v>
      </c>
      <c r="H21" s="128" t="s">
        <v>76</v>
      </c>
      <c r="I21" s="128"/>
      <c r="J21" s="127">
        <v>42951</v>
      </c>
      <c r="K21" s="73"/>
    </row>
    <row r="22" spans="1:26" s="72" customFormat="1" ht="20.25" customHeight="1">
      <c r="A22" s="93" t="s">
        <v>139</v>
      </c>
      <c r="B22" s="94" t="s">
        <v>77</v>
      </c>
      <c r="C22" s="95" t="s">
        <v>91</v>
      </c>
      <c r="D22" s="94" t="s">
        <v>92</v>
      </c>
      <c r="E22" s="125" t="s">
        <v>140</v>
      </c>
      <c r="F22" s="126" t="s">
        <v>141</v>
      </c>
      <c r="G22" s="127">
        <v>42977</v>
      </c>
      <c r="H22" s="128" t="s">
        <v>76</v>
      </c>
      <c r="I22" s="128"/>
      <c r="J22" s="127">
        <v>42972</v>
      </c>
      <c r="K22" s="73"/>
    </row>
    <row r="23" spans="1:26" s="72" customFormat="1" ht="20.25" customHeight="1">
      <c r="A23" s="93" t="s">
        <v>142</v>
      </c>
      <c r="B23" s="94" t="s">
        <v>77</v>
      </c>
      <c r="C23" s="95" t="s">
        <v>143</v>
      </c>
      <c r="D23" s="94" t="s">
        <v>92</v>
      </c>
      <c r="E23" s="125" t="s">
        <v>144</v>
      </c>
      <c r="F23" s="126" t="s">
        <v>145</v>
      </c>
      <c r="G23" s="127">
        <v>42977</v>
      </c>
      <c r="H23" s="128" t="s">
        <v>76</v>
      </c>
      <c r="I23" s="128"/>
      <c r="J23" s="127">
        <v>42972</v>
      </c>
      <c r="K23" s="73"/>
    </row>
    <row r="24" spans="1:26" s="72" customFormat="1" ht="20.25" customHeight="1">
      <c r="A24" s="93" t="s">
        <v>146</v>
      </c>
      <c r="B24" s="94" t="s">
        <v>77</v>
      </c>
      <c r="C24" s="95" t="s">
        <v>147</v>
      </c>
      <c r="D24" s="94" t="s">
        <v>92</v>
      </c>
      <c r="E24" s="125" t="s">
        <v>148</v>
      </c>
      <c r="F24" s="126" t="s">
        <v>149</v>
      </c>
      <c r="G24" s="127">
        <v>42977</v>
      </c>
      <c r="H24" s="128" t="s">
        <v>76</v>
      </c>
      <c r="I24" s="128"/>
      <c r="J24" s="127">
        <v>42972</v>
      </c>
      <c r="K24" s="73"/>
    </row>
    <row r="25" spans="1:26" s="129" customFormat="1" ht="20.25" customHeight="1">
      <c r="A25" s="93" t="s">
        <v>150</v>
      </c>
      <c r="B25" s="94" t="s">
        <v>77</v>
      </c>
      <c r="C25" s="95" t="s">
        <v>151</v>
      </c>
      <c r="D25" s="94" t="s">
        <v>92</v>
      </c>
      <c r="E25" s="125" t="s">
        <v>152</v>
      </c>
      <c r="F25" s="126" t="s">
        <v>153</v>
      </c>
      <c r="G25" s="127">
        <v>42977</v>
      </c>
      <c r="H25" s="128" t="s">
        <v>76</v>
      </c>
      <c r="I25" s="128"/>
      <c r="J25" s="127">
        <v>42972</v>
      </c>
      <c r="K25" s="73"/>
    </row>
    <row r="26" spans="1:26" s="72" customFormat="1" ht="20.25" customHeight="1">
      <c r="A26" s="93" t="s">
        <v>154</v>
      </c>
      <c r="B26" s="94" t="s">
        <v>155</v>
      </c>
      <c r="C26" s="95" t="s">
        <v>156</v>
      </c>
      <c r="D26" s="94" t="s">
        <v>74</v>
      </c>
      <c r="E26" s="125" t="s">
        <v>157</v>
      </c>
      <c r="F26" s="126" t="s">
        <v>158</v>
      </c>
      <c r="G26" s="127">
        <v>43186</v>
      </c>
      <c r="H26" s="128" t="s">
        <v>76</v>
      </c>
      <c r="I26" s="128"/>
      <c r="J26" s="127">
        <v>42964</v>
      </c>
      <c r="K26" s="73" t="s">
        <v>159</v>
      </c>
    </row>
    <row r="27" spans="1:26" s="72" customFormat="1" ht="20.25" customHeight="1">
      <c r="A27" s="93" t="s">
        <v>160</v>
      </c>
      <c r="B27" s="94" t="s">
        <v>82</v>
      </c>
      <c r="C27" s="95" t="s">
        <v>161</v>
      </c>
      <c r="D27" s="94" t="s">
        <v>162</v>
      </c>
      <c r="E27" s="125" t="s">
        <v>163</v>
      </c>
      <c r="F27" s="126" t="s">
        <v>164</v>
      </c>
      <c r="G27" s="127">
        <v>43201</v>
      </c>
      <c r="H27" s="128" t="s">
        <v>76</v>
      </c>
      <c r="I27" s="128"/>
      <c r="J27" s="127">
        <v>42951</v>
      </c>
      <c r="K27" s="73" t="s">
        <v>159</v>
      </c>
    </row>
    <row r="28" spans="1:26" s="72" customFormat="1" ht="19.5" customHeight="1">
      <c r="A28" s="93" t="s">
        <v>165</v>
      </c>
      <c r="B28" s="94" t="s">
        <v>77</v>
      </c>
      <c r="C28" s="95" t="s">
        <v>166</v>
      </c>
      <c r="D28" s="94" t="s">
        <v>92</v>
      </c>
      <c r="E28" s="125" t="s">
        <v>167</v>
      </c>
      <c r="F28" s="126" t="s">
        <v>168</v>
      </c>
      <c r="H28" s="128" t="s">
        <v>76</v>
      </c>
      <c r="I28" s="128"/>
      <c r="J28" s="127">
        <v>42972</v>
      </c>
      <c r="K28" s="73"/>
    </row>
    <row r="29" spans="1:26" ht="20.25" customHeight="1">
      <c r="A29" s="93" t="s">
        <v>169</v>
      </c>
      <c r="B29" s="94" t="s">
        <v>170</v>
      </c>
      <c r="C29" s="95" t="s">
        <v>171</v>
      </c>
      <c r="D29" s="94" t="s">
        <v>81</v>
      </c>
      <c r="E29" s="125" t="s">
        <v>172</v>
      </c>
      <c r="F29" s="126" t="s">
        <v>173</v>
      </c>
      <c r="G29" s="130">
        <v>42998</v>
      </c>
      <c r="H29" s="128" t="s">
        <v>76</v>
      </c>
      <c r="I29" s="128"/>
      <c r="J29" s="127">
        <v>42995</v>
      </c>
      <c r="K29" s="73"/>
    </row>
    <row r="30" spans="1:26" s="71" customFormat="1" ht="20.25" customHeight="1">
      <c r="A30" s="131" t="s">
        <v>174</v>
      </c>
      <c r="B30" s="62" t="s">
        <v>80</v>
      </c>
      <c r="C30" s="63" t="s">
        <v>99</v>
      </c>
      <c r="D30" s="62" t="s">
        <v>175</v>
      </c>
      <c r="E30" s="64" t="s">
        <v>176</v>
      </c>
      <c r="F30" s="132"/>
      <c r="G30" s="66">
        <v>42977</v>
      </c>
      <c r="H30" s="133" t="s">
        <v>95</v>
      </c>
      <c r="I30" s="133"/>
      <c r="J30" s="66"/>
      <c r="K30" s="70"/>
    </row>
    <row r="31" spans="1:26" s="71" customFormat="1" ht="20.25" customHeight="1">
      <c r="A31" s="61" t="s">
        <v>177</v>
      </c>
      <c r="B31" s="62" t="s">
        <v>71</v>
      </c>
      <c r="C31" s="63" t="s">
        <v>178</v>
      </c>
      <c r="D31" s="62" t="s">
        <v>175</v>
      </c>
      <c r="E31" s="64" t="s">
        <v>102</v>
      </c>
      <c r="F31" s="134"/>
      <c r="G31" s="66"/>
      <c r="H31" s="133" t="s">
        <v>352</v>
      </c>
      <c r="I31" s="135"/>
      <c r="J31" s="136"/>
      <c r="K31" s="70"/>
    </row>
    <row r="32" spans="1:26" s="72" customFormat="1" ht="20.25" customHeight="1">
      <c r="A32" s="93" t="s">
        <v>179</v>
      </c>
      <c r="B32" s="94" t="s">
        <v>80</v>
      </c>
      <c r="C32" s="95" t="s">
        <v>180</v>
      </c>
      <c r="D32" s="74" t="s">
        <v>78</v>
      </c>
      <c r="E32" s="125" t="s">
        <v>181</v>
      </c>
      <c r="F32" s="75" t="s">
        <v>182</v>
      </c>
      <c r="G32" s="76">
        <v>42949</v>
      </c>
      <c r="H32" s="128" t="s">
        <v>76</v>
      </c>
      <c r="I32" s="77"/>
      <c r="J32" s="76">
        <v>42944</v>
      </c>
      <c r="K32" s="73"/>
    </row>
    <row r="33" spans="1:11" s="72" customFormat="1" ht="20.25" customHeight="1">
      <c r="A33" s="93" t="s">
        <v>183</v>
      </c>
      <c r="B33" s="94" t="s">
        <v>80</v>
      </c>
      <c r="C33" s="95" t="s">
        <v>184</v>
      </c>
      <c r="D33" s="94" t="s">
        <v>84</v>
      </c>
      <c r="E33" s="125" t="s">
        <v>185</v>
      </c>
      <c r="F33" s="75" t="s">
        <v>186</v>
      </c>
      <c r="G33" s="76">
        <v>42997</v>
      </c>
      <c r="H33" s="128" t="s">
        <v>76</v>
      </c>
      <c r="I33" s="77"/>
      <c r="J33" s="76">
        <v>42964</v>
      </c>
      <c r="K33" s="73"/>
    </row>
    <row r="34" spans="1:11" ht="20.25" customHeight="1">
      <c r="A34" s="93" t="s">
        <v>187</v>
      </c>
      <c r="B34" s="94" t="s">
        <v>80</v>
      </c>
      <c r="C34" s="95" t="s">
        <v>188</v>
      </c>
      <c r="D34" s="74" t="s">
        <v>90</v>
      </c>
      <c r="E34" s="125" t="s">
        <v>189</v>
      </c>
      <c r="F34" s="75" t="s">
        <v>190</v>
      </c>
      <c r="G34" s="76">
        <v>42965</v>
      </c>
      <c r="H34" s="128" t="s">
        <v>76</v>
      </c>
      <c r="I34" s="77"/>
      <c r="J34" s="76">
        <v>42944</v>
      </c>
      <c r="K34" s="73"/>
    </row>
    <row r="35" spans="1:11" s="71" customFormat="1" ht="20.25" customHeight="1">
      <c r="A35" s="61" t="s">
        <v>191</v>
      </c>
      <c r="B35" s="62" t="s">
        <v>77</v>
      </c>
      <c r="C35" s="63" t="s">
        <v>99</v>
      </c>
      <c r="D35" s="62" t="s">
        <v>175</v>
      </c>
      <c r="E35" s="64" t="s">
        <v>192</v>
      </c>
      <c r="F35" s="134"/>
      <c r="G35" s="136"/>
      <c r="H35" s="133" t="s">
        <v>352</v>
      </c>
      <c r="I35" s="135"/>
      <c r="J35" s="136"/>
      <c r="K35" s="70"/>
    </row>
    <row r="36" spans="1:11" ht="20.25" customHeight="1">
      <c r="A36" s="93" t="s">
        <v>193</v>
      </c>
      <c r="B36" s="94" t="s">
        <v>77</v>
      </c>
      <c r="C36" s="95" t="s">
        <v>194</v>
      </c>
      <c r="D36" s="94" t="s">
        <v>78</v>
      </c>
      <c r="E36" s="125" t="s">
        <v>88</v>
      </c>
      <c r="F36" s="75" t="s">
        <v>195</v>
      </c>
      <c r="G36" s="76">
        <v>42999</v>
      </c>
      <c r="H36" s="128" t="s">
        <v>76</v>
      </c>
      <c r="I36" s="77"/>
      <c r="J36" s="76">
        <v>42999</v>
      </c>
      <c r="K36" s="73"/>
    </row>
    <row r="37" spans="1:11" s="72" customFormat="1" ht="20.25" customHeight="1">
      <c r="A37" s="100" t="s">
        <v>196</v>
      </c>
      <c r="B37" s="101" t="s">
        <v>77</v>
      </c>
      <c r="C37" s="102" t="s">
        <v>197</v>
      </c>
      <c r="D37" s="101" t="s">
        <v>78</v>
      </c>
      <c r="E37" s="103" t="s">
        <v>198</v>
      </c>
      <c r="F37" s="34" t="s">
        <v>199</v>
      </c>
      <c r="G37" s="35">
        <v>43032</v>
      </c>
      <c r="H37" s="124" t="s">
        <v>76</v>
      </c>
      <c r="I37" s="36"/>
      <c r="J37" s="35"/>
      <c r="K37" s="39"/>
    </row>
    <row r="38" spans="1:11" ht="20.25" customHeight="1">
      <c r="A38" s="93" t="s">
        <v>200</v>
      </c>
      <c r="B38" s="94" t="s">
        <v>77</v>
      </c>
      <c r="C38" s="95" t="s">
        <v>201</v>
      </c>
      <c r="D38" s="74" t="s">
        <v>202</v>
      </c>
      <c r="E38" s="125" t="s">
        <v>203</v>
      </c>
      <c r="F38" s="75" t="s">
        <v>204</v>
      </c>
      <c r="G38" s="76">
        <v>42955</v>
      </c>
      <c r="H38" s="128" t="s">
        <v>76</v>
      </c>
      <c r="I38" s="77"/>
      <c r="J38" s="76">
        <v>42951</v>
      </c>
      <c r="K38" s="73"/>
    </row>
    <row r="39" spans="1:11" s="137" customFormat="1" ht="20.25" customHeight="1">
      <c r="A39" s="100" t="s">
        <v>205</v>
      </c>
      <c r="B39" s="101" t="s">
        <v>77</v>
      </c>
      <c r="C39" s="102" t="s">
        <v>206</v>
      </c>
      <c r="D39" s="101" t="s">
        <v>92</v>
      </c>
      <c r="E39" s="103" t="s">
        <v>207</v>
      </c>
      <c r="F39" s="34" t="s">
        <v>208</v>
      </c>
      <c r="G39" s="35">
        <v>42997</v>
      </c>
      <c r="H39" s="124" t="s">
        <v>76</v>
      </c>
      <c r="I39" s="36"/>
      <c r="J39" s="35">
        <v>42990</v>
      </c>
      <c r="K39" s="39"/>
    </row>
    <row r="40" spans="1:11" ht="20.25" customHeight="1">
      <c r="A40" s="138" t="s">
        <v>209</v>
      </c>
      <c r="B40" s="139" t="s">
        <v>77</v>
      </c>
      <c r="C40" s="140" t="s">
        <v>210</v>
      </c>
      <c r="D40" s="139" t="s">
        <v>211</v>
      </c>
      <c r="E40" s="141" t="s">
        <v>212</v>
      </c>
      <c r="F40" s="142" t="s">
        <v>213</v>
      </c>
      <c r="G40" s="143">
        <v>43019</v>
      </c>
      <c r="H40" s="144" t="s">
        <v>76</v>
      </c>
      <c r="I40" s="145"/>
      <c r="J40" s="143">
        <v>42995</v>
      </c>
      <c r="K40" s="146"/>
    </row>
    <row r="41" spans="1:11" s="152" customFormat="1" ht="20.25" customHeight="1">
      <c r="A41" s="147" t="s">
        <v>214</v>
      </c>
      <c r="B41" s="148" t="s">
        <v>77</v>
      </c>
      <c r="C41" s="149" t="s">
        <v>215</v>
      </c>
      <c r="D41" s="148" t="s">
        <v>216</v>
      </c>
      <c r="E41" s="150" t="s">
        <v>217</v>
      </c>
      <c r="F41" s="34" t="s">
        <v>218</v>
      </c>
      <c r="G41" s="35"/>
      <c r="H41" s="151" t="s">
        <v>76</v>
      </c>
      <c r="I41" s="36"/>
      <c r="J41" s="35"/>
      <c r="K41" s="39"/>
    </row>
    <row r="42" spans="1:11" s="72" customFormat="1" ht="20.25" customHeight="1">
      <c r="A42" s="153" t="s">
        <v>214</v>
      </c>
      <c r="B42" s="154" t="s">
        <v>77</v>
      </c>
      <c r="C42" s="155" t="s">
        <v>215</v>
      </c>
      <c r="D42" s="154" t="s">
        <v>216</v>
      </c>
      <c r="E42" s="141"/>
      <c r="F42" s="142" t="s">
        <v>101</v>
      </c>
      <c r="G42" s="143">
        <v>43123</v>
      </c>
      <c r="H42" s="145" t="s">
        <v>76</v>
      </c>
      <c r="I42" s="145"/>
      <c r="J42" s="143">
        <v>43055</v>
      </c>
      <c r="K42" s="146"/>
    </row>
    <row r="43" spans="1:11" ht="20.25" customHeight="1">
      <c r="A43" s="156" t="s">
        <v>219</v>
      </c>
      <c r="B43" s="157" t="s">
        <v>77</v>
      </c>
      <c r="C43" s="158" t="s">
        <v>180</v>
      </c>
      <c r="D43" s="157" t="s">
        <v>78</v>
      </c>
      <c r="E43" s="159" t="s">
        <v>220</v>
      </c>
      <c r="F43" s="74" t="s">
        <v>221</v>
      </c>
      <c r="G43" s="76">
        <v>42999</v>
      </c>
      <c r="H43" s="77" t="s">
        <v>76</v>
      </c>
      <c r="I43" s="77"/>
      <c r="J43" s="76">
        <v>42999</v>
      </c>
      <c r="K43" s="73"/>
    </row>
    <row r="44" spans="1:11" ht="19.5" customHeight="1">
      <c r="A44" s="100" t="s">
        <v>222</v>
      </c>
      <c r="B44" s="101" t="s">
        <v>80</v>
      </c>
      <c r="C44" s="102" t="s">
        <v>223</v>
      </c>
      <c r="D44" s="101" t="s">
        <v>78</v>
      </c>
      <c r="E44" s="103" t="s">
        <v>224</v>
      </c>
      <c r="F44" s="33" t="s">
        <v>225</v>
      </c>
      <c r="G44" s="35">
        <v>43032</v>
      </c>
      <c r="H44" s="36" t="s">
        <v>76</v>
      </c>
    </row>
    <row r="45" spans="1:11" s="129" customFormat="1" ht="20.25" customHeight="1">
      <c r="A45" s="100" t="s">
        <v>226</v>
      </c>
      <c r="B45" s="101" t="s">
        <v>80</v>
      </c>
      <c r="C45" s="102" t="s">
        <v>180</v>
      </c>
      <c r="D45" s="101" t="s">
        <v>78</v>
      </c>
      <c r="E45" s="103" t="s">
        <v>181</v>
      </c>
      <c r="F45" s="34" t="s">
        <v>227</v>
      </c>
      <c r="G45" s="35">
        <v>43032</v>
      </c>
      <c r="H45" s="36" t="s">
        <v>76</v>
      </c>
      <c r="I45" s="36"/>
      <c r="J45" s="35"/>
      <c r="K45" s="39"/>
    </row>
    <row r="46" spans="1:11" s="129" customFormat="1" ht="20.25" customHeight="1">
      <c r="A46" s="93" t="s">
        <v>228</v>
      </c>
      <c r="B46" s="94" t="s">
        <v>71</v>
      </c>
      <c r="C46" s="95" t="s">
        <v>229</v>
      </c>
      <c r="D46" s="94" t="s">
        <v>230</v>
      </c>
      <c r="E46" s="160" t="s">
        <v>231</v>
      </c>
      <c r="F46" s="75" t="s">
        <v>232</v>
      </c>
      <c r="G46" s="76">
        <v>43081</v>
      </c>
      <c r="H46" s="77" t="s">
        <v>76</v>
      </c>
      <c r="I46" s="77"/>
      <c r="J46" s="76">
        <v>42972</v>
      </c>
      <c r="K46" s="73"/>
    </row>
    <row r="47" spans="1:11" ht="20.25" customHeight="1">
      <c r="A47" s="93" t="s">
        <v>233</v>
      </c>
      <c r="B47" s="94" t="s">
        <v>77</v>
      </c>
      <c r="C47" s="95" t="s">
        <v>234</v>
      </c>
      <c r="D47" s="94" t="s">
        <v>92</v>
      </c>
      <c r="E47" s="125" t="s">
        <v>235</v>
      </c>
      <c r="F47" s="75" t="s">
        <v>236</v>
      </c>
      <c r="G47" s="76">
        <v>43118</v>
      </c>
      <c r="H47" s="77" t="s">
        <v>76</v>
      </c>
      <c r="I47" s="77"/>
      <c r="J47" s="76">
        <v>43075</v>
      </c>
      <c r="K47" s="73"/>
    </row>
    <row r="48" spans="1:11" s="129" customFormat="1" ht="20.25" customHeight="1">
      <c r="A48" s="100" t="s">
        <v>237</v>
      </c>
      <c r="B48" s="101" t="s">
        <v>80</v>
      </c>
      <c r="C48" s="102" t="s">
        <v>83</v>
      </c>
      <c r="D48" s="101" t="s">
        <v>78</v>
      </c>
      <c r="E48" s="103" t="s">
        <v>238</v>
      </c>
      <c r="F48" s="34" t="s">
        <v>145</v>
      </c>
      <c r="G48" s="35">
        <v>43052</v>
      </c>
      <c r="H48" s="36" t="s">
        <v>76</v>
      </c>
      <c r="I48" s="36"/>
      <c r="J48" s="35"/>
      <c r="K48" s="39"/>
    </row>
    <row r="49" spans="1:11" ht="20.25" customHeight="1">
      <c r="A49" s="93" t="s">
        <v>239</v>
      </c>
      <c r="B49" s="94" t="s">
        <v>80</v>
      </c>
      <c r="C49" s="95" t="s">
        <v>240</v>
      </c>
      <c r="D49" s="94" t="s">
        <v>211</v>
      </c>
      <c r="E49" s="125" t="s">
        <v>241</v>
      </c>
      <c r="F49" s="75" t="s">
        <v>242</v>
      </c>
      <c r="G49" s="76">
        <v>43081</v>
      </c>
      <c r="H49" s="77" t="s">
        <v>76</v>
      </c>
      <c r="I49" s="77"/>
      <c r="J49" s="76">
        <v>43075</v>
      </c>
      <c r="K49" s="73"/>
    </row>
    <row r="50" spans="1:11" ht="20.25" customHeight="1">
      <c r="A50" s="100" t="s">
        <v>243</v>
      </c>
      <c r="B50" s="101" t="s">
        <v>80</v>
      </c>
      <c r="C50" s="102" t="s">
        <v>180</v>
      </c>
      <c r="D50" s="101" t="s">
        <v>78</v>
      </c>
      <c r="E50" s="103" t="s">
        <v>244</v>
      </c>
      <c r="F50" s="34" t="s">
        <v>227</v>
      </c>
      <c r="G50" s="35">
        <v>43052</v>
      </c>
      <c r="H50" s="36" t="s">
        <v>76</v>
      </c>
    </row>
    <row r="51" spans="1:11" ht="20.25" customHeight="1">
      <c r="A51" s="100" t="s">
        <v>245</v>
      </c>
      <c r="B51" s="101" t="s">
        <v>77</v>
      </c>
      <c r="C51" s="102" t="s">
        <v>246</v>
      </c>
      <c r="D51" s="33" t="s">
        <v>73</v>
      </c>
      <c r="E51" s="103" t="s">
        <v>247</v>
      </c>
      <c r="F51" s="34" t="s">
        <v>248</v>
      </c>
      <c r="G51" s="35">
        <v>43074</v>
      </c>
      <c r="H51" s="36" t="s">
        <v>76</v>
      </c>
    </row>
    <row r="52" spans="1:11" s="72" customFormat="1" ht="20.25" customHeight="1">
      <c r="A52" s="93" t="s">
        <v>249</v>
      </c>
      <c r="B52" s="94" t="s">
        <v>250</v>
      </c>
      <c r="C52" s="95" t="s">
        <v>132</v>
      </c>
      <c r="D52" s="74" t="s">
        <v>72</v>
      </c>
      <c r="E52" s="125" t="s">
        <v>251</v>
      </c>
      <c r="F52" s="75" t="s">
        <v>134</v>
      </c>
      <c r="G52" s="76">
        <v>43129</v>
      </c>
      <c r="H52" s="77" t="s">
        <v>76</v>
      </c>
      <c r="I52" s="77"/>
      <c r="J52" s="76">
        <v>43112</v>
      </c>
      <c r="K52" s="73"/>
    </row>
    <row r="53" spans="1:11" ht="20.25" customHeight="1">
      <c r="A53" s="100" t="s">
        <v>252</v>
      </c>
      <c r="B53" s="101" t="s">
        <v>77</v>
      </c>
      <c r="C53" s="102" t="s">
        <v>253</v>
      </c>
      <c r="D53" s="33" t="s">
        <v>78</v>
      </c>
      <c r="E53" s="103" t="s">
        <v>254</v>
      </c>
      <c r="F53" s="34" t="s">
        <v>255</v>
      </c>
      <c r="G53" s="35">
        <v>43118</v>
      </c>
      <c r="H53" s="36" t="s">
        <v>76</v>
      </c>
    </row>
    <row r="54" spans="1:11" s="71" customFormat="1" ht="20.25" customHeight="1">
      <c r="A54" s="61" t="s">
        <v>256</v>
      </c>
      <c r="B54" s="62" t="s">
        <v>257</v>
      </c>
      <c r="C54" s="63" t="s">
        <v>258</v>
      </c>
      <c r="D54" s="131"/>
      <c r="E54" s="64" t="s">
        <v>259</v>
      </c>
      <c r="F54" s="134" t="s">
        <v>260</v>
      </c>
      <c r="G54" s="136"/>
      <c r="H54" s="135"/>
      <c r="I54" s="135"/>
      <c r="J54" s="136"/>
      <c r="K54" s="70"/>
    </row>
    <row r="55" spans="1:11" s="71" customFormat="1" ht="20.25" customHeight="1">
      <c r="A55" s="61" t="s">
        <v>261</v>
      </c>
      <c r="B55" s="62" t="s">
        <v>77</v>
      </c>
      <c r="C55" s="63" t="s">
        <v>253</v>
      </c>
      <c r="D55" s="131" t="s">
        <v>78</v>
      </c>
      <c r="E55" s="64" t="s">
        <v>254</v>
      </c>
      <c r="F55" s="134" t="s">
        <v>255</v>
      </c>
      <c r="G55" s="136"/>
      <c r="H55" s="135"/>
      <c r="I55" s="135"/>
      <c r="J55" s="136"/>
      <c r="K55" s="70"/>
    </row>
    <row r="56" spans="1:11" s="71" customFormat="1" ht="20.25" customHeight="1">
      <c r="A56" s="131" t="s">
        <v>262</v>
      </c>
      <c r="B56" s="131" t="s">
        <v>77</v>
      </c>
      <c r="C56" s="70" t="s">
        <v>263</v>
      </c>
      <c r="D56" s="131"/>
      <c r="E56" s="161" t="s">
        <v>264</v>
      </c>
      <c r="F56" s="134" t="s">
        <v>100</v>
      </c>
      <c r="G56" s="136">
        <v>43126</v>
      </c>
      <c r="H56" s="135" t="s">
        <v>76</v>
      </c>
      <c r="I56" s="135"/>
      <c r="J56" s="136">
        <v>43075</v>
      </c>
      <c r="K56" s="70"/>
    </row>
    <row r="57" spans="1:11" ht="20.25" customHeight="1">
      <c r="A57" s="93" t="s">
        <v>265</v>
      </c>
      <c r="B57" s="94" t="s">
        <v>29</v>
      </c>
      <c r="C57" s="95" t="s">
        <v>2197</v>
      </c>
      <c r="D57" s="74" t="s">
        <v>92</v>
      </c>
      <c r="E57" s="125" t="s">
        <v>2198</v>
      </c>
      <c r="F57" s="75" t="s">
        <v>93</v>
      </c>
      <c r="G57" s="76">
        <v>43118</v>
      </c>
      <c r="H57" s="77" t="s">
        <v>76</v>
      </c>
      <c r="I57" s="77"/>
      <c r="J57" s="76">
        <v>43112</v>
      </c>
      <c r="K57" s="73"/>
    </row>
    <row r="58" spans="1:11" ht="20.25" customHeight="1">
      <c r="A58" s="100" t="s">
        <v>266</v>
      </c>
      <c r="B58" s="101" t="s">
        <v>71</v>
      </c>
      <c r="C58" s="102" t="s">
        <v>2199</v>
      </c>
      <c r="D58" s="101" t="s">
        <v>2200</v>
      </c>
      <c r="E58" s="103" t="s">
        <v>2201</v>
      </c>
      <c r="F58" s="34" t="s">
        <v>267</v>
      </c>
      <c r="G58" s="35">
        <v>43161</v>
      </c>
      <c r="H58" s="36" t="s">
        <v>76</v>
      </c>
      <c r="J58" s="35">
        <v>43126</v>
      </c>
    </row>
    <row r="59" spans="1:11" s="71" customFormat="1" ht="20.25" customHeight="1">
      <c r="A59" s="61" t="s">
        <v>268</v>
      </c>
      <c r="B59" s="62" t="s">
        <v>71</v>
      </c>
      <c r="C59" s="63" t="s">
        <v>2202</v>
      </c>
      <c r="D59" s="62" t="s">
        <v>336</v>
      </c>
      <c r="E59" s="64" t="s">
        <v>2203</v>
      </c>
      <c r="F59" s="134"/>
      <c r="G59" s="136"/>
      <c r="H59" s="135" t="s">
        <v>95</v>
      </c>
      <c r="I59" s="135"/>
      <c r="J59" s="136"/>
      <c r="K59" s="70"/>
    </row>
    <row r="60" spans="1:11" s="71" customFormat="1" ht="20.25" customHeight="1">
      <c r="A60" s="61" t="s">
        <v>269</v>
      </c>
      <c r="B60" s="62" t="s">
        <v>71</v>
      </c>
      <c r="C60" s="63" t="s">
        <v>2204</v>
      </c>
      <c r="D60" s="62" t="s">
        <v>175</v>
      </c>
      <c r="E60" s="64" t="s">
        <v>2205</v>
      </c>
      <c r="F60" s="134"/>
      <c r="G60" s="136"/>
      <c r="H60" s="135" t="s">
        <v>352</v>
      </c>
      <c r="I60" s="135"/>
      <c r="J60" s="136"/>
      <c r="K60" s="70"/>
    </row>
    <row r="61" spans="1:11" s="129" customFormat="1" ht="20.25" customHeight="1">
      <c r="C61" s="162"/>
      <c r="D61" s="163"/>
      <c r="E61" s="163"/>
      <c r="F61" s="164"/>
      <c r="G61" s="165"/>
      <c r="H61" s="166"/>
      <c r="I61" s="166"/>
      <c r="J61" s="165"/>
      <c r="K61" s="162"/>
    </row>
    <row r="62" spans="1:11" ht="20.25" customHeight="1">
      <c r="A62" s="100" t="s">
        <v>270</v>
      </c>
      <c r="B62" s="101" t="s">
        <v>23</v>
      </c>
      <c r="C62" s="102" t="s">
        <v>2206</v>
      </c>
      <c r="D62" s="101" t="s">
        <v>284</v>
      </c>
      <c r="E62" s="103" t="s">
        <v>2207</v>
      </c>
      <c r="H62" s="36" t="s">
        <v>353</v>
      </c>
    </row>
    <row r="63" spans="1:11" s="71" customFormat="1" ht="20.25" customHeight="1">
      <c r="A63" s="61" t="s">
        <v>271</v>
      </c>
      <c r="B63" s="62" t="s">
        <v>2208</v>
      </c>
      <c r="C63" s="63" t="s">
        <v>2209</v>
      </c>
      <c r="D63" s="62" t="s">
        <v>96</v>
      </c>
      <c r="E63" s="64" t="s">
        <v>2210</v>
      </c>
      <c r="F63" s="134" t="s">
        <v>272</v>
      </c>
      <c r="G63" s="136">
        <v>43273</v>
      </c>
      <c r="H63" s="135" t="s">
        <v>76</v>
      </c>
      <c r="I63" s="135"/>
      <c r="J63" s="136">
        <v>43238</v>
      </c>
      <c r="K63" s="70"/>
    </row>
    <row r="64" spans="1:11" s="71" customFormat="1" ht="20.25" customHeight="1">
      <c r="A64" s="61" t="s">
        <v>273</v>
      </c>
      <c r="B64" s="62" t="s">
        <v>71</v>
      </c>
      <c r="C64" s="63" t="s">
        <v>2211</v>
      </c>
      <c r="D64" s="62" t="s">
        <v>284</v>
      </c>
      <c r="E64" s="64" t="s">
        <v>2212</v>
      </c>
      <c r="F64" s="134"/>
      <c r="G64" s="136"/>
      <c r="H64" s="135" t="s">
        <v>353</v>
      </c>
      <c r="I64" s="135"/>
      <c r="J64" s="136"/>
      <c r="K64" s="70"/>
    </row>
    <row r="65" spans="1:11" s="169" customFormat="1" ht="20.25" customHeight="1">
      <c r="A65" s="110" t="s">
        <v>274</v>
      </c>
      <c r="B65" s="111" t="s">
        <v>30</v>
      </c>
      <c r="C65" s="112" t="s">
        <v>2213</v>
      </c>
      <c r="D65" s="111" t="s">
        <v>96</v>
      </c>
      <c r="E65" s="113" t="s">
        <v>2214</v>
      </c>
      <c r="F65" s="167"/>
      <c r="G65" s="168"/>
      <c r="H65" s="115"/>
      <c r="I65" s="115"/>
      <c r="J65" s="168"/>
      <c r="K65" s="120"/>
    </row>
    <row r="66" spans="1:11" ht="20.25" customHeight="1">
      <c r="A66" s="100" t="s">
        <v>275</v>
      </c>
      <c r="B66" s="101" t="s">
        <v>276</v>
      </c>
      <c r="C66" s="102" t="s">
        <v>2215</v>
      </c>
      <c r="D66" s="101" t="s">
        <v>2216</v>
      </c>
      <c r="E66" s="103" t="s">
        <v>2217</v>
      </c>
      <c r="F66" s="34" t="s">
        <v>277</v>
      </c>
      <c r="G66" s="35">
        <v>43349</v>
      </c>
      <c r="H66" s="36" t="s">
        <v>76</v>
      </c>
      <c r="I66" s="36" t="s">
        <v>278</v>
      </c>
      <c r="J66" s="35">
        <v>43347</v>
      </c>
    </row>
    <row r="67" spans="1:11" ht="20.25" customHeight="1">
      <c r="A67" s="100" t="s">
        <v>279</v>
      </c>
      <c r="B67" s="101" t="s">
        <v>276</v>
      </c>
      <c r="C67" s="102" t="s">
        <v>2218</v>
      </c>
      <c r="D67" s="101" t="s">
        <v>74</v>
      </c>
      <c r="E67" s="103" t="s">
        <v>2219</v>
      </c>
      <c r="F67" s="34" t="s">
        <v>280</v>
      </c>
      <c r="G67" s="35">
        <v>43494</v>
      </c>
      <c r="H67" s="36" t="s">
        <v>76</v>
      </c>
      <c r="J67" s="35">
        <v>43466</v>
      </c>
    </row>
    <row r="68" spans="1:11" ht="20.25" customHeight="1">
      <c r="A68" s="100" t="s">
        <v>281</v>
      </c>
      <c r="B68" s="101" t="s">
        <v>71</v>
      </c>
      <c r="C68" s="102" t="s">
        <v>2220</v>
      </c>
      <c r="D68" s="101" t="s">
        <v>74</v>
      </c>
      <c r="E68" s="103" t="s">
        <v>2221</v>
      </c>
      <c r="F68" s="34" t="s">
        <v>282</v>
      </c>
      <c r="G68" s="35">
        <v>43377</v>
      </c>
      <c r="H68" s="36" t="s">
        <v>76</v>
      </c>
      <c r="J68" s="35">
        <v>43341</v>
      </c>
    </row>
    <row r="69" spans="1:11" s="71" customFormat="1" ht="20.25" customHeight="1">
      <c r="A69" s="61" t="s">
        <v>283</v>
      </c>
      <c r="B69" s="62" t="s">
        <v>23</v>
      </c>
      <c r="C69" s="63" t="s">
        <v>2222</v>
      </c>
      <c r="D69" s="62" t="s">
        <v>284</v>
      </c>
      <c r="E69" s="64" t="s">
        <v>2223</v>
      </c>
      <c r="F69" s="134" t="s">
        <v>344</v>
      </c>
      <c r="G69" s="136"/>
      <c r="H69" s="135" t="s">
        <v>351</v>
      </c>
      <c r="J69" s="136">
        <v>43616</v>
      </c>
      <c r="K69" s="70"/>
    </row>
    <row r="70" spans="1:11" s="71" customFormat="1" ht="20.25" customHeight="1">
      <c r="A70" s="61" t="s">
        <v>285</v>
      </c>
      <c r="B70" s="62" t="s">
        <v>80</v>
      </c>
      <c r="C70" s="63" t="s">
        <v>2224</v>
      </c>
      <c r="D70" s="62" t="s">
        <v>284</v>
      </c>
      <c r="E70" s="64" t="s">
        <v>2225</v>
      </c>
      <c r="F70" s="134" t="s">
        <v>345</v>
      </c>
      <c r="G70" s="136"/>
      <c r="H70" s="135" t="s">
        <v>351</v>
      </c>
      <c r="J70" s="136">
        <v>43616</v>
      </c>
      <c r="K70" s="70"/>
    </row>
    <row r="71" spans="1:11" s="71" customFormat="1" ht="20.25" customHeight="1">
      <c r="A71" s="61" t="s">
        <v>286</v>
      </c>
      <c r="B71" s="62" t="s">
        <v>23</v>
      </c>
      <c r="C71" s="63" t="s">
        <v>2226</v>
      </c>
      <c r="D71" s="62" t="s">
        <v>284</v>
      </c>
      <c r="E71" s="64" t="s">
        <v>2227</v>
      </c>
      <c r="F71" s="134" t="s">
        <v>346</v>
      </c>
      <c r="G71" s="136"/>
      <c r="H71" s="135" t="s">
        <v>351</v>
      </c>
      <c r="J71" s="136">
        <v>43616</v>
      </c>
      <c r="K71" s="70"/>
    </row>
    <row r="72" spans="1:11" s="71" customFormat="1" ht="20.25" customHeight="1">
      <c r="A72" s="61" t="s">
        <v>287</v>
      </c>
      <c r="B72" s="62" t="s">
        <v>23</v>
      </c>
      <c r="C72" s="63" t="s">
        <v>2228</v>
      </c>
      <c r="D72" s="62" t="s">
        <v>284</v>
      </c>
      <c r="E72" s="64" t="s">
        <v>2229</v>
      </c>
      <c r="F72" s="134" t="s">
        <v>347</v>
      </c>
      <c r="G72" s="136"/>
      <c r="H72" s="135" t="s">
        <v>351</v>
      </c>
      <c r="J72" s="136">
        <v>43616</v>
      </c>
      <c r="K72" s="70"/>
    </row>
    <row r="73" spans="1:11" s="72" customFormat="1" ht="20.25" customHeight="1">
      <c r="A73" s="93" t="s">
        <v>288</v>
      </c>
      <c r="B73" s="94" t="s">
        <v>80</v>
      </c>
      <c r="C73" s="95" t="s">
        <v>2230</v>
      </c>
      <c r="D73" s="94" t="s">
        <v>86</v>
      </c>
      <c r="E73" s="125" t="s">
        <v>289</v>
      </c>
      <c r="F73" s="75" t="s">
        <v>348</v>
      </c>
      <c r="G73" s="76">
        <v>43363</v>
      </c>
      <c r="H73" s="77" t="s">
        <v>76</v>
      </c>
      <c r="J73" s="76">
        <v>43350</v>
      </c>
      <c r="K73" s="73"/>
    </row>
    <row r="74" spans="1:11" s="72" customFormat="1" ht="20.25" customHeight="1">
      <c r="A74" s="93" t="s">
        <v>290</v>
      </c>
      <c r="B74" s="94" t="s">
        <v>23</v>
      </c>
      <c r="C74" s="95" t="s">
        <v>2231</v>
      </c>
      <c r="D74" s="94" t="s">
        <v>78</v>
      </c>
      <c r="E74" s="125" t="s">
        <v>2232</v>
      </c>
      <c r="F74" s="75" t="s">
        <v>79</v>
      </c>
      <c r="G74" s="76">
        <v>43446</v>
      </c>
      <c r="H74" s="77" t="s">
        <v>76</v>
      </c>
      <c r="J74" s="76">
        <v>43434</v>
      </c>
      <c r="K74" s="73"/>
    </row>
    <row r="75" spans="1:11" s="169" customFormat="1" ht="20.25" customHeight="1">
      <c r="A75" s="110" t="s">
        <v>291</v>
      </c>
      <c r="B75" s="111" t="s">
        <v>23</v>
      </c>
      <c r="C75" s="112" t="s">
        <v>2233</v>
      </c>
      <c r="D75" s="111" t="s">
        <v>90</v>
      </c>
      <c r="E75" s="113" t="s">
        <v>2234</v>
      </c>
      <c r="F75" s="121" t="s">
        <v>190</v>
      </c>
      <c r="G75" s="168"/>
      <c r="H75" s="115"/>
      <c r="J75" s="168"/>
      <c r="K75" s="120"/>
    </row>
    <row r="76" spans="1:11" s="72" customFormat="1" ht="20.25" customHeight="1">
      <c r="A76" s="93" t="s">
        <v>292</v>
      </c>
      <c r="B76" s="94" t="s">
        <v>29</v>
      </c>
      <c r="C76" s="95" t="s">
        <v>293</v>
      </c>
      <c r="D76" s="94" t="s">
        <v>2235</v>
      </c>
      <c r="E76" s="125" t="s">
        <v>89</v>
      </c>
      <c r="F76" s="170" t="s">
        <v>294</v>
      </c>
      <c r="G76" s="76">
        <v>43567</v>
      </c>
      <c r="H76" s="77" t="s">
        <v>76</v>
      </c>
      <c r="I76" s="72" t="s">
        <v>295</v>
      </c>
      <c r="J76" s="76">
        <v>43511</v>
      </c>
      <c r="K76" s="73"/>
    </row>
    <row r="77" spans="1:11" s="72" customFormat="1" ht="20.25" customHeight="1">
      <c r="A77" s="93" t="s">
        <v>296</v>
      </c>
      <c r="B77" s="94" t="s">
        <v>23</v>
      </c>
      <c r="C77" s="95" t="s">
        <v>2236</v>
      </c>
      <c r="D77" s="94" t="s">
        <v>78</v>
      </c>
      <c r="E77" s="125" t="s">
        <v>2237</v>
      </c>
      <c r="F77" s="75" t="s">
        <v>297</v>
      </c>
      <c r="G77" s="76">
        <v>43446</v>
      </c>
      <c r="H77" s="77" t="s">
        <v>76</v>
      </c>
      <c r="J77" s="76">
        <v>43434</v>
      </c>
      <c r="K77" s="73"/>
    </row>
    <row r="78" spans="1:11" s="72" customFormat="1" ht="20.25" customHeight="1">
      <c r="A78" s="93" t="s">
        <v>298</v>
      </c>
      <c r="B78" s="94" t="s">
        <v>29</v>
      </c>
      <c r="C78" s="95" t="s">
        <v>2238</v>
      </c>
      <c r="D78" s="94" t="s">
        <v>299</v>
      </c>
      <c r="E78" s="125" t="s">
        <v>300</v>
      </c>
      <c r="F78" s="75" t="s">
        <v>301</v>
      </c>
      <c r="G78" s="76">
        <v>43438</v>
      </c>
      <c r="H78" s="77" t="s">
        <v>76</v>
      </c>
      <c r="J78" s="76">
        <v>43424</v>
      </c>
      <c r="K78" s="73"/>
    </row>
    <row r="79" spans="1:11" ht="20.25" customHeight="1">
      <c r="A79" s="100" t="s">
        <v>302</v>
      </c>
      <c r="B79" s="101" t="s">
        <v>71</v>
      </c>
      <c r="C79" s="102" t="s">
        <v>303</v>
      </c>
      <c r="D79" s="101" t="s">
        <v>2239</v>
      </c>
      <c r="E79" s="103" t="s">
        <v>2240</v>
      </c>
      <c r="F79" s="34" t="s">
        <v>304</v>
      </c>
      <c r="G79" s="35">
        <v>43447</v>
      </c>
      <c r="H79" s="36" t="s">
        <v>76</v>
      </c>
      <c r="J79" s="35">
        <v>43446</v>
      </c>
    </row>
    <row r="80" spans="1:11" s="72" customFormat="1" ht="20.25" customHeight="1">
      <c r="A80" s="93" t="s">
        <v>305</v>
      </c>
      <c r="B80" s="94" t="s">
        <v>310</v>
      </c>
      <c r="C80" s="95" t="s">
        <v>306</v>
      </c>
      <c r="D80" s="94" t="s">
        <v>2241</v>
      </c>
      <c r="E80" s="125" t="s">
        <v>98</v>
      </c>
      <c r="F80" s="75" t="s">
        <v>307</v>
      </c>
      <c r="G80" s="76">
        <v>43441</v>
      </c>
      <c r="H80" s="77" t="s">
        <v>76</v>
      </c>
      <c r="I80" s="77"/>
      <c r="J80" s="76">
        <v>43434</v>
      </c>
      <c r="K80" s="73" t="s">
        <v>308</v>
      </c>
    </row>
    <row r="81" spans="1:11" ht="20.25" customHeight="1">
      <c r="A81" s="100" t="s">
        <v>309</v>
      </c>
      <c r="B81" s="101" t="s">
        <v>310</v>
      </c>
      <c r="C81" s="102" t="s">
        <v>311</v>
      </c>
      <c r="D81" s="101" t="s">
        <v>74</v>
      </c>
      <c r="E81" s="103" t="s">
        <v>2219</v>
      </c>
      <c r="F81" s="34" t="s">
        <v>280</v>
      </c>
      <c r="G81" s="35">
        <v>43494</v>
      </c>
      <c r="H81" s="36" t="s">
        <v>76</v>
      </c>
      <c r="J81" s="35">
        <v>43466</v>
      </c>
    </row>
    <row r="82" spans="1:11" s="169" customFormat="1" ht="20.25" customHeight="1">
      <c r="A82" s="110" t="s">
        <v>312</v>
      </c>
      <c r="B82" s="111" t="s">
        <v>310</v>
      </c>
      <c r="C82" s="112" t="s">
        <v>313</v>
      </c>
      <c r="D82" s="111" t="s">
        <v>73</v>
      </c>
      <c r="E82" s="113" t="s">
        <v>2242</v>
      </c>
      <c r="F82" s="167" t="s">
        <v>420</v>
      </c>
      <c r="G82" s="168">
        <v>43896</v>
      </c>
      <c r="H82" s="115" t="s">
        <v>374</v>
      </c>
      <c r="I82" s="115"/>
      <c r="J82" s="168">
        <v>43895</v>
      </c>
      <c r="K82" s="120"/>
    </row>
    <row r="83" spans="1:11" ht="20.25" customHeight="1">
      <c r="A83" s="100" t="s">
        <v>314</v>
      </c>
      <c r="B83" s="101" t="s">
        <v>310</v>
      </c>
      <c r="C83" s="102" t="s">
        <v>2243</v>
      </c>
      <c r="D83" s="101" t="s">
        <v>73</v>
      </c>
      <c r="E83" s="103" t="s">
        <v>2244</v>
      </c>
      <c r="F83" s="34" t="s">
        <v>315</v>
      </c>
      <c r="H83" s="36" t="s">
        <v>316</v>
      </c>
      <c r="J83" s="35" t="s">
        <v>317</v>
      </c>
    </row>
    <row r="84" spans="1:11" s="169" customFormat="1" ht="20.25" customHeight="1">
      <c r="A84" s="110" t="s">
        <v>318</v>
      </c>
      <c r="B84" s="111" t="s">
        <v>30</v>
      </c>
      <c r="C84" s="112" t="s">
        <v>331</v>
      </c>
      <c r="D84" s="111" t="s">
        <v>96</v>
      </c>
      <c r="E84" s="113" t="s">
        <v>2245</v>
      </c>
      <c r="F84" s="167"/>
      <c r="G84" s="168"/>
      <c r="H84" s="115" t="s">
        <v>75</v>
      </c>
      <c r="I84" s="115"/>
      <c r="J84" s="168"/>
      <c r="K84" s="120"/>
    </row>
    <row r="85" spans="1:11" s="72" customFormat="1" ht="20.25" customHeight="1">
      <c r="A85" s="93" t="s">
        <v>319</v>
      </c>
      <c r="B85" s="94" t="s">
        <v>30</v>
      </c>
      <c r="C85" s="95" t="s">
        <v>2246</v>
      </c>
      <c r="D85" s="94" t="s">
        <v>48</v>
      </c>
      <c r="E85" s="125" t="s">
        <v>320</v>
      </c>
      <c r="F85" s="75" t="s">
        <v>321</v>
      </c>
      <c r="G85" s="76">
        <v>43516</v>
      </c>
      <c r="H85" s="77" t="s">
        <v>76</v>
      </c>
      <c r="I85" s="77"/>
      <c r="J85" s="76">
        <v>43511</v>
      </c>
      <c r="K85" s="73"/>
    </row>
    <row r="86" spans="1:11" s="129" customFormat="1" ht="19.5" customHeight="1">
      <c r="A86" s="171" t="s">
        <v>322</v>
      </c>
      <c r="B86" s="172" t="s">
        <v>29</v>
      </c>
      <c r="C86" s="173" t="s">
        <v>2247</v>
      </c>
      <c r="D86" s="172" t="s">
        <v>2248</v>
      </c>
      <c r="E86" s="174" t="s">
        <v>264</v>
      </c>
      <c r="F86" s="164" t="s">
        <v>100</v>
      </c>
      <c r="G86" s="165" t="s">
        <v>323</v>
      </c>
      <c r="H86" s="166" t="s">
        <v>95</v>
      </c>
      <c r="I86" s="166"/>
      <c r="J86" s="165">
        <v>43430</v>
      </c>
      <c r="K86" s="162"/>
    </row>
    <row r="87" spans="1:11" s="169" customFormat="1" ht="20.25" customHeight="1">
      <c r="A87" s="110" t="s">
        <v>324</v>
      </c>
      <c r="B87" s="111" t="s">
        <v>30</v>
      </c>
      <c r="C87" s="112" t="s">
        <v>2249</v>
      </c>
      <c r="D87" s="111" t="s">
        <v>2250</v>
      </c>
      <c r="E87" s="113" t="s">
        <v>2251</v>
      </c>
      <c r="F87" s="167" t="s">
        <v>325</v>
      </c>
      <c r="G87" s="168">
        <v>43574</v>
      </c>
      <c r="H87" s="115" t="s">
        <v>76</v>
      </c>
      <c r="I87" s="115"/>
      <c r="J87" s="168">
        <v>43573</v>
      </c>
      <c r="K87" s="120"/>
    </row>
    <row r="88" spans="1:11" ht="20.25" customHeight="1">
      <c r="A88" s="33" t="s">
        <v>326</v>
      </c>
      <c r="B88" s="33" t="s">
        <v>80</v>
      </c>
      <c r="C88" s="39" t="s">
        <v>327</v>
      </c>
      <c r="D88" s="33" t="s">
        <v>73</v>
      </c>
      <c r="E88" s="175" t="s">
        <v>328</v>
      </c>
      <c r="F88" s="34" t="s">
        <v>329</v>
      </c>
      <c r="G88" s="35">
        <v>43475</v>
      </c>
      <c r="H88" s="36" t="s">
        <v>76</v>
      </c>
      <c r="J88" s="35">
        <v>43469</v>
      </c>
    </row>
    <row r="89" spans="1:11" s="169" customFormat="1" ht="20.25" customHeight="1">
      <c r="A89" s="110" t="s">
        <v>330</v>
      </c>
      <c r="B89" s="111" t="s">
        <v>30</v>
      </c>
      <c r="C89" s="112" t="s">
        <v>331</v>
      </c>
      <c r="D89" s="111" t="s">
        <v>96</v>
      </c>
      <c r="E89" s="113" t="s">
        <v>2252</v>
      </c>
      <c r="F89" s="167"/>
      <c r="G89" s="168"/>
      <c r="H89" s="115"/>
      <c r="I89" s="115"/>
      <c r="J89" s="168"/>
      <c r="K89" s="120"/>
    </row>
    <row r="90" spans="1:11" s="169" customFormat="1" ht="20.25" customHeight="1">
      <c r="A90" s="110" t="s">
        <v>332</v>
      </c>
      <c r="B90" s="111" t="s">
        <v>80</v>
      </c>
      <c r="C90" s="112" t="s">
        <v>2253</v>
      </c>
      <c r="D90" s="111" t="s">
        <v>81</v>
      </c>
      <c r="E90" s="113" t="s">
        <v>2254</v>
      </c>
      <c r="F90" s="167"/>
      <c r="G90" s="168"/>
      <c r="H90" s="115"/>
      <c r="I90" s="115"/>
      <c r="J90" s="168"/>
      <c r="K90" s="120"/>
    </row>
    <row r="91" spans="1:11" s="129" customFormat="1" ht="20.25" customHeight="1">
      <c r="A91" s="171" t="s">
        <v>333</v>
      </c>
      <c r="B91" s="172" t="s">
        <v>30</v>
      </c>
      <c r="C91" s="173" t="s">
        <v>2255</v>
      </c>
      <c r="D91" s="172" t="s">
        <v>2241</v>
      </c>
      <c r="E91" s="174" t="s">
        <v>2256</v>
      </c>
      <c r="F91" s="164" t="s">
        <v>334</v>
      </c>
      <c r="G91" s="165"/>
      <c r="H91" s="166" t="s">
        <v>95</v>
      </c>
      <c r="I91" s="166"/>
      <c r="J91" s="165">
        <v>43511</v>
      </c>
      <c r="K91" s="162"/>
    </row>
    <row r="92" spans="1:11" s="176" customFormat="1" ht="24.95" customHeight="1">
      <c r="A92" s="176" t="s">
        <v>335</v>
      </c>
      <c r="C92" s="177"/>
      <c r="D92" s="178"/>
      <c r="E92" s="178"/>
      <c r="F92" s="179"/>
      <c r="G92" s="180"/>
      <c r="H92" s="181"/>
      <c r="I92" s="181"/>
      <c r="J92" s="180"/>
      <c r="K92" s="177"/>
    </row>
    <row r="93" spans="1:11" ht="24.95" customHeight="1">
      <c r="A93" s="188" t="s">
        <v>350</v>
      </c>
      <c r="B93" s="188" t="s">
        <v>23</v>
      </c>
      <c r="C93" s="188" t="s">
        <v>25</v>
      </c>
      <c r="D93" s="188" t="s">
        <v>24</v>
      </c>
      <c r="E93" s="189" t="s">
        <v>26</v>
      </c>
      <c r="F93" s="34" t="s">
        <v>349</v>
      </c>
      <c r="H93" s="135" t="s">
        <v>351</v>
      </c>
      <c r="J93" s="136">
        <v>43616</v>
      </c>
    </row>
    <row r="94" spans="1:11" ht="24.95" customHeight="1">
      <c r="A94" s="188" t="s">
        <v>370</v>
      </c>
      <c r="B94" s="188" t="s">
        <v>29</v>
      </c>
      <c r="C94" s="188" t="s">
        <v>31</v>
      </c>
      <c r="D94" s="188" t="s">
        <v>32</v>
      </c>
      <c r="E94" s="190" t="s">
        <v>33</v>
      </c>
      <c r="F94" s="34" t="s">
        <v>388</v>
      </c>
      <c r="G94" s="76" t="s">
        <v>463</v>
      </c>
      <c r="H94" s="36" t="s">
        <v>374</v>
      </c>
      <c r="I94" s="182" t="s">
        <v>498</v>
      </c>
    </row>
    <row r="95" spans="1:11" ht="24.95" customHeight="1">
      <c r="A95" s="188" t="s">
        <v>371</v>
      </c>
      <c r="B95" s="188" t="s">
        <v>34</v>
      </c>
      <c r="C95" s="188" t="s">
        <v>36</v>
      </c>
      <c r="D95" s="188" t="s">
        <v>35</v>
      </c>
      <c r="E95" s="191" t="s">
        <v>42</v>
      </c>
      <c r="F95" s="34" t="s">
        <v>373</v>
      </c>
      <c r="G95" s="35">
        <v>43712</v>
      </c>
      <c r="H95" s="36" t="s">
        <v>374</v>
      </c>
      <c r="J95" s="35">
        <v>43706</v>
      </c>
    </row>
    <row r="96" spans="1:11" ht="24.95" customHeight="1">
      <c r="A96" s="188" t="s">
        <v>372</v>
      </c>
      <c r="B96" s="188" t="s">
        <v>37</v>
      </c>
      <c r="C96" s="188" t="s">
        <v>39</v>
      </c>
      <c r="D96" s="188" t="s">
        <v>38</v>
      </c>
      <c r="E96" s="192" t="s">
        <v>40</v>
      </c>
      <c r="F96" s="34" t="s">
        <v>392</v>
      </c>
      <c r="G96" s="35">
        <v>43768</v>
      </c>
      <c r="H96" s="36" t="s">
        <v>374</v>
      </c>
    </row>
    <row r="97" spans="1:11" ht="24.95" customHeight="1">
      <c r="A97" s="188" t="s">
        <v>375</v>
      </c>
      <c r="B97" s="188" t="s">
        <v>43</v>
      </c>
      <c r="C97" s="188" t="s">
        <v>44</v>
      </c>
      <c r="D97" s="188" t="s">
        <v>27</v>
      </c>
      <c r="E97" s="190" t="s">
        <v>45</v>
      </c>
      <c r="F97" s="75" t="s">
        <v>389</v>
      </c>
      <c r="G97" s="76" t="s">
        <v>462</v>
      </c>
      <c r="H97" s="36" t="s">
        <v>374</v>
      </c>
    </row>
    <row r="98" spans="1:11" ht="24.95" customHeight="1">
      <c r="A98" s="188" t="s">
        <v>376</v>
      </c>
      <c r="B98" s="188" t="s">
        <v>43</v>
      </c>
      <c r="C98" s="188" t="s">
        <v>47</v>
      </c>
      <c r="D98" s="188" t="s">
        <v>46</v>
      </c>
      <c r="E98" s="190" t="s">
        <v>390</v>
      </c>
      <c r="F98" s="75" t="s">
        <v>391</v>
      </c>
      <c r="G98" s="76">
        <v>43768</v>
      </c>
      <c r="H98" s="36" t="s">
        <v>374</v>
      </c>
    </row>
    <row r="99" spans="1:11" ht="24.95" customHeight="1">
      <c r="A99" s="188" t="s">
        <v>377</v>
      </c>
      <c r="B99" s="188" t="s">
        <v>23</v>
      </c>
      <c r="C99" s="188" t="s">
        <v>337</v>
      </c>
      <c r="D99" s="188" t="s">
        <v>336</v>
      </c>
      <c r="E99" s="190" t="s">
        <v>338</v>
      </c>
      <c r="F99" s="34" t="s">
        <v>429</v>
      </c>
      <c r="G99" s="35">
        <v>43963</v>
      </c>
      <c r="H99" s="77" t="s">
        <v>374</v>
      </c>
      <c r="J99" s="35">
        <v>43823</v>
      </c>
    </row>
    <row r="100" spans="1:11" ht="24.95" customHeight="1">
      <c r="A100" s="188" t="s">
        <v>378</v>
      </c>
      <c r="B100" s="188" t="s">
        <v>23</v>
      </c>
      <c r="C100" s="188" t="s">
        <v>339</v>
      </c>
      <c r="D100" s="188" t="s">
        <v>336</v>
      </c>
      <c r="E100" s="190" t="s">
        <v>340</v>
      </c>
      <c r="F100" s="34" t="s">
        <v>430</v>
      </c>
      <c r="G100" s="35">
        <v>43963</v>
      </c>
      <c r="H100" s="77" t="s">
        <v>374</v>
      </c>
      <c r="J100" s="35">
        <v>43823</v>
      </c>
    </row>
    <row r="101" spans="1:11" ht="24.95" customHeight="1">
      <c r="A101" s="188" t="s">
        <v>379</v>
      </c>
      <c r="B101" s="188" t="s">
        <v>341</v>
      </c>
      <c r="C101" s="188" t="s">
        <v>343</v>
      </c>
      <c r="D101" s="188" t="s">
        <v>342</v>
      </c>
      <c r="E101" s="193">
        <v>19317760</v>
      </c>
    </row>
    <row r="102" spans="1:11" ht="24.95" customHeight="1">
      <c r="A102" s="188" t="s">
        <v>380</v>
      </c>
      <c r="B102" s="188" t="s">
        <v>355</v>
      </c>
      <c r="C102" s="188" t="s">
        <v>356</v>
      </c>
      <c r="D102" s="188" t="s">
        <v>354</v>
      </c>
      <c r="E102" s="190" t="s">
        <v>394</v>
      </c>
      <c r="F102" s="75" t="s">
        <v>395</v>
      </c>
      <c r="G102" s="76" t="s">
        <v>462</v>
      </c>
      <c r="H102" s="36" t="s">
        <v>374</v>
      </c>
    </row>
    <row r="103" spans="1:11" ht="24.95" customHeight="1">
      <c r="A103" s="188" t="s">
        <v>381</v>
      </c>
      <c r="B103" s="188" t="s">
        <v>357</v>
      </c>
      <c r="C103" s="188" t="s">
        <v>356</v>
      </c>
      <c r="D103" s="188" t="s">
        <v>27</v>
      </c>
      <c r="E103" s="190" t="s">
        <v>358</v>
      </c>
      <c r="F103" s="75">
        <v>1755</v>
      </c>
      <c r="G103" s="76" t="s">
        <v>462</v>
      </c>
      <c r="H103" s="36" t="s">
        <v>374</v>
      </c>
    </row>
    <row r="104" spans="1:11" ht="24.95" customHeight="1">
      <c r="A104" s="188" t="s">
        <v>382</v>
      </c>
      <c r="B104" s="188" t="s">
        <v>359</v>
      </c>
      <c r="C104" s="188" t="s">
        <v>360</v>
      </c>
      <c r="D104" s="188" t="s">
        <v>48</v>
      </c>
      <c r="E104" s="190" t="s">
        <v>361</v>
      </c>
      <c r="F104" s="34" t="s">
        <v>397</v>
      </c>
      <c r="G104" s="35" t="s">
        <v>399</v>
      </c>
      <c r="H104" s="36" t="s">
        <v>398</v>
      </c>
    </row>
    <row r="105" spans="1:11" s="186" customFormat="1" ht="24.95" customHeight="1">
      <c r="A105" s="194" t="s">
        <v>383</v>
      </c>
      <c r="B105" s="194" t="s">
        <v>362</v>
      </c>
      <c r="C105" s="194" t="s">
        <v>356</v>
      </c>
      <c r="D105" s="194" t="s">
        <v>27</v>
      </c>
      <c r="E105" s="195" t="s">
        <v>358</v>
      </c>
      <c r="F105" s="142">
        <v>1755</v>
      </c>
      <c r="G105" s="143" t="s">
        <v>462</v>
      </c>
      <c r="H105" s="36" t="s">
        <v>374</v>
      </c>
      <c r="I105" s="183"/>
      <c r="J105" s="184"/>
      <c r="K105" s="185"/>
    </row>
    <row r="106" spans="1:11" ht="24.95" customHeight="1">
      <c r="A106" s="188" t="s">
        <v>384</v>
      </c>
      <c r="B106" s="188" t="s">
        <v>363</v>
      </c>
      <c r="C106" s="188" t="s">
        <v>364</v>
      </c>
      <c r="D106" s="188" t="s">
        <v>41</v>
      </c>
      <c r="E106" s="190" t="s">
        <v>365</v>
      </c>
      <c r="F106" s="34" t="s">
        <v>393</v>
      </c>
      <c r="G106" s="35">
        <v>43767</v>
      </c>
      <c r="H106" s="36" t="s">
        <v>374</v>
      </c>
      <c r="J106" s="35" t="s">
        <v>387</v>
      </c>
    </row>
    <row r="107" spans="1:11" s="186" customFormat="1" ht="24.95" customHeight="1">
      <c r="A107" s="194" t="s">
        <v>384</v>
      </c>
      <c r="B107" s="194" t="s">
        <v>29</v>
      </c>
      <c r="C107" s="194" t="s">
        <v>364</v>
      </c>
      <c r="D107" s="194" t="s">
        <v>41</v>
      </c>
      <c r="E107" s="196"/>
      <c r="F107" s="142" t="s">
        <v>431</v>
      </c>
      <c r="G107" s="143">
        <v>43994</v>
      </c>
      <c r="H107" s="145" t="s">
        <v>436</v>
      </c>
      <c r="I107" s="145"/>
      <c r="J107" s="143" t="s">
        <v>432</v>
      </c>
      <c r="K107" s="146"/>
    </row>
    <row r="108" spans="1:11" ht="24.95" customHeight="1">
      <c r="A108" s="188" t="s">
        <v>385</v>
      </c>
      <c r="B108" s="188" t="s">
        <v>30</v>
      </c>
      <c r="C108" s="188" t="s">
        <v>366</v>
      </c>
      <c r="D108" s="188" t="s">
        <v>48</v>
      </c>
      <c r="E108" s="197">
        <v>13692</v>
      </c>
      <c r="F108" s="34" t="s">
        <v>400</v>
      </c>
      <c r="G108" s="35">
        <v>43817</v>
      </c>
      <c r="H108" s="36" t="s">
        <v>374</v>
      </c>
    </row>
    <row r="109" spans="1:11" ht="24.95" customHeight="1">
      <c r="A109" s="188" t="s">
        <v>386</v>
      </c>
      <c r="B109" s="188" t="s">
        <v>30</v>
      </c>
      <c r="C109" s="188" t="s">
        <v>368</v>
      </c>
      <c r="D109" s="188" t="s">
        <v>367</v>
      </c>
      <c r="E109" s="198" t="s">
        <v>369</v>
      </c>
      <c r="F109" s="34" t="s">
        <v>401</v>
      </c>
      <c r="G109" s="35">
        <v>43832</v>
      </c>
      <c r="H109" s="36" t="s">
        <v>374</v>
      </c>
    </row>
    <row r="110" spans="1:11" s="129" customFormat="1" ht="6.75" customHeight="1">
      <c r="A110" s="199"/>
      <c r="B110" s="199"/>
      <c r="C110" s="199"/>
      <c r="D110" s="199"/>
      <c r="E110" s="200"/>
      <c r="F110" s="164"/>
      <c r="G110" s="165"/>
      <c r="H110" s="166"/>
      <c r="I110" s="166"/>
      <c r="J110" s="165"/>
      <c r="K110" s="162"/>
    </row>
    <row r="111" spans="1:11" s="176" customFormat="1" ht="24.95" customHeight="1">
      <c r="A111" s="201" t="s">
        <v>446</v>
      </c>
      <c r="B111" s="201" t="s">
        <v>416</v>
      </c>
      <c r="C111" s="201" t="s">
        <v>418</v>
      </c>
      <c r="D111" s="201" t="s">
        <v>417</v>
      </c>
      <c r="E111" s="202" t="s">
        <v>419</v>
      </c>
      <c r="F111" s="179">
        <v>739.75</v>
      </c>
      <c r="G111" s="180" t="s">
        <v>1982</v>
      </c>
      <c r="H111" s="181" t="s">
        <v>450</v>
      </c>
      <c r="I111" s="181"/>
      <c r="J111" s="180" t="s">
        <v>449</v>
      </c>
      <c r="K111" s="177"/>
    </row>
    <row r="112" spans="1:11" s="72" customFormat="1" ht="24.95" customHeight="1">
      <c r="A112" s="203" t="s">
        <v>447</v>
      </c>
      <c r="B112" s="203" t="s">
        <v>416</v>
      </c>
      <c r="C112" s="203" t="s">
        <v>425</v>
      </c>
      <c r="D112" s="203" t="s">
        <v>404</v>
      </c>
      <c r="E112" s="204" t="s">
        <v>427</v>
      </c>
      <c r="F112" s="75" t="s">
        <v>448</v>
      </c>
      <c r="G112" s="74" t="s">
        <v>462</v>
      </c>
      <c r="H112" s="77" t="s">
        <v>374</v>
      </c>
      <c r="I112" s="77"/>
      <c r="J112" s="76" t="s">
        <v>449</v>
      </c>
      <c r="K112" s="73"/>
    </row>
    <row r="113" spans="1:11" s="72" customFormat="1" ht="24.95" customHeight="1">
      <c r="A113" s="203" t="s">
        <v>496</v>
      </c>
      <c r="B113" s="203" t="s">
        <v>416</v>
      </c>
      <c r="C113" s="203" t="s">
        <v>426</v>
      </c>
      <c r="D113" s="203" t="s">
        <v>410</v>
      </c>
      <c r="E113" s="204" t="s">
        <v>428</v>
      </c>
      <c r="F113" s="75" t="s">
        <v>501</v>
      </c>
      <c r="G113" s="74" t="s">
        <v>502</v>
      </c>
      <c r="H113" s="77" t="s">
        <v>374</v>
      </c>
      <c r="I113" s="77"/>
      <c r="J113" s="76" t="s">
        <v>503</v>
      </c>
      <c r="K113" s="73"/>
    </row>
    <row r="114" spans="1:11" ht="24.95" customHeight="1">
      <c r="A114" s="188" t="s">
        <v>454</v>
      </c>
      <c r="B114" s="188" t="s">
        <v>412</v>
      </c>
      <c r="C114" s="188" t="s">
        <v>433</v>
      </c>
      <c r="D114" s="33" t="s">
        <v>410</v>
      </c>
      <c r="E114" s="190" t="s">
        <v>434</v>
      </c>
      <c r="F114" s="34" t="s">
        <v>453</v>
      </c>
      <c r="G114" s="76">
        <v>44071</v>
      </c>
      <c r="H114" s="36" t="s">
        <v>374</v>
      </c>
      <c r="J114" s="35" t="s">
        <v>456</v>
      </c>
    </row>
    <row r="115" spans="1:11" s="72" customFormat="1" ht="24.95" customHeight="1">
      <c r="A115" s="203" t="s">
        <v>492</v>
      </c>
      <c r="B115" s="203" t="s">
        <v>415</v>
      </c>
      <c r="C115" s="203" t="s">
        <v>499</v>
      </c>
      <c r="D115" s="203" t="s">
        <v>409</v>
      </c>
      <c r="E115" s="204" t="s">
        <v>435</v>
      </c>
      <c r="F115" s="75"/>
      <c r="G115" s="76">
        <v>44085</v>
      </c>
      <c r="H115" s="77" t="s">
        <v>374</v>
      </c>
      <c r="I115" s="77" t="s">
        <v>500</v>
      </c>
      <c r="J115" s="76"/>
      <c r="K115" s="73"/>
    </row>
    <row r="116" spans="1:11" s="72" customFormat="1" ht="24.95" customHeight="1">
      <c r="A116" s="203" t="s">
        <v>493</v>
      </c>
      <c r="B116" s="203" t="s">
        <v>423</v>
      </c>
      <c r="C116" s="203" t="s">
        <v>438</v>
      </c>
      <c r="D116" s="203" t="s">
        <v>437</v>
      </c>
      <c r="E116" s="204" t="s">
        <v>439</v>
      </c>
      <c r="F116" s="75" t="s">
        <v>497</v>
      </c>
      <c r="G116" s="76">
        <v>44187</v>
      </c>
      <c r="H116" s="77" t="s">
        <v>374</v>
      </c>
      <c r="I116" s="77"/>
      <c r="J116" s="76">
        <v>44176</v>
      </c>
      <c r="K116" s="73"/>
    </row>
    <row r="117" spans="1:11" ht="24.95" customHeight="1">
      <c r="A117" s="188" t="s">
        <v>494</v>
      </c>
      <c r="B117" s="188" t="s">
        <v>416</v>
      </c>
      <c r="C117" s="188" t="s">
        <v>425</v>
      </c>
      <c r="D117" s="188" t="s">
        <v>404</v>
      </c>
      <c r="E117" s="190" t="s">
        <v>427</v>
      </c>
      <c r="F117" s="187" t="s">
        <v>1226</v>
      </c>
      <c r="G117" s="35">
        <v>44221</v>
      </c>
      <c r="H117" s="36" t="s">
        <v>374</v>
      </c>
      <c r="J117" s="35">
        <v>44221</v>
      </c>
    </row>
    <row r="118" spans="1:11" ht="24.95" customHeight="1">
      <c r="A118" s="188" t="s">
        <v>495</v>
      </c>
      <c r="B118" s="188" t="s">
        <v>416</v>
      </c>
      <c r="C118" s="188" t="s">
        <v>441</v>
      </c>
      <c r="D118" s="188" t="s">
        <v>440</v>
      </c>
      <c r="E118" s="190" t="s">
        <v>442</v>
      </c>
      <c r="F118" s="164"/>
      <c r="G118" s="165"/>
      <c r="H118" s="166"/>
      <c r="I118" s="166"/>
      <c r="J118" s="165"/>
    </row>
    <row r="119" spans="1:11" s="72" customFormat="1" ht="24.95" customHeight="1">
      <c r="A119" s="203" t="s">
        <v>455</v>
      </c>
      <c r="B119" s="203" t="s">
        <v>423</v>
      </c>
      <c r="C119" s="203" t="s">
        <v>444</v>
      </c>
      <c r="D119" s="74" t="s">
        <v>443</v>
      </c>
      <c r="E119" s="204" t="s">
        <v>445</v>
      </c>
      <c r="F119" s="75" t="s">
        <v>452</v>
      </c>
      <c r="G119" s="76">
        <v>44112</v>
      </c>
      <c r="H119" s="77" t="s">
        <v>374</v>
      </c>
      <c r="I119" s="77"/>
      <c r="J119" s="76" t="s">
        <v>451</v>
      </c>
      <c r="K119" s="73"/>
    </row>
    <row r="120" spans="1:11" ht="24.95" customHeight="1">
      <c r="A120" s="188" t="s">
        <v>457</v>
      </c>
      <c r="B120" s="188" t="s">
        <v>23</v>
      </c>
      <c r="C120" s="188" t="s">
        <v>459</v>
      </c>
      <c r="D120" s="188" t="s">
        <v>27</v>
      </c>
      <c r="E120" s="198" t="s">
        <v>460</v>
      </c>
      <c r="F120" s="190" t="s">
        <v>458</v>
      </c>
      <c r="G120" s="35">
        <v>44153</v>
      </c>
      <c r="H120" s="36" t="s">
        <v>374</v>
      </c>
      <c r="J120" s="35" t="s">
        <v>461</v>
      </c>
    </row>
    <row r="121" spans="1:11" s="33" customFormat="1" ht="24.95" customHeight="1">
      <c r="A121" s="33" t="s">
        <v>485</v>
      </c>
      <c r="B121" s="33" t="s">
        <v>464</v>
      </c>
      <c r="C121" s="33" t="s">
        <v>465</v>
      </c>
      <c r="D121" s="33" t="s">
        <v>422</v>
      </c>
      <c r="E121" s="175" t="s">
        <v>466</v>
      </c>
      <c r="F121" s="205">
        <v>605.54999999999995</v>
      </c>
      <c r="G121" s="35" t="s">
        <v>1983</v>
      </c>
      <c r="H121" s="36"/>
      <c r="I121" s="36"/>
      <c r="J121" s="206"/>
      <c r="K121" s="207"/>
    </row>
    <row r="122" spans="1:11" s="33" customFormat="1" ht="24.95" customHeight="1">
      <c r="A122" s="33" t="s">
        <v>486</v>
      </c>
      <c r="B122" s="33" t="s">
        <v>467</v>
      </c>
      <c r="C122" s="33" t="s">
        <v>468</v>
      </c>
      <c r="D122" s="33" t="s">
        <v>469</v>
      </c>
      <c r="E122" s="175" t="s">
        <v>470</v>
      </c>
      <c r="F122" s="208"/>
      <c r="G122" s="165"/>
      <c r="H122" s="166"/>
      <c r="I122" s="166"/>
      <c r="J122" s="165"/>
    </row>
    <row r="123" spans="1:11" s="33" customFormat="1" ht="24.95" customHeight="1">
      <c r="A123" s="33" t="s">
        <v>487</v>
      </c>
      <c r="B123" s="33" t="s">
        <v>467</v>
      </c>
      <c r="C123" s="33" t="s">
        <v>471</v>
      </c>
      <c r="D123" s="33" t="s">
        <v>421</v>
      </c>
      <c r="E123" s="175" t="s">
        <v>472</v>
      </c>
      <c r="F123" s="187" t="s">
        <v>1229</v>
      </c>
      <c r="G123" s="35">
        <v>44208</v>
      </c>
      <c r="H123" s="36" t="s">
        <v>1230</v>
      </c>
      <c r="I123" s="36"/>
      <c r="J123" s="35">
        <v>44208</v>
      </c>
    </row>
    <row r="124" spans="1:11" s="33" customFormat="1" ht="24.95" customHeight="1">
      <c r="A124" s="33" t="s">
        <v>488</v>
      </c>
      <c r="B124" s="33" t="s">
        <v>467</v>
      </c>
      <c r="C124" s="33" t="s">
        <v>473</v>
      </c>
      <c r="D124" s="188" t="s">
        <v>404</v>
      </c>
      <c r="E124" s="175" t="s">
        <v>474</v>
      </c>
      <c r="F124" s="187" t="s">
        <v>1226</v>
      </c>
      <c r="G124" s="35">
        <v>44328</v>
      </c>
      <c r="H124" s="36" t="s">
        <v>1225</v>
      </c>
      <c r="I124" s="36"/>
      <c r="J124" s="35" t="s">
        <v>1228</v>
      </c>
    </row>
    <row r="125" spans="1:11" s="33" customFormat="1" ht="24.95" customHeight="1">
      <c r="A125" s="33" t="s">
        <v>489</v>
      </c>
      <c r="B125" s="33" t="s">
        <v>467</v>
      </c>
      <c r="C125" s="33" t="s">
        <v>475</v>
      </c>
      <c r="D125" s="33" t="s">
        <v>476</v>
      </c>
      <c r="E125" s="175" t="s">
        <v>477</v>
      </c>
      <c r="F125" s="187" t="s">
        <v>478</v>
      </c>
      <c r="G125" s="35">
        <v>44218</v>
      </c>
      <c r="H125" s="36" t="s">
        <v>1231</v>
      </c>
      <c r="I125" s="36"/>
      <c r="J125" s="35" t="s">
        <v>1227</v>
      </c>
    </row>
    <row r="126" spans="1:11" s="33" customFormat="1" ht="24.95" customHeight="1">
      <c r="A126" s="33" t="s">
        <v>490</v>
      </c>
      <c r="B126" s="33" t="s">
        <v>479</v>
      </c>
      <c r="C126" s="33" t="s">
        <v>480</v>
      </c>
      <c r="D126" s="33" t="s">
        <v>481</v>
      </c>
      <c r="E126" s="175" t="s">
        <v>482</v>
      </c>
      <c r="F126" s="187"/>
      <c r="G126" s="35"/>
      <c r="H126" s="36" t="s">
        <v>504</v>
      </c>
      <c r="I126" s="36"/>
      <c r="J126" s="35"/>
    </row>
    <row r="127" spans="1:11" s="33" customFormat="1" ht="24.95" customHeight="1">
      <c r="A127" s="33" t="s">
        <v>491</v>
      </c>
      <c r="B127" s="33" t="s">
        <v>413</v>
      </c>
      <c r="C127" s="33" t="s">
        <v>483</v>
      </c>
      <c r="D127" s="33" t="s">
        <v>479</v>
      </c>
      <c r="E127" s="175" t="s">
        <v>484</v>
      </c>
      <c r="F127" s="187"/>
      <c r="G127" s="35"/>
      <c r="H127" s="36"/>
      <c r="I127" s="36"/>
      <c r="J127" s="35"/>
    </row>
    <row r="128" spans="1:11" s="33" customFormat="1" ht="24.95" customHeight="1">
      <c r="A128" s="33" t="s">
        <v>1089</v>
      </c>
      <c r="B128" s="33" t="s">
        <v>1090</v>
      </c>
      <c r="C128" s="33" t="s">
        <v>1092</v>
      </c>
      <c r="D128" s="33" t="s">
        <v>1094</v>
      </c>
      <c r="E128" s="175" t="s">
        <v>1095</v>
      </c>
      <c r="F128" s="187" t="s">
        <v>1096</v>
      </c>
      <c r="G128" s="35">
        <v>44316</v>
      </c>
      <c r="H128" s="36" t="s">
        <v>1225</v>
      </c>
      <c r="I128" s="36"/>
      <c r="J128" s="35" t="s">
        <v>1097</v>
      </c>
    </row>
    <row r="129" spans="1:16374" s="33" customFormat="1" ht="24.95" customHeight="1">
      <c r="A129" s="33" t="s">
        <v>2405</v>
      </c>
      <c r="B129" s="210" t="s">
        <v>2407</v>
      </c>
      <c r="C129" s="33" t="s">
        <v>2408</v>
      </c>
      <c r="D129" s="4" t="s">
        <v>2409</v>
      </c>
      <c r="E129" s="175" t="s">
        <v>2410</v>
      </c>
      <c r="F129" s="187" t="s">
        <v>2438</v>
      </c>
      <c r="G129" s="35">
        <v>44559</v>
      </c>
      <c r="H129" s="36" t="s">
        <v>436</v>
      </c>
      <c r="I129" s="36"/>
      <c r="J129" s="35">
        <v>44547</v>
      </c>
    </row>
    <row r="130" spans="1:16374" s="33" customFormat="1" ht="24.95" customHeight="1">
      <c r="A130" s="33" t="s">
        <v>1420</v>
      </c>
      <c r="B130" s="33" t="s">
        <v>1421</v>
      </c>
      <c r="C130" s="188" t="s">
        <v>1237</v>
      </c>
      <c r="D130" s="188" t="s">
        <v>404</v>
      </c>
      <c r="E130" s="175" t="s">
        <v>1422</v>
      </c>
      <c r="F130" s="187" t="s">
        <v>1423</v>
      </c>
      <c r="G130" s="35">
        <v>44368</v>
      </c>
      <c r="H130" s="36" t="s">
        <v>374</v>
      </c>
      <c r="I130" s="36"/>
      <c r="J130" s="35" t="s">
        <v>1424</v>
      </c>
    </row>
    <row r="131" spans="1:16374" s="33" customFormat="1" ht="24.95" customHeight="1">
      <c r="A131" s="33" t="s">
        <v>1773</v>
      </c>
      <c r="B131" s="33" t="s">
        <v>1421</v>
      </c>
      <c r="C131" s="188" t="s">
        <v>1237</v>
      </c>
      <c r="D131" s="188" t="s">
        <v>404</v>
      </c>
      <c r="E131" s="175" t="s">
        <v>1422</v>
      </c>
      <c r="F131" s="187" t="s">
        <v>1423</v>
      </c>
      <c r="G131" s="35">
        <v>44448</v>
      </c>
      <c r="H131" s="36" t="s">
        <v>374</v>
      </c>
      <c r="I131" s="207"/>
      <c r="J131" s="35" t="s">
        <v>1774</v>
      </c>
    </row>
    <row r="132" spans="1:16374" ht="24.95" customHeight="1">
      <c r="A132" s="33" t="s">
        <v>1395</v>
      </c>
      <c r="B132" s="33" t="s">
        <v>1379</v>
      </c>
      <c r="C132" s="33" t="s">
        <v>1381</v>
      </c>
      <c r="D132" s="33" t="s">
        <v>1382</v>
      </c>
      <c r="E132" s="175" t="s">
        <v>1384</v>
      </c>
      <c r="F132" s="175" t="s">
        <v>1383</v>
      </c>
      <c r="G132" s="35">
        <v>44445</v>
      </c>
      <c r="H132" s="36" t="s">
        <v>374</v>
      </c>
      <c r="J132" s="35" t="s">
        <v>1774</v>
      </c>
    </row>
    <row r="133" spans="1:16374" s="129" customFormat="1" ht="24.95" customHeight="1">
      <c r="A133" s="163" t="s">
        <v>1396</v>
      </c>
      <c r="B133" s="163" t="s">
        <v>1397</v>
      </c>
      <c r="C133" s="163" t="s">
        <v>1398</v>
      </c>
      <c r="D133" s="163" t="s">
        <v>1399</v>
      </c>
      <c r="E133" s="209" t="s">
        <v>1400</v>
      </c>
      <c r="F133" s="209" t="s">
        <v>2415</v>
      </c>
      <c r="G133" s="165"/>
      <c r="H133" s="166" t="s">
        <v>351</v>
      </c>
      <c r="I133" s="166" t="s">
        <v>2848</v>
      </c>
      <c r="J133" s="165" t="s">
        <v>2847</v>
      </c>
      <c r="K133" s="162"/>
    </row>
    <row r="134" spans="1:16374" ht="24" customHeight="1">
      <c r="A134" s="33" t="s">
        <v>1485</v>
      </c>
      <c r="B134" s="33" t="s">
        <v>1486</v>
      </c>
      <c r="C134" s="33" t="s">
        <v>1488</v>
      </c>
      <c r="D134" s="33" t="s">
        <v>1489</v>
      </c>
      <c r="E134" s="175" t="s">
        <v>1490</v>
      </c>
      <c r="F134" s="187" t="s">
        <v>1491</v>
      </c>
      <c r="G134" s="35">
        <v>44414</v>
      </c>
      <c r="H134" s="36" t="s">
        <v>2195</v>
      </c>
      <c r="J134" s="35" t="s">
        <v>1492</v>
      </c>
    </row>
    <row r="135" spans="1:16374" ht="20.25" customHeight="1">
      <c r="A135" s="33" t="s">
        <v>1664</v>
      </c>
      <c r="B135" s="33" t="s">
        <v>1665</v>
      </c>
      <c r="C135" s="33" t="s">
        <v>1666</v>
      </c>
      <c r="D135" s="188" t="s">
        <v>404</v>
      </c>
      <c r="E135" s="175" t="s">
        <v>1667</v>
      </c>
      <c r="F135" s="187" t="s">
        <v>1668</v>
      </c>
      <c r="G135" s="35">
        <v>44448</v>
      </c>
      <c r="H135" s="36" t="s">
        <v>374</v>
      </c>
      <c r="J135" s="35" t="s">
        <v>1669</v>
      </c>
    </row>
    <row r="136" spans="1:16374" ht="21.75" customHeight="1">
      <c r="A136" s="33" t="s">
        <v>1969</v>
      </c>
      <c r="B136" s="33" t="s">
        <v>1665</v>
      </c>
      <c r="C136" s="33" t="s">
        <v>1666</v>
      </c>
      <c r="D136" s="188" t="s">
        <v>404</v>
      </c>
      <c r="E136" s="175" t="s">
        <v>1667</v>
      </c>
      <c r="F136" s="187" t="s">
        <v>1668</v>
      </c>
      <c r="G136" s="35">
        <v>44567</v>
      </c>
      <c r="H136" s="36" t="s">
        <v>374</v>
      </c>
      <c r="J136" s="35" t="s">
        <v>1970</v>
      </c>
    </row>
    <row r="137" spans="1:16374" s="33" customFormat="1" ht="24.95" customHeight="1">
      <c r="A137" s="33" t="s">
        <v>2187</v>
      </c>
      <c r="B137" s="33" t="s">
        <v>2188</v>
      </c>
      <c r="C137" s="33" t="s">
        <v>2189</v>
      </c>
      <c r="D137" s="33" t="s">
        <v>899</v>
      </c>
      <c r="E137" s="175" t="s">
        <v>2190</v>
      </c>
      <c r="F137" s="187" t="s">
        <v>2193</v>
      </c>
      <c r="G137" s="35">
        <v>44522</v>
      </c>
      <c r="H137" s="36" t="s">
        <v>374</v>
      </c>
      <c r="I137" s="36"/>
      <c r="J137" s="35" t="s">
        <v>2194</v>
      </c>
    </row>
    <row r="138" spans="1:16374" ht="24.95" customHeight="1">
      <c r="A138" s="33" t="s">
        <v>2404</v>
      </c>
      <c r="B138" s="33" t="s">
        <v>1397</v>
      </c>
      <c r="C138" s="4" t="s">
        <v>2412</v>
      </c>
      <c r="D138" s="188" t="s">
        <v>2411</v>
      </c>
      <c r="E138" s="175" t="s">
        <v>2413</v>
      </c>
      <c r="F138" s="187" t="s">
        <v>2414</v>
      </c>
      <c r="G138" s="35">
        <v>44545</v>
      </c>
      <c r="H138" s="36" t="s">
        <v>2195</v>
      </c>
    </row>
    <row r="139" spans="1:16374" s="33" customFormat="1" ht="24.95" customHeight="1">
      <c r="A139" s="33" t="s">
        <v>2185</v>
      </c>
      <c r="B139" s="33" t="s">
        <v>1397</v>
      </c>
      <c r="C139" s="33" t="s">
        <v>1666</v>
      </c>
      <c r="D139" s="188" t="s">
        <v>404</v>
      </c>
      <c r="E139" s="175" t="s">
        <v>2191</v>
      </c>
      <c r="F139" s="187" t="s">
        <v>2192</v>
      </c>
      <c r="G139" s="35">
        <v>44545</v>
      </c>
      <c r="H139" s="36" t="s">
        <v>2195</v>
      </c>
      <c r="I139" s="36"/>
      <c r="J139" s="35" t="s">
        <v>2186</v>
      </c>
    </row>
    <row r="140" spans="1:16374" s="33" customFormat="1" ht="24.95" customHeight="1">
      <c r="A140" s="29" t="s">
        <v>2846</v>
      </c>
      <c r="B140" s="3" t="s">
        <v>416</v>
      </c>
      <c r="C140" s="3" t="s">
        <v>1843</v>
      </c>
      <c r="D140" s="33" t="s">
        <v>2843</v>
      </c>
      <c r="E140" s="222" t="s">
        <v>1848</v>
      </c>
      <c r="F140" s="3"/>
      <c r="H140" s="223"/>
      <c r="I140" s="3"/>
      <c r="J140" s="224" t="s">
        <v>411</v>
      </c>
      <c r="K140" s="224" t="s">
        <v>411</v>
      </c>
      <c r="L140" s="3"/>
      <c r="M140" s="3" t="s">
        <v>620</v>
      </c>
      <c r="N140" s="29" t="s">
        <v>2142</v>
      </c>
      <c r="O140" s="29"/>
      <c r="P140" s="3" t="s">
        <v>411</v>
      </c>
      <c r="Q140" s="3"/>
      <c r="R140" s="218"/>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c r="MJ140" s="3"/>
      <c r="MK140" s="3"/>
      <c r="ML140" s="3"/>
      <c r="MM140" s="3"/>
      <c r="MN140" s="3"/>
      <c r="MO140" s="3"/>
      <c r="MP140" s="3"/>
      <c r="MQ140" s="3"/>
      <c r="MR140" s="3"/>
      <c r="MS140" s="3"/>
      <c r="MT140" s="3"/>
      <c r="MU140" s="3"/>
      <c r="MV140" s="3"/>
      <c r="MW140" s="3"/>
      <c r="MX140" s="3"/>
      <c r="MY140" s="3"/>
      <c r="MZ140" s="3"/>
      <c r="NA140" s="3"/>
      <c r="NB140" s="3"/>
      <c r="NC140" s="3"/>
      <c r="ND140" s="3"/>
      <c r="NE140" s="3"/>
      <c r="NF140" s="3"/>
      <c r="NG140" s="3"/>
      <c r="NH140" s="3"/>
      <c r="NI140" s="3"/>
      <c r="NJ140" s="3"/>
      <c r="NK140" s="3"/>
      <c r="NL140" s="3"/>
      <c r="NM140" s="3"/>
      <c r="NN140" s="3"/>
      <c r="NO140" s="3"/>
      <c r="NP140" s="3"/>
      <c r="NQ140" s="3"/>
      <c r="NR140" s="3"/>
      <c r="NS140" s="3"/>
      <c r="NT140" s="3"/>
      <c r="NU140" s="3"/>
      <c r="NV140" s="3"/>
      <c r="NW140" s="3"/>
      <c r="NX140" s="3"/>
      <c r="NY140" s="3"/>
      <c r="NZ140" s="3"/>
      <c r="OA140" s="3"/>
      <c r="OB140" s="3"/>
      <c r="OC140" s="3"/>
      <c r="OD140" s="3"/>
      <c r="OE140" s="3"/>
      <c r="OF140" s="3"/>
      <c r="OG140" s="3"/>
      <c r="OH140" s="3"/>
      <c r="OI140" s="3"/>
      <c r="OJ140" s="3"/>
      <c r="OK140" s="3"/>
      <c r="OL140" s="3"/>
      <c r="OM140" s="3"/>
      <c r="ON140" s="3"/>
      <c r="OO140" s="3"/>
      <c r="OP140" s="3"/>
      <c r="OQ140" s="3"/>
      <c r="OR140" s="3"/>
      <c r="OS140" s="3"/>
      <c r="OT140" s="3"/>
      <c r="OU140" s="3"/>
      <c r="OV140" s="3"/>
      <c r="OW140" s="3"/>
      <c r="OX140" s="3"/>
      <c r="OY140" s="3"/>
      <c r="OZ140" s="3"/>
      <c r="PA140" s="3"/>
      <c r="PB140" s="3"/>
      <c r="PC140" s="3"/>
      <c r="PD140" s="3"/>
      <c r="PE140" s="3"/>
      <c r="PF140" s="3"/>
      <c r="PG140" s="3"/>
      <c r="PH140" s="3"/>
      <c r="PI140" s="3"/>
      <c r="PJ140" s="3"/>
      <c r="PK140" s="3"/>
      <c r="PL140" s="3"/>
      <c r="PM140" s="3"/>
      <c r="PN140" s="3"/>
      <c r="PO140" s="3"/>
      <c r="PP140" s="3"/>
      <c r="PQ140" s="3"/>
      <c r="PR140" s="3"/>
      <c r="PS140" s="3"/>
      <c r="PT140" s="3"/>
      <c r="PU140" s="3"/>
      <c r="PV140" s="3"/>
      <c r="PW140" s="3"/>
      <c r="PX140" s="3"/>
      <c r="PY140" s="3"/>
      <c r="PZ140" s="3"/>
      <c r="QA140" s="3"/>
      <c r="QB140" s="3"/>
      <c r="QC140" s="3"/>
      <c r="QD140" s="3"/>
      <c r="QE140" s="3"/>
      <c r="QF140" s="3"/>
      <c r="QG140" s="3"/>
      <c r="QH140" s="3"/>
      <c r="QI140" s="3"/>
      <c r="QJ140" s="3"/>
      <c r="QK140" s="3"/>
      <c r="QL140" s="3"/>
      <c r="QM140" s="3"/>
      <c r="QN140" s="3"/>
      <c r="QO140" s="3"/>
      <c r="QP140" s="3"/>
      <c r="QQ140" s="3"/>
      <c r="QR140" s="3"/>
      <c r="QS140" s="3"/>
      <c r="QT140" s="3"/>
      <c r="QU140" s="3"/>
      <c r="QV140" s="3"/>
      <c r="QW140" s="3"/>
      <c r="QX140" s="3"/>
      <c r="QY140" s="3"/>
      <c r="QZ140" s="3"/>
      <c r="RA140" s="3"/>
      <c r="RB140" s="3"/>
      <c r="RC140" s="3"/>
      <c r="RD140" s="3"/>
      <c r="RE140" s="3"/>
      <c r="RF140" s="3"/>
      <c r="RG140" s="3"/>
      <c r="RH140" s="3"/>
      <c r="RI140" s="3"/>
      <c r="RJ140" s="3"/>
      <c r="RK140" s="3"/>
      <c r="RL140" s="3"/>
      <c r="RM140" s="3"/>
      <c r="RN140" s="3"/>
      <c r="RO140" s="3"/>
      <c r="RP140" s="3"/>
      <c r="RQ140" s="3"/>
      <c r="RR140" s="3"/>
      <c r="RS140" s="3"/>
      <c r="RT140" s="3"/>
      <c r="RU140" s="3"/>
      <c r="RV140" s="3"/>
      <c r="RW140" s="3"/>
      <c r="RX140" s="3"/>
      <c r="RY140" s="3"/>
      <c r="RZ140" s="3"/>
      <c r="SA140" s="3"/>
      <c r="SB140" s="3"/>
      <c r="SC140" s="3"/>
      <c r="SD140" s="3"/>
      <c r="SE140" s="3"/>
      <c r="SF140" s="3"/>
      <c r="SG140" s="3"/>
      <c r="SH140" s="3"/>
      <c r="SI140" s="3"/>
      <c r="SJ140" s="3"/>
      <c r="SK140" s="3"/>
      <c r="SL140" s="3"/>
      <c r="SM140" s="3"/>
      <c r="SN140" s="3"/>
      <c r="SO140" s="3"/>
      <c r="SP140" s="3"/>
      <c r="SQ140" s="3"/>
      <c r="SR140" s="3"/>
      <c r="SS140" s="3"/>
      <c r="ST140" s="3"/>
      <c r="SU140" s="3"/>
      <c r="SV140" s="3"/>
      <c r="SW140" s="3"/>
      <c r="SX140" s="3"/>
      <c r="SY140" s="3"/>
      <c r="SZ140" s="3"/>
      <c r="TA140" s="3"/>
      <c r="TB140" s="3"/>
      <c r="TC140" s="3"/>
      <c r="TD140" s="3"/>
      <c r="TE140" s="3"/>
      <c r="TF140" s="3"/>
      <c r="TG140" s="3"/>
      <c r="TH140" s="3"/>
      <c r="TI140" s="3"/>
      <c r="TJ140" s="3"/>
      <c r="TK140" s="3"/>
      <c r="TL140" s="3"/>
      <c r="TM140" s="3"/>
      <c r="TN140" s="3"/>
      <c r="TO140" s="3"/>
      <c r="TP140" s="3"/>
      <c r="TQ140" s="3"/>
      <c r="TR140" s="3"/>
      <c r="TS140" s="3"/>
      <c r="TT140" s="3"/>
      <c r="TU140" s="3"/>
      <c r="TV140" s="3"/>
      <c r="TW140" s="3"/>
      <c r="TX140" s="3"/>
      <c r="TY140" s="3"/>
      <c r="TZ140" s="3"/>
      <c r="UA140" s="3"/>
      <c r="UB140" s="3"/>
      <c r="UC140" s="3"/>
      <c r="UD140" s="3"/>
      <c r="UE140" s="3"/>
      <c r="UF140" s="3"/>
      <c r="UG140" s="3"/>
      <c r="UH140" s="3"/>
      <c r="UI140" s="3"/>
      <c r="UJ140" s="3"/>
      <c r="UK140" s="3"/>
      <c r="UL140" s="3"/>
      <c r="UM140" s="3"/>
      <c r="UN140" s="3"/>
      <c r="UO140" s="3"/>
      <c r="UP140" s="3"/>
      <c r="UQ140" s="3"/>
      <c r="UR140" s="3"/>
      <c r="US140" s="3"/>
      <c r="UT140" s="3"/>
      <c r="UU140" s="3"/>
      <c r="UV140" s="3"/>
      <c r="UW140" s="3"/>
      <c r="UX140" s="3"/>
      <c r="UY140" s="3"/>
      <c r="UZ140" s="3"/>
      <c r="VA140" s="3"/>
      <c r="VB140" s="3"/>
      <c r="VC140" s="3"/>
      <c r="VD140" s="3"/>
      <c r="VE140" s="3"/>
      <c r="VF140" s="3"/>
      <c r="VG140" s="3"/>
      <c r="VH140" s="3"/>
      <c r="VI140" s="3"/>
      <c r="VJ140" s="3"/>
      <c r="VK140" s="3"/>
      <c r="VL140" s="3"/>
      <c r="VM140" s="3"/>
      <c r="VN140" s="3"/>
      <c r="VO140" s="3"/>
      <c r="VP140" s="3"/>
      <c r="VQ140" s="3"/>
      <c r="VR140" s="3"/>
      <c r="VS140" s="3"/>
      <c r="VT140" s="3"/>
      <c r="VU140" s="3"/>
      <c r="VV140" s="3"/>
      <c r="VW140" s="3"/>
      <c r="VX140" s="3"/>
      <c r="VY140" s="3"/>
      <c r="VZ140" s="3"/>
      <c r="WA140" s="3"/>
      <c r="WB140" s="3"/>
      <c r="WC140" s="3"/>
      <c r="WD140" s="3"/>
      <c r="WE140" s="3"/>
      <c r="WF140" s="3"/>
      <c r="WG140" s="3"/>
      <c r="WH140" s="3"/>
      <c r="WI140" s="3"/>
      <c r="WJ140" s="3"/>
      <c r="WK140" s="3"/>
      <c r="WL140" s="3"/>
      <c r="WM140" s="3"/>
      <c r="WN140" s="3"/>
      <c r="WO140" s="3"/>
      <c r="WP140" s="3"/>
      <c r="WQ140" s="3"/>
      <c r="WR140" s="3"/>
      <c r="WS140" s="3"/>
      <c r="WT140" s="3"/>
      <c r="WU140" s="3"/>
      <c r="WV140" s="3"/>
      <c r="WW140" s="3"/>
      <c r="WX140" s="3"/>
      <c r="WY140" s="3"/>
      <c r="WZ140" s="3"/>
      <c r="XA140" s="3"/>
      <c r="XB140" s="3"/>
      <c r="XC140" s="3"/>
      <c r="XD140" s="3"/>
      <c r="XE140" s="3"/>
      <c r="XF140" s="3"/>
      <c r="XG140" s="3"/>
      <c r="XH140" s="3"/>
      <c r="XI140" s="3"/>
      <c r="XJ140" s="3"/>
      <c r="XK140" s="3"/>
      <c r="XL140" s="3"/>
      <c r="XM140" s="3"/>
      <c r="XN140" s="3"/>
      <c r="XO140" s="3"/>
      <c r="XP140" s="3"/>
      <c r="XQ140" s="3"/>
      <c r="XR140" s="3"/>
      <c r="XS140" s="3"/>
      <c r="XT140" s="3"/>
      <c r="XU140" s="3"/>
      <c r="XV140" s="3"/>
      <c r="XW140" s="3"/>
      <c r="XX140" s="3"/>
      <c r="XY140" s="3"/>
      <c r="XZ140" s="3"/>
      <c r="YA140" s="3"/>
      <c r="YB140" s="3"/>
      <c r="YC140" s="3"/>
      <c r="YD140" s="3"/>
      <c r="YE140" s="3"/>
      <c r="YF140" s="3"/>
      <c r="YG140" s="3"/>
      <c r="YH140" s="3"/>
      <c r="YI140" s="3"/>
      <c r="YJ140" s="3"/>
      <c r="YK140" s="3"/>
      <c r="YL140" s="3"/>
      <c r="YM140" s="3"/>
      <c r="YN140" s="3"/>
      <c r="YO140" s="3"/>
      <c r="YP140" s="3"/>
      <c r="YQ140" s="3"/>
      <c r="YR140" s="3"/>
      <c r="YS140" s="3"/>
      <c r="YT140" s="3"/>
      <c r="YU140" s="3"/>
      <c r="YV140" s="3"/>
      <c r="YW140" s="3"/>
      <c r="YX140" s="3"/>
      <c r="YY140" s="3"/>
      <c r="YZ140" s="3"/>
      <c r="ZA140" s="3"/>
      <c r="ZB140" s="3"/>
      <c r="ZC140" s="3"/>
      <c r="ZD140" s="3"/>
      <c r="ZE140" s="3"/>
      <c r="ZF140" s="3"/>
      <c r="ZG140" s="3"/>
      <c r="ZH140" s="3"/>
      <c r="ZI140" s="3"/>
      <c r="ZJ140" s="3"/>
      <c r="ZK140" s="3"/>
      <c r="ZL140" s="3"/>
      <c r="ZM140" s="3"/>
      <c r="ZN140" s="3"/>
      <c r="ZO140" s="3"/>
      <c r="ZP140" s="3"/>
      <c r="ZQ140" s="3"/>
      <c r="ZR140" s="3"/>
      <c r="ZS140" s="3"/>
      <c r="ZT140" s="3"/>
      <c r="ZU140" s="3"/>
      <c r="ZV140" s="3"/>
      <c r="ZW140" s="3"/>
      <c r="ZX140" s="3"/>
      <c r="ZY140" s="3"/>
      <c r="ZZ140" s="3"/>
      <c r="AAA140" s="3"/>
      <c r="AAB140" s="3"/>
      <c r="AAC140" s="3"/>
      <c r="AAD140" s="3"/>
      <c r="AAE140" s="3"/>
      <c r="AAF140" s="3"/>
      <c r="AAG140" s="3"/>
      <c r="AAH140" s="3"/>
      <c r="AAI140" s="3"/>
      <c r="AAJ140" s="3"/>
      <c r="AAK140" s="3"/>
      <c r="AAL140" s="3"/>
      <c r="AAM140" s="3"/>
      <c r="AAN140" s="3"/>
      <c r="AAO140" s="3"/>
      <c r="AAP140" s="3"/>
      <c r="AAQ140" s="3"/>
      <c r="AAR140" s="3"/>
      <c r="AAS140" s="3"/>
      <c r="AAT140" s="3"/>
      <c r="AAU140" s="3"/>
      <c r="AAV140" s="3"/>
      <c r="AAW140" s="3"/>
      <c r="AAX140" s="3"/>
      <c r="AAY140" s="3"/>
      <c r="AAZ140" s="3"/>
      <c r="ABA140" s="3"/>
      <c r="ABB140" s="3"/>
      <c r="ABC140" s="3"/>
      <c r="ABD140" s="3"/>
      <c r="ABE140" s="3"/>
      <c r="ABF140" s="3"/>
      <c r="ABG140" s="3"/>
      <c r="ABH140" s="3"/>
      <c r="ABI140" s="3"/>
      <c r="ABJ140" s="3"/>
      <c r="ABK140" s="3"/>
      <c r="ABL140" s="3"/>
      <c r="ABM140" s="3"/>
      <c r="ABN140" s="3"/>
      <c r="ABO140" s="3"/>
      <c r="ABP140" s="3"/>
      <c r="ABQ140" s="3"/>
      <c r="ABR140" s="3"/>
      <c r="ABS140" s="3"/>
      <c r="ABT140" s="3"/>
      <c r="ABU140" s="3"/>
      <c r="ABV140" s="3"/>
      <c r="ABW140" s="3"/>
      <c r="ABX140" s="3"/>
      <c r="ABY140" s="3"/>
      <c r="ABZ140" s="3"/>
      <c r="ACA140" s="3"/>
      <c r="ACB140" s="3"/>
      <c r="ACC140" s="3"/>
      <c r="ACD140" s="3"/>
      <c r="ACE140" s="3"/>
      <c r="ACF140" s="3"/>
      <c r="ACG140" s="3"/>
      <c r="ACH140" s="3"/>
      <c r="ACI140" s="3"/>
      <c r="ACJ140" s="3"/>
      <c r="ACK140" s="3"/>
      <c r="ACL140" s="3"/>
      <c r="ACM140" s="3"/>
      <c r="ACN140" s="3"/>
      <c r="ACO140" s="3"/>
      <c r="ACP140" s="3"/>
      <c r="ACQ140" s="3"/>
      <c r="ACR140" s="3"/>
      <c r="ACS140" s="3"/>
      <c r="ACT140" s="3"/>
      <c r="ACU140" s="3"/>
      <c r="ACV140" s="3"/>
      <c r="ACW140" s="3"/>
      <c r="ACX140" s="3"/>
      <c r="ACY140" s="3"/>
      <c r="ACZ140" s="3"/>
      <c r="ADA140" s="3"/>
      <c r="ADB140" s="3"/>
      <c r="ADC140" s="3"/>
      <c r="ADD140" s="3"/>
      <c r="ADE140" s="3"/>
      <c r="ADF140" s="3"/>
      <c r="ADG140" s="3"/>
      <c r="ADH140" s="3"/>
      <c r="ADI140" s="3"/>
      <c r="ADJ140" s="3"/>
      <c r="ADK140" s="3"/>
      <c r="ADL140" s="3"/>
      <c r="ADM140" s="3"/>
      <c r="ADN140" s="3"/>
      <c r="ADO140" s="3"/>
      <c r="ADP140" s="3"/>
      <c r="ADQ140" s="3"/>
      <c r="ADR140" s="3"/>
      <c r="ADS140" s="3"/>
      <c r="ADT140" s="3"/>
      <c r="ADU140" s="3"/>
      <c r="ADV140" s="3"/>
      <c r="ADW140" s="3"/>
      <c r="ADX140" s="3"/>
      <c r="ADY140" s="3"/>
      <c r="ADZ140" s="3"/>
      <c r="AEA140" s="3"/>
      <c r="AEB140" s="3"/>
      <c r="AEC140" s="3"/>
      <c r="AED140" s="3"/>
      <c r="AEE140" s="3"/>
      <c r="AEF140" s="3"/>
      <c r="AEG140" s="3"/>
      <c r="AEH140" s="3"/>
      <c r="AEI140" s="3"/>
      <c r="AEJ140" s="3"/>
      <c r="AEK140" s="3"/>
      <c r="AEL140" s="3"/>
      <c r="AEM140" s="3"/>
      <c r="AEN140" s="3"/>
      <c r="AEO140" s="3"/>
      <c r="AEP140" s="3"/>
      <c r="AEQ140" s="3"/>
      <c r="AER140" s="3"/>
      <c r="AES140" s="3"/>
      <c r="AET140" s="3"/>
      <c r="AEU140" s="3"/>
      <c r="AEV140" s="3"/>
      <c r="AEW140" s="3"/>
      <c r="AEX140" s="3"/>
      <c r="AEY140" s="3"/>
      <c r="AEZ140" s="3"/>
      <c r="AFA140" s="3"/>
      <c r="AFB140" s="3"/>
      <c r="AFC140" s="3"/>
      <c r="AFD140" s="3"/>
      <c r="AFE140" s="3"/>
      <c r="AFF140" s="3"/>
      <c r="AFG140" s="3"/>
      <c r="AFH140" s="3"/>
      <c r="AFI140" s="3"/>
      <c r="AFJ140" s="3"/>
      <c r="AFK140" s="3"/>
      <c r="AFL140" s="3"/>
      <c r="AFM140" s="3"/>
      <c r="AFN140" s="3"/>
      <c r="AFO140" s="3"/>
      <c r="AFP140" s="3"/>
      <c r="AFQ140" s="3"/>
      <c r="AFR140" s="3"/>
      <c r="AFS140" s="3"/>
      <c r="AFT140" s="3"/>
      <c r="AFU140" s="3"/>
      <c r="AFV140" s="3"/>
      <c r="AFW140" s="3"/>
      <c r="AFX140" s="3"/>
      <c r="AFY140" s="3"/>
      <c r="AFZ140" s="3"/>
      <c r="AGA140" s="3"/>
      <c r="AGB140" s="3"/>
      <c r="AGC140" s="3"/>
      <c r="AGD140" s="3"/>
      <c r="AGE140" s="3"/>
      <c r="AGF140" s="3"/>
      <c r="AGG140" s="3"/>
      <c r="AGH140" s="3"/>
      <c r="AGI140" s="3"/>
      <c r="AGJ140" s="3"/>
      <c r="AGK140" s="3"/>
      <c r="AGL140" s="3"/>
      <c r="AGM140" s="3"/>
      <c r="AGN140" s="3"/>
      <c r="AGO140" s="3"/>
      <c r="AGP140" s="3"/>
      <c r="AGQ140" s="3"/>
      <c r="AGR140" s="3"/>
      <c r="AGS140" s="3"/>
      <c r="AGT140" s="3"/>
      <c r="AGU140" s="3"/>
      <c r="AGV140" s="3"/>
      <c r="AGW140" s="3"/>
      <c r="AGX140" s="3"/>
      <c r="AGY140" s="3"/>
      <c r="AGZ140" s="3"/>
      <c r="AHA140" s="3"/>
      <c r="AHB140" s="3"/>
      <c r="AHC140" s="3"/>
      <c r="AHD140" s="3"/>
      <c r="AHE140" s="3"/>
      <c r="AHF140" s="3"/>
      <c r="AHG140" s="3"/>
      <c r="AHH140" s="3"/>
      <c r="AHI140" s="3"/>
      <c r="AHJ140" s="3"/>
      <c r="AHK140" s="3"/>
      <c r="AHL140" s="3"/>
      <c r="AHM140" s="3"/>
      <c r="AHN140" s="3"/>
      <c r="AHO140" s="3"/>
      <c r="AHP140" s="3"/>
      <c r="AHQ140" s="3"/>
      <c r="AHR140" s="3"/>
      <c r="AHS140" s="3"/>
      <c r="AHT140" s="3"/>
      <c r="AHU140" s="3"/>
      <c r="AHV140" s="3"/>
      <c r="AHW140" s="3"/>
      <c r="AHX140" s="3"/>
      <c r="AHY140" s="3"/>
      <c r="AHZ140" s="3"/>
      <c r="AIA140" s="3"/>
      <c r="AIB140" s="3"/>
      <c r="AIC140" s="3"/>
      <c r="AID140" s="3"/>
      <c r="AIE140" s="3"/>
      <c r="AIF140" s="3"/>
      <c r="AIG140" s="3"/>
      <c r="AIH140" s="3"/>
      <c r="AII140" s="3"/>
      <c r="AIJ140" s="3"/>
      <c r="AIK140" s="3"/>
      <c r="AIL140" s="3"/>
      <c r="AIM140" s="3"/>
      <c r="AIN140" s="3"/>
      <c r="AIO140" s="3"/>
      <c r="AIP140" s="3"/>
      <c r="AIQ140" s="3"/>
      <c r="AIR140" s="3"/>
      <c r="AIS140" s="3"/>
      <c r="AIT140" s="3"/>
      <c r="AIU140" s="3"/>
      <c r="AIV140" s="3"/>
      <c r="AIW140" s="3"/>
      <c r="AIX140" s="3"/>
      <c r="AIY140" s="3"/>
      <c r="AIZ140" s="3"/>
      <c r="AJA140" s="3"/>
      <c r="AJB140" s="3"/>
      <c r="AJC140" s="3"/>
      <c r="AJD140" s="3"/>
      <c r="AJE140" s="3"/>
      <c r="AJF140" s="3"/>
      <c r="AJG140" s="3"/>
      <c r="AJH140" s="3"/>
      <c r="AJI140" s="3"/>
      <c r="AJJ140" s="3"/>
      <c r="AJK140" s="3"/>
      <c r="AJL140" s="3"/>
      <c r="AJM140" s="3"/>
      <c r="AJN140" s="3"/>
      <c r="AJO140" s="3"/>
      <c r="AJP140" s="3"/>
      <c r="AJQ140" s="3"/>
      <c r="AJR140" s="3"/>
      <c r="AJS140" s="3"/>
      <c r="AJT140" s="3"/>
      <c r="AJU140" s="3"/>
      <c r="AJV140" s="3"/>
      <c r="AJW140" s="3"/>
      <c r="AJX140" s="3"/>
      <c r="AJY140" s="3"/>
      <c r="AJZ140" s="3"/>
      <c r="AKA140" s="3"/>
      <c r="AKB140" s="3"/>
      <c r="AKC140" s="3"/>
      <c r="AKD140" s="3"/>
      <c r="AKE140" s="3"/>
      <c r="AKF140" s="3"/>
      <c r="AKG140" s="3"/>
      <c r="AKH140" s="3"/>
      <c r="AKI140" s="3"/>
      <c r="AKJ140" s="3"/>
      <c r="AKK140" s="3"/>
      <c r="AKL140" s="3"/>
      <c r="AKM140" s="3"/>
      <c r="AKN140" s="3"/>
      <c r="AKO140" s="3"/>
      <c r="AKP140" s="3"/>
      <c r="AKQ140" s="3"/>
      <c r="AKR140" s="3"/>
      <c r="AKS140" s="3"/>
      <c r="AKT140" s="3"/>
      <c r="AKU140" s="3"/>
      <c r="AKV140" s="3"/>
      <c r="AKW140" s="3"/>
      <c r="AKX140" s="3"/>
      <c r="AKY140" s="3"/>
      <c r="AKZ140" s="3"/>
      <c r="ALA140" s="3"/>
      <c r="ALB140" s="3"/>
      <c r="ALC140" s="3"/>
      <c r="ALD140" s="3"/>
      <c r="ALE140" s="3"/>
      <c r="ALF140" s="3"/>
      <c r="ALG140" s="3"/>
      <c r="ALH140" s="3"/>
      <c r="ALI140" s="3"/>
      <c r="ALJ140" s="3"/>
      <c r="ALK140" s="3"/>
      <c r="ALL140" s="3"/>
      <c r="ALM140" s="3"/>
      <c r="ALN140" s="3"/>
      <c r="ALO140" s="3"/>
      <c r="ALP140" s="3"/>
      <c r="ALQ140" s="3"/>
      <c r="ALR140" s="3"/>
      <c r="ALS140" s="3"/>
      <c r="ALT140" s="3"/>
      <c r="ALU140" s="3"/>
      <c r="ALV140" s="3"/>
      <c r="ALW140" s="3"/>
      <c r="ALX140" s="3"/>
      <c r="ALY140" s="3"/>
      <c r="ALZ140" s="3"/>
      <c r="AMA140" s="3"/>
      <c r="AMB140" s="3"/>
      <c r="AMC140" s="3"/>
      <c r="AMD140" s="3"/>
      <c r="AME140" s="3"/>
      <c r="AMF140" s="3"/>
      <c r="AMG140" s="3"/>
      <c r="AMH140" s="3"/>
      <c r="AMI140" s="3"/>
      <c r="AMJ140" s="3"/>
      <c r="AMK140" s="3"/>
      <c r="AML140" s="3"/>
      <c r="AMM140" s="3"/>
      <c r="AMN140" s="3"/>
      <c r="AMO140" s="3"/>
      <c r="AMP140" s="3"/>
      <c r="AMQ140" s="3"/>
      <c r="AMR140" s="3"/>
      <c r="AMS140" s="3"/>
      <c r="AMT140" s="3"/>
      <c r="AMU140" s="3"/>
      <c r="AMV140" s="3"/>
      <c r="AMW140" s="3"/>
      <c r="AMX140" s="3"/>
      <c r="AMY140" s="3"/>
      <c r="AMZ140" s="3"/>
      <c r="ANA140" s="3"/>
      <c r="ANB140" s="3"/>
      <c r="ANC140" s="3"/>
      <c r="AND140" s="3"/>
      <c r="ANE140" s="3"/>
      <c r="ANF140" s="3"/>
      <c r="ANG140" s="3"/>
      <c r="ANH140" s="3"/>
      <c r="ANI140" s="3"/>
      <c r="ANJ140" s="3"/>
      <c r="ANK140" s="3"/>
      <c r="ANL140" s="3"/>
      <c r="ANM140" s="3"/>
      <c r="ANN140" s="3"/>
      <c r="ANO140" s="3"/>
      <c r="ANP140" s="3"/>
      <c r="ANQ140" s="3"/>
      <c r="ANR140" s="3"/>
      <c r="ANS140" s="3"/>
      <c r="ANT140" s="3"/>
      <c r="ANU140" s="3"/>
      <c r="ANV140" s="3"/>
      <c r="ANW140" s="3"/>
      <c r="ANX140" s="3"/>
      <c r="ANY140" s="3"/>
      <c r="ANZ140" s="3"/>
      <c r="AOA140" s="3"/>
      <c r="AOB140" s="3"/>
      <c r="AOC140" s="3"/>
      <c r="AOD140" s="3"/>
      <c r="AOE140" s="3"/>
      <c r="AOF140" s="3"/>
      <c r="AOG140" s="3"/>
      <c r="AOH140" s="3"/>
      <c r="AOI140" s="3"/>
      <c r="AOJ140" s="3"/>
      <c r="AOK140" s="3"/>
      <c r="AOL140" s="3"/>
      <c r="AOM140" s="3"/>
      <c r="AON140" s="3"/>
      <c r="AOO140" s="3"/>
      <c r="AOP140" s="3"/>
      <c r="AOQ140" s="3"/>
      <c r="AOR140" s="3"/>
      <c r="AOS140" s="3"/>
      <c r="AOT140" s="3"/>
      <c r="AOU140" s="3"/>
      <c r="AOV140" s="3"/>
      <c r="AOW140" s="3"/>
      <c r="AOX140" s="3"/>
      <c r="AOY140" s="3"/>
      <c r="AOZ140" s="3"/>
      <c r="APA140" s="3"/>
      <c r="APB140" s="3"/>
      <c r="APC140" s="3"/>
      <c r="APD140" s="3"/>
      <c r="APE140" s="3"/>
      <c r="APF140" s="3"/>
      <c r="APG140" s="3"/>
      <c r="APH140" s="3"/>
      <c r="API140" s="3"/>
      <c r="APJ140" s="3"/>
      <c r="APK140" s="3"/>
      <c r="APL140" s="3"/>
      <c r="APM140" s="3"/>
      <c r="APN140" s="3"/>
      <c r="APO140" s="3"/>
      <c r="APP140" s="3"/>
      <c r="APQ140" s="3"/>
      <c r="APR140" s="3"/>
      <c r="APS140" s="3"/>
      <c r="APT140" s="3"/>
      <c r="APU140" s="3"/>
      <c r="APV140" s="3"/>
      <c r="APW140" s="3"/>
      <c r="APX140" s="3"/>
      <c r="APY140" s="3"/>
      <c r="APZ140" s="3"/>
      <c r="AQA140" s="3"/>
      <c r="AQB140" s="3"/>
      <c r="AQC140" s="3"/>
      <c r="AQD140" s="3"/>
      <c r="AQE140" s="3"/>
      <c r="AQF140" s="3"/>
      <c r="AQG140" s="3"/>
      <c r="AQH140" s="3"/>
      <c r="AQI140" s="3"/>
      <c r="AQJ140" s="3"/>
      <c r="AQK140" s="3"/>
      <c r="AQL140" s="3"/>
      <c r="AQM140" s="3"/>
      <c r="AQN140" s="3"/>
      <c r="AQO140" s="3"/>
      <c r="AQP140" s="3"/>
      <c r="AQQ140" s="3"/>
      <c r="AQR140" s="3"/>
      <c r="AQS140" s="3"/>
      <c r="AQT140" s="3"/>
      <c r="AQU140" s="3"/>
      <c r="AQV140" s="3"/>
      <c r="AQW140" s="3"/>
      <c r="AQX140" s="3"/>
      <c r="AQY140" s="3"/>
      <c r="AQZ140" s="3"/>
      <c r="ARA140" s="3"/>
      <c r="ARB140" s="3"/>
      <c r="ARC140" s="3"/>
      <c r="ARD140" s="3"/>
      <c r="ARE140" s="3"/>
      <c r="ARF140" s="3"/>
      <c r="ARG140" s="3"/>
      <c r="ARH140" s="3"/>
      <c r="ARI140" s="3"/>
      <c r="ARJ140" s="3"/>
      <c r="ARK140" s="3"/>
      <c r="ARL140" s="3"/>
      <c r="ARM140" s="3"/>
      <c r="ARN140" s="3"/>
      <c r="ARO140" s="3"/>
      <c r="ARP140" s="3"/>
      <c r="ARQ140" s="3"/>
      <c r="ARR140" s="3"/>
      <c r="ARS140" s="3"/>
      <c r="ART140" s="3"/>
      <c r="ARU140" s="3"/>
      <c r="ARV140" s="3"/>
      <c r="ARW140" s="3"/>
      <c r="ARX140" s="3"/>
      <c r="ARY140" s="3"/>
      <c r="ARZ140" s="3"/>
      <c r="ASA140" s="3"/>
      <c r="ASB140" s="3"/>
      <c r="ASC140" s="3"/>
      <c r="ASD140" s="3"/>
      <c r="ASE140" s="3"/>
      <c r="ASF140" s="3"/>
      <c r="ASG140" s="3"/>
      <c r="ASH140" s="3"/>
      <c r="ASI140" s="3"/>
      <c r="ASJ140" s="3"/>
      <c r="ASK140" s="3"/>
      <c r="ASL140" s="3"/>
      <c r="ASM140" s="3"/>
      <c r="ASN140" s="3"/>
      <c r="ASO140" s="3"/>
      <c r="ASP140" s="3"/>
      <c r="ASQ140" s="3"/>
      <c r="ASR140" s="3"/>
      <c r="ASS140" s="3"/>
      <c r="AST140" s="3"/>
      <c r="ASU140" s="3"/>
      <c r="ASV140" s="3"/>
      <c r="ASW140" s="3"/>
      <c r="ASX140" s="3"/>
      <c r="ASY140" s="3"/>
      <c r="ASZ140" s="3"/>
      <c r="ATA140" s="3"/>
      <c r="ATB140" s="3"/>
      <c r="ATC140" s="3"/>
      <c r="ATD140" s="3"/>
      <c r="ATE140" s="3"/>
      <c r="ATF140" s="3"/>
      <c r="ATG140" s="3"/>
      <c r="ATH140" s="3"/>
      <c r="ATI140" s="3"/>
      <c r="ATJ140" s="3"/>
      <c r="ATK140" s="3"/>
      <c r="ATL140" s="3"/>
      <c r="ATM140" s="3"/>
      <c r="ATN140" s="3"/>
      <c r="ATO140" s="3"/>
      <c r="ATP140" s="3"/>
      <c r="ATQ140" s="3"/>
      <c r="ATR140" s="3"/>
      <c r="ATS140" s="3"/>
      <c r="ATT140" s="3"/>
      <c r="ATU140" s="3"/>
      <c r="ATV140" s="3"/>
      <c r="ATW140" s="3"/>
      <c r="ATX140" s="3"/>
      <c r="ATY140" s="3"/>
      <c r="ATZ140" s="3"/>
      <c r="AUA140" s="3"/>
      <c r="AUB140" s="3"/>
      <c r="AUC140" s="3"/>
      <c r="AUD140" s="3"/>
      <c r="AUE140" s="3"/>
      <c r="AUF140" s="3"/>
      <c r="AUG140" s="3"/>
      <c r="AUH140" s="3"/>
      <c r="AUI140" s="3"/>
      <c r="AUJ140" s="3"/>
      <c r="AUK140" s="3"/>
      <c r="AUL140" s="3"/>
      <c r="AUM140" s="3"/>
      <c r="AUN140" s="3"/>
      <c r="AUO140" s="3"/>
      <c r="AUP140" s="3"/>
      <c r="AUQ140" s="3"/>
      <c r="AUR140" s="3"/>
      <c r="AUS140" s="3"/>
      <c r="AUT140" s="3"/>
      <c r="AUU140" s="3"/>
      <c r="AUV140" s="3"/>
      <c r="AUW140" s="3"/>
      <c r="AUX140" s="3"/>
      <c r="AUY140" s="3"/>
      <c r="AUZ140" s="3"/>
      <c r="AVA140" s="3"/>
      <c r="AVB140" s="3"/>
      <c r="AVC140" s="3"/>
      <c r="AVD140" s="3"/>
      <c r="AVE140" s="3"/>
      <c r="AVF140" s="3"/>
      <c r="AVG140" s="3"/>
      <c r="AVH140" s="3"/>
      <c r="AVI140" s="3"/>
      <c r="AVJ140" s="3"/>
      <c r="AVK140" s="3"/>
      <c r="AVL140" s="3"/>
      <c r="AVM140" s="3"/>
      <c r="AVN140" s="3"/>
      <c r="AVO140" s="3"/>
      <c r="AVP140" s="3"/>
      <c r="AVQ140" s="3"/>
      <c r="AVR140" s="3"/>
      <c r="AVS140" s="3"/>
      <c r="AVT140" s="3"/>
      <c r="AVU140" s="3"/>
      <c r="AVV140" s="3"/>
      <c r="AVW140" s="3"/>
      <c r="AVX140" s="3"/>
      <c r="AVY140" s="3"/>
      <c r="AVZ140" s="3"/>
      <c r="AWA140" s="3"/>
      <c r="AWB140" s="3"/>
      <c r="AWC140" s="3"/>
      <c r="AWD140" s="3"/>
      <c r="AWE140" s="3"/>
      <c r="AWF140" s="3"/>
      <c r="AWG140" s="3"/>
      <c r="AWH140" s="3"/>
      <c r="AWI140" s="3"/>
      <c r="AWJ140" s="3"/>
      <c r="AWK140" s="3"/>
      <c r="AWL140" s="3"/>
      <c r="AWM140" s="3"/>
      <c r="AWN140" s="3"/>
      <c r="AWO140" s="3"/>
      <c r="AWP140" s="3"/>
      <c r="AWQ140" s="3"/>
      <c r="AWR140" s="3"/>
      <c r="AWS140" s="3"/>
      <c r="AWT140" s="3"/>
      <c r="AWU140" s="3"/>
      <c r="AWV140" s="3"/>
      <c r="AWW140" s="3"/>
      <c r="AWX140" s="3"/>
      <c r="AWY140" s="3"/>
      <c r="AWZ140" s="3"/>
      <c r="AXA140" s="3"/>
      <c r="AXB140" s="3"/>
      <c r="AXC140" s="3"/>
      <c r="AXD140" s="3"/>
      <c r="AXE140" s="3"/>
      <c r="AXF140" s="3"/>
      <c r="AXG140" s="3"/>
      <c r="AXH140" s="3"/>
      <c r="AXI140" s="3"/>
      <c r="AXJ140" s="3"/>
      <c r="AXK140" s="3"/>
      <c r="AXL140" s="3"/>
      <c r="AXM140" s="3"/>
      <c r="AXN140" s="3"/>
      <c r="AXO140" s="3"/>
      <c r="AXP140" s="3"/>
      <c r="AXQ140" s="3"/>
      <c r="AXR140" s="3"/>
      <c r="AXS140" s="3"/>
      <c r="AXT140" s="3"/>
      <c r="AXU140" s="3"/>
      <c r="AXV140" s="3"/>
      <c r="AXW140" s="3"/>
      <c r="AXX140" s="3"/>
      <c r="AXY140" s="3"/>
      <c r="AXZ140" s="3"/>
      <c r="AYA140" s="3"/>
      <c r="AYB140" s="3"/>
      <c r="AYC140" s="3"/>
      <c r="AYD140" s="3"/>
      <c r="AYE140" s="3"/>
      <c r="AYF140" s="3"/>
      <c r="AYG140" s="3"/>
      <c r="AYH140" s="3"/>
      <c r="AYI140" s="3"/>
      <c r="AYJ140" s="3"/>
      <c r="AYK140" s="3"/>
      <c r="AYL140" s="3"/>
      <c r="AYM140" s="3"/>
      <c r="AYN140" s="3"/>
      <c r="AYO140" s="3"/>
      <c r="AYP140" s="3"/>
      <c r="AYQ140" s="3"/>
      <c r="AYR140" s="3"/>
      <c r="AYS140" s="3"/>
      <c r="AYT140" s="3"/>
      <c r="AYU140" s="3"/>
      <c r="AYV140" s="3"/>
      <c r="AYW140" s="3"/>
      <c r="AYX140" s="3"/>
      <c r="AYY140" s="3"/>
      <c r="AYZ140" s="3"/>
      <c r="AZA140" s="3"/>
      <c r="AZB140" s="3"/>
      <c r="AZC140" s="3"/>
      <c r="AZD140" s="3"/>
      <c r="AZE140" s="3"/>
      <c r="AZF140" s="3"/>
      <c r="AZG140" s="3"/>
      <c r="AZH140" s="3"/>
      <c r="AZI140" s="3"/>
      <c r="AZJ140" s="3"/>
      <c r="AZK140" s="3"/>
      <c r="AZL140" s="3"/>
      <c r="AZM140" s="3"/>
      <c r="AZN140" s="3"/>
      <c r="AZO140" s="3"/>
      <c r="AZP140" s="3"/>
      <c r="AZQ140" s="3"/>
      <c r="AZR140" s="3"/>
      <c r="AZS140" s="3"/>
      <c r="AZT140" s="3"/>
      <c r="AZU140" s="3"/>
      <c r="AZV140" s="3"/>
      <c r="AZW140" s="3"/>
      <c r="AZX140" s="3"/>
      <c r="AZY140" s="3"/>
      <c r="AZZ140" s="3"/>
      <c r="BAA140" s="3"/>
      <c r="BAB140" s="3"/>
      <c r="BAC140" s="3"/>
      <c r="BAD140" s="3"/>
      <c r="BAE140" s="3"/>
      <c r="BAF140" s="3"/>
      <c r="BAG140" s="3"/>
      <c r="BAH140" s="3"/>
      <c r="BAI140" s="3"/>
      <c r="BAJ140" s="3"/>
      <c r="BAK140" s="3"/>
      <c r="BAL140" s="3"/>
      <c r="BAM140" s="3"/>
      <c r="BAN140" s="3"/>
      <c r="BAO140" s="3"/>
      <c r="BAP140" s="3"/>
      <c r="BAQ140" s="3"/>
      <c r="BAR140" s="3"/>
      <c r="BAS140" s="3"/>
      <c r="BAT140" s="3"/>
      <c r="BAU140" s="3"/>
      <c r="BAV140" s="3"/>
      <c r="BAW140" s="3"/>
      <c r="BAX140" s="3"/>
      <c r="BAY140" s="3"/>
      <c r="BAZ140" s="3"/>
      <c r="BBA140" s="3"/>
      <c r="BBB140" s="3"/>
      <c r="BBC140" s="3"/>
      <c r="BBD140" s="3"/>
      <c r="BBE140" s="3"/>
      <c r="BBF140" s="3"/>
      <c r="BBG140" s="3"/>
      <c r="BBH140" s="3"/>
      <c r="BBI140" s="3"/>
      <c r="BBJ140" s="3"/>
      <c r="BBK140" s="3"/>
      <c r="BBL140" s="3"/>
      <c r="BBM140" s="3"/>
      <c r="BBN140" s="3"/>
      <c r="BBO140" s="3"/>
      <c r="BBP140" s="3"/>
      <c r="BBQ140" s="3"/>
      <c r="BBR140" s="3"/>
      <c r="BBS140" s="3"/>
      <c r="BBT140" s="3"/>
      <c r="BBU140" s="3"/>
      <c r="BBV140" s="3"/>
      <c r="BBW140" s="3"/>
      <c r="BBX140" s="3"/>
      <c r="BBY140" s="3"/>
      <c r="BBZ140" s="3"/>
      <c r="BCA140" s="3"/>
      <c r="BCB140" s="3"/>
      <c r="BCC140" s="3"/>
      <c r="BCD140" s="3"/>
      <c r="BCE140" s="3"/>
      <c r="BCF140" s="3"/>
      <c r="BCG140" s="3"/>
      <c r="BCH140" s="3"/>
      <c r="BCI140" s="3"/>
      <c r="BCJ140" s="3"/>
      <c r="BCK140" s="3"/>
      <c r="BCL140" s="3"/>
      <c r="BCM140" s="3"/>
      <c r="BCN140" s="3"/>
      <c r="BCO140" s="3"/>
      <c r="BCP140" s="3"/>
      <c r="BCQ140" s="3"/>
      <c r="BCR140" s="3"/>
      <c r="BCS140" s="3"/>
      <c r="BCT140" s="3"/>
      <c r="BCU140" s="3"/>
      <c r="BCV140" s="3"/>
      <c r="BCW140" s="3"/>
      <c r="BCX140" s="3"/>
      <c r="BCY140" s="3"/>
      <c r="BCZ140" s="3"/>
      <c r="BDA140" s="3"/>
      <c r="BDB140" s="3"/>
      <c r="BDC140" s="3"/>
      <c r="BDD140" s="3"/>
      <c r="BDE140" s="3"/>
      <c r="BDF140" s="3"/>
      <c r="BDG140" s="3"/>
      <c r="BDH140" s="3"/>
      <c r="BDI140" s="3"/>
      <c r="BDJ140" s="3"/>
      <c r="BDK140" s="3"/>
      <c r="BDL140" s="3"/>
      <c r="BDM140" s="3"/>
      <c r="BDN140" s="3"/>
      <c r="BDO140" s="3"/>
      <c r="BDP140" s="3"/>
      <c r="BDQ140" s="3"/>
      <c r="BDR140" s="3"/>
      <c r="BDS140" s="3"/>
      <c r="BDT140" s="3"/>
      <c r="BDU140" s="3"/>
      <c r="BDV140" s="3"/>
      <c r="BDW140" s="3"/>
      <c r="BDX140" s="3"/>
      <c r="BDY140" s="3"/>
      <c r="BDZ140" s="3"/>
      <c r="BEA140" s="3"/>
      <c r="BEB140" s="3"/>
      <c r="BEC140" s="3"/>
      <c r="BED140" s="3"/>
      <c r="BEE140" s="3"/>
      <c r="BEF140" s="3"/>
      <c r="BEG140" s="3"/>
      <c r="BEH140" s="3"/>
      <c r="BEI140" s="3"/>
      <c r="BEJ140" s="3"/>
      <c r="BEK140" s="3"/>
      <c r="BEL140" s="3"/>
      <c r="BEM140" s="3"/>
      <c r="BEN140" s="3"/>
      <c r="BEO140" s="3"/>
      <c r="BEP140" s="3"/>
      <c r="BEQ140" s="3"/>
      <c r="BER140" s="3"/>
      <c r="BES140" s="3"/>
      <c r="BET140" s="3"/>
      <c r="BEU140" s="3"/>
      <c r="BEV140" s="3"/>
      <c r="BEW140" s="3"/>
      <c r="BEX140" s="3"/>
      <c r="BEY140" s="3"/>
      <c r="BEZ140" s="3"/>
      <c r="BFA140" s="3"/>
      <c r="BFB140" s="3"/>
      <c r="BFC140" s="3"/>
      <c r="BFD140" s="3"/>
      <c r="BFE140" s="3"/>
      <c r="BFF140" s="3"/>
      <c r="BFG140" s="3"/>
      <c r="BFH140" s="3"/>
      <c r="BFI140" s="3"/>
      <c r="BFJ140" s="3"/>
      <c r="BFK140" s="3"/>
      <c r="BFL140" s="3"/>
      <c r="BFM140" s="3"/>
      <c r="BFN140" s="3"/>
      <c r="BFO140" s="3"/>
      <c r="BFP140" s="3"/>
      <c r="BFQ140" s="3"/>
      <c r="BFR140" s="3"/>
      <c r="BFS140" s="3"/>
      <c r="BFT140" s="3"/>
      <c r="BFU140" s="3"/>
      <c r="BFV140" s="3"/>
      <c r="BFW140" s="3"/>
      <c r="BFX140" s="3"/>
      <c r="BFY140" s="3"/>
      <c r="BFZ140" s="3"/>
      <c r="BGA140" s="3"/>
      <c r="BGB140" s="3"/>
      <c r="BGC140" s="3"/>
      <c r="BGD140" s="3"/>
      <c r="BGE140" s="3"/>
      <c r="BGF140" s="3"/>
      <c r="BGG140" s="3"/>
      <c r="BGH140" s="3"/>
      <c r="BGI140" s="3"/>
      <c r="BGJ140" s="3"/>
      <c r="BGK140" s="3"/>
      <c r="BGL140" s="3"/>
      <c r="BGM140" s="3"/>
      <c r="BGN140" s="3"/>
      <c r="BGO140" s="3"/>
      <c r="BGP140" s="3"/>
      <c r="BGQ140" s="3"/>
      <c r="BGR140" s="3"/>
      <c r="BGS140" s="3"/>
      <c r="BGT140" s="3"/>
      <c r="BGU140" s="3"/>
      <c r="BGV140" s="3"/>
      <c r="BGW140" s="3"/>
      <c r="BGX140" s="3"/>
      <c r="BGY140" s="3"/>
      <c r="BGZ140" s="3"/>
      <c r="BHA140" s="3"/>
      <c r="BHB140" s="3"/>
      <c r="BHC140" s="3"/>
      <c r="BHD140" s="3"/>
      <c r="BHE140" s="3"/>
      <c r="BHF140" s="3"/>
      <c r="BHG140" s="3"/>
      <c r="BHH140" s="3"/>
      <c r="BHI140" s="3"/>
      <c r="BHJ140" s="3"/>
      <c r="BHK140" s="3"/>
      <c r="BHL140" s="3"/>
      <c r="BHM140" s="3"/>
      <c r="BHN140" s="3"/>
      <c r="BHO140" s="3"/>
      <c r="BHP140" s="3"/>
      <c r="BHQ140" s="3"/>
      <c r="BHR140" s="3"/>
      <c r="BHS140" s="3"/>
      <c r="BHT140" s="3"/>
      <c r="BHU140" s="3"/>
      <c r="BHV140" s="3"/>
      <c r="BHW140" s="3"/>
      <c r="BHX140" s="3"/>
      <c r="BHY140" s="3"/>
      <c r="BHZ140" s="3"/>
      <c r="BIA140" s="3"/>
      <c r="BIB140" s="3"/>
      <c r="BIC140" s="3"/>
      <c r="BID140" s="3"/>
      <c r="BIE140" s="3"/>
      <c r="BIF140" s="3"/>
      <c r="BIG140" s="3"/>
      <c r="BIH140" s="3"/>
      <c r="BII140" s="3"/>
      <c r="BIJ140" s="3"/>
      <c r="BIK140" s="3"/>
      <c r="BIL140" s="3"/>
      <c r="BIM140" s="3"/>
      <c r="BIN140" s="3"/>
      <c r="BIO140" s="3"/>
      <c r="BIP140" s="3"/>
      <c r="BIQ140" s="3"/>
      <c r="BIR140" s="3"/>
      <c r="BIS140" s="3"/>
      <c r="BIT140" s="3"/>
      <c r="BIU140" s="3"/>
      <c r="BIV140" s="3"/>
      <c r="BIW140" s="3"/>
      <c r="BIX140" s="3"/>
      <c r="BIY140" s="3"/>
      <c r="BIZ140" s="3"/>
      <c r="BJA140" s="3"/>
      <c r="BJB140" s="3"/>
      <c r="BJC140" s="3"/>
      <c r="BJD140" s="3"/>
      <c r="BJE140" s="3"/>
      <c r="BJF140" s="3"/>
      <c r="BJG140" s="3"/>
      <c r="BJH140" s="3"/>
      <c r="BJI140" s="3"/>
      <c r="BJJ140" s="3"/>
      <c r="BJK140" s="3"/>
      <c r="BJL140" s="3"/>
      <c r="BJM140" s="3"/>
      <c r="BJN140" s="3"/>
      <c r="BJO140" s="3"/>
      <c r="BJP140" s="3"/>
      <c r="BJQ140" s="3"/>
      <c r="BJR140" s="3"/>
      <c r="BJS140" s="3"/>
      <c r="BJT140" s="3"/>
      <c r="BJU140" s="3"/>
      <c r="BJV140" s="3"/>
      <c r="BJW140" s="3"/>
      <c r="BJX140" s="3"/>
      <c r="BJY140" s="3"/>
      <c r="BJZ140" s="3"/>
      <c r="BKA140" s="3"/>
      <c r="BKB140" s="3"/>
      <c r="BKC140" s="3"/>
      <c r="BKD140" s="3"/>
      <c r="BKE140" s="3"/>
      <c r="BKF140" s="3"/>
      <c r="BKG140" s="3"/>
      <c r="BKH140" s="3"/>
      <c r="BKI140" s="3"/>
      <c r="BKJ140" s="3"/>
      <c r="BKK140" s="3"/>
      <c r="BKL140" s="3"/>
      <c r="BKM140" s="3"/>
      <c r="BKN140" s="3"/>
      <c r="BKO140" s="3"/>
      <c r="BKP140" s="3"/>
      <c r="BKQ140" s="3"/>
      <c r="BKR140" s="3"/>
      <c r="BKS140" s="3"/>
      <c r="BKT140" s="3"/>
      <c r="BKU140" s="3"/>
      <c r="BKV140" s="3"/>
      <c r="BKW140" s="3"/>
      <c r="BKX140" s="3"/>
      <c r="BKY140" s="3"/>
      <c r="BKZ140" s="3"/>
      <c r="BLA140" s="3"/>
      <c r="BLB140" s="3"/>
      <c r="BLC140" s="3"/>
      <c r="BLD140" s="3"/>
      <c r="BLE140" s="3"/>
      <c r="BLF140" s="3"/>
      <c r="BLG140" s="3"/>
      <c r="BLH140" s="3"/>
      <c r="BLI140" s="3"/>
      <c r="BLJ140" s="3"/>
      <c r="BLK140" s="3"/>
      <c r="BLL140" s="3"/>
      <c r="BLM140" s="3"/>
      <c r="BLN140" s="3"/>
      <c r="BLO140" s="3"/>
      <c r="BLP140" s="3"/>
      <c r="BLQ140" s="3"/>
      <c r="BLR140" s="3"/>
      <c r="BLS140" s="3"/>
      <c r="BLT140" s="3"/>
      <c r="BLU140" s="3"/>
      <c r="BLV140" s="3"/>
      <c r="BLW140" s="3"/>
      <c r="BLX140" s="3"/>
      <c r="BLY140" s="3"/>
      <c r="BLZ140" s="3"/>
      <c r="BMA140" s="3"/>
      <c r="BMB140" s="3"/>
      <c r="BMC140" s="3"/>
      <c r="BMD140" s="3"/>
      <c r="BME140" s="3"/>
      <c r="BMF140" s="3"/>
      <c r="BMG140" s="3"/>
      <c r="BMH140" s="3"/>
      <c r="BMI140" s="3"/>
      <c r="BMJ140" s="3"/>
      <c r="BMK140" s="3"/>
      <c r="BML140" s="3"/>
      <c r="BMM140" s="3"/>
      <c r="BMN140" s="3"/>
      <c r="BMO140" s="3"/>
      <c r="BMP140" s="3"/>
      <c r="BMQ140" s="3"/>
      <c r="BMR140" s="3"/>
      <c r="BMS140" s="3"/>
      <c r="BMT140" s="3"/>
      <c r="BMU140" s="3"/>
      <c r="BMV140" s="3"/>
      <c r="BMW140" s="3"/>
      <c r="BMX140" s="3"/>
      <c r="BMY140" s="3"/>
      <c r="BMZ140" s="3"/>
      <c r="BNA140" s="3"/>
      <c r="BNB140" s="3"/>
      <c r="BNC140" s="3"/>
      <c r="BND140" s="3"/>
      <c r="BNE140" s="3"/>
      <c r="BNF140" s="3"/>
      <c r="BNG140" s="3"/>
      <c r="BNH140" s="3"/>
      <c r="BNI140" s="3"/>
      <c r="BNJ140" s="3"/>
      <c r="BNK140" s="3"/>
      <c r="BNL140" s="3"/>
      <c r="BNM140" s="3"/>
      <c r="BNN140" s="3"/>
      <c r="BNO140" s="3"/>
      <c r="BNP140" s="3"/>
      <c r="BNQ140" s="3"/>
      <c r="BNR140" s="3"/>
      <c r="BNS140" s="3"/>
      <c r="BNT140" s="3"/>
      <c r="BNU140" s="3"/>
      <c r="BNV140" s="3"/>
      <c r="BNW140" s="3"/>
      <c r="BNX140" s="3"/>
      <c r="BNY140" s="3"/>
      <c r="BNZ140" s="3"/>
      <c r="BOA140" s="3"/>
      <c r="BOB140" s="3"/>
      <c r="BOC140" s="3"/>
      <c r="BOD140" s="3"/>
      <c r="BOE140" s="3"/>
      <c r="BOF140" s="3"/>
      <c r="BOG140" s="3"/>
      <c r="BOH140" s="3"/>
      <c r="BOI140" s="3"/>
      <c r="BOJ140" s="3"/>
      <c r="BOK140" s="3"/>
      <c r="BOL140" s="3"/>
      <c r="BOM140" s="3"/>
      <c r="BON140" s="3"/>
      <c r="BOO140" s="3"/>
      <c r="BOP140" s="3"/>
      <c r="BOQ140" s="3"/>
      <c r="BOR140" s="3"/>
      <c r="BOS140" s="3"/>
      <c r="BOT140" s="3"/>
      <c r="BOU140" s="3"/>
      <c r="BOV140" s="3"/>
      <c r="BOW140" s="3"/>
      <c r="BOX140" s="3"/>
      <c r="BOY140" s="3"/>
      <c r="BOZ140" s="3"/>
      <c r="BPA140" s="3"/>
      <c r="BPB140" s="3"/>
      <c r="BPC140" s="3"/>
      <c r="BPD140" s="3"/>
      <c r="BPE140" s="3"/>
      <c r="BPF140" s="3"/>
      <c r="BPG140" s="3"/>
      <c r="BPH140" s="3"/>
      <c r="BPI140" s="3"/>
      <c r="BPJ140" s="3"/>
      <c r="BPK140" s="3"/>
      <c r="BPL140" s="3"/>
      <c r="BPM140" s="3"/>
      <c r="BPN140" s="3"/>
      <c r="BPO140" s="3"/>
      <c r="BPP140" s="3"/>
      <c r="BPQ140" s="3"/>
      <c r="BPR140" s="3"/>
      <c r="BPS140" s="3"/>
      <c r="BPT140" s="3"/>
      <c r="BPU140" s="3"/>
      <c r="BPV140" s="3"/>
      <c r="BPW140" s="3"/>
      <c r="BPX140" s="3"/>
      <c r="BPY140" s="3"/>
      <c r="BPZ140" s="3"/>
      <c r="BQA140" s="3"/>
      <c r="BQB140" s="3"/>
      <c r="BQC140" s="3"/>
      <c r="BQD140" s="3"/>
      <c r="BQE140" s="3"/>
      <c r="BQF140" s="3"/>
      <c r="BQG140" s="3"/>
      <c r="BQH140" s="3"/>
      <c r="BQI140" s="3"/>
      <c r="BQJ140" s="3"/>
      <c r="BQK140" s="3"/>
      <c r="BQL140" s="3"/>
      <c r="BQM140" s="3"/>
      <c r="BQN140" s="3"/>
      <c r="BQO140" s="3"/>
      <c r="BQP140" s="3"/>
      <c r="BQQ140" s="3"/>
      <c r="BQR140" s="3"/>
      <c r="BQS140" s="3"/>
      <c r="BQT140" s="3"/>
      <c r="BQU140" s="3"/>
      <c r="BQV140" s="3"/>
      <c r="BQW140" s="3"/>
      <c r="BQX140" s="3"/>
      <c r="BQY140" s="3"/>
      <c r="BQZ140" s="3"/>
      <c r="BRA140" s="3"/>
      <c r="BRB140" s="3"/>
      <c r="BRC140" s="3"/>
      <c r="BRD140" s="3"/>
      <c r="BRE140" s="3"/>
      <c r="BRF140" s="3"/>
      <c r="BRG140" s="3"/>
      <c r="BRH140" s="3"/>
      <c r="BRI140" s="3"/>
      <c r="BRJ140" s="3"/>
      <c r="BRK140" s="3"/>
      <c r="BRL140" s="3"/>
      <c r="BRM140" s="3"/>
      <c r="BRN140" s="3"/>
      <c r="BRO140" s="3"/>
      <c r="BRP140" s="3"/>
      <c r="BRQ140" s="3"/>
      <c r="BRR140" s="3"/>
      <c r="BRS140" s="3"/>
      <c r="BRT140" s="3"/>
      <c r="BRU140" s="3"/>
      <c r="BRV140" s="3"/>
      <c r="BRW140" s="3"/>
      <c r="BRX140" s="3"/>
      <c r="BRY140" s="3"/>
      <c r="BRZ140" s="3"/>
      <c r="BSA140" s="3"/>
      <c r="BSB140" s="3"/>
      <c r="BSC140" s="3"/>
      <c r="BSD140" s="3"/>
      <c r="BSE140" s="3"/>
      <c r="BSF140" s="3"/>
      <c r="BSG140" s="3"/>
      <c r="BSH140" s="3"/>
      <c r="BSI140" s="3"/>
      <c r="BSJ140" s="3"/>
      <c r="BSK140" s="3"/>
      <c r="BSL140" s="3"/>
      <c r="BSM140" s="3"/>
      <c r="BSN140" s="3"/>
      <c r="BSO140" s="3"/>
      <c r="BSP140" s="3"/>
      <c r="BSQ140" s="3"/>
      <c r="BSR140" s="3"/>
      <c r="BSS140" s="3"/>
      <c r="BST140" s="3"/>
      <c r="BSU140" s="3"/>
      <c r="BSV140" s="3"/>
      <c r="BSW140" s="3"/>
      <c r="BSX140" s="3"/>
      <c r="BSY140" s="3"/>
      <c r="BSZ140" s="3"/>
      <c r="BTA140" s="3"/>
      <c r="BTB140" s="3"/>
      <c r="BTC140" s="3"/>
      <c r="BTD140" s="3"/>
      <c r="BTE140" s="3"/>
      <c r="BTF140" s="3"/>
      <c r="BTG140" s="3"/>
      <c r="BTH140" s="3"/>
      <c r="BTI140" s="3"/>
      <c r="BTJ140" s="3"/>
      <c r="BTK140" s="3"/>
      <c r="BTL140" s="3"/>
      <c r="BTM140" s="3"/>
      <c r="BTN140" s="3"/>
      <c r="BTO140" s="3"/>
      <c r="BTP140" s="3"/>
      <c r="BTQ140" s="3"/>
      <c r="BTR140" s="3"/>
      <c r="BTS140" s="3"/>
      <c r="BTT140" s="3"/>
      <c r="BTU140" s="3"/>
      <c r="BTV140" s="3"/>
      <c r="BTW140" s="3"/>
      <c r="BTX140" s="3"/>
      <c r="BTY140" s="3"/>
      <c r="BTZ140" s="3"/>
      <c r="BUA140" s="3"/>
      <c r="BUB140" s="3"/>
      <c r="BUC140" s="3"/>
      <c r="BUD140" s="3"/>
      <c r="BUE140" s="3"/>
      <c r="BUF140" s="3"/>
      <c r="BUG140" s="3"/>
      <c r="BUH140" s="3"/>
      <c r="BUI140" s="3"/>
      <c r="BUJ140" s="3"/>
      <c r="BUK140" s="3"/>
      <c r="BUL140" s="3"/>
      <c r="BUM140" s="3"/>
      <c r="BUN140" s="3"/>
      <c r="BUO140" s="3"/>
      <c r="BUP140" s="3"/>
      <c r="BUQ140" s="3"/>
      <c r="BUR140" s="3"/>
      <c r="BUS140" s="3"/>
      <c r="BUT140" s="3"/>
      <c r="BUU140" s="3"/>
      <c r="BUV140" s="3"/>
      <c r="BUW140" s="3"/>
      <c r="BUX140" s="3"/>
      <c r="BUY140" s="3"/>
      <c r="BUZ140" s="3"/>
      <c r="BVA140" s="3"/>
      <c r="BVB140" s="3"/>
      <c r="BVC140" s="3"/>
      <c r="BVD140" s="3"/>
      <c r="BVE140" s="3"/>
      <c r="BVF140" s="3"/>
      <c r="BVG140" s="3"/>
      <c r="BVH140" s="3"/>
      <c r="BVI140" s="3"/>
      <c r="BVJ140" s="3"/>
      <c r="BVK140" s="3"/>
      <c r="BVL140" s="3"/>
      <c r="BVM140" s="3"/>
      <c r="BVN140" s="3"/>
      <c r="BVO140" s="3"/>
      <c r="BVP140" s="3"/>
      <c r="BVQ140" s="3"/>
      <c r="BVR140" s="3"/>
      <c r="BVS140" s="3"/>
      <c r="BVT140" s="3"/>
      <c r="BVU140" s="3"/>
      <c r="BVV140" s="3"/>
      <c r="BVW140" s="3"/>
      <c r="BVX140" s="3"/>
      <c r="BVY140" s="3"/>
      <c r="BVZ140" s="3"/>
      <c r="BWA140" s="3"/>
      <c r="BWB140" s="3"/>
      <c r="BWC140" s="3"/>
      <c r="BWD140" s="3"/>
      <c r="BWE140" s="3"/>
      <c r="BWF140" s="3"/>
      <c r="BWG140" s="3"/>
      <c r="BWH140" s="3"/>
      <c r="BWI140" s="3"/>
      <c r="BWJ140" s="3"/>
      <c r="BWK140" s="3"/>
      <c r="BWL140" s="3"/>
      <c r="BWM140" s="3"/>
      <c r="BWN140" s="3"/>
      <c r="BWO140" s="3"/>
      <c r="BWP140" s="3"/>
      <c r="BWQ140" s="3"/>
      <c r="BWR140" s="3"/>
      <c r="BWS140" s="3"/>
      <c r="BWT140" s="3"/>
      <c r="BWU140" s="3"/>
      <c r="BWV140" s="3"/>
      <c r="BWW140" s="3"/>
      <c r="BWX140" s="3"/>
      <c r="BWY140" s="3"/>
      <c r="BWZ140" s="3"/>
      <c r="BXA140" s="3"/>
      <c r="BXB140" s="3"/>
      <c r="BXC140" s="3"/>
      <c r="BXD140" s="3"/>
      <c r="BXE140" s="3"/>
      <c r="BXF140" s="3"/>
      <c r="BXG140" s="3"/>
      <c r="BXH140" s="3"/>
      <c r="BXI140" s="3"/>
      <c r="BXJ140" s="3"/>
      <c r="BXK140" s="3"/>
      <c r="BXL140" s="3"/>
      <c r="BXM140" s="3"/>
      <c r="BXN140" s="3"/>
      <c r="BXO140" s="3"/>
      <c r="BXP140" s="3"/>
      <c r="BXQ140" s="3"/>
      <c r="BXR140" s="3"/>
      <c r="BXS140" s="3"/>
      <c r="BXT140" s="3"/>
      <c r="BXU140" s="3"/>
      <c r="BXV140" s="3"/>
      <c r="BXW140" s="3"/>
      <c r="BXX140" s="3"/>
      <c r="BXY140" s="3"/>
      <c r="BXZ140" s="3"/>
      <c r="BYA140" s="3"/>
      <c r="BYB140" s="3"/>
      <c r="BYC140" s="3"/>
      <c r="BYD140" s="3"/>
      <c r="BYE140" s="3"/>
      <c r="BYF140" s="3"/>
      <c r="BYG140" s="3"/>
      <c r="BYH140" s="3"/>
      <c r="BYI140" s="3"/>
      <c r="BYJ140" s="3"/>
      <c r="BYK140" s="3"/>
      <c r="BYL140" s="3"/>
      <c r="BYM140" s="3"/>
      <c r="BYN140" s="3"/>
      <c r="BYO140" s="3"/>
      <c r="BYP140" s="3"/>
      <c r="BYQ140" s="3"/>
      <c r="BYR140" s="3"/>
      <c r="BYS140" s="3"/>
      <c r="BYT140" s="3"/>
      <c r="BYU140" s="3"/>
      <c r="BYV140" s="3"/>
      <c r="BYW140" s="3"/>
      <c r="BYX140" s="3"/>
      <c r="BYY140" s="3"/>
      <c r="BYZ140" s="3"/>
      <c r="BZA140" s="3"/>
      <c r="BZB140" s="3"/>
      <c r="BZC140" s="3"/>
      <c r="BZD140" s="3"/>
      <c r="BZE140" s="3"/>
      <c r="BZF140" s="3"/>
      <c r="BZG140" s="3"/>
      <c r="BZH140" s="3"/>
      <c r="BZI140" s="3"/>
      <c r="BZJ140" s="3"/>
      <c r="BZK140" s="3"/>
      <c r="BZL140" s="3"/>
      <c r="BZM140" s="3"/>
      <c r="BZN140" s="3"/>
      <c r="BZO140" s="3"/>
      <c r="BZP140" s="3"/>
      <c r="BZQ140" s="3"/>
      <c r="BZR140" s="3"/>
      <c r="BZS140" s="3"/>
      <c r="BZT140" s="3"/>
      <c r="BZU140" s="3"/>
      <c r="BZV140" s="3"/>
      <c r="BZW140" s="3"/>
      <c r="BZX140" s="3"/>
      <c r="BZY140" s="3"/>
      <c r="BZZ140" s="3"/>
      <c r="CAA140" s="3"/>
      <c r="CAB140" s="3"/>
      <c r="CAC140" s="3"/>
      <c r="CAD140" s="3"/>
      <c r="CAE140" s="3"/>
      <c r="CAF140" s="3"/>
      <c r="CAG140" s="3"/>
      <c r="CAH140" s="3"/>
      <c r="CAI140" s="3"/>
      <c r="CAJ140" s="3"/>
      <c r="CAK140" s="3"/>
      <c r="CAL140" s="3"/>
      <c r="CAM140" s="3"/>
      <c r="CAN140" s="3"/>
      <c r="CAO140" s="3"/>
      <c r="CAP140" s="3"/>
      <c r="CAQ140" s="3"/>
      <c r="CAR140" s="3"/>
      <c r="CAS140" s="3"/>
      <c r="CAT140" s="3"/>
      <c r="CAU140" s="3"/>
      <c r="CAV140" s="3"/>
      <c r="CAW140" s="3"/>
      <c r="CAX140" s="3"/>
      <c r="CAY140" s="3"/>
      <c r="CAZ140" s="3"/>
      <c r="CBA140" s="3"/>
      <c r="CBB140" s="3"/>
      <c r="CBC140" s="3"/>
      <c r="CBD140" s="3"/>
      <c r="CBE140" s="3"/>
      <c r="CBF140" s="3"/>
      <c r="CBG140" s="3"/>
      <c r="CBH140" s="3"/>
      <c r="CBI140" s="3"/>
      <c r="CBJ140" s="3"/>
      <c r="CBK140" s="3"/>
      <c r="CBL140" s="3"/>
      <c r="CBM140" s="3"/>
      <c r="CBN140" s="3"/>
      <c r="CBO140" s="3"/>
      <c r="CBP140" s="3"/>
      <c r="CBQ140" s="3"/>
      <c r="CBR140" s="3"/>
      <c r="CBS140" s="3"/>
      <c r="CBT140" s="3"/>
      <c r="CBU140" s="3"/>
      <c r="CBV140" s="3"/>
      <c r="CBW140" s="3"/>
      <c r="CBX140" s="3"/>
      <c r="CBY140" s="3"/>
      <c r="CBZ140" s="3"/>
      <c r="CCA140" s="3"/>
      <c r="CCB140" s="3"/>
      <c r="CCC140" s="3"/>
      <c r="CCD140" s="3"/>
      <c r="CCE140" s="3"/>
      <c r="CCF140" s="3"/>
      <c r="CCG140" s="3"/>
      <c r="CCH140" s="3"/>
      <c r="CCI140" s="3"/>
      <c r="CCJ140" s="3"/>
      <c r="CCK140" s="3"/>
      <c r="CCL140" s="3"/>
      <c r="CCM140" s="3"/>
      <c r="CCN140" s="3"/>
      <c r="CCO140" s="3"/>
      <c r="CCP140" s="3"/>
      <c r="CCQ140" s="3"/>
      <c r="CCR140" s="3"/>
      <c r="CCS140" s="3"/>
      <c r="CCT140" s="3"/>
      <c r="CCU140" s="3"/>
      <c r="CCV140" s="3"/>
      <c r="CCW140" s="3"/>
      <c r="CCX140" s="3"/>
      <c r="CCY140" s="3"/>
      <c r="CCZ140" s="3"/>
      <c r="CDA140" s="3"/>
      <c r="CDB140" s="3"/>
      <c r="CDC140" s="3"/>
      <c r="CDD140" s="3"/>
      <c r="CDE140" s="3"/>
      <c r="CDF140" s="3"/>
      <c r="CDG140" s="3"/>
      <c r="CDH140" s="3"/>
      <c r="CDI140" s="3"/>
      <c r="CDJ140" s="3"/>
      <c r="CDK140" s="3"/>
      <c r="CDL140" s="3"/>
      <c r="CDM140" s="3"/>
      <c r="CDN140" s="3"/>
      <c r="CDO140" s="3"/>
      <c r="CDP140" s="3"/>
      <c r="CDQ140" s="3"/>
      <c r="CDR140" s="3"/>
      <c r="CDS140" s="3"/>
      <c r="CDT140" s="3"/>
      <c r="CDU140" s="3"/>
      <c r="CDV140" s="3"/>
      <c r="CDW140" s="3"/>
      <c r="CDX140" s="3"/>
      <c r="CDY140" s="3"/>
      <c r="CDZ140" s="3"/>
      <c r="CEA140" s="3"/>
      <c r="CEB140" s="3"/>
      <c r="CEC140" s="3"/>
      <c r="CED140" s="3"/>
      <c r="CEE140" s="3"/>
      <c r="CEF140" s="3"/>
      <c r="CEG140" s="3"/>
      <c r="CEH140" s="3"/>
      <c r="CEI140" s="3"/>
      <c r="CEJ140" s="3"/>
      <c r="CEK140" s="3"/>
      <c r="CEL140" s="3"/>
      <c r="CEM140" s="3"/>
      <c r="CEN140" s="3"/>
      <c r="CEO140" s="3"/>
      <c r="CEP140" s="3"/>
      <c r="CEQ140" s="3"/>
      <c r="CER140" s="3"/>
      <c r="CES140" s="3"/>
      <c r="CET140" s="3"/>
      <c r="CEU140" s="3"/>
      <c r="CEV140" s="3"/>
      <c r="CEW140" s="3"/>
      <c r="CEX140" s="3"/>
      <c r="CEY140" s="3"/>
      <c r="CEZ140" s="3"/>
      <c r="CFA140" s="3"/>
      <c r="CFB140" s="3"/>
      <c r="CFC140" s="3"/>
      <c r="CFD140" s="3"/>
      <c r="CFE140" s="3"/>
      <c r="CFF140" s="3"/>
      <c r="CFG140" s="3"/>
      <c r="CFH140" s="3"/>
      <c r="CFI140" s="3"/>
      <c r="CFJ140" s="3"/>
      <c r="CFK140" s="3"/>
      <c r="CFL140" s="3"/>
      <c r="CFM140" s="3"/>
      <c r="CFN140" s="3"/>
      <c r="CFO140" s="3"/>
      <c r="CFP140" s="3"/>
      <c r="CFQ140" s="3"/>
      <c r="CFR140" s="3"/>
      <c r="CFS140" s="3"/>
      <c r="CFT140" s="3"/>
      <c r="CFU140" s="3"/>
      <c r="CFV140" s="3"/>
      <c r="CFW140" s="3"/>
      <c r="CFX140" s="3"/>
      <c r="CFY140" s="3"/>
      <c r="CFZ140" s="3"/>
      <c r="CGA140" s="3"/>
      <c r="CGB140" s="3"/>
      <c r="CGC140" s="3"/>
      <c r="CGD140" s="3"/>
      <c r="CGE140" s="3"/>
      <c r="CGF140" s="3"/>
      <c r="CGG140" s="3"/>
      <c r="CGH140" s="3"/>
      <c r="CGI140" s="3"/>
      <c r="CGJ140" s="3"/>
      <c r="CGK140" s="3"/>
      <c r="CGL140" s="3"/>
      <c r="CGM140" s="3"/>
      <c r="CGN140" s="3"/>
      <c r="CGO140" s="3"/>
      <c r="CGP140" s="3"/>
      <c r="CGQ140" s="3"/>
      <c r="CGR140" s="3"/>
      <c r="CGS140" s="3"/>
      <c r="CGT140" s="3"/>
      <c r="CGU140" s="3"/>
      <c r="CGV140" s="3"/>
      <c r="CGW140" s="3"/>
      <c r="CGX140" s="3"/>
      <c r="CGY140" s="3"/>
      <c r="CGZ140" s="3"/>
      <c r="CHA140" s="3"/>
      <c r="CHB140" s="3"/>
      <c r="CHC140" s="3"/>
      <c r="CHD140" s="3"/>
      <c r="CHE140" s="3"/>
      <c r="CHF140" s="3"/>
      <c r="CHG140" s="3"/>
      <c r="CHH140" s="3"/>
      <c r="CHI140" s="3"/>
      <c r="CHJ140" s="3"/>
      <c r="CHK140" s="3"/>
      <c r="CHL140" s="3"/>
      <c r="CHM140" s="3"/>
      <c r="CHN140" s="3"/>
      <c r="CHO140" s="3"/>
      <c r="CHP140" s="3"/>
      <c r="CHQ140" s="3"/>
      <c r="CHR140" s="3"/>
      <c r="CHS140" s="3"/>
      <c r="CHT140" s="3"/>
      <c r="CHU140" s="3"/>
      <c r="CHV140" s="3"/>
      <c r="CHW140" s="3"/>
      <c r="CHX140" s="3"/>
      <c r="CHY140" s="3"/>
      <c r="CHZ140" s="3"/>
      <c r="CIA140" s="3"/>
      <c r="CIB140" s="3"/>
      <c r="CIC140" s="3"/>
      <c r="CID140" s="3"/>
      <c r="CIE140" s="3"/>
      <c r="CIF140" s="3"/>
      <c r="CIG140" s="3"/>
      <c r="CIH140" s="3"/>
      <c r="CII140" s="3"/>
      <c r="CIJ140" s="3"/>
      <c r="CIK140" s="3"/>
      <c r="CIL140" s="3"/>
      <c r="CIM140" s="3"/>
      <c r="CIN140" s="3"/>
      <c r="CIO140" s="3"/>
      <c r="CIP140" s="3"/>
      <c r="CIQ140" s="3"/>
      <c r="CIR140" s="3"/>
      <c r="CIS140" s="3"/>
      <c r="CIT140" s="3"/>
      <c r="CIU140" s="3"/>
      <c r="CIV140" s="3"/>
      <c r="CIW140" s="3"/>
      <c r="CIX140" s="3"/>
      <c r="CIY140" s="3"/>
      <c r="CIZ140" s="3"/>
      <c r="CJA140" s="3"/>
      <c r="CJB140" s="3"/>
      <c r="CJC140" s="3"/>
      <c r="CJD140" s="3"/>
      <c r="CJE140" s="3"/>
      <c r="CJF140" s="3"/>
      <c r="CJG140" s="3"/>
      <c r="CJH140" s="3"/>
      <c r="CJI140" s="3"/>
      <c r="CJJ140" s="3"/>
      <c r="CJK140" s="3"/>
      <c r="CJL140" s="3"/>
      <c r="CJM140" s="3"/>
      <c r="CJN140" s="3"/>
      <c r="CJO140" s="3"/>
      <c r="CJP140" s="3"/>
      <c r="CJQ140" s="3"/>
      <c r="CJR140" s="3"/>
      <c r="CJS140" s="3"/>
      <c r="CJT140" s="3"/>
      <c r="CJU140" s="3"/>
      <c r="CJV140" s="3"/>
      <c r="CJW140" s="3"/>
      <c r="CJX140" s="3"/>
      <c r="CJY140" s="3"/>
      <c r="CJZ140" s="3"/>
      <c r="CKA140" s="3"/>
      <c r="CKB140" s="3"/>
      <c r="CKC140" s="3"/>
      <c r="CKD140" s="3"/>
      <c r="CKE140" s="3"/>
      <c r="CKF140" s="3"/>
      <c r="CKG140" s="3"/>
      <c r="CKH140" s="3"/>
      <c r="CKI140" s="3"/>
      <c r="CKJ140" s="3"/>
      <c r="CKK140" s="3"/>
      <c r="CKL140" s="3"/>
      <c r="CKM140" s="3"/>
      <c r="CKN140" s="3"/>
      <c r="CKO140" s="3"/>
      <c r="CKP140" s="3"/>
      <c r="CKQ140" s="3"/>
      <c r="CKR140" s="3"/>
      <c r="CKS140" s="3"/>
      <c r="CKT140" s="3"/>
      <c r="CKU140" s="3"/>
      <c r="CKV140" s="3"/>
      <c r="CKW140" s="3"/>
      <c r="CKX140" s="3"/>
      <c r="CKY140" s="3"/>
      <c r="CKZ140" s="3"/>
      <c r="CLA140" s="3"/>
      <c r="CLB140" s="3"/>
      <c r="CLC140" s="3"/>
      <c r="CLD140" s="3"/>
      <c r="CLE140" s="3"/>
      <c r="CLF140" s="3"/>
      <c r="CLG140" s="3"/>
      <c r="CLH140" s="3"/>
      <c r="CLI140" s="3"/>
      <c r="CLJ140" s="3"/>
      <c r="CLK140" s="3"/>
      <c r="CLL140" s="3"/>
      <c r="CLM140" s="3"/>
      <c r="CLN140" s="3"/>
      <c r="CLO140" s="3"/>
      <c r="CLP140" s="3"/>
      <c r="CLQ140" s="3"/>
      <c r="CLR140" s="3"/>
      <c r="CLS140" s="3"/>
      <c r="CLT140" s="3"/>
      <c r="CLU140" s="3"/>
      <c r="CLV140" s="3"/>
      <c r="CLW140" s="3"/>
      <c r="CLX140" s="3"/>
      <c r="CLY140" s="3"/>
      <c r="CLZ140" s="3"/>
      <c r="CMA140" s="3"/>
      <c r="CMB140" s="3"/>
      <c r="CMC140" s="3"/>
      <c r="CMD140" s="3"/>
      <c r="CME140" s="3"/>
      <c r="CMF140" s="3"/>
      <c r="CMG140" s="3"/>
      <c r="CMH140" s="3"/>
      <c r="CMI140" s="3"/>
      <c r="CMJ140" s="3"/>
      <c r="CMK140" s="3"/>
      <c r="CML140" s="3"/>
      <c r="CMM140" s="3"/>
      <c r="CMN140" s="3"/>
      <c r="CMO140" s="3"/>
      <c r="CMP140" s="3"/>
      <c r="CMQ140" s="3"/>
      <c r="CMR140" s="3"/>
      <c r="CMS140" s="3"/>
      <c r="CMT140" s="3"/>
      <c r="CMU140" s="3"/>
      <c r="CMV140" s="3"/>
      <c r="CMW140" s="3"/>
      <c r="CMX140" s="3"/>
      <c r="CMY140" s="3"/>
      <c r="CMZ140" s="3"/>
      <c r="CNA140" s="3"/>
      <c r="CNB140" s="3"/>
      <c r="CNC140" s="3"/>
      <c r="CND140" s="3"/>
      <c r="CNE140" s="3"/>
      <c r="CNF140" s="3"/>
      <c r="CNG140" s="3"/>
      <c r="CNH140" s="3"/>
      <c r="CNI140" s="3"/>
      <c r="CNJ140" s="3"/>
      <c r="CNK140" s="3"/>
      <c r="CNL140" s="3"/>
      <c r="CNM140" s="3"/>
      <c r="CNN140" s="3"/>
      <c r="CNO140" s="3"/>
      <c r="CNP140" s="3"/>
      <c r="CNQ140" s="3"/>
      <c r="CNR140" s="3"/>
      <c r="CNS140" s="3"/>
      <c r="CNT140" s="3"/>
      <c r="CNU140" s="3"/>
      <c r="CNV140" s="3"/>
      <c r="CNW140" s="3"/>
      <c r="CNX140" s="3"/>
      <c r="CNY140" s="3"/>
      <c r="CNZ140" s="3"/>
      <c r="COA140" s="3"/>
      <c r="COB140" s="3"/>
      <c r="COC140" s="3"/>
      <c r="COD140" s="3"/>
      <c r="COE140" s="3"/>
      <c r="COF140" s="3"/>
      <c r="COG140" s="3"/>
      <c r="COH140" s="3"/>
      <c r="COI140" s="3"/>
      <c r="COJ140" s="3"/>
      <c r="COK140" s="3"/>
      <c r="COL140" s="3"/>
      <c r="COM140" s="3"/>
      <c r="CON140" s="3"/>
      <c r="COO140" s="3"/>
      <c r="COP140" s="3"/>
      <c r="COQ140" s="3"/>
      <c r="COR140" s="3"/>
      <c r="COS140" s="3"/>
      <c r="COT140" s="3"/>
      <c r="COU140" s="3"/>
      <c r="COV140" s="3"/>
      <c r="COW140" s="3"/>
      <c r="COX140" s="3"/>
      <c r="COY140" s="3"/>
      <c r="COZ140" s="3"/>
      <c r="CPA140" s="3"/>
      <c r="CPB140" s="3"/>
      <c r="CPC140" s="3"/>
      <c r="CPD140" s="3"/>
      <c r="CPE140" s="3"/>
      <c r="CPF140" s="3"/>
      <c r="CPG140" s="3"/>
      <c r="CPH140" s="3"/>
      <c r="CPI140" s="3"/>
      <c r="CPJ140" s="3"/>
      <c r="CPK140" s="3"/>
      <c r="CPL140" s="3"/>
      <c r="CPM140" s="3"/>
      <c r="CPN140" s="3"/>
      <c r="CPO140" s="3"/>
      <c r="CPP140" s="3"/>
      <c r="CPQ140" s="3"/>
      <c r="CPR140" s="3"/>
      <c r="CPS140" s="3"/>
      <c r="CPT140" s="3"/>
      <c r="CPU140" s="3"/>
      <c r="CPV140" s="3"/>
      <c r="CPW140" s="3"/>
      <c r="CPX140" s="3"/>
      <c r="CPY140" s="3"/>
      <c r="CPZ140" s="3"/>
      <c r="CQA140" s="3"/>
      <c r="CQB140" s="3"/>
      <c r="CQC140" s="3"/>
      <c r="CQD140" s="3"/>
      <c r="CQE140" s="3"/>
      <c r="CQF140" s="3"/>
      <c r="CQG140" s="3"/>
      <c r="CQH140" s="3"/>
      <c r="CQI140" s="3"/>
      <c r="CQJ140" s="3"/>
      <c r="CQK140" s="3"/>
      <c r="CQL140" s="3"/>
      <c r="CQM140" s="3"/>
      <c r="CQN140" s="3"/>
      <c r="CQO140" s="3"/>
      <c r="CQP140" s="3"/>
      <c r="CQQ140" s="3"/>
      <c r="CQR140" s="3"/>
      <c r="CQS140" s="3"/>
      <c r="CQT140" s="3"/>
      <c r="CQU140" s="3"/>
      <c r="CQV140" s="3"/>
      <c r="CQW140" s="3"/>
      <c r="CQX140" s="3"/>
      <c r="CQY140" s="3"/>
      <c r="CQZ140" s="3"/>
      <c r="CRA140" s="3"/>
      <c r="CRB140" s="3"/>
      <c r="CRC140" s="3"/>
      <c r="CRD140" s="3"/>
      <c r="CRE140" s="3"/>
      <c r="CRF140" s="3"/>
      <c r="CRG140" s="3"/>
      <c r="CRH140" s="3"/>
      <c r="CRI140" s="3"/>
      <c r="CRJ140" s="3"/>
      <c r="CRK140" s="3"/>
      <c r="CRL140" s="3"/>
      <c r="CRM140" s="3"/>
      <c r="CRN140" s="3"/>
      <c r="CRO140" s="3"/>
      <c r="CRP140" s="3"/>
      <c r="CRQ140" s="3"/>
      <c r="CRR140" s="3"/>
      <c r="CRS140" s="3"/>
      <c r="CRT140" s="3"/>
      <c r="CRU140" s="3"/>
      <c r="CRV140" s="3"/>
      <c r="CRW140" s="3"/>
      <c r="CRX140" s="3"/>
      <c r="CRY140" s="3"/>
      <c r="CRZ140" s="3"/>
      <c r="CSA140" s="3"/>
      <c r="CSB140" s="3"/>
      <c r="CSC140" s="3"/>
      <c r="CSD140" s="3"/>
      <c r="CSE140" s="3"/>
      <c r="CSF140" s="3"/>
      <c r="CSG140" s="3"/>
      <c r="CSH140" s="3"/>
      <c r="CSI140" s="3"/>
      <c r="CSJ140" s="3"/>
      <c r="CSK140" s="3"/>
      <c r="CSL140" s="3"/>
      <c r="CSM140" s="3"/>
      <c r="CSN140" s="3"/>
      <c r="CSO140" s="3"/>
      <c r="CSP140" s="3"/>
      <c r="CSQ140" s="3"/>
      <c r="CSR140" s="3"/>
      <c r="CSS140" s="3"/>
      <c r="CST140" s="3"/>
      <c r="CSU140" s="3"/>
      <c r="CSV140" s="3"/>
      <c r="CSW140" s="3"/>
      <c r="CSX140" s="3"/>
      <c r="CSY140" s="3"/>
      <c r="CSZ140" s="3"/>
      <c r="CTA140" s="3"/>
      <c r="CTB140" s="3"/>
      <c r="CTC140" s="3"/>
      <c r="CTD140" s="3"/>
      <c r="CTE140" s="3"/>
      <c r="CTF140" s="3"/>
      <c r="CTG140" s="3"/>
      <c r="CTH140" s="3"/>
      <c r="CTI140" s="3"/>
      <c r="CTJ140" s="3"/>
      <c r="CTK140" s="3"/>
      <c r="CTL140" s="3"/>
      <c r="CTM140" s="3"/>
      <c r="CTN140" s="3"/>
      <c r="CTO140" s="3"/>
      <c r="CTP140" s="3"/>
      <c r="CTQ140" s="3"/>
      <c r="CTR140" s="3"/>
      <c r="CTS140" s="3"/>
      <c r="CTT140" s="3"/>
      <c r="CTU140" s="3"/>
      <c r="CTV140" s="3"/>
      <c r="CTW140" s="3"/>
      <c r="CTX140" s="3"/>
      <c r="CTY140" s="3"/>
      <c r="CTZ140" s="3"/>
      <c r="CUA140" s="3"/>
      <c r="CUB140" s="3"/>
      <c r="CUC140" s="3"/>
      <c r="CUD140" s="3"/>
      <c r="CUE140" s="3"/>
      <c r="CUF140" s="3"/>
      <c r="CUG140" s="3"/>
      <c r="CUH140" s="3"/>
      <c r="CUI140" s="3"/>
      <c r="CUJ140" s="3"/>
      <c r="CUK140" s="3"/>
      <c r="CUL140" s="3"/>
      <c r="CUM140" s="3"/>
      <c r="CUN140" s="3"/>
      <c r="CUO140" s="3"/>
      <c r="CUP140" s="3"/>
      <c r="CUQ140" s="3"/>
      <c r="CUR140" s="3"/>
      <c r="CUS140" s="3"/>
      <c r="CUT140" s="3"/>
      <c r="CUU140" s="3"/>
      <c r="CUV140" s="3"/>
      <c r="CUW140" s="3"/>
      <c r="CUX140" s="3"/>
      <c r="CUY140" s="3"/>
      <c r="CUZ140" s="3"/>
      <c r="CVA140" s="3"/>
      <c r="CVB140" s="3"/>
      <c r="CVC140" s="3"/>
      <c r="CVD140" s="3"/>
      <c r="CVE140" s="3"/>
      <c r="CVF140" s="3"/>
      <c r="CVG140" s="3"/>
      <c r="CVH140" s="3"/>
      <c r="CVI140" s="3"/>
      <c r="CVJ140" s="3"/>
      <c r="CVK140" s="3"/>
      <c r="CVL140" s="3"/>
      <c r="CVM140" s="3"/>
      <c r="CVN140" s="3"/>
      <c r="CVO140" s="3"/>
      <c r="CVP140" s="3"/>
      <c r="CVQ140" s="3"/>
      <c r="CVR140" s="3"/>
      <c r="CVS140" s="3"/>
      <c r="CVT140" s="3"/>
      <c r="CVU140" s="3"/>
      <c r="CVV140" s="3"/>
      <c r="CVW140" s="3"/>
      <c r="CVX140" s="3"/>
      <c r="CVY140" s="3"/>
      <c r="CVZ140" s="3"/>
      <c r="CWA140" s="3"/>
      <c r="CWB140" s="3"/>
      <c r="CWC140" s="3"/>
      <c r="CWD140" s="3"/>
      <c r="CWE140" s="3"/>
      <c r="CWF140" s="3"/>
      <c r="CWG140" s="3"/>
      <c r="CWH140" s="3"/>
      <c r="CWI140" s="3"/>
      <c r="CWJ140" s="3"/>
      <c r="CWK140" s="3"/>
      <c r="CWL140" s="3"/>
      <c r="CWM140" s="3"/>
      <c r="CWN140" s="3"/>
      <c r="CWO140" s="3"/>
      <c r="CWP140" s="3"/>
      <c r="CWQ140" s="3"/>
      <c r="CWR140" s="3"/>
      <c r="CWS140" s="3"/>
      <c r="CWT140" s="3"/>
      <c r="CWU140" s="3"/>
      <c r="CWV140" s="3"/>
      <c r="CWW140" s="3"/>
      <c r="CWX140" s="3"/>
      <c r="CWY140" s="3"/>
      <c r="CWZ140" s="3"/>
      <c r="CXA140" s="3"/>
      <c r="CXB140" s="3"/>
      <c r="CXC140" s="3"/>
      <c r="CXD140" s="3"/>
      <c r="CXE140" s="3"/>
      <c r="CXF140" s="3"/>
      <c r="CXG140" s="3"/>
      <c r="CXH140" s="3"/>
      <c r="CXI140" s="3"/>
      <c r="CXJ140" s="3"/>
      <c r="CXK140" s="3"/>
      <c r="CXL140" s="3"/>
      <c r="CXM140" s="3"/>
      <c r="CXN140" s="3"/>
      <c r="CXO140" s="3"/>
      <c r="CXP140" s="3"/>
      <c r="CXQ140" s="3"/>
      <c r="CXR140" s="3"/>
      <c r="CXS140" s="3"/>
      <c r="CXT140" s="3"/>
      <c r="CXU140" s="3"/>
      <c r="CXV140" s="3"/>
      <c r="CXW140" s="3"/>
      <c r="CXX140" s="3"/>
      <c r="CXY140" s="3"/>
      <c r="CXZ140" s="3"/>
      <c r="CYA140" s="3"/>
      <c r="CYB140" s="3"/>
      <c r="CYC140" s="3"/>
      <c r="CYD140" s="3"/>
      <c r="CYE140" s="3"/>
      <c r="CYF140" s="3"/>
      <c r="CYG140" s="3"/>
      <c r="CYH140" s="3"/>
      <c r="CYI140" s="3"/>
      <c r="CYJ140" s="3"/>
      <c r="CYK140" s="3"/>
      <c r="CYL140" s="3"/>
      <c r="CYM140" s="3"/>
      <c r="CYN140" s="3"/>
      <c r="CYO140" s="3"/>
      <c r="CYP140" s="3"/>
      <c r="CYQ140" s="3"/>
      <c r="CYR140" s="3"/>
      <c r="CYS140" s="3"/>
      <c r="CYT140" s="3"/>
      <c r="CYU140" s="3"/>
      <c r="CYV140" s="3"/>
      <c r="CYW140" s="3"/>
      <c r="CYX140" s="3"/>
      <c r="CYY140" s="3"/>
      <c r="CYZ140" s="3"/>
      <c r="CZA140" s="3"/>
      <c r="CZB140" s="3"/>
      <c r="CZC140" s="3"/>
      <c r="CZD140" s="3"/>
      <c r="CZE140" s="3"/>
      <c r="CZF140" s="3"/>
      <c r="CZG140" s="3"/>
      <c r="CZH140" s="3"/>
      <c r="CZI140" s="3"/>
      <c r="CZJ140" s="3"/>
      <c r="CZK140" s="3"/>
      <c r="CZL140" s="3"/>
      <c r="CZM140" s="3"/>
      <c r="CZN140" s="3"/>
      <c r="CZO140" s="3"/>
      <c r="CZP140" s="3"/>
      <c r="CZQ140" s="3"/>
      <c r="CZR140" s="3"/>
      <c r="CZS140" s="3"/>
      <c r="CZT140" s="3"/>
      <c r="CZU140" s="3"/>
      <c r="CZV140" s="3"/>
      <c r="CZW140" s="3"/>
      <c r="CZX140" s="3"/>
      <c r="CZY140" s="3"/>
      <c r="CZZ140" s="3"/>
      <c r="DAA140" s="3"/>
      <c r="DAB140" s="3"/>
      <c r="DAC140" s="3"/>
      <c r="DAD140" s="3"/>
      <c r="DAE140" s="3"/>
      <c r="DAF140" s="3"/>
      <c r="DAG140" s="3"/>
      <c r="DAH140" s="3"/>
      <c r="DAI140" s="3"/>
      <c r="DAJ140" s="3"/>
      <c r="DAK140" s="3"/>
      <c r="DAL140" s="3"/>
      <c r="DAM140" s="3"/>
      <c r="DAN140" s="3"/>
      <c r="DAO140" s="3"/>
      <c r="DAP140" s="3"/>
      <c r="DAQ140" s="3"/>
      <c r="DAR140" s="3"/>
      <c r="DAS140" s="3"/>
      <c r="DAT140" s="3"/>
      <c r="DAU140" s="3"/>
      <c r="DAV140" s="3"/>
      <c r="DAW140" s="3"/>
      <c r="DAX140" s="3"/>
      <c r="DAY140" s="3"/>
      <c r="DAZ140" s="3"/>
      <c r="DBA140" s="3"/>
      <c r="DBB140" s="3"/>
      <c r="DBC140" s="3"/>
      <c r="DBD140" s="3"/>
      <c r="DBE140" s="3"/>
      <c r="DBF140" s="3"/>
      <c r="DBG140" s="3"/>
      <c r="DBH140" s="3"/>
      <c r="DBI140" s="3"/>
      <c r="DBJ140" s="3"/>
      <c r="DBK140" s="3"/>
      <c r="DBL140" s="3"/>
      <c r="DBM140" s="3"/>
      <c r="DBN140" s="3"/>
      <c r="DBO140" s="3"/>
      <c r="DBP140" s="3"/>
      <c r="DBQ140" s="3"/>
      <c r="DBR140" s="3"/>
      <c r="DBS140" s="3"/>
      <c r="DBT140" s="3"/>
      <c r="DBU140" s="3"/>
      <c r="DBV140" s="3"/>
      <c r="DBW140" s="3"/>
      <c r="DBX140" s="3"/>
      <c r="DBY140" s="3"/>
      <c r="DBZ140" s="3"/>
      <c r="DCA140" s="3"/>
      <c r="DCB140" s="3"/>
      <c r="DCC140" s="3"/>
      <c r="DCD140" s="3"/>
      <c r="DCE140" s="3"/>
      <c r="DCF140" s="3"/>
      <c r="DCG140" s="3"/>
      <c r="DCH140" s="3"/>
      <c r="DCI140" s="3"/>
      <c r="DCJ140" s="3"/>
      <c r="DCK140" s="3"/>
      <c r="DCL140" s="3"/>
      <c r="DCM140" s="3"/>
      <c r="DCN140" s="3"/>
      <c r="DCO140" s="3"/>
      <c r="DCP140" s="3"/>
      <c r="DCQ140" s="3"/>
      <c r="DCR140" s="3"/>
      <c r="DCS140" s="3"/>
      <c r="DCT140" s="3"/>
      <c r="DCU140" s="3"/>
      <c r="DCV140" s="3"/>
      <c r="DCW140" s="3"/>
      <c r="DCX140" s="3"/>
      <c r="DCY140" s="3"/>
      <c r="DCZ140" s="3"/>
      <c r="DDA140" s="3"/>
      <c r="DDB140" s="3"/>
      <c r="DDC140" s="3"/>
      <c r="DDD140" s="3"/>
      <c r="DDE140" s="3"/>
      <c r="DDF140" s="3"/>
      <c r="DDG140" s="3"/>
      <c r="DDH140" s="3"/>
      <c r="DDI140" s="3"/>
      <c r="DDJ140" s="3"/>
      <c r="DDK140" s="3"/>
      <c r="DDL140" s="3"/>
      <c r="DDM140" s="3"/>
      <c r="DDN140" s="3"/>
      <c r="DDO140" s="3"/>
      <c r="DDP140" s="3"/>
      <c r="DDQ140" s="3"/>
      <c r="DDR140" s="3"/>
      <c r="DDS140" s="3"/>
      <c r="DDT140" s="3"/>
      <c r="DDU140" s="3"/>
      <c r="DDV140" s="3"/>
      <c r="DDW140" s="3"/>
      <c r="DDX140" s="3"/>
      <c r="DDY140" s="3"/>
      <c r="DDZ140" s="3"/>
      <c r="DEA140" s="3"/>
      <c r="DEB140" s="3"/>
      <c r="DEC140" s="3"/>
      <c r="DED140" s="3"/>
      <c r="DEE140" s="3"/>
      <c r="DEF140" s="3"/>
      <c r="DEG140" s="3"/>
      <c r="DEH140" s="3"/>
      <c r="DEI140" s="3"/>
      <c r="DEJ140" s="3"/>
      <c r="DEK140" s="3"/>
      <c r="DEL140" s="3"/>
      <c r="DEM140" s="3"/>
      <c r="DEN140" s="3"/>
      <c r="DEO140" s="3"/>
      <c r="DEP140" s="3"/>
      <c r="DEQ140" s="3"/>
      <c r="DER140" s="3"/>
      <c r="DES140" s="3"/>
      <c r="DET140" s="3"/>
      <c r="DEU140" s="3"/>
      <c r="DEV140" s="3"/>
      <c r="DEW140" s="3"/>
      <c r="DEX140" s="3"/>
      <c r="DEY140" s="3"/>
      <c r="DEZ140" s="3"/>
      <c r="DFA140" s="3"/>
      <c r="DFB140" s="3"/>
      <c r="DFC140" s="3"/>
      <c r="DFD140" s="3"/>
      <c r="DFE140" s="3"/>
      <c r="DFF140" s="3"/>
      <c r="DFG140" s="3"/>
      <c r="DFH140" s="3"/>
      <c r="DFI140" s="3"/>
      <c r="DFJ140" s="3"/>
      <c r="DFK140" s="3"/>
      <c r="DFL140" s="3"/>
      <c r="DFM140" s="3"/>
      <c r="DFN140" s="3"/>
      <c r="DFO140" s="3"/>
      <c r="DFP140" s="3"/>
      <c r="DFQ140" s="3"/>
      <c r="DFR140" s="3"/>
      <c r="DFS140" s="3"/>
      <c r="DFT140" s="3"/>
      <c r="DFU140" s="3"/>
      <c r="DFV140" s="3"/>
      <c r="DFW140" s="3"/>
      <c r="DFX140" s="3"/>
      <c r="DFY140" s="3"/>
      <c r="DFZ140" s="3"/>
      <c r="DGA140" s="3"/>
      <c r="DGB140" s="3"/>
      <c r="DGC140" s="3"/>
      <c r="DGD140" s="3"/>
      <c r="DGE140" s="3"/>
      <c r="DGF140" s="3"/>
      <c r="DGG140" s="3"/>
      <c r="DGH140" s="3"/>
      <c r="DGI140" s="3"/>
      <c r="DGJ140" s="3"/>
      <c r="DGK140" s="3"/>
      <c r="DGL140" s="3"/>
      <c r="DGM140" s="3"/>
      <c r="DGN140" s="3"/>
      <c r="DGO140" s="3"/>
      <c r="DGP140" s="3"/>
      <c r="DGQ140" s="3"/>
      <c r="DGR140" s="3"/>
      <c r="DGS140" s="3"/>
      <c r="DGT140" s="3"/>
      <c r="DGU140" s="3"/>
      <c r="DGV140" s="3"/>
      <c r="DGW140" s="3"/>
      <c r="DGX140" s="3"/>
      <c r="DGY140" s="3"/>
      <c r="DGZ140" s="3"/>
      <c r="DHA140" s="3"/>
      <c r="DHB140" s="3"/>
      <c r="DHC140" s="3"/>
      <c r="DHD140" s="3"/>
      <c r="DHE140" s="3"/>
      <c r="DHF140" s="3"/>
      <c r="DHG140" s="3"/>
      <c r="DHH140" s="3"/>
      <c r="DHI140" s="3"/>
      <c r="DHJ140" s="3"/>
      <c r="DHK140" s="3"/>
      <c r="DHL140" s="3"/>
      <c r="DHM140" s="3"/>
      <c r="DHN140" s="3"/>
      <c r="DHO140" s="3"/>
      <c r="DHP140" s="3"/>
      <c r="DHQ140" s="3"/>
      <c r="DHR140" s="3"/>
      <c r="DHS140" s="3"/>
      <c r="DHT140" s="3"/>
      <c r="DHU140" s="3"/>
      <c r="DHV140" s="3"/>
      <c r="DHW140" s="3"/>
      <c r="DHX140" s="3"/>
      <c r="DHY140" s="3"/>
      <c r="DHZ140" s="3"/>
      <c r="DIA140" s="3"/>
      <c r="DIB140" s="3"/>
      <c r="DIC140" s="3"/>
      <c r="DID140" s="3"/>
      <c r="DIE140" s="3"/>
      <c r="DIF140" s="3"/>
      <c r="DIG140" s="3"/>
      <c r="DIH140" s="3"/>
      <c r="DII140" s="3"/>
      <c r="DIJ140" s="3"/>
      <c r="DIK140" s="3"/>
      <c r="DIL140" s="3"/>
      <c r="DIM140" s="3"/>
      <c r="DIN140" s="3"/>
      <c r="DIO140" s="3"/>
      <c r="DIP140" s="3"/>
      <c r="DIQ140" s="3"/>
      <c r="DIR140" s="3"/>
      <c r="DIS140" s="3"/>
      <c r="DIT140" s="3"/>
      <c r="DIU140" s="3"/>
      <c r="DIV140" s="3"/>
      <c r="DIW140" s="3"/>
      <c r="DIX140" s="3"/>
      <c r="DIY140" s="3"/>
      <c r="DIZ140" s="3"/>
      <c r="DJA140" s="3"/>
      <c r="DJB140" s="3"/>
      <c r="DJC140" s="3"/>
      <c r="DJD140" s="3"/>
      <c r="DJE140" s="3"/>
      <c r="DJF140" s="3"/>
      <c r="DJG140" s="3"/>
      <c r="DJH140" s="3"/>
      <c r="DJI140" s="3"/>
      <c r="DJJ140" s="3"/>
      <c r="DJK140" s="3"/>
      <c r="DJL140" s="3"/>
      <c r="DJM140" s="3"/>
      <c r="DJN140" s="3"/>
      <c r="DJO140" s="3"/>
      <c r="DJP140" s="3"/>
      <c r="DJQ140" s="3"/>
      <c r="DJR140" s="3"/>
      <c r="DJS140" s="3"/>
      <c r="DJT140" s="3"/>
      <c r="DJU140" s="3"/>
      <c r="DJV140" s="3"/>
      <c r="DJW140" s="3"/>
      <c r="DJX140" s="3"/>
      <c r="DJY140" s="3"/>
      <c r="DJZ140" s="3"/>
      <c r="DKA140" s="3"/>
      <c r="DKB140" s="3"/>
      <c r="DKC140" s="3"/>
      <c r="DKD140" s="3"/>
      <c r="DKE140" s="3"/>
      <c r="DKF140" s="3"/>
      <c r="DKG140" s="3"/>
      <c r="DKH140" s="3"/>
      <c r="DKI140" s="3"/>
      <c r="DKJ140" s="3"/>
      <c r="DKK140" s="3"/>
      <c r="DKL140" s="3"/>
      <c r="DKM140" s="3"/>
      <c r="DKN140" s="3"/>
      <c r="DKO140" s="3"/>
      <c r="DKP140" s="3"/>
      <c r="DKQ140" s="3"/>
      <c r="DKR140" s="3"/>
      <c r="DKS140" s="3"/>
      <c r="DKT140" s="3"/>
      <c r="DKU140" s="3"/>
      <c r="DKV140" s="3"/>
      <c r="DKW140" s="3"/>
      <c r="DKX140" s="3"/>
      <c r="DKY140" s="3"/>
      <c r="DKZ140" s="3"/>
      <c r="DLA140" s="3"/>
      <c r="DLB140" s="3"/>
      <c r="DLC140" s="3"/>
      <c r="DLD140" s="3"/>
      <c r="DLE140" s="3"/>
      <c r="DLF140" s="3"/>
      <c r="DLG140" s="3"/>
      <c r="DLH140" s="3"/>
      <c r="DLI140" s="3"/>
      <c r="DLJ140" s="3"/>
      <c r="DLK140" s="3"/>
      <c r="DLL140" s="3"/>
      <c r="DLM140" s="3"/>
      <c r="DLN140" s="3"/>
      <c r="DLO140" s="3"/>
      <c r="DLP140" s="3"/>
      <c r="DLQ140" s="3"/>
      <c r="DLR140" s="3"/>
      <c r="DLS140" s="3"/>
      <c r="DLT140" s="3"/>
      <c r="DLU140" s="3"/>
      <c r="DLV140" s="3"/>
      <c r="DLW140" s="3"/>
      <c r="DLX140" s="3"/>
      <c r="DLY140" s="3"/>
      <c r="DLZ140" s="3"/>
      <c r="DMA140" s="3"/>
      <c r="DMB140" s="3"/>
      <c r="DMC140" s="3"/>
      <c r="DMD140" s="3"/>
      <c r="DME140" s="3"/>
      <c r="DMF140" s="3"/>
      <c r="DMG140" s="3"/>
      <c r="DMH140" s="3"/>
      <c r="DMI140" s="3"/>
      <c r="DMJ140" s="3"/>
      <c r="DMK140" s="3"/>
      <c r="DML140" s="3"/>
      <c r="DMM140" s="3"/>
      <c r="DMN140" s="3"/>
      <c r="DMO140" s="3"/>
      <c r="DMP140" s="3"/>
      <c r="DMQ140" s="3"/>
      <c r="DMR140" s="3"/>
      <c r="DMS140" s="3"/>
      <c r="DMT140" s="3"/>
      <c r="DMU140" s="3"/>
      <c r="DMV140" s="3"/>
      <c r="DMW140" s="3"/>
      <c r="DMX140" s="3"/>
      <c r="DMY140" s="3"/>
      <c r="DMZ140" s="3"/>
      <c r="DNA140" s="3"/>
      <c r="DNB140" s="3"/>
      <c r="DNC140" s="3"/>
      <c r="DND140" s="3"/>
      <c r="DNE140" s="3"/>
      <c r="DNF140" s="3"/>
      <c r="DNG140" s="3"/>
      <c r="DNH140" s="3"/>
      <c r="DNI140" s="3"/>
      <c r="DNJ140" s="3"/>
      <c r="DNK140" s="3"/>
      <c r="DNL140" s="3"/>
      <c r="DNM140" s="3"/>
      <c r="DNN140" s="3"/>
      <c r="DNO140" s="3"/>
      <c r="DNP140" s="3"/>
      <c r="DNQ140" s="3"/>
      <c r="DNR140" s="3"/>
      <c r="DNS140" s="3"/>
      <c r="DNT140" s="3"/>
      <c r="DNU140" s="3"/>
      <c r="DNV140" s="3"/>
      <c r="DNW140" s="3"/>
      <c r="DNX140" s="3"/>
      <c r="DNY140" s="3"/>
      <c r="DNZ140" s="3"/>
      <c r="DOA140" s="3"/>
      <c r="DOB140" s="3"/>
      <c r="DOC140" s="3"/>
      <c r="DOD140" s="3"/>
      <c r="DOE140" s="3"/>
      <c r="DOF140" s="3"/>
      <c r="DOG140" s="3"/>
      <c r="DOH140" s="3"/>
      <c r="DOI140" s="3"/>
      <c r="DOJ140" s="3"/>
      <c r="DOK140" s="3"/>
      <c r="DOL140" s="3"/>
      <c r="DOM140" s="3"/>
      <c r="DON140" s="3"/>
      <c r="DOO140" s="3"/>
      <c r="DOP140" s="3"/>
      <c r="DOQ140" s="3"/>
      <c r="DOR140" s="3"/>
      <c r="DOS140" s="3"/>
      <c r="DOT140" s="3"/>
      <c r="DOU140" s="3"/>
      <c r="DOV140" s="3"/>
      <c r="DOW140" s="3"/>
      <c r="DOX140" s="3"/>
      <c r="DOY140" s="3"/>
      <c r="DOZ140" s="3"/>
      <c r="DPA140" s="3"/>
      <c r="DPB140" s="3"/>
      <c r="DPC140" s="3"/>
      <c r="DPD140" s="3"/>
      <c r="DPE140" s="3"/>
      <c r="DPF140" s="3"/>
      <c r="DPG140" s="3"/>
      <c r="DPH140" s="3"/>
      <c r="DPI140" s="3"/>
      <c r="DPJ140" s="3"/>
      <c r="DPK140" s="3"/>
      <c r="DPL140" s="3"/>
      <c r="DPM140" s="3"/>
      <c r="DPN140" s="3"/>
      <c r="DPO140" s="3"/>
      <c r="DPP140" s="3"/>
      <c r="DPQ140" s="3"/>
      <c r="DPR140" s="3"/>
      <c r="DPS140" s="3"/>
      <c r="DPT140" s="3"/>
      <c r="DPU140" s="3"/>
      <c r="DPV140" s="3"/>
      <c r="DPW140" s="3"/>
      <c r="DPX140" s="3"/>
      <c r="DPY140" s="3"/>
      <c r="DPZ140" s="3"/>
      <c r="DQA140" s="3"/>
      <c r="DQB140" s="3"/>
      <c r="DQC140" s="3"/>
      <c r="DQD140" s="3"/>
      <c r="DQE140" s="3"/>
      <c r="DQF140" s="3"/>
      <c r="DQG140" s="3"/>
      <c r="DQH140" s="3"/>
      <c r="DQI140" s="3"/>
      <c r="DQJ140" s="3"/>
      <c r="DQK140" s="3"/>
      <c r="DQL140" s="3"/>
      <c r="DQM140" s="3"/>
      <c r="DQN140" s="3"/>
      <c r="DQO140" s="3"/>
      <c r="DQP140" s="3"/>
      <c r="DQQ140" s="3"/>
      <c r="DQR140" s="3"/>
      <c r="DQS140" s="3"/>
      <c r="DQT140" s="3"/>
      <c r="DQU140" s="3"/>
      <c r="DQV140" s="3"/>
      <c r="DQW140" s="3"/>
      <c r="DQX140" s="3"/>
      <c r="DQY140" s="3"/>
      <c r="DQZ140" s="3"/>
      <c r="DRA140" s="3"/>
      <c r="DRB140" s="3"/>
      <c r="DRC140" s="3"/>
      <c r="DRD140" s="3"/>
      <c r="DRE140" s="3"/>
      <c r="DRF140" s="3"/>
      <c r="DRG140" s="3"/>
      <c r="DRH140" s="3"/>
      <c r="DRI140" s="3"/>
      <c r="DRJ140" s="3"/>
      <c r="DRK140" s="3"/>
      <c r="DRL140" s="3"/>
      <c r="DRM140" s="3"/>
      <c r="DRN140" s="3"/>
      <c r="DRO140" s="3"/>
      <c r="DRP140" s="3"/>
      <c r="DRQ140" s="3"/>
      <c r="DRR140" s="3"/>
      <c r="DRS140" s="3"/>
      <c r="DRT140" s="3"/>
      <c r="DRU140" s="3"/>
      <c r="DRV140" s="3"/>
      <c r="DRW140" s="3"/>
      <c r="DRX140" s="3"/>
      <c r="DRY140" s="3"/>
      <c r="DRZ140" s="3"/>
      <c r="DSA140" s="3"/>
      <c r="DSB140" s="3"/>
      <c r="DSC140" s="3"/>
      <c r="DSD140" s="3"/>
      <c r="DSE140" s="3"/>
      <c r="DSF140" s="3"/>
      <c r="DSG140" s="3"/>
      <c r="DSH140" s="3"/>
      <c r="DSI140" s="3"/>
      <c r="DSJ140" s="3"/>
      <c r="DSK140" s="3"/>
      <c r="DSL140" s="3"/>
      <c r="DSM140" s="3"/>
      <c r="DSN140" s="3"/>
      <c r="DSO140" s="3"/>
      <c r="DSP140" s="3"/>
      <c r="DSQ140" s="3"/>
      <c r="DSR140" s="3"/>
      <c r="DSS140" s="3"/>
      <c r="DST140" s="3"/>
      <c r="DSU140" s="3"/>
      <c r="DSV140" s="3"/>
      <c r="DSW140" s="3"/>
      <c r="DSX140" s="3"/>
      <c r="DSY140" s="3"/>
      <c r="DSZ140" s="3"/>
      <c r="DTA140" s="3"/>
      <c r="DTB140" s="3"/>
      <c r="DTC140" s="3"/>
      <c r="DTD140" s="3"/>
      <c r="DTE140" s="3"/>
      <c r="DTF140" s="3"/>
      <c r="DTG140" s="3"/>
      <c r="DTH140" s="3"/>
      <c r="DTI140" s="3"/>
      <c r="DTJ140" s="3"/>
      <c r="DTK140" s="3"/>
      <c r="DTL140" s="3"/>
      <c r="DTM140" s="3"/>
      <c r="DTN140" s="3"/>
      <c r="DTO140" s="3"/>
      <c r="DTP140" s="3"/>
      <c r="DTQ140" s="3"/>
      <c r="DTR140" s="3"/>
      <c r="DTS140" s="3"/>
      <c r="DTT140" s="3"/>
      <c r="DTU140" s="3"/>
      <c r="DTV140" s="3"/>
      <c r="DTW140" s="3"/>
      <c r="DTX140" s="3"/>
      <c r="DTY140" s="3"/>
      <c r="DTZ140" s="3"/>
      <c r="DUA140" s="3"/>
      <c r="DUB140" s="3"/>
      <c r="DUC140" s="3"/>
      <c r="DUD140" s="3"/>
      <c r="DUE140" s="3"/>
      <c r="DUF140" s="3"/>
      <c r="DUG140" s="3"/>
      <c r="DUH140" s="3"/>
      <c r="DUI140" s="3"/>
      <c r="DUJ140" s="3"/>
      <c r="DUK140" s="3"/>
      <c r="DUL140" s="3"/>
      <c r="DUM140" s="3"/>
      <c r="DUN140" s="3"/>
      <c r="DUO140" s="3"/>
      <c r="DUP140" s="3"/>
      <c r="DUQ140" s="3"/>
      <c r="DUR140" s="3"/>
      <c r="DUS140" s="3"/>
      <c r="DUT140" s="3"/>
      <c r="DUU140" s="3"/>
      <c r="DUV140" s="3"/>
      <c r="DUW140" s="3"/>
      <c r="DUX140" s="3"/>
      <c r="DUY140" s="3"/>
      <c r="DUZ140" s="3"/>
      <c r="DVA140" s="3"/>
      <c r="DVB140" s="3"/>
      <c r="DVC140" s="3"/>
      <c r="DVD140" s="3"/>
      <c r="DVE140" s="3"/>
      <c r="DVF140" s="3"/>
      <c r="DVG140" s="3"/>
      <c r="DVH140" s="3"/>
      <c r="DVI140" s="3"/>
      <c r="DVJ140" s="3"/>
      <c r="DVK140" s="3"/>
      <c r="DVL140" s="3"/>
      <c r="DVM140" s="3"/>
      <c r="DVN140" s="3"/>
      <c r="DVO140" s="3"/>
      <c r="DVP140" s="3"/>
      <c r="DVQ140" s="3"/>
      <c r="DVR140" s="3"/>
      <c r="DVS140" s="3"/>
      <c r="DVT140" s="3"/>
      <c r="DVU140" s="3"/>
      <c r="DVV140" s="3"/>
      <c r="DVW140" s="3"/>
      <c r="DVX140" s="3"/>
      <c r="DVY140" s="3"/>
      <c r="DVZ140" s="3"/>
      <c r="DWA140" s="3"/>
      <c r="DWB140" s="3"/>
      <c r="DWC140" s="3"/>
      <c r="DWD140" s="3"/>
      <c r="DWE140" s="3"/>
      <c r="DWF140" s="3"/>
      <c r="DWG140" s="3"/>
      <c r="DWH140" s="3"/>
      <c r="DWI140" s="3"/>
      <c r="DWJ140" s="3"/>
      <c r="DWK140" s="3"/>
      <c r="DWL140" s="3"/>
      <c r="DWM140" s="3"/>
      <c r="DWN140" s="3"/>
      <c r="DWO140" s="3"/>
      <c r="DWP140" s="3"/>
      <c r="DWQ140" s="3"/>
      <c r="DWR140" s="3"/>
      <c r="DWS140" s="3"/>
      <c r="DWT140" s="3"/>
      <c r="DWU140" s="3"/>
      <c r="DWV140" s="3"/>
      <c r="DWW140" s="3"/>
      <c r="DWX140" s="3"/>
      <c r="DWY140" s="3"/>
      <c r="DWZ140" s="3"/>
      <c r="DXA140" s="3"/>
      <c r="DXB140" s="3"/>
      <c r="DXC140" s="3"/>
      <c r="DXD140" s="3"/>
      <c r="DXE140" s="3"/>
      <c r="DXF140" s="3"/>
      <c r="DXG140" s="3"/>
      <c r="DXH140" s="3"/>
      <c r="DXI140" s="3"/>
      <c r="DXJ140" s="3"/>
      <c r="DXK140" s="3"/>
      <c r="DXL140" s="3"/>
      <c r="DXM140" s="3"/>
      <c r="DXN140" s="3"/>
      <c r="DXO140" s="3"/>
      <c r="DXP140" s="3"/>
      <c r="DXQ140" s="3"/>
      <c r="DXR140" s="3"/>
      <c r="DXS140" s="3"/>
      <c r="DXT140" s="3"/>
      <c r="DXU140" s="3"/>
      <c r="DXV140" s="3"/>
      <c r="DXW140" s="3"/>
      <c r="DXX140" s="3"/>
      <c r="DXY140" s="3"/>
      <c r="DXZ140" s="3"/>
      <c r="DYA140" s="3"/>
      <c r="DYB140" s="3"/>
      <c r="DYC140" s="3"/>
      <c r="DYD140" s="3"/>
      <c r="DYE140" s="3"/>
      <c r="DYF140" s="3"/>
      <c r="DYG140" s="3"/>
      <c r="DYH140" s="3"/>
      <c r="DYI140" s="3"/>
      <c r="DYJ140" s="3"/>
      <c r="DYK140" s="3"/>
      <c r="DYL140" s="3"/>
      <c r="DYM140" s="3"/>
      <c r="DYN140" s="3"/>
      <c r="DYO140" s="3"/>
      <c r="DYP140" s="3"/>
      <c r="DYQ140" s="3"/>
      <c r="DYR140" s="3"/>
      <c r="DYS140" s="3"/>
      <c r="DYT140" s="3"/>
      <c r="DYU140" s="3"/>
      <c r="DYV140" s="3"/>
      <c r="DYW140" s="3"/>
      <c r="DYX140" s="3"/>
      <c r="DYY140" s="3"/>
      <c r="DYZ140" s="3"/>
      <c r="DZA140" s="3"/>
      <c r="DZB140" s="3"/>
      <c r="DZC140" s="3"/>
      <c r="DZD140" s="3"/>
      <c r="DZE140" s="3"/>
      <c r="DZF140" s="3"/>
      <c r="DZG140" s="3"/>
      <c r="DZH140" s="3"/>
      <c r="DZI140" s="3"/>
      <c r="DZJ140" s="3"/>
      <c r="DZK140" s="3"/>
      <c r="DZL140" s="3"/>
      <c r="DZM140" s="3"/>
      <c r="DZN140" s="3"/>
      <c r="DZO140" s="3"/>
      <c r="DZP140" s="3"/>
      <c r="DZQ140" s="3"/>
      <c r="DZR140" s="3"/>
      <c r="DZS140" s="3"/>
      <c r="DZT140" s="3"/>
      <c r="DZU140" s="3"/>
      <c r="DZV140" s="3"/>
      <c r="DZW140" s="3"/>
      <c r="DZX140" s="3"/>
      <c r="DZY140" s="3"/>
      <c r="DZZ140" s="3"/>
      <c r="EAA140" s="3"/>
      <c r="EAB140" s="3"/>
      <c r="EAC140" s="3"/>
      <c r="EAD140" s="3"/>
      <c r="EAE140" s="3"/>
      <c r="EAF140" s="3"/>
      <c r="EAG140" s="3"/>
      <c r="EAH140" s="3"/>
      <c r="EAI140" s="3"/>
      <c r="EAJ140" s="3"/>
      <c r="EAK140" s="3"/>
      <c r="EAL140" s="3"/>
      <c r="EAM140" s="3"/>
      <c r="EAN140" s="3"/>
      <c r="EAO140" s="3"/>
      <c r="EAP140" s="3"/>
      <c r="EAQ140" s="3"/>
      <c r="EAR140" s="3"/>
      <c r="EAS140" s="3"/>
      <c r="EAT140" s="3"/>
      <c r="EAU140" s="3"/>
      <c r="EAV140" s="3"/>
      <c r="EAW140" s="3"/>
      <c r="EAX140" s="3"/>
      <c r="EAY140" s="3"/>
      <c r="EAZ140" s="3"/>
      <c r="EBA140" s="3"/>
      <c r="EBB140" s="3"/>
      <c r="EBC140" s="3"/>
      <c r="EBD140" s="3"/>
      <c r="EBE140" s="3"/>
      <c r="EBF140" s="3"/>
      <c r="EBG140" s="3"/>
      <c r="EBH140" s="3"/>
      <c r="EBI140" s="3"/>
      <c r="EBJ140" s="3"/>
      <c r="EBK140" s="3"/>
      <c r="EBL140" s="3"/>
      <c r="EBM140" s="3"/>
      <c r="EBN140" s="3"/>
      <c r="EBO140" s="3"/>
      <c r="EBP140" s="3"/>
      <c r="EBQ140" s="3"/>
      <c r="EBR140" s="3"/>
      <c r="EBS140" s="3"/>
      <c r="EBT140" s="3"/>
      <c r="EBU140" s="3"/>
      <c r="EBV140" s="3"/>
      <c r="EBW140" s="3"/>
      <c r="EBX140" s="3"/>
      <c r="EBY140" s="3"/>
      <c r="EBZ140" s="3"/>
      <c r="ECA140" s="3"/>
      <c r="ECB140" s="3"/>
      <c r="ECC140" s="3"/>
      <c r="ECD140" s="3"/>
      <c r="ECE140" s="3"/>
      <c r="ECF140" s="3"/>
      <c r="ECG140" s="3"/>
      <c r="ECH140" s="3"/>
      <c r="ECI140" s="3"/>
      <c r="ECJ140" s="3"/>
      <c r="ECK140" s="3"/>
      <c r="ECL140" s="3"/>
      <c r="ECM140" s="3"/>
      <c r="ECN140" s="3"/>
      <c r="ECO140" s="3"/>
      <c r="ECP140" s="3"/>
      <c r="ECQ140" s="3"/>
      <c r="ECR140" s="3"/>
      <c r="ECS140" s="3"/>
      <c r="ECT140" s="3"/>
      <c r="ECU140" s="3"/>
      <c r="ECV140" s="3"/>
      <c r="ECW140" s="3"/>
      <c r="ECX140" s="3"/>
      <c r="ECY140" s="3"/>
      <c r="ECZ140" s="3"/>
      <c r="EDA140" s="3"/>
      <c r="EDB140" s="3"/>
      <c r="EDC140" s="3"/>
      <c r="EDD140" s="3"/>
      <c r="EDE140" s="3"/>
      <c r="EDF140" s="3"/>
      <c r="EDG140" s="3"/>
      <c r="EDH140" s="3"/>
      <c r="EDI140" s="3"/>
      <c r="EDJ140" s="3"/>
      <c r="EDK140" s="3"/>
      <c r="EDL140" s="3"/>
      <c r="EDM140" s="3"/>
      <c r="EDN140" s="3"/>
      <c r="EDO140" s="3"/>
      <c r="EDP140" s="3"/>
      <c r="EDQ140" s="3"/>
      <c r="EDR140" s="3"/>
      <c r="EDS140" s="3"/>
      <c r="EDT140" s="3"/>
      <c r="EDU140" s="3"/>
      <c r="EDV140" s="3"/>
      <c r="EDW140" s="3"/>
      <c r="EDX140" s="3"/>
      <c r="EDY140" s="3"/>
      <c r="EDZ140" s="3"/>
      <c r="EEA140" s="3"/>
      <c r="EEB140" s="3"/>
      <c r="EEC140" s="3"/>
      <c r="EED140" s="3"/>
      <c r="EEE140" s="3"/>
      <c r="EEF140" s="3"/>
      <c r="EEG140" s="3"/>
      <c r="EEH140" s="3"/>
      <c r="EEI140" s="3"/>
      <c r="EEJ140" s="3"/>
      <c r="EEK140" s="3"/>
      <c r="EEL140" s="3"/>
      <c r="EEM140" s="3"/>
      <c r="EEN140" s="3"/>
      <c r="EEO140" s="3"/>
      <c r="EEP140" s="3"/>
      <c r="EEQ140" s="3"/>
      <c r="EER140" s="3"/>
      <c r="EES140" s="3"/>
      <c r="EET140" s="3"/>
      <c r="EEU140" s="3"/>
      <c r="EEV140" s="3"/>
      <c r="EEW140" s="3"/>
      <c r="EEX140" s="3"/>
      <c r="EEY140" s="3"/>
      <c r="EEZ140" s="3"/>
      <c r="EFA140" s="3"/>
      <c r="EFB140" s="3"/>
      <c r="EFC140" s="3"/>
      <c r="EFD140" s="3"/>
      <c r="EFE140" s="3"/>
      <c r="EFF140" s="3"/>
      <c r="EFG140" s="3"/>
      <c r="EFH140" s="3"/>
      <c r="EFI140" s="3"/>
      <c r="EFJ140" s="3"/>
      <c r="EFK140" s="3"/>
      <c r="EFL140" s="3"/>
      <c r="EFM140" s="3"/>
      <c r="EFN140" s="3"/>
      <c r="EFO140" s="3"/>
      <c r="EFP140" s="3"/>
      <c r="EFQ140" s="3"/>
      <c r="EFR140" s="3"/>
      <c r="EFS140" s="3"/>
      <c r="EFT140" s="3"/>
      <c r="EFU140" s="3"/>
      <c r="EFV140" s="3"/>
      <c r="EFW140" s="3"/>
      <c r="EFX140" s="3"/>
      <c r="EFY140" s="3"/>
      <c r="EFZ140" s="3"/>
      <c r="EGA140" s="3"/>
      <c r="EGB140" s="3"/>
      <c r="EGC140" s="3"/>
      <c r="EGD140" s="3"/>
      <c r="EGE140" s="3"/>
      <c r="EGF140" s="3"/>
      <c r="EGG140" s="3"/>
      <c r="EGH140" s="3"/>
      <c r="EGI140" s="3"/>
      <c r="EGJ140" s="3"/>
      <c r="EGK140" s="3"/>
      <c r="EGL140" s="3"/>
      <c r="EGM140" s="3"/>
      <c r="EGN140" s="3"/>
      <c r="EGO140" s="3"/>
      <c r="EGP140" s="3"/>
      <c r="EGQ140" s="3"/>
      <c r="EGR140" s="3"/>
      <c r="EGS140" s="3"/>
      <c r="EGT140" s="3"/>
      <c r="EGU140" s="3"/>
      <c r="EGV140" s="3"/>
      <c r="EGW140" s="3"/>
      <c r="EGX140" s="3"/>
      <c r="EGY140" s="3"/>
      <c r="EGZ140" s="3"/>
      <c r="EHA140" s="3"/>
      <c r="EHB140" s="3"/>
      <c r="EHC140" s="3"/>
      <c r="EHD140" s="3"/>
      <c r="EHE140" s="3"/>
      <c r="EHF140" s="3"/>
      <c r="EHG140" s="3"/>
      <c r="EHH140" s="3"/>
      <c r="EHI140" s="3"/>
      <c r="EHJ140" s="3"/>
      <c r="EHK140" s="3"/>
      <c r="EHL140" s="3"/>
      <c r="EHM140" s="3"/>
      <c r="EHN140" s="3"/>
      <c r="EHO140" s="3"/>
      <c r="EHP140" s="3"/>
      <c r="EHQ140" s="3"/>
      <c r="EHR140" s="3"/>
      <c r="EHS140" s="3"/>
      <c r="EHT140" s="3"/>
      <c r="EHU140" s="3"/>
      <c r="EHV140" s="3"/>
      <c r="EHW140" s="3"/>
      <c r="EHX140" s="3"/>
      <c r="EHY140" s="3"/>
      <c r="EHZ140" s="3"/>
      <c r="EIA140" s="3"/>
      <c r="EIB140" s="3"/>
      <c r="EIC140" s="3"/>
      <c r="EID140" s="3"/>
      <c r="EIE140" s="3"/>
      <c r="EIF140" s="3"/>
      <c r="EIG140" s="3"/>
      <c r="EIH140" s="3"/>
      <c r="EII140" s="3"/>
      <c r="EIJ140" s="3"/>
      <c r="EIK140" s="3"/>
      <c r="EIL140" s="3"/>
      <c r="EIM140" s="3"/>
      <c r="EIN140" s="3"/>
      <c r="EIO140" s="3"/>
      <c r="EIP140" s="3"/>
      <c r="EIQ140" s="3"/>
      <c r="EIR140" s="3"/>
      <c r="EIS140" s="3"/>
      <c r="EIT140" s="3"/>
      <c r="EIU140" s="3"/>
      <c r="EIV140" s="3"/>
      <c r="EIW140" s="3"/>
      <c r="EIX140" s="3"/>
      <c r="EIY140" s="3"/>
      <c r="EIZ140" s="3"/>
      <c r="EJA140" s="3"/>
      <c r="EJB140" s="3"/>
      <c r="EJC140" s="3"/>
      <c r="EJD140" s="3"/>
      <c r="EJE140" s="3"/>
      <c r="EJF140" s="3"/>
      <c r="EJG140" s="3"/>
      <c r="EJH140" s="3"/>
      <c r="EJI140" s="3"/>
      <c r="EJJ140" s="3"/>
      <c r="EJK140" s="3"/>
      <c r="EJL140" s="3"/>
      <c r="EJM140" s="3"/>
      <c r="EJN140" s="3"/>
      <c r="EJO140" s="3"/>
      <c r="EJP140" s="3"/>
      <c r="EJQ140" s="3"/>
      <c r="EJR140" s="3"/>
      <c r="EJS140" s="3"/>
      <c r="EJT140" s="3"/>
      <c r="EJU140" s="3"/>
      <c r="EJV140" s="3"/>
      <c r="EJW140" s="3"/>
      <c r="EJX140" s="3"/>
      <c r="EJY140" s="3"/>
      <c r="EJZ140" s="3"/>
      <c r="EKA140" s="3"/>
      <c r="EKB140" s="3"/>
      <c r="EKC140" s="3"/>
      <c r="EKD140" s="3"/>
      <c r="EKE140" s="3"/>
      <c r="EKF140" s="3"/>
      <c r="EKG140" s="3"/>
      <c r="EKH140" s="3"/>
      <c r="EKI140" s="3"/>
      <c r="EKJ140" s="3"/>
      <c r="EKK140" s="3"/>
      <c r="EKL140" s="3"/>
      <c r="EKM140" s="3"/>
      <c r="EKN140" s="3"/>
      <c r="EKO140" s="3"/>
      <c r="EKP140" s="3"/>
      <c r="EKQ140" s="3"/>
      <c r="EKR140" s="3"/>
      <c r="EKS140" s="3"/>
      <c r="EKT140" s="3"/>
      <c r="EKU140" s="3"/>
      <c r="EKV140" s="3"/>
      <c r="EKW140" s="3"/>
      <c r="EKX140" s="3"/>
      <c r="EKY140" s="3"/>
      <c r="EKZ140" s="3"/>
      <c r="ELA140" s="3"/>
      <c r="ELB140" s="3"/>
      <c r="ELC140" s="3"/>
      <c r="ELD140" s="3"/>
      <c r="ELE140" s="3"/>
      <c r="ELF140" s="3"/>
      <c r="ELG140" s="3"/>
      <c r="ELH140" s="3"/>
      <c r="ELI140" s="3"/>
      <c r="ELJ140" s="3"/>
      <c r="ELK140" s="3"/>
      <c r="ELL140" s="3"/>
      <c r="ELM140" s="3"/>
      <c r="ELN140" s="3"/>
      <c r="ELO140" s="3"/>
      <c r="ELP140" s="3"/>
      <c r="ELQ140" s="3"/>
      <c r="ELR140" s="3"/>
      <c r="ELS140" s="3"/>
      <c r="ELT140" s="3"/>
      <c r="ELU140" s="3"/>
      <c r="ELV140" s="3"/>
      <c r="ELW140" s="3"/>
      <c r="ELX140" s="3"/>
      <c r="ELY140" s="3"/>
      <c r="ELZ140" s="3"/>
      <c r="EMA140" s="3"/>
      <c r="EMB140" s="3"/>
      <c r="EMC140" s="3"/>
      <c r="EMD140" s="3"/>
      <c r="EME140" s="3"/>
      <c r="EMF140" s="3"/>
      <c r="EMG140" s="3"/>
      <c r="EMH140" s="3"/>
      <c r="EMI140" s="3"/>
      <c r="EMJ140" s="3"/>
      <c r="EMK140" s="3"/>
      <c r="EML140" s="3"/>
      <c r="EMM140" s="3"/>
      <c r="EMN140" s="3"/>
      <c r="EMO140" s="3"/>
      <c r="EMP140" s="3"/>
      <c r="EMQ140" s="3"/>
      <c r="EMR140" s="3"/>
      <c r="EMS140" s="3"/>
      <c r="EMT140" s="3"/>
      <c r="EMU140" s="3"/>
      <c r="EMV140" s="3"/>
      <c r="EMW140" s="3"/>
      <c r="EMX140" s="3"/>
      <c r="EMY140" s="3"/>
      <c r="EMZ140" s="3"/>
      <c r="ENA140" s="3"/>
      <c r="ENB140" s="3"/>
      <c r="ENC140" s="3"/>
      <c r="END140" s="3"/>
      <c r="ENE140" s="3"/>
      <c r="ENF140" s="3"/>
      <c r="ENG140" s="3"/>
      <c r="ENH140" s="3"/>
      <c r="ENI140" s="3"/>
      <c r="ENJ140" s="3"/>
      <c r="ENK140" s="3"/>
      <c r="ENL140" s="3"/>
      <c r="ENM140" s="3"/>
      <c r="ENN140" s="3"/>
      <c r="ENO140" s="3"/>
      <c r="ENP140" s="3"/>
      <c r="ENQ140" s="3"/>
      <c r="ENR140" s="3"/>
      <c r="ENS140" s="3"/>
      <c r="ENT140" s="3"/>
      <c r="ENU140" s="3"/>
      <c r="ENV140" s="3"/>
      <c r="ENW140" s="3"/>
      <c r="ENX140" s="3"/>
      <c r="ENY140" s="3"/>
      <c r="ENZ140" s="3"/>
      <c r="EOA140" s="3"/>
      <c r="EOB140" s="3"/>
      <c r="EOC140" s="3"/>
      <c r="EOD140" s="3"/>
      <c r="EOE140" s="3"/>
      <c r="EOF140" s="3"/>
      <c r="EOG140" s="3"/>
      <c r="EOH140" s="3"/>
      <c r="EOI140" s="3"/>
      <c r="EOJ140" s="3"/>
      <c r="EOK140" s="3"/>
      <c r="EOL140" s="3"/>
      <c r="EOM140" s="3"/>
      <c r="EON140" s="3"/>
      <c r="EOO140" s="3"/>
      <c r="EOP140" s="3"/>
      <c r="EOQ140" s="3"/>
      <c r="EOR140" s="3"/>
      <c r="EOS140" s="3"/>
      <c r="EOT140" s="3"/>
      <c r="EOU140" s="3"/>
      <c r="EOV140" s="3"/>
      <c r="EOW140" s="3"/>
      <c r="EOX140" s="3"/>
      <c r="EOY140" s="3"/>
      <c r="EOZ140" s="3"/>
      <c r="EPA140" s="3"/>
      <c r="EPB140" s="3"/>
      <c r="EPC140" s="3"/>
      <c r="EPD140" s="3"/>
      <c r="EPE140" s="3"/>
      <c r="EPF140" s="3"/>
      <c r="EPG140" s="3"/>
      <c r="EPH140" s="3"/>
      <c r="EPI140" s="3"/>
      <c r="EPJ140" s="3"/>
      <c r="EPK140" s="3"/>
      <c r="EPL140" s="3"/>
      <c r="EPM140" s="3"/>
      <c r="EPN140" s="3"/>
      <c r="EPO140" s="3"/>
      <c r="EPP140" s="3"/>
      <c r="EPQ140" s="3"/>
      <c r="EPR140" s="3"/>
      <c r="EPS140" s="3"/>
      <c r="EPT140" s="3"/>
      <c r="EPU140" s="3"/>
      <c r="EPV140" s="3"/>
      <c r="EPW140" s="3"/>
      <c r="EPX140" s="3"/>
      <c r="EPY140" s="3"/>
      <c r="EPZ140" s="3"/>
      <c r="EQA140" s="3"/>
      <c r="EQB140" s="3"/>
      <c r="EQC140" s="3"/>
      <c r="EQD140" s="3"/>
      <c r="EQE140" s="3"/>
      <c r="EQF140" s="3"/>
      <c r="EQG140" s="3"/>
      <c r="EQH140" s="3"/>
      <c r="EQI140" s="3"/>
      <c r="EQJ140" s="3"/>
      <c r="EQK140" s="3"/>
      <c r="EQL140" s="3"/>
      <c r="EQM140" s="3"/>
      <c r="EQN140" s="3"/>
      <c r="EQO140" s="3"/>
      <c r="EQP140" s="3"/>
      <c r="EQQ140" s="3"/>
      <c r="EQR140" s="3"/>
      <c r="EQS140" s="3"/>
      <c r="EQT140" s="3"/>
      <c r="EQU140" s="3"/>
      <c r="EQV140" s="3"/>
      <c r="EQW140" s="3"/>
      <c r="EQX140" s="3"/>
      <c r="EQY140" s="3"/>
      <c r="EQZ140" s="3"/>
      <c r="ERA140" s="3"/>
      <c r="ERB140" s="3"/>
      <c r="ERC140" s="3"/>
      <c r="ERD140" s="3"/>
      <c r="ERE140" s="3"/>
      <c r="ERF140" s="3"/>
      <c r="ERG140" s="3"/>
      <c r="ERH140" s="3"/>
      <c r="ERI140" s="3"/>
      <c r="ERJ140" s="3"/>
      <c r="ERK140" s="3"/>
      <c r="ERL140" s="3"/>
      <c r="ERM140" s="3"/>
      <c r="ERN140" s="3"/>
      <c r="ERO140" s="3"/>
      <c r="ERP140" s="3"/>
      <c r="ERQ140" s="3"/>
      <c r="ERR140" s="3"/>
      <c r="ERS140" s="3"/>
      <c r="ERT140" s="3"/>
      <c r="ERU140" s="3"/>
      <c r="ERV140" s="3"/>
      <c r="ERW140" s="3"/>
      <c r="ERX140" s="3"/>
      <c r="ERY140" s="3"/>
      <c r="ERZ140" s="3"/>
      <c r="ESA140" s="3"/>
      <c r="ESB140" s="3"/>
      <c r="ESC140" s="3"/>
      <c r="ESD140" s="3"/>
      <c r="ESE140" s="3"/>
      <c r="ESF140" s="3"/>
      <c r="ESG140" s="3"/>
      <c r="ESH140" s="3"/>
      <c r="ESI140" s="3"/>
      <c r="ESJ140" s="3"/>
      <c r="ESK140" s="3"/>
      <c r="ESL140" s="3"/>
      <c r="ESM140" s="3"/>
      <c r="ESN140" s="3"/>
      <c r="ESO140" s="3"/>
      <c r="ESP140" s="3"/>
      <c r="ESQ140" s="3"/>
      <c r="ESR140" s="3"/>
      <c r="ESS140" s="3"/>
      <c r="EST140" s="3"/>
      <c r="ESU140" s="3"/>
      <c r="ESV140" s="3"/>
      <c r="ESW140" s="3"/>
      <c r="ESX140" s="3"/>
      <c r="ESY140" s="3"/>
      <c r="ESZ140" s="3"/>
      <c r="ETA140" s="3"/>
      <c r="ETB140" s="3"/>
      <c r="ETC140" s="3"/>
      <c r="ETD140" s="3"/>
      <c r="ETE140" s="3"/>
      <c r="ETF140" s="3"/>
      <c r="ETG140" s="3"/>
      <c r="ETH140" s="3"/>
      <c r="ETI140" s="3"/>
      <c r="ETJ140" s="3"/>
      <c r="ETK140" s="3"/>
      <c r="ETL140" s="3"/>
      <c r="ETM140" s="3"/>
      <c r="ETN140" s="3"/>
      <c r="ETO140" s="3"/>
      <c r="ETP140" s="3"/>
      <c r="ETQ140" s="3"/>
      <c r="ETR140" s="3"/>
      <c r="ETS140" s="3"/>
      <c r="ETT140" s="3"/>
      <c r="ETU140" s="3"/>
      <c r="ETV140" s="3"/>
      <c r="ETW140" s="3"/>
      <c r="ETX140" s="3"/>
      <c r="ETY140" s="3"/>
      <c r="ETZ140" s="3"/>
      <c r="EUA140" s="3"/>
      <c r="EUB140" s="3"/>
      <c r="EUC140" s="3"/>
      <c r="EUD140" s="3"/>
      <c r="EUE140" s="3"/>
      <c r="EUF140" s="3"/>
      <c r="EUG140" s="3"/>
      <c r="EUH140" s="3"/>
      <c r="EUI140" s="3"/>
      <c r="EUJ140" s="3"/>
      <c r="EUK140" s="3"/>
      <c r="EUL140" s="3"/>
      <c r="EUM140" s="3"/>
      <c r="EUN140" s="3"/>
      <c r="EUO140" s="3"/>
      <c r="EUP140" s="3"/>
      <c r="EUQ140" s="3"/>
      <c r="EUR140" s="3"/>
      <c r="EUS140" s="3"/>
      <c r="EUT140" s="3"/>
      <c r="EUU140" s="3"/>
      <c r="EUV140" s="3"/>
      <c r="EUW140" s="3"/>
      <c r="EUX140" s="3"/>
      <c r="EUY140" s="3"/>
      <c r="EUZ140" s="3"/>
      <c r="EVA140" s="3"/>
      <c r="EVB140" s="3"/>
      <c r="EVC140" s="3"/>
      <c r="EVD140" s="3"/>
      <c r="EVE140" s="3"/>
      <c r="EVF140" s="3"/>
      <c r="EVG140" s="3"/>
      <c r="EVH140" s="3"/>
      <c r="EVI140" s="3"/>
      <c r="EVJ140" s="3"/>
      <c r="EVK140" s="3"/>
      <c r="EVL140" s="3"/>
      <c r="EVM140" s="3"/>
      <c r="EVN140" s="3"/>
      <c r="EVO140" s="3"/>
      <c r="EVP140" s="3"/>
      <c r="EVQ140" s="3"/>
      <c r="EVR140" s="3"/>
      <c r="EVS140" s="3"/>
      <c r="EVT140" s="3"/>
      <c r="EVU140" s="3"/>
      <c r="EVV140" s="3"/>
      <c r="EVW140" s="3"/>
      <c r="EVX140" s="3"/>
      <c r="EVY140" s="3"/>
      <c r="EVZ140" s="3"/>
      <c r="EWA140" s="3"/>
      <c r="EWB140" s="3"/>
      <c r="EWC140" s="3"/>
      <c r="EWD140" s="3"/>
      <c r="EWE140" s="3"/>
      <c r="EWF140" s="3"/>
      <c r="EWG140" s="3"/>
      <c r="EWH140" s="3"/>
      <c r="EWI140" s="3"/>
      <c r="EWJ140" s="3"/>
      <c r="EWK140" s="3"/>
      <c r="EWL140" s="3"/>
      <c r="EWM140" s="3"/>
      <c r="EWN140" s="3"/>
      <c r="EWO140" s="3"/>
      <c r="EWP140" s="3"/>
      <c r="EWQ140" s="3"/>
      <c r="EWR140" s="3"/>
      <c r="EWS140" s="3"/>
      <c r="EWT140" s="3"/>
      <c r="EWU140" s="3"/>
      <c r="EWV140" s="3"/>
      <c r="EWW140" s="3"/>
      <c r="EWX140" s="3"/>
      <c r="EWY140" s="3"/>
      <c r="EWZ140" s="3"/>
      <c r="EXA140" s="3"/>
      <c r="EXB140" s="3"/>
      <c r="EXC140" s="3"/>
      <c r="EXD140" s="3"/>
      <c r="EXE140" s="3"/>
      <c r="EXF140" s="3"/>
      <c r="EXG140" s="3"/>
      <c r="EXH140" s="3"/>
      <c r="EXI140" s="3"/>
      <c r="EXJ140" s="3"/>
      <c r="EXK140" s="3"/>
      <c r="EXL140" s="3"/>
      <c r="EXM140" s="3"/>
      <c r="EXN140" s="3"/>
      <c r="EXO140" s="3"/>
      <c r="EXP140" s="3"/>
      <c r="EXQ140" s="3"/>
      <c r="EXR140" s="3"/>
      <c r="EXS140" s="3"/>
      <c r="EXT140" s="3"/>
      <c r="EXU140" s="3"/>
      <c r="EXV140" s="3"/>
      <c r="EXW140" s="3"/>
      <c r="EXX140" s="3"/>
      <c r="EXY140" s="3"/>
      <c r="EXZ140" s="3"/>
      <c r="EYA140" s="3"/>
      <c r="EYB140" s="3"/>
      <c r="EYC140" s="3"/>
      <c r="EYD140" s="3"/>
      <c r="EYE140" s="3"/>
      <c r="EYF140" s="3"/>
      <c r="EYG140" s="3"/>
      <c r="EYH140" s="3"/>
      <c r="EYI140" s="3"/>
      <c r="EYJ140" s="3"/>
      <c r="EYK140" s="3"/>
      <c r="EYL140" s="3"/>
      <c r="EYM140" s="3"/>
      <c r="EYN140" s="3"/>
      <c r="EYO140" s="3"/>
      <c r="EYP140" s="3"/>
      <c r="EYQ140" s="3"/>
      <c r="EYR140" s="3"/>
      <c r="EYS140" s="3"/>
      <c r="EYT140" s="3"/>
      <c r="EYU140" s="3"/>
      <c r="EYV140" s="3"/>
      <c r="EYW140" s="3"/>
      <c r="EYX140" s="3"/>
      <c r="EYY140" s="3"/>
      <c r="EYZ140" s="3"/>
      <c r="EZA140" s="3"/>
      <c r="EZB140" s="3"/>
      <c r="EZC140" s="3"/>
      <c r="EZD140" s="3"/>
      <c r="EZE140" s="3"/>
      <c r="EZF140" s="3"/>
      <c r="EZG140" s="3"/>
      <c r="EZH140" s="3"/>
      <c r="EZI140" s="3"/>
      <c r="EZJ140" s="3"/>
      <c r="EZK140" s="3"/>
      <c r="EZL140" s="3"/>
      <c r="EZM140" s="3"/>
      <c r="EZN140" s="3"/>
      <c r="EZO140" s="3"/>
      <c r="EZP140" s="3"/>
      <c r="EZQ140" s="3"/>
      <c r="EZR140" s="3"/>
      <c r="EZS140" s="3"/>
      <c r="EZT140" s="3"/>
      <c r="EZU140" s="3"/>
      <c r="EZV140" s="3"/>
      <c r="EZW140" s="3"/>
      <c r="EZX140" s="3"/>
      <c r="EZY140" s="3"/>
      <c r="EZZ140" s="3"/>
      <c r="FAA140" s="3"/>
      <c r="FAB140" s="3"/>
      <c r="FAC140" s="3"/>
      <c r="FAD140" s="3"/>
      <c r="FAE140" s="3"/>
      <c r="FAF140" s="3"/>
      <c r="FAG140" s="3"/>
      <c r="FAH140" s="3"/>
      <c r="FAI140" s="3"/>
      <c r="FAJ140" s="3"/>
      <c r="FAK140" s="3"/>
      <c r="FAL140" s="3"/>
      <c r="FAM140" s="3"/>
      <c r="FAN140" s="3"/>
      <c r="FAO140" s="3"/>
      <c r="FAP140" s="3"/>
      <c r="FAQ140" s="3"/>
      <c r="FAR140" s="3"/>
      <c r="FAS140" s="3"/>
      <c r="FAT140" s="3"/>
      <c r="FAU140" s="3"/>
      <c r="FAV140" s="3"/>
      <c r="FAW140" s="3"/>
      <c r="FAX140" s="3"/>
      <c r="FAY140" s="3"/>
      <c r="FAZ140" s="3"/>
      <c r="FBA140" s="3"/>
      <c r="FBB140" s="3"/>
      <c r="FBC140" s="3"/>
      <c r="FBD140" s="3"/>
      <c r="FBE140" s="3"/>
      <c r="FBF140" s="3"/>
      <c r="FBG140" s="3"/>
      <c r="FBH140" s="3"/>
      <c r="FBI140" s="3"/>
      <c r="FBJ140" s="3"/>
      <c r="FBK140" s="3"/>
      <c r="FBL140" s="3"/>
      <c r="FBM140" s="3"/>
      <c r="FBN140" s="3"/>
      <c r="FBO140" s="3"/>
      <c r="FBP140" s="3"/>
      <c r="FBQ140" s="3"/>
      <c r="FBR140" s="3"/>
      <c r="FBS140" s="3"/>
      <c r="FBT140" s="3"/>
      <c r="FBU140" s="3"/>
      <c r="FBV140" s="3"/>
      <c r="FBW140" s="3"/>
      <c r="FBX140" s="3"/>
      <c r="FBY140" s="3"/>
      <c r="FBZ140" s="3"/>
      <c r="FCA140" s="3"/>
      <c r="FCB140" s="3"/>
      <c r="FCC140" s="3"/>
      <c r="FCD140" s="3"/>
      <c r="FCE140" s="3"/>
      <c r="FCF140" s="3"/>
      <c r="FCG140" s="3"/>
      <c r="FCH140" s="3"/>
      <c r="FCI140" s="3"/>
      <c r="FCJ140" s="3"/>
      <c r="FCK140" s="3"/>
      <c r="FCL140" s="3"/>
      <c r="FCM140" s="3"/>
      <c r="FCN140" s="3"/>
      <c r="FCO140" s="3"/>
      <c r="FCP140" s="3"/>
      <c r="FCQ140" s="3"/>
      <c r="FCR140" s="3"/>
      <c r="FCS140" s="3"/>
      <c r="FCT140" s="3"/>
      <c r="FCU140" s="3"/>
      <c r="FCV140" s="3"/>
      <c r="FCW140" s="3"/>
      <c r="FCX140" s="3"/>
      <c r="FCY140" s="3"/>
      <c r="FCZ140" s="3"/>
      <c r="FDA140" s="3"/>
      <c r="FDB140" s="3"/>
      <c r="FDC140" s="3"/>
      <c r="FDD140" s="3"/>
      <c r="FDE140" s="3"/>
      <c r="FDF140" s="3"/>
      <c r="FDG140" s="3"/>
      <c r="FDH140" s="3"/>
      <c r="FDI140" s="3"/>
      <c r="FDJ140" s="3"/>
      <c r="FDK140" s="3"/>
      <c r="FDL140" s="3"/>
      <c r="FDM140" s="3"/>
      <c r="FDN140" s="3"/>
      <c r="FDO140" s="3"/>
      <c r="FDP140" s="3"/>
      <c r="FDQ140" s="3"/>
      <c r="FDR140" s="3"/>
      <c r="FDS140" s="3"/>
      <c r="FDT140" s="3"/>
      <c r="FDU140" s="3"/>
      <c r="FDV140" s="3"/>
      <c r="FDW140" s="3"/>
      <c r="FDX140" s="3"/>
      <c r="FDY140" s="3"/>
      <c r="FDZ140" s="3"/>
      <c r="FEA140" s="3"/>
      <c r="FEB140" s="3"/>
      <c r="FEC140" s="3"/>
      <c r="FED140" s="3"/>
      <c r="FEE140" s="3"/>
      <c r="FEF140" s="3"/>
      <c r="FEG140" s="3"/>
      <c r="FEH140" s="3"/>
      <c r="FEI140" s="3"/>
      <c r="FEJ140" s="3"/>
      <c r="FEK140" s="3"/>
      <c r="FEL140" s="3"/>
      <c r="FEM140" s="3"/>
      <c r="FEN140" s="3"/>
      <c r="FEO140" s="3"/>
      <c r="FEP140" s="3"/>
      <c r="FEQ140" s="3"/>
      <c r="FER140" s="3"/>
      <c r="FES140" s="3"/>
      <c r="FET140" s="3"/>
      <c r="FEU140" s="3"/>
      <c r="FEV140" s="3"/>
      <c r="FEW140" s="3"/>
      <c r="FEX140" s="3"/>
      <c r="FEY140" s="3"/>
      <c r="FEZ140" s="3"/>
      <c r="FFA140" s="3"/>
      <c r="FFB140" s="3"/>
      <c r="FFC140" s="3"/>
      <c r="FFD140" s="3"/>
      <c r="FFE140" s="3"/>
      <c r="FFF140" s="3"/>
      <c r="FFG140" s="3"/>
      <c r="FFH140" s="3"/>
      <c r="FFI140" s="3"/>
      <c r="FFJ140" s="3"/>
      <c r="FFK140" s="3"/>
      <c r="FFL140" s="3"/>
      <c r="FFM140" s="3"/>
      <c r="FFN140" s="3"/>
      <c r="FFO140" s="3"/>
      <c r="FFP140" s="3"/>
      <c r="FFQ140" s="3"/>
      <c r="FFR140" s="3"/>
      <c r="FFS140" s="3"/>
      <c r="FFT140" s="3"/>
      <c r="FFU140" s="3"/>
      <c r="FFV140" s="3"/>
      <c r="FFW140" s="3"/>
      <c r="FFX140" s="3"/>
      <c r="FFY140" s="3"/>
      <c r="FFZ140" s="3"/>
      <c r="FGA140" s="3"/>
      <c r="FGB140" s="3"/>
      <c r="FGC140" s="3"/>
      <c r="FGD140" s="3"/>
      <c r="FGE140" s="3"/>
      <c r="FGF140" s="3"/>
      <c r="FGG140" s="3"/>
      <c r="FGH140" s="3"/>
      <c r="FGI140" s="3"/>
      <c r="FGJ140" s="3"/>
      <c r="FGK140" s="3"/>
      <c r="FGL140" s="3"/>
      <c r="FGM140" s="3"/>
      <c r="FGN140" s="3"/>
      <c r="FGO140" s="3"/>
      <c r="FGP140" s="3"/>
      <c r="FGQ140" s="3"/>
      <c r="FGR140" s="3"/>
      <c r="FGS140" s="3"/>
      <c r="FGT140" s="3"/>
      <c r="FGU140" s="3"/>
      <c r="FGV140" s="3"/>
      <c r="FGW140" s="3"/>
      <c r="FGX140" s="3"/>
      <c r="FGY140" s="3"/>
      <c r="FGZ140" s="3"/>
      <c r="FHA140" s="3"/>
      <c r="FHB140" s="3"/>
      <c r="FHC140" s="3"/>
      <c r="FHD140" s="3"/>
      <c r="FHE140" s="3"/>
      <c r="FHF140" s="3"/>
      <c r="FHG140" s="3"/>
      <c r="FHH140" s="3"/>
      <c r="FHI140" s="3"/>
      <c r="FHJ140" s="3"/>
      <c r="FHK140" s="3"/>
      <c r="FHL140" s="3"/>
      <c r="FHM140" s="3"/>
      <c r="FHN140" s="3"/>
      <c r="FHO140" s="3"/>
      <c r="FHP140" s="3"/>
      <c r="FHQ140" s="3"/>
      <c r="FHR140" s="3"/>
      <c r="FHS140" s="3"/>
      <c r="FHT140" s="3"/>
      <c r="FHU140" s="3"/>
      <c r="FHV140" s="3"/>
      <c r="FHW140" s="3"/>
      <c r="FHX140" s="3"/>
      <c r="FHY140" s="3"/>
      <c r="FHZ140" s="3"/>
      <c r="FIA140" s="3"/>
      <c r="FIB140" s="3"/>
      <c r="FIC140" s="3"/>
      <c r="FID140" s="3"/>
      <c r="FIE140" s="3"/>
      <c r="FIF140" s="3"/>
      <c r="FIG140" s="3"/>
      <c r="FIH140" s="3"/>
      <c r="FII140" s="3"/>
      <c r="FIJ140" s="3"/>
      <c r="FIK140" s="3"/>
      <c r="FIL140" s="3"/>
      <c r="FIM140" s="3"/>
      <c r="FIN140" s="3"/>
      <c r="FIO140" s="3"/>
      <c r="FIP140" s="3"/>
      <c r="FIQ140" s="3"/>
      <c r="FIR140" s="3"/>
      <c r="FIS140" s="3"/>
      <c r="FIT140" s="3"/>
      <c r="FIU140" s="3"/>
      <c r="FIV140" s="3"/>
      <c r="FIW140" s="3"/>
      <c r="FIX140" s="3"/>
      <c r="FIY140" s="3"/>
      <c r="FIZ140" s="3"/>
      <c r="FJA140" s="3"/>
      <c r="FJB140" s="3"/>
      <c r="FJC140" s="3"/>
      <c r="FJD140" s="3"/>
      <c r="FJE140" s="3"/>
      <c r="FJF140" s="3"/>
      <c r="FJG140" s="3"/>
      <c r="FJH140" s="3"/>
      <c r="FJI140" s="3"/>
      <c r="FJJ140" s="3"/>
      <c r="FJK140" s="3"/>
      <c r="FJL140" s="3"/>
      <c r="FJM140" s="3"/>
      <c r="FJN140" s="3"/>
      <c r="FJO140" s="3"/>
      <c r="FJP140" s="3"/>
      <c r="FJQ140" s="3"/>
      <c r="FJR140" s="3"/>
      <c r="FJS140" s="3"/>
      <c r="FJT140" s="3"/>
      <c r="FJU140" s="3"/>
      <c r="FJV140" s="3"/>
      <c r="FJW140" s="3"/>
      <c r="FJX140" s="3"/>
      <c r="FJY140" s="3"/>
      <c r="FJZ140" s="3"/>
      <c r="FKA140" s="3"/>
      <c r="FKB140" s="3"/>
      <c r="FKC140" s="3"/>
      <c r="FKD140" s="3"/>
      <c r="FKE140" s="3"/>
      <c r="FKF140" s="3"/>
      <c r="FKG140" s="3"/>
      <c r="FKH140" s="3"/>
      <c r="FKI140" s="3"/>
      <c r="FKJ140" s="3"/>
      <c r="FKK140" s="3"/>
      <c r="FKL140" s="3"/>
      <c r="FKM140" s="3"/>
      <c r="FKN140" s="3"/>
      <c r="FKO140" s="3"/>
      <c r="FKP140" s="3"/>
      <c r="FKQ140" s="3"/>
      <c r="FKR140" s="3"/>
      <c r="FKS140" s="3"/>
      <c r="FKT140" s="3"/>
      <c r="FKU140" s="3"/>
      <c r="FKV140" s="3"/>
      <c r="FKW140" s="3"/>
      <c r="FKX140" s="3"/>
      <c r="FKY140" s="3"/>
      <c r="FKZ140" s="3"/>
      <c r="FLA140" s="3"/>
      <c r="FLB140" s="3"/>
      <c r="FLC140" s="3"/>
      <c r="FLD140" s="3"/>
      <c r="FLE140" s="3"/>
      <c r="FLF140" s="3"/>
      <c r="FLG140" s="3"/>
      <c r="FLH140" s="3"/>
      <c r="FLI140" s="3"/>
      <c r="FLJ140" s="3"/>
      <c r="FLK140" s="3"/>
      <c r="FLL140" s="3"/>
      <c r="FLM140" s="3"/>
      <c r="FLN140" s="3"/>
      <c r="FLO140" s="3"/>
      <c r="FLP140" s="3"/>
      <c r="FLQ140" s="3"/>
      <c r="FLR140" s="3"/>
      <c r="FLS140" s="3"/>
      <c r="FLT140" s="3"/>
      <c r="FLU140" s="3"/>
      <c r="FLV140" s="3"/>
      <c r="FLW140" s="3"/>
      <c r="FLX140" s="3"/>
      <c r="FLY140" s="3"/>
      <c r="FLZ140" s="3"/>
      <c r="FMA140" s="3"/>
      <c r="FMB140" s="3"/>
      <c r="FMC140" s="3"/>
      <c r="FMD140" s="3"/>
      <c r="FME140" s="3"/>
      <c r="FMF140" s="3"/>
      <c r="FMG140" s="3"/>
      <c r="FMH140" s="3"/>
      <c r="FMI140" s="3"/>
      <c r="FMJ140" s="3"/>
      <c r="FMK140" s="3"/>
      <c r="FML140" s="3"/>
      <c r="FMM140" s="3"/>
      <c r="FMN140" s="3"/>
      <c r="FMO140" s="3"/>
      <c r="FMP140" s="3"/>
      <c r="FMQ140" s="3"/>
      <c r="FMR140" s="3"/>
      <c r="FMS140" s="3"/>
      <c r="FMT140" s="3"/>
      <c r="FMU140" s="3"/>
      <c r="FMV140" s="3"/>
      <c r="FMW140" s="3"/>
      <c r="FMX140" s="3"/>
      <c r="FMY140" s="3"/>
      <c r="FMZ140" s="3"/>
      <c r="FNA140" s="3"/>
      <c r="FNB140" s="3"/>
      <c r="FNC140" s="3"/>
      <c r="FND140" s="3"/>
      <c r="FNE140" s="3"/>
      <c r="FNF140" s="3"/>
      <c r="FNG140" s="3"/>
      <c r="FNH140" s="3"/>
      <c r="FNI140" s="3"/>
      <c r="FNJ140" s="3"/>
      <c r="FNK140" s="3"/>
      <c r="FNL140" s="3"/>
      <c r="FNM140" s="3"/>
      <c r="FNN140" s="3"/>
      <c r="FNO140" s="3"/>
      <c r="FNP140" s="3"/>
      <c r="FNQ140" s="3"/>
      <c r="FNR140" s="3"/>
      <c r="FNS140" s="3"/>
      <c r="FNT140" s="3"/>
      <c r="FNU140" s="3"/>
      <c r="FNV140" s="3"/>
      <c r="FNW140" s="3"/>
      <c r="FNX140" s="3"/>
      <c r="FNY140" s="3"/>
      <c r="FNZ140" s="3"/>
      <c r="FOA140" s="3"/>
      <c r="FOB140" s="3"/>
      <c r="FOC140" s="3"/>
      <c r="FOD140" s="3"/>
      <c r="FOE140" s="3"/>
      <c r="FOF140" s="3"/>
      <c r="FOG140" s="3"/>
      <c r="FOH140" s="3"/>
      <c r="FOI140" s="3"/>
      <c r="FOJ140" s="3"/>
      <c r="FOK140" s="3"/>
      <c r="FOL140" s="3"/>
      <c r="FOM140" s="3"/>
      <c r="FON140" s="3"/>
      <c r="FOO140" s="3"/>
      <c r="FOP140" s="3"/>
      <c r="FOQ140" s="3"/>
      <c r="FOR140" s="3"/>
      <c r="FOS140" s="3"/>
      <c r="FOT140" s="3"/>
      <c r="FOU140" s="3"/>
      <c r="FOV140" s="3"/>
      <c r="FOW140" s="3"/>
      <c r="FOX140" s="3"/>
      <c r="FOY140" s="3"/>
      <c r="FOZ140" s="3"/>
      <c r="FPA140" s="3"/>
      <c r="FPB140" s="3"/>
      <c r="FPC140" s="3"/>
      <c r="FPD140" s="3"/>
      <c r="FPE140" s="3"/>
      <c r="FPF140" s="3"/>
      <c r="FPG140" s="3"/>
      <c r="FPH140" s="3"/>
      <c r="FPI140" s="3"/>
      <c r="FPJ140" s="3"/>
      <c r="FPK140" s="3"/>
      <c r="FPL140" s="3"/>
      <c r="FPM140" s="3"/>
      <c r="FPN140" s="3"/>
      <c r="FPO140" s="3"/>
      <c r="FPP140" s="3"/>
      <c r="FPQ140" s="3"/>
      <c r="FPR140" s="3"/>
      <c r="FPS140" s="3"/>
      <c r="FPT140" s="3"/>
      <c r="FPU140" s="3"/>
      <c r="FPV140" s="3"/>
      <c r="FPW140" s="3"/>
      <c r="FPX140" s="3"/>
      <c r="FPY140" s="3"/>
      <c r="FPZ140" s="3"/>
      <c r="FQA140" s="3"/>
      <c r="FQB140" s="3"/>
      <c r="FQC140" s="3"/>
      <c r="FQD140" s="3"/>
      <c r="FQE140" s="3"/>
      <c r="FQF140" s="3"/>
      <c r="FQG140" s="3"/>
      <c r="FQH140" s="3"/>
      <c r="FQI140" s="3"/>
      <c r="FQJ140" s="3"/>
      <c r="FQK140" s="3"/>
      <c r="FQL140" s="3"/>
      <c r="FQM140" s="3"/>
      <c r="FQN140" s="3"/>
      <c r="FQO140" s="3"/>
      <c r="FQP140" s="3"/>
      <c r="FQQ140" s="3"/>
      <c r="FQR140" s="3"/>
      <c r="FQS140" s="3"/>
      <c r="FQT140" s="3"/>
      <c r="FQU140" s="3"/>
      <c r="FQV140" s="3"/>
      <c r="FQW140" s="3"/>
      <c r="FQX140" s="3"/>
      <c r="FQY140" s="3"/>
      <c r="FQZ140" s="3"/>
      <c r="FRA140" s="3"/>
      <c r="FRB140" s="3"/>
      <c r="FRC140" s="3"/>
      <c r="FRD140" s="3"/>
      <c r="FRE140" s="3"/>
      <c r="FRF140" s="3"/>
      <c r="FRG140" s="3"/>
      <c r="FRH140" s="3"/>
      <c r="FRI140" s="3"/>
      <c r="FRJ140" s="3"/>
      <c r="FRK140" s="3"/>
      <c r="FRL140" s="3"/>
      <c r="FRM140" s="3"/>
      <c r="FRN140" s="3"/>
      <c r="FRO140" s="3"/>
      <c r="FRP140" s="3"/>
      <c r="FRQ140" s="3"/>
      <c r="FRR140" s="3"/>
      <c r="FRS140" s="3"/>
      <c r="FRT140" s="3"/>
      <c r="FRU140" s="3"/>
      <c r="FRV140" s="3"/>
      <c r="FRW140" s="3"/>
      <c r="FRX140" s="3"/>
      <c r="FRY140" s="3"/>
      <c r="FRZ140" s="3"/>
      <c r="FSA140" s="3"/>
      <c r="FSB140" s="3"/>
      <c r="FSC140" s="3"/>
      <c r="FSD140" s="3"/>
      <c r="FSE140" s="3"/>
      <c r="FSF140" s="3"/>
      <c r="FSG140" s="3"/>
      <c r="FSH140" s="3"/>
      <c r="FSI140" s="3"/>
      <c r="FSJ140" s="3"/>
      <c r="FSK140" s="3"/>
      <c r="FSL140" s="3"/>
      <c r="FSM140" s="3"/>
      <c r="FSN140" s="3"/>
      <c r="FSO140" s="3"/>
      <c r="FSP140" s="3"/>
      <c r="FSQ140" s="3"/>
      <c r="FSR140" s="3"/>
      <c r="FSS140" s="3"/>
      <c r="FST140" s="3"/>
      <c r="FSU140" s="3"/>
      <c r="FSV140" s="3"/>
      <c r="FSW140" s="3"/>
      <c r="FSX140" s="3"/>
      <c r="FSY140" s="3"/>
      <c r="FSZ140" s="3"/>
      <c r="FTA140" s="3"/>
      <c r="FTB140" s="3"/>
      <c r="FTC140" s="3"/>
      <c r="FTD140" s="3"/>
      <c r="FTE140" s="3"/>
      <c r="FTF140" s="3"/>
      <c r="FTG140" s="3"/>
      <c r="FTH140" s="3"/>
      <c r="FTI140" s="3"/>
      <c r="FTJ140" s="3"/>
      <c r="FTK140" s="3"/>
      <c r="FTL140" s="3"/>
      <c r="FTM140" s="3"/>
      <c r="FTN140" s="3"/>
      <c r="FTO140" s="3"/>
      <c r="FTP140" s="3"/>
      <c r="FTQ140" s="3"/>
      <c r="FTR140" s="3"/>
      <c r="FTS140" s="3"/>
      <c r="FTT140" s="3"/>
      <c r="FTU140" s="3"/>
      <c r="FTV140" s="3"/>
      <c r="FTW140" s="3"/>
      <c r="FTX140" s="3"/>
      <c r="FTY140" s="3"/>
      <c r="FTZ140" s="3"/>
      <c r="FUA140" s="3"/>
      <c r="FUB140" s="3"/>
      <c r="FUC140" s="3"/>
      <c r="FUD140" s="3"/>
      <c r="FUE140" s="3"/>
      <c r="FUF140" s="3"/>
      <c r="FUG140" s="3"/>
      <c r="FUH140" s="3"/>
      <c r="FUI140" s="3"/>
      <c r="FUJ140" s="3"/>
      <c r="FUK140" s="3"/>
      <c r="FUL140" s="3"/>
      <c r="FUM140" s="3"/>
      <c r="FUN140" s="3"/>
      <c r="FUO140" s="3"/>
      <c r="FUP140" s="3"/>
      <c r="FUQ140" s="3"/>
      <c r="FUR140" s="3"/>
      <c r="FUS140" s="3"/>
      <c r="FUT140" s="3"/>
      <c r="FUU140" s="3"/>
      <c r="FUV140" s="3"/>
      <c r="FUW140" s="3"/>
      <c r="FUX140" s="3"/>
      <c r="FUY140" s="3"/>
      <c r="FUZ140" s="3"/>
      <c r="FVA140" s="3"/>
      <c r="FVB140" s="3"/>
      <c r="FVC140" s="3"/>
      <c r="FVD140" s="3"/>
      <c r="FVE140" s="3"/>
      <c r="FVF140" s="3"/>
      <c r="FVG140" s="3"/>
      <c r="FVH140" s="3"/>
      <c r="FVI140" s="3"/>
      <c r="FVJ140" s="3"/>
      <c r="FVK140" s="3"/>
      <c r="FVL140" s="3"/>
      <c r="FVM140" s="3"/>
      <c r="FVN140" s="3"/>
      <c r="FVO140" s="3"/>
      <c r="FVP140" s="3"/>
      <c r="FVQ140" s="3"/>
      <c r="FVR140" s="3"/>
      <c r="FVS140" s="3"/>
      <c r="FVT140" s="3"/>
      <c r="FVU140" s="3"/>
      <c r="FVV140" s="3"/>
      <c r="FVW140" s="3"/>
      <c r="FVX140" s="3"/>
      <c r="FVY140" s="3"/>
      <c r="FVZ140" s="3"/>
      <c r="FWA140" s="3"/>
      <c r="FWB140" s="3"/>
      <c r="FWC140" s="3"/>
      <c r="FWD140" s="3"/>
      <c r="FWE140" s="3"/>
      <c r="FWF140" s="3"/>
      <c r="FWG140" s="3"/>
      <c r="FWH140" s="3"/>
      <c r="FWI140" s="3"/>
      <c r="FWJ140" s="3"/>
      <c r="FWK140" s="3"/>
      <c r="FWL140" s="3"/>
      <c r="FWM140" s="3"/>
      <c r="FWN140" s="3"/>
      <c r="FWO140" s="3"/>
      <c r="FWP140" s="3"/>
      <c r="FWQ140" s="3"/>
      <c r="FWR140" s="3"/>
      <c r="FWS140" s="3"/>
      <c r="FWT140" s="3"/>
      <c r="FWU140" s="3"/>
      <c r="FWV140" s="3"/>
      <c r="FWW140" s="3"/>
      <c r="FWX140" s="3"/>
      <c r="FWY140" s="3"/>
      <c r="FWZ140" s="3"/>
      <c r="FXA140" s="3"/>
      <c r="FXB140" s="3"/>
      <c r="FXC140" s="3"/>
      <c r="FXD140" s="3"/>
      <c r="FXE140" s="3"/>
      <c r="FXF140" s="3"/>
      <c r="FXG140" s="3"/>
      <c r="FXH140" s="3"/>
      <c r="FXI140" s="3"/>
      <c r="FXJ140" s="3"/>
      <c r="FXK140" s="3"/>
      <c r="FXL140" s="3"/>
      <c r="FXM140" s="3"/>
      <c r="FXN140" s="3"/>
      <c r="FXO140" s="3"/>
      <c r="FXP140" s="3"/>
      <c r="FXQ140" s="3"/>
      <c r="FXR140" s="3"/>
      <c r="FXS140" s="3"/>
      <c r="FXT140" s="3"/>
      <c r="FXU140" s="3"/>
      <c r="FXV140" s="3"/>
      <c r="FXW140" s="3"/>
      <c r="FXX140" s="3"/>
      <c r="FXY140" s="3"/>
      <c r="FXZ140" s="3"/>
      <c r="FYA140" s="3"/>
      <c r="FYB140" s="3"/>
      <c r="FYC140" s="3"/>
      <c r="FYD140" s="3"/>
      <c r="FYE140" s="3"/>
      <c r="FYF140" s="3"/>
      <c r="FYG140" s="3"/>
      <c r="FYH140" s="3"/>
      <c r="FYI140" s="3"/>
      <c r="FYJ140" s="3"/>
      <c r="FYK140" s="3"/>
      <c r="FYL140" s="3"/>
      <c r="FYM140" s="3"/>
      <c r="FYN140" s="3"/>
      <c r="FYO140" s="3"/>
      <c r="FYP140" s="3"/>
      <c r="FYQ140" s="3"/>
      <c r="FYR140" s="3"/>
      <c r="FYS140" s="3"/>
      <c r="FYT140" s="3"/>
      <c r="FYU140" s="3"/>
      <c r="FYV140" s="3"/>
      <c r="FYW140" s="3"/>
      <c r="FYX140" s="3"/>
      <c r="FYY140" s="3"/>
      <c r="FYZ140" s="3"/>
      <c r="FZA140" s="3"/>
      <c r="FZB140" s="3"/>
      <c r="FZC140" s="3"/>
      <c r="FZD140" s="3"/>
      <c r="FZE140" s="3"/>
      <c r="FZF140" s="3"/>
      <c r="FZG140" s="3"/>
      <c r="FZH140" s="3"/>
      <c r="FZI140" s="3"/>
      <c r="FZJ140" s="3"/>
      <c r="FZK140" s="3"/>
      <c r="FZL140" s="3"/>
      <c r="FZM140" s="3"/>
      <c r="FZN140" s="3"/>
      <c r="FZO140" s="3"/>
      <c r="FZP140" s="3"/>
      <c r="FZQ140" s="3"/>
      <c r="FZR140" s="3"/>
      <c r="FZS140" s="3"/>
      <c r="FZT140" s="3"/>
      <c r="FZU140" s="3"/>
      <c r="FZV140" s="3"/>
      <c r="FZW140" s="3"/>
      <c r="FZX140" s="3"/>
      <c r="FZY140" s="3"/>
      <c r="FZZ140" s="3"/>
      <c r="GAA140" s="3"/>
      <c r="GAB140" s="3"/>
      <c r="GAC140" s="3"/>
      <c r="GAD140" s="3"/>
      <c r="GAE140" s="3"/>
      <c r="GAF140" s="3"/>
      <c r="GAG140" s="3"/>
      <c r="GAH140" s="3"/>
      <c r="GAI140" s="3"/>
      <c r="GAJ140" s="3"/>
      <c r="GAK140" s="3"/>
      <c r="GAL140" s="3"/>
      <c r="GAM140" s="3"/>
      <c r="GAN140" s="3"/>
      <c r="GAO140" s="3"/>
      <c r="GAP140" s="3"/>
      <c r="GAQ140" s="3"/>
      <c r="GAR140" s="3"/>
      <c r="GAS140" s="3"/>
      <c r="GAT140" s="3"/>
      <c r="GAU140" s="3"/>
      <c r="GAV140" s="3"/>
      <c r="GAW140" s="3"/>
      <c r="GAX140" s="3"/>
      <c r="GAY140" s="3"/>
      <c r="GAZ140" s="3"/>
      <c r="GBA140" s="3"/>
      <c r="GBB140" s="3"/>
      <c r="GBC140" s="3"/>
      <c r="GBD140" s="3"/>
      <c r="GBE140" s="3"/>
      <c r="GBF140" s="3"/>
      <c r="GBG140" s="3"/>
      <c r="GBH140" s="3"/>
      <c r="GBI140" s="3"/>
      <c r="GBJ140" s="3"/>
      <c r="GBK140" s="3"/>
      <c r="GBL140" s="3"/>
      <c r="GBM140" s="3"/>
      <c r="GBN140" s="3"/>
      <c r="GBO140" s="3"/>
      <c r="GBP140" s="3"/>
      <c r="GBQ140" s="3"/>
      <c r="GBR140" s="3"/>
      <c r="GBS140" s="3"/>
      <c r="GBT140" s="3"/>
      <c r="GBU140" s="3"/>
      <c r="GBV140" s="3"/>
      <c r="GBW140" s="3"/>
      <c r="GBX140" s="3"/>
      <c r="GBY140" s="3"/>
      <c r="GBZ140" s="3"/>
      <c r="GCA140" s="3"/>
      <c r="GCB140" s="3"/>
      <c r="GCC140" s="3"/>
      <c r="GCD140" s="3"/>
      <c r="GCE140" s="3"/>
      <c r="GCF140" s="3"/>
      <c r="GCG140" s="3"/>
      <c r="GCH140" s="3"/>
      <c r="GCI140" s="3"/>
      <c r="GCJ140" s="3"/>
      <c r="GCK140" s="3"/>
      <c r="GCL140" s="3"/>
      <c r="GCM140" s="3"/>
      <c r="GCN140" s="3"/>
      <c r="GCO140" s="3"/>
      <c r="GCP140" s="3"/>
      <c r="GCQ140" s="3"/>
      <c r="GCR140" s="3"/>
      <c r="GCS140" s="3"/>
      <c r="GCT140" s="3"/>
      <c r="GCU140" s="3"/>
      <c r="GCV140" s="3"/>
      <c r="GCW140" s="3"/>
      <c r="GCX140" s="3"/>
      <c r="GCY140" s="3"/>
      <c r="GCZ140" s="3"/>
      <c r="GDA140" s="3"/>
      <c r="GDB140" s="3"/>
      <c r="GDC140" s="3"/>
      <c r="GDD140" s="3"/>
      <c r="GDE140" s="3"/>
      <c r="GDF140" s="3"/>
      <c r="GDG140" s="3"/>
      <c r="GDH140" s="3"/>
      <c r="GDI140" s="3"/>
      <c r="GDJ140" s="3"/>
      <c r="GDK140" s="3"/>
      <c r="GDL140" s="3"/>
      <c r="GDM140" s="3"/>
      <c r="GDN140" s="3"/>
      <c r="GDO140" s="3"/>
      <c r="GDP140" s="3"/>
      <c r="GDQ140" s="3"/>
      <c r="GDR140" s="3"/>
      <c r="GDS140" s="3"/>
      <c r="GDT140" s="3"/>
      <c r="GDU140" s="3"/>
      <c r="GDV140" s="3"/>
      <c r="GDW140" s="3"/>
      <c r="GDX140" s="3"/>
      <c r="GDY140" s="3"/>
      <c r="GDZ140" s="3"/>
      <c r="GEA140" s="3"/>
      <c r="GEB140" s="3"/>
      <c r="GEC140" s="3"/>
      <c r="GED140" s="3"/>
      <c r="GEE140" s="3"/>
      <c r="GEF140" s="3"/>
      <c r="GEG140" s="3"/>
      <c r="GEH140" s="3"/>
      <c r="GEI140" s="3"/>
      <c r="GEJ140" s="3"/>
      <c r="GEK140" s="3"/>
      <c r="GEL140" s="3"/>
      <c r="GEM140" s="3"/>
      <c r="GEN140" s="3"/>
      <c r="GEO140" s="3"/>
      <c r="GEP140" s="3"/>
      <c r="GEQ140" s="3"/>
      <c r="GER140" s="3"/>
      <c r="GES140" s="3"/>
      <c r="GET140" s="3"/>
      <c r="GEU140" s="3"/>
      <c r="GEV140" s="3"/>
      <c r="GEW140" s="3"/>
      <c r="GEX140" s="3"/>
      <c r="GEY140" s="3"/>
      <c r="GEZ140" s="3"/>
      <c r="GFA140" s="3"/>
      <c r="GFB140" s="3"/>
      <c r="GFC140" s="3"/>
      <c r="GFD140" s="3"/>
      <c r="GFE140" s="3"/>
      <c r="GFF140" s="3"/>
      <c r="GFG140" s="3"/>
      <c r="GFH140" s="3"/>
      <c r="GFI140" s="3"/>
      <c r="GFJ140" s="3"/>
      <c r="GFK140" s="3"/>
      <c r="GFL140" s="3"/>
      <c r="GFM140" s="3"/>
      <c r="GFN140" s="3"/>
      <c r="GFO140" s="3"/>
      <c r="GFP140" s="3"/>
      <c r="GFQ140" s="3"/>
      <c r="GFR140" s="3"/>
      <c r="GFS140" s="3"/>
      <c r="GFT140" s="3"/>
      <c r="GFU140" s="3"/>
      <c r="GFV140" s="3"/>
      <c r="GFW140" s="3"/>
      <c r="GFX140" s="3"/>
      <c r="GFY140" s="3"/>
      <c r="GFZ140" s="3"/>
      <c r="GGA140" s="3"/>
      <c r="GGB140" s="3"/>
      <c r="GGC140" s="3"/>
      <c r="GGD140" s="3"/>
      <c r="GGE140" s="3"/>
      <c r="GGF140" s="3"/>
      <c r="GGG140" s="3"/>
      <c r="GGH140" s="3"/>
      <c r="GGI140" s="3"/>
      <c r="GGJ140" s="3"/>
      <c r="GGK140" s="3"/>
      <c r="GGL140" s="3"/>
      <c r="GGM140" s="3"/>
      <c r="GGN140" s="3"/>
      <c r="GGO140" s="3"/>
      <c r="GGP140" s="3"/>
      <c r="GGQ140" s="3"/>
      <c r="GGR140" s="3"/>
      <c r="GGS140" s="3"/>
      <c r="GGT140" s="3"/>
      <c r="GGU140" s="3"/>
      <c r="GGV140" s="3"/>
      <c r="GGW140" s="3"/>
      <c r="GGX140" s="3"/>
      <c r="GGY140" s="3"/>
      <c r="GGZ140" s="3"/>
      <c r="GHA140" s="3"/>
      <c r="GHB140" s="3"/>
      <c r="GHC140" s="3"/>
      <c r="GHD140" s="3"/>
      <c r="GHE140" s="3"/>
      <c r="GHF140" s="3"/>
      <c r="GHG140" s="3"/>
      <c r="GHH140" s="3"/>
      <c r="GHI140" s="3"/>
      <c r="GHJ140" s="3"/>
      <c r="GHK140" s="3"/>
      <c r="GHL140" s="3"/>
      <c r="GHM140" s="3"/>
      <c r="GHN140" s="3"/>
      <c r="GHO140" s="3"/>
      <c r="GHP140" s="3"/>
      <c r="GHQ140" s="3"/>
      <c r="GHR140" s="3"/>
      <c r="GHS140" s="3"/>
      <c r="GHT140" s="3"/>
      <c r="GHU140" s="3"/>
      <c r="GHV140" s="3"/>
      <c r="GHW140" s="3"/>
      <c r="GHX140" s="3"/>
      <c r="GHY140" s="3"/>
      <c r="GHZ140" s="3"/>
      <c r="GIA140" s="3"/>
      <c r="GIB140" s="3"/>
      <c r="GIC140" s="3"/>
      <c r="GID140" s="3"/>
      <c r="GIE140" s="3"/>
      <c r="GIF140" s="3"/>
      <c r="GIG140" s="3"/>
      <c r="GIH140" s="3"/>
      <c r="GII140" s="3"/>
      <c r="GIJ140" s="3"/>
      <c r="GIK140" s="3"/>
      <c r="GIL140" s="3"/>
      <c r="GIM140" s="3"/>
      <c r="GIN140" s="3"/>
      <c r="GIO140" s="3"/>
      <c r="GIP140" s="3"/>
      <c r="GIQ140" s="3"/>
      <c r="GIR140" s="3"/>
      <c r="GIS140" s="3"/>
      <c r="GIT140" s="3"/>
      <c r="GIU140" s="3"/>
      <c r="GIV140" s="3"/>
      <c r="GIW140" s="3"/>
      <c r="GIX140" s="3"/>
      <c r="GIY140" s="3"/>
      <c r="GIZ140" s="3"/>
      <c r="GJA140" s="3"/>
      <c r="GJB140" s="3"/>
      <c r="GJC140" s="3"/>
      <c r="GJD140" s="3"/>
      <c r="GJE140" s="3"/>
      <c r="GJF140" s="3"/>
      <c r="GJG140" s="3"/>
      <c r="GJH140" s="3"/>
      <c r="GJI140" s="3"/>
      <c r="GJJ140" s="3"/>
      <c r="GJK140" s="3"/>
      <c r="GJL140" s="3"/>
      <c r="GJM140" s="3"/>
      <c r="GJN140" s="3"/>
      <c r="GJO140" s="3"/>
      <c r="GJP140" s="3"/>
      <c r="GJQ140" s="3"/>
      <c r="GJR140" s="3"/>
      <c r="GJS140" s="3"/>
      <c r="GJT140" s="3"/>
      <c r="GJU140" s="3"/>
      <c r="GJV140" s="3"/>
      <c r="GJW140" s="3"/>
      <c r="GJX140" s="3"/>
      <c r="GJY140" s="3"/>
      <c r="GJZ140" s="3"/>
      <c r="GKA140" s="3"/>
      <c r="GKB140" s="3"/>
      <c r="GKC140" s="3"/>
      <c r="GKD140" s="3"/>
      <c r="GKE140" s="3"/>
      <c r="GKF140" s="3"/>
      <c r="GKG140" s="3"/>
      <c r="GKH140" s="3"/>
      <c r="GKI140" s="3"/>
      <c r="GKJ140" s="3"/>
      <c r="GKK140" s="3"/>
      <c r="GKL140" s="3"/>
      <c r="GKM140" s="3"/>
      <c r="GKN140" s="3"/>
      <c r="GKO140" s="3"/>
      <c r="GKP140" s="3"/>
      <c r="GKQ140" s="3"/>
      <c r="GKR140" s="3"/>
      <c r="GKS140" s="3"/>
      <c r="GKT140" s="3"/>
      <c r="GKU140" s="3"/>
      <c r="GKV140" s="3"/>
      <c r="GKW140" s="3"/>
      <c r="GKX140" s="3"/>
      <c r="GKY140" s="3"/>
      <c r="GKZ140" s="3"/>
      <c r="GLA140" s="3"/>
      <c r="GLB140" s="3"/>
      <c r="GLC140" s="3"/>
      <c r="GLD140" s="3"/>
      <c r="GLE140" s="3"/>
      <c r="GLF140" s="3"/>
      <c r="GLG140" s="3"/>
      <c r="GLH140" s="3"/>
      <c r="GLI140" s="3"/>
      <c r="GLJ140" s="3"/>
      <c r="GLK140" s="3"/>
      <c r="GLL140" s="3"/>
      <c r="GLM140" s="3"/>
      <c r="GLN140" s="3"/>
      <c r="GLO140" s="3"/>
      <c r="GLP140" s="3"/>
      <c r="GLQ140" s="3"/>
      <c r="GLR140" s="3"/>
      <c r="GLS140" s="3"/>
      <c r="GLT140" s="3"/>
      <c r="GLU140" s="3"/>
      <c r="GLV140" s="3"/>
      <c r="GLW140" s="3"/>
      <c r="GLX140" s="3"/>
      <c r="GLY140" s="3"/>
      <c r="GLZ140" s="3"/>
      <c r="GMA140" s="3"/>
      <c r="GMB140" s="3"/>
      <c r="GMC140" s="3"/>
      <c r="GMD140" s="3"/>
      <c r="GME140" s="3"/>
      <c r="GMF140" s="3"/>
      <c r="GMG140" s="3"/>
      <c r="GMH140" s="3"/>
      <c r="GMI140" s="3"/>
      <c r="GMJ140" s="3"/>
      <c r="GMK140" s="3"/>
      <c r="GML140" s="3"/>
      <c r="GMM140" s="3"/>
      <c r="GMN140" s="3"/>
      <c r="GMO140" s="3"/>
      <c r="GMP140" s="3"/>
      <c r="GMQ140" s="3"/>
      <c r="GMR140" s="3"/>
      <c r="GMS140" s="3"/>
      <c r="GMT140" s="3"/>
      <c r="GMU140" s="3"/>
      <c r="GMV140" s="3"/>
      <c r="GMW140" s="3"/>
      <c r="GMX140" s="3"/>
      <c r="GMY140" s="3"/>
      <c r="GMZ140" s="3"/>
      <c r="GNA140" s="3"/>
      <c r="GNB140" s="3"/>
      <c r="GNC140" s="3"/>
      <c r="GND140" s="3"/>
      <c r="GNE140" s="3"/>
      <c r="GNF140" s="3"/>
      <c r="GNG140" s="3"/>
      <c r="GNH140" s="3"/>
      <c r="GNI140" s="3"/>
      <c r="GNJ140" s="3"/>
      <c r="GNK140" s="3"/>
      <c r="GNL140" s="3"/>
      <c r="GNM140" s="3"/>
      <c r="GNN140" s="3"/>
      <c r="GNO140" s="3"/>
      <c r="GNP140" s="3"/>
      <c r="GNQ140" s="3"/>
      <c r="GNR140" s="3"/>
      <c r="GNS140" s="3"/>
      <c r="GNT140" s="3"/>
      <c r="GNU140" s="3"/>
      <c r="GNV140" s="3"/>
      <c r="GNW140" s="3"/>
      <c r="GNX140" s="3"/>
      <c r="GNY140" s="3"/>
      <c r="GNZ140" s="3"/>
      <c r="GOA140" s="3"/>
      <c r="GOB140" s="3"/>
      <c r="GOC140" s="3"/>
      <c r="GOD140" s="3"/>
      <c r="GOE140" s="3"/>
      <c r="GOF140" s="3"/>
      <c r="GOG140" s="3"/>
      <c r="GOH140" s="3"/>
      <c r="GOI140" s="3"/>
      <c r="GOJ140" s="3"/>
      <c r="GOK140" s="3"/>
      <c r="GOL140" s="3"/>
      <c r="GOM140" s="3"/>
      <c r="GON140" s="3"/>
      <c r="GOO140" s="3"/>
      <c r="GOP140" s="3"/>
      <c r="GOQ140" s="3"/>
      <c r="GOR140" s="3"/>
      <c r="GOS140" s="3"/>
      <c r="GOT140" s="3"/>
      <c r="GOU140" s="3"/>
      <c r="GOV140" s="3"/>
      <c r="GOW140" s="3"/>
      <c r="GOX140" s="3"/>
      <c r="GOY140" s="3"/>
      <c r="GOZ140" s="3"/>
      <c r="GPA140" s="3"/>
      <c r="GPB140" s="3"/>
      <c r="GPC140" s="3"/>
      <c r="GPD140" s="3"/>
      <c r="GPE140" s="3"/>
      <c r="GPF140" s="3"/>
      <c r="GPG140" s="3"/>
      <c r="GPH140" s="3"/>
      <c r="GPI140" s="3"/>
      <c r="GPJ140" s="3"/>
      <c r="GPK140" s="3"/>
      <c r="GPL140" s="3"/>
      <c r="GPM140" s="3"/>
      <c r="GPN140" s="3"/>
      <c r="GPO140" s="3"/>
      <c r="GPP140" s="3"/>
      <c r="GPQ140" s="3"/>
      <c r="GPR140" s="3"/>
      <c r="GPS140" s="3"/>
      <c r="GPT140" s="3"/>
      <c r="GPU140" s="3"/>
      <c r="GPV140" s="3"/>
      <c r="GPW140" s="3"/>
      <c r="GPX140" s="3"/>
      <c r="GPY140" s="3"/>
      <c r="GPZ140" s="3"/>
      <c r="GQA140" s="3"/>
      <c r="GQB140" s="3"/>
      <c r="GQC140" s="3"/>
      <c r="GQD140" s="3"/>
      <c r="GQE140" s="3"/>
      <c r="GQF140" s="3"/>
      <c r="GQG140" s="3"/>
      <c r="GQH140" s="3"/>
      <c r="GQI140" s="3"/>
      <c r="GQJ140" s="3"/>
      <c r="GQK140" s="3"/>
      <c r="GQL140" s="3"/>
      <c r="GQM140" s="3"/>
      <c r="GQN140" s="3"/>
      <c r="GQO140" s="3"/>
      <c r="GQP140" s="3"/>
      <c r="GQQ140" s="3"/>
      <c r="GQR140" s="3"/>
      <c r="GQS140" s="3"/>
      <c r="GQT140" s="3"/>
      <c r="GQU140" s="3"/>
      <c r="GQV140" s="3"/>
      <c r="GQW140" s="3"/>
      <c r="GQX140" s="3"/>
      <c r="GQY140" s="3"/>
      <c r="GQZ140" s="3"/>
      <c r="GRA140" s="3"/>
      <c r="GRB140" s="3"/>
      <c r="GRC140" s="3"/>
      <c r="GRD140" s="3"/>
      <c r="GRE140" s="3"/>
      <c r="GRF140" s="3"/>
      <c r="GRG140" s="3"/>
      <c r="GRH140" s="3"/>
      <c r="GRI140" s="3"/>
      <c r="GRJ140" s="3"/>
      <c r="GRK140" s="3"/>
      <c r="GRL140" s="3"/>
      <c r="GRM140" s="3"/>
      <c r="GRN140" s="3"/>
      <c r="GRO140" s="3"/>
      <c r="GRP140" s="3"/>
      <c r="GRQ140" s="3"/>
      <c r="GRR140" s="3"/>
      <c r="GRS140" s="3"/>
      <c r="GRT140" s="3"/>
      <c r="GRU140" s="3"/>
      <c r="GRV140" s="3"/>
      <c r="GRW140" s="3"/>
      <c r="GRX140" s="3"/>
      <c r="GRY140" s="3"/>
      <c r="GRZ140" s="3"/>
      <c r="GSA140" s="3"/>
      <c r="GSB140" s="3"/>
      <c r="GSC140" s="3"/>
      <c r="GSD140" s="3"/>
      <c r="GSE140" s="3"/>
      <c r="GSF140" s="3"/>
      <c r="GSG140" s="3"/>
      <c r="GSH140" s="3"/>
      <c r="GSI140" s="3"/>
      <c r="GSJ140" s="3"/>
      <c r="GSK140" s="3"/>
      <c r="GSL140" s="3"/>
      <c r="GSM140" s="3"/>
      <c r="GSN140" s="3"/>
      <c r="GSO140" s="3"/>
      <c r="GSP140" s="3"/>
      <c r="GSQ140" s="3"/>
      <c r="GSR140" s="3"/>
      <c r="GSS140" s="3"/>
      <c r="GST140" s="3"/>
      <c r="GSU140" s="3"/>
      <c r="GSV140" s="3"/>
      <c r="GSW140" s="3"/>
      <c r="GSX140" s="3"/>
      <c r="GSY140" s="3"/>
      <c r="GSZ140" s="3"/>
      <c r="GTA140" s="3"/>
      <c r="GTB140" s="3"/>
      <c r="GTC140" s="3"/>
      <c r="GTD140" s="3"/>
      <c r="GTE140" s="3"/>
      <c r="GTF140" s="3"/>
      <c r="GTG140" s="3"/>
      <c r="GTH140" s="3"/>
      <c r="GTI140" s="3"/>
      <c r="GTJ140" s="3"/>
      <c r="GTK140" s="3"/>
      <c r="GTL140" s="3"/>
      <c r="GTM140" s="3"/>
      <c r="GTN140" s="3"/>
      <c r="GTO140" s="3"/>
      <c r="GTP140" s="3"/>
      <c r="GTQ140" s="3"/>
      <c r="GTR140" s="3"/>
      <c r="GTS140" s="3"/>
      <c r="GTT140" s="3"/>
      <c r="GTU140" s="3"/>
      <c r="GTV140" s="3"/>
      <c r="GTW140" s="3"/>
      <c r="GTX140" s="3"/>
      <c r="GTY140" s="3"/>
      <c r="GTZ140" s="3"/>
      <c r="GUA140" s="3"/>
      <c r="GUB140" s="3"/>
      <c r="GUC140" s="3"/>
      <c r="GUD140" s="3"/>
      <c r="GUE140" s="3"/>
      <c r="GUF140" s="3"/>
      <c r="GUG140" s="3"/>
      <c r="GUH140" s="3"/>
      <c r="GUI140" s="3"/>
      <c r="GUJ140" s="3"/>
      <c r="GUK140" s="3"/>
      <c r="GUL140" s="3"/>
      <c r="GUM140" s="3"/>
      <c r="GUN140" s="3"/>
      <c r="GUO140" s="3"/>
      <c r="GUP140" s="3"/>
      <c r="GUQ140" s="3"/>
      <c r="GUR140" s="3"/>
      <c r="GUS140" s="3"/>
      <c r="GUT140" s="3"/>
      <c r="GUU140" s="3"/>
      <c r="GUV140" s="3"/>
      <c r="GUW140" s="3"/>
      <c r="GUX140" s="3"/>
      <c r="GUY140" s="3"/>
      <c r="GUZ140" s="3"/>
      <c r="GVA140" s="3"/>
      <c r="GVB140" s="3"/>
      <c r="GVC140" s="3"/>
      <c r="GVD140" s="3"/>
      <c r="GVE140" s="3"/>
      <c r="GVF140" s="3"/>
      <c r="GVG140" s="3"/>
      <c r="GVH140" s="3"/>
      <c r="GVI140" s="3"/>
      <c r="GVJ140" s="3"/>
      <c r="GVK140" s="3"/>
      <c r="GVL140" s="3"/>
      <c r="GVM140" s="3"/>
      <c r="GVN140" s="3"/>
      <c r="GVO140" s="3"/>
      <c r="GVP140" s="3"/>
      <c r="GVQ140" s="3"/>
      <c r="GVR140" s="3"/>
      <c r="GVS140" s="3"/>
      <c r="GVT140" s="3"/>
      <c r="GVU140" s="3"/>
      <c r="GVV140" s="3"/>
      <c r="GVW140" s="3"/>
      <c r="GVX140" s="3"/>
      <c r="GVY140" s="3"/>
      <c r="GVZ140" s="3"/>
      <c r="GWA140" s="3"/>
      <c r="GWB140" s="3"/>
      <c r="GWC140" s="3"/>
      <c r="GWD140" s="3"/>
      <c r="GWE140" s="3"/>
      <c r="GWF140" s="3"/>
      <c r="GWG140" s="3"/>
      <c r="GWH140" s="3"/>
      <c r="GWI140" s="3"/>
      <c r="GWJ140" s="3"/>
      <c r="GWK140" s="3"/>
      <c r="GWL140" s="3"/>
      <c r="GWM140" s="3"/>
      <c r="GWN140" s="3"/>
      <c r="GWO140" s="3"/>
      <c r="GWP140" s="3"/>
      <c r="GWQ140" s="3"/>
      <c r="GWR140" s="3"/>
      <c r="GWS140" s="3"/>
      <c r="GWT140" s="3"/>
      <c r="GWU140" s="3"/>
      <c r="GWV140" s="3"/>
      <c r="GWW140" s="3"/>
      <c r="GWX140" s="3"/>
      <c r="GWY140" s="3"/>
      <c r="GWZ140" s="3"/>
      <c r="GXA140" s="3"/>
      <c r="GXB140" s="3"/>
      <c r="GXC140" s="3"/>
      <c r="GXD140" s="3"/>
      <c r="GXE140" s="3"/>
      <c r="GXF140" s="3"/>
      <c r="GXG140" s="3"/>
      <c r="GXH140" s="3"/>
      <c r="GXI140" s="3"/>
      <c r="GXJ140" s="3"/>
      <c r="GXK140" s="3"/>
      <c r="GXL140" s="3"/>
      <c r="GXM140" s="3"/>
      <c r="GXN140" s="3"/>
      <c r="GXO140" s="3"/>
      <c r="GXP140" s="3"/>
      <c r="GXQ140" s="3"/>
      <c r="GXR140" s="3"/>
      <c r="GXS140" s="3"/>
      <c r="GXT140" s="3"/>
      <c r="GXU140" s="3"/>
      <c r="GXV140" s="3"/>
      <c r="GXW140" s="3"/>
      <c r="GXX140" s="3"/>
      <c r="GXY140" s="3"/>
      <c r="GXZ140" s="3"/>
      <c r="GYA140" s="3"/>
      <c r="GYB140" s="3"/>
      <c r="GYC140" s="3"/>
      <c r="GYD140" s="3"/>
      <c r="GYE140" s="3"/>
      <c r="GYF140" s="3"/>
      <c r="GYG140" s="3"/>
      <c r="GYH140" s="3"/>
      <c r="GYI140" s="3"/>
      <c r="GYJ140" s="3"/>
      <c r="GYK140" s="3"/>
      <c r="GYL140" s="3"/>
      <c r="GYM140" s="3"/>
      <c r="GYN140" s="3"/>
      <c r="GYO140" s="3"/>
      <c r="GYP140" s="3"/>
      <c r="GYQ140" s="3"/>
      <c r="GYR140" s="3"/>
      <c r="GYS140" s="3"/>
      <c r="GYT140" s="3"/>
      <c r="GYU140" s="3"/>
      <c r="GYV140" s="3"/>
      <c r="GYW140" s="3"/>
      <c r="GYX140" s="3"/>
      <c r="GYY140" s="3"/>
      <c r="GYZ140" s="3"/>
      <c r="GZA140" s="3"/>
      <c r="GZB140" s="3"/>
      <c r="GZC140" s="3"/>
      <c r="GZD140" s="3"/>
      <c r="GZE140" s="3"/>
      <c r="GZF140" s="3"/>
      <c r="GZG140" s="3"/>
      <c r="GZH140" s="3"/>
      <c r="GZI140" s="3"/>
      <c r="GZJ140" s="3"/>
      <c r="GZK140" s="3"/>
      <c r="GZL140" s="3"/>
      <c r="GZM140" s="3"/>
      <c r="GZN140" s="3"/>
      <c r="GZO140" s="3"/>
      <c r="GZP140" s="3"/>
      <c r="GZQ140" s="3"/>
      <c r="GZR140" s="3"/>
      <c r="GZS140" s="3"/>
      <c r="GZT140" s="3"/>
      <c r="GZU140" s="3"/>
      <c r="GZV140" s="3"/>
      <c r="GZW140" s="3"/>
      <c r="GZX140" s="3"/>
      <c r="GZY140" s="3"/>
      <c r="GZZ140" s="3"/>
      <c r="HAA140" s="3"/>
      <c r="HAB140" s="3"/>
      <c r="HAC140" s="3"/>
      <c r="HAD140" s="3"/>
      <c r="HAE140" s="3"/>
      <c r="HAF140" s="3"/>
      <c r="HAG140" s="3"/>
      <c r="HAH140" s="3"/>
      <c r="HAI140" s="3"/>
      <c r="HAJ140" s="3"/>
      <c r="HAK140" s="3"/>
      <c r="HAL140" s="3"/>
      <c r="HAM140" s="3"/>
      <c r="HAN140" s="3"/>
      <c r="HAO140" s="3"/>
      <c r="HAP140" s="3"/>
      <c r="HAQ140" s="3"/>
      <c r="HAR140" s="3"/>
      <c r="HAS140" s="3"/>
      <c r="HAT140" s="3"/>
      <c r="HAU140" s="3"/>
      <c r="HAV140" s="3"/>
      <c r="HAW140" s="3"/>
      <c r="HAX140" s="3"/>
      <c r="HAY140" s="3"/>
      <c r="HAZ140" s="3"/>
      <c r="HBA140" s="3"/>
      <c r="HBB140" s="3"/>
      <c r="HBC140" s="3"/>
      <c r="HBD140" s="3"/>
      <c r="HBE140" s="3"/>
      <c r="HBF140" s="3"/>
      <c r="HBG140" s="3"/>
      <c r="HBH140" s="3"/>
      <c r="HBI140" s="3"/>
      <c r="HBJ140" s="3"/>
      <c r="HBK140" s="3"/>
      <c r="HBL140" s="3"/>
      <c r="HBM140" s="3"/>
      <c r="HBN140" s="3"/>
      <c r="HBO140" s="3"/>
      <c r="HBP140" s="3"/>
      <c r="HBQ140" s="3"/>
      <c r="HBR140" s="3"/>
      <c r="HBS140" s="3"/>
      <c r="HBT140" s="3"/>
      <c r="HBU140" s="3"/>
      <c r="HBV140" s="3"/>
      <c r="HBW140" s="3"/>
      <c r="HBX140" s="3"/>
      <c r="HBY140" s="3"/>
      <c r="HBZ140" s="3"/>
      <c r="HCA140" s="3"/>
      <c r="HCB140" s="3"/>
      <c r="HCC140" s="3"/>
      <c r="HCD140" s="3"/>
      <c r="HCE140" s="3"/>
      <c r="HCF140" s="3"/>
      <c r="HCG140" s="3"/>
      <c r="HCH140" s="3"/>
      <c r="HCI140" s="3"/>
      <c r="HCJ140" s="3"/>
      <c r="HCK140" s="3"/>
      <c r="HCL140" s="3"/>
      <c r="HCM140" s="3"/>
      <c r="HCN140" s="3"/>
      <c r="HCO140" s="3"/>
      <c r="HCP140" s="3"/>
      <c r="HCQ140" s="3"/>
      <c r="HCR140" s="3"/>
      <c r="HCS140" s="3"/>
      <c r="HCT140" s="3"/>
      <c r="HCU140" s="3"/>
      <c r="HCV140" s="3"/>
      <c r="HCW140" s="3"/>
      <c r="HCX140" s="3"/>
      <c r="HCY140" s="3"/>
      <c r="HCZ140" s="3"/>
      <c r="HDA140" s="3"/>
      <c r="HDB140" s="3"/>
      <c r="HDC140" s="3"/>
      <c r="HDD140" s="3"/>
      <c r="HDE140" s="3"/>
      <c r="HDF140" s="3"/>
      <c r="HDG140" s="3"/>
      <c r="HDH140" s="3"/>
      <c r="HDI140" s="3"/>
      <c r="HDJ140" s="3"/>
      <c r="HDK140" s="3"/>
      <c r="HDL140" s="3"/>
      <c r="HDM140" s="3"/>
      <c r="HDN140" s="3"/>
      <c r="HDO140" s="3"/>
      <c r="HDP140" s="3"/>
      <c r="HDQ140" s="3"/>
      <c r="HDR140" s="3"/>
      <c r="HDS140" s="3"/>
      <c r="HDT140" s="3"/>
      <c r="HDU140" s="3"/>
      <c r="HDV140" s="3"/>
      <c r="HDW140" s="3"/>
      <c r="HDX140" s="3"/>
      <c r="HDY140" s="3"/>
      <c r="HDZ140" s="3"/>
      <c r="HEA140" s="3"/>
      <c r="HEB140" s="3"/>
      <c r="HEC140" s="3"/>
      <c r="HED140" s="3"/>
      <c r="HEE140" s="3"/>
      <c r="HEF140" s="3"/>
      <c r="HEG140" s="3"/>
      <c r="HEH140" s="3"/>
      <c r="HEI140" s="3"/>
      <c r="HEJ140" s="3"/>
      <c r="HEK140" s="3"/>
      <c r="HEL140" s="3"/>
      <c r="HEM140" s="3"/>
      <c r="HEN140" s="3"/>
      <c r="HEO140" s="3"/>
      <c r="HEP140" s="3"/>
      <c r="HEQ140" s="3"/>
      <c r="HER140" s="3"/>
      <c r="HES140" s="3"/>
      <c r="HET140" s="3"/>
      <c r="HEU140" s="3"/>
      <c r="HEV140" s="3"/>
      <c r="HEW140" s="3"/>
      <c r="HEX140" s="3"/>
      <c r="HEY140" s="3"/>
      <c r="HEZ140" s="3"/>
      <c r="HFA140" s="3"/>
      <c r="HFB140" s="3"/>
      <c r="HFC140" s="3"/>
      <c r="HFD140" s="3"/>
      <c r="HFE140" s="3"/>
      <c r="HFF140" s="3"/>
      <c r="HFG140" s="3"/>
      <c r="HFH140" s="3"/>
      <c r="HFI140" s="3"/>
      <c r="HFJ140" s="3"/>
      <c r="HFK140" s="3"/>
      <c r="HFL140" s="3"/>
      <c r="HFM140" s="3"/>
      <c r="HFN140" s="3"/>
      <c r="HFO140" s="3"/>
      <c r="HFP140" s="3"/>
      <c r="HFQ140" s="3"/>
      <c r="HFR140" s="3"/>
      <c r="HFS140" s="3"/>
      <c r="HFT140" s="3"/>
      <c r="HFU140" s="3"/>
      <c r="HFV140" s="3"/>
      <c r="HFW140" s="3"/>
      <c r="HFX140" s="3"/>
      <c r="HFY140" s="3"/>
      <c r="HFZ140" s="3"/>
      <c r="HGA140" s="3"/>
      <c r="HGB140" s="3"/>
      <c r="HGC140" s="3"/>
      <c r="HGD140" s="3"/>
      <c r="HGE140" s="3"/>
      <c r="HGF140" s="3"/>
      <c r="HGG140" s="3"/>
      <c r="HGH140" s="3"/>
      <c r="HGI140" s="3"/>
      <c r="HGJ140" s="3"/>
      <c r="HGK140" s="3"/>
      <c r="HGL140" s="3"/>
      <c r="HGM140" s="3"/>
      <c r="HGN140" s="3"/>
      <c r="HGO140" s="3"/>
      <c r="HGP140" s="3"/>
      <c r="HGQ140" s="3"/>
      <c r="HGR140" s="3"/>
      <c r="HGS140" s="3"/>
      <c r="HGT140" s="3"/>
      <c r="HGU140" s="3"/>
      <c r="HGV140" s="3"/>
      <c r="HGW140" s="3"/>
      <c r="HGX140" s="3"/>
      <c r="HGY140" s="3"/>
      <c r="HGZ140" s="3"/>
      <c r="HHA140" s="3"/>
      <c r="HHB140" s="3"/>
      <c r="HHC140" s="3"/>
      <c r="HHD140" s="3"/>
      <c r="HHE140" s="3"/>
      <c r="HHF140" s="3"/>
      <c r="HHG140" s="3"/>
      <c r="HHH140" s="3"/>
      <c r="HHI140" s="3"/>
      <c r="HHJ140" s="3"/>
      <c r="HHK140" s="3"/>
      <c r="HHL140" s="3"/>
      <c r="HHM140" s="3"/>
      <c r="HHN140" s="3"/>
      <c r="HHO140" s="3"/>
      <c r="HHP140" s="3"/>
      <c r="HHQ140" s="3"/>
      <c r="HHR140" s="3"/>
      <c r="HHS140" s="3"/>
      <c r="HHT140" s="3"/>
      <c r="HHU140" s="3"/>
      <c r="HHV140" s="3"/>
      <c r="HHW140" s="3"/>
      <c r="HHX140" s="3"/>
      <c r="HHY140" s="3"/>
      <c r="HHZ140" s="3"/>
      <c r="HIA140" s="3"/>
      <c r="HIB140" s="3"/>
      <c r="HIC140" s="3"/>
      <c r="HID140" s="3"/>
      <c r="HIE140" s="3"/>
      <c r="HIF140" s="3"/>
      <c r="HIG140" s="3"/>
      <c r="HIH140" s="3"/>
      <c r="HII140" s="3"/>
      <c r="HIJ140" s="3"/>
      <c r="HIK140" s="3"/>
      <c r="HIL140" s="3"/>
      <c r="HIM140" s="3"/>
      <c r="HIN140" s="3"/>
      <c r="HIO140" s="3"/>
      <c r="HIP140" s="3"/>
      <c r="HIQ140" s="3"/>
      <c r="HIR140" s="3"/>
      <c r="HIS140" s="3"/>
      <c r="HIT140" s="3"/>
      <c r="HIU140" s="3"/>
      <c r="HIV140" s="3"/>
      <c r="HIW140" s="3"/>
      <c r="HIX140" s="3"/>
      <c r="HIY140" s="3"/>
      <c r="HIZ140" s="3"/>
      <c r="HJA140" s="3"/>
      <c r="HJB140" s="3"/>
      <c r="HJC140" s="3"/>
      <c r="HJD140" s="3"/>
      <c r="HJE140" s="3"/>
      <c r="HJF140" s="3"/>
      <c r="HJG140" s="3"/>
      <c r="HJH140" s="3"/>
      <c r="HJI140" s="3"/>
      <c r="HJJ140" s="3"/>
      <c r="HJK140" s="3"/>
      <c r="HJL140" s="3"/>
      <c r="HJM140" s="3"/>
      <c r="HJN140" s="3"/>
      <c r="HJO140" s="3"/>
      <c r="HJP140" s="3"/>
      <c r="HJQ140" s="3"/>
      <c r="HJR140" s="3"/>
      <c r="HJS140" s="3"/>
      <c r="HJT140" s="3"/>
      <c r="HJU140" s="3"/>
      <c r="HJV140" s="3"/>
      <c r="HJW140" s="3"/>
      <c r="HJX140" s="3"/>
      <c r="HJY140" s="3"/>
      <c r="HJZ140" s="3"/>
      <c r="HKA140" s="3"/>
      <c r="HKB140" s="3"/>
      <c r="HKC140" s="3"/>
      <c r="HKD140" s="3"/>
      <c r="HKE140" s="3"/>
      <c r="HKF140" s="3"/>
      <c r="HKG140" s="3"/>
      <c r="HKH140" s="3"/>
      <c r="HKI140" s="3"/>
      <c r="HKJ140" s="3"/>
      <c r="HKK140" s="3"/>
      <c r="HKL140" s="3"/>
      <c r="HKM140" s="3"/>
      <c r="HKN140" s="3"/>
      <c r="HKO140" s="3"/>
      <c r="HKP140" s="3"/>
      <c r="HKQ140" s="3"/>
      <c r="HKR140" s="3"/>
      <c r="HKS140" s="3"/>
      <c r="HKT140" s="3"/>
      <c r="HKU140" s="3"/>
      <c r="HKV140" s="3"/>
      <c r="HKW140" s="3"/>
      <c r="HKX140" s="3"/>
      <c r="HKY140" s="3"/>
      <c r="HKZ140" s="3"/>
      <c r="HLA140" s="3"/>
      <c r="HLB140" s="3"/>
      <c r="HLC140" s="3"/>
      <c r="HLD140" s="3"/>
      <c r="HLE140" s="3"/>
      <c r="HLF140" s="3"/>
      <c r="HLG140" s="3"/>
      <c r="HLH140" s="3"/>
      <c r="HLI140" s="3"/>
      <c r="HLJ140" s="3"/>
      <c r="HLK140" s="3"/>
      <c r="HLL140" s="3"/>
      <c r="HLM140" s="3"/>
      <c r="HLN140" s="3"/>
      <c r="HLO140" s="3"/>
      <c r="HLP140" s="3"/>
      <c r="HLQ140" s="3"/>
      <c r="HLR140" s="3"/>
      <c r="HLS140" s="3"/>
      <c r="HLT140" s="3"/>
      <c r="HLU140" s="3"/>
      <c r="HLV140" s="3"/>
      <c r="HLW140" s="3"/>
      <c r="HLX140" s="3"/>
      <c r="HLY140" s="3"/>
      <c r="HLZ140" s="3"/>
      <c r="HMA140" s="3"/>
      <c r="HMB140" s="3"/>
      <c r="HMC140" s="3"/>
      <c r="HMD140" s="3"/>
      <c r="HME140" s="3"/>
      <c r="HMF140" s="3"/>
      <c r="HMG140" s="3"/>
      <c r="HMH140" s="3"/>
      <c r="HMI140" s="3"/>
      <c r="HMJ140" s="3"/>
      <c r="HMK140" s="3"/>
      <c r="HML140" s="3"/>
      <c r="HMM140" s="3"/>
      <c r="HMN140" s="3"/>
      <c r="HMO140" s="3"/>
      <c r="HMP140" s="3"/>
      <c r="HMQ140" s="3"/>
      <c r="HMR140" s="3"/>
      <c r="HMS140" s="3"/>
      <c r="HMT140" s="3"/>
      <c r="HMU140" s="3"/>
      <c r="HMV140" s="3"/>
      <c r="HMW140" s="3"/>
      <c r="HMX140" s="3"/>
      <c r="HMY140" s="3"/>
      <c r="HMZ140" s="3"/>
      <c r="HNA140" s="3"/>
      <c r="HNB140" s="3"/>
      <c r="HNC140" s="3"/>
      <c r="HND140" s="3"/>
      <c r="HNE140" s="3"/>
      <c r="HNF140" s="3"/>
      <c r="HNG140" s="3"/>
      <c r="HNH140" s="3"/>
      <c r="HNI140" s="3"/>
      <c r="HNJ140" s="3"/>
      <c r="HNK140" s="3"/>
      <c r="HNL140" s="3"/>
      <c r="HNM140" s="3"/>
      <c r="HNN140" s="3"/>
      <c r="HNO140" s="3"/>
      <c r="HNP140" s="3"/>
      <c r="HNQ140" s="3"/>
      <c r="HNR140" s="3"/>
      <c r="HNS140" s="3"/>
      <c r="HNT140" s="3"/>
      <c r="HNU140" s="3"/>
      <c r="HNV140" s="3"/>
      <c r="HNW140" s="3"/>
      <c r="HNX140" s="3"/>
      <c r="HNY140" s="3"/>
      <c r="HNZ140" s="3"/>
      <c r="HOA140" s="3"/>
      <c r="HOB140" s="3"/>
      <c r="HOC140" s="3"/>
      <c r="HOD140" s="3"/>
      <c r="HOE140" s="3"/>
      <c r="HOF140" s="3"/>
      <c r="HOG140" s="3"/>
      <c r="HOH140" s="3"/>
      <c r="HOI140" s="3"/>
      <c r="HOJ140" s="3"/>
      <c r="HOK140" s="3"/>
      <c r="HOL140" s="3"/>
      <c r="HOM140" s="3"/>
      <c r="HON140" s="3"/>
      <c r="HOO140" s="3"/>
      <c r="HOP140" s="3"/>
      <c r="HOQ140" s="3"/>
      <c r="HOR140" s="3"/>
      <c r="HOS140" s="3"/>
      <c r="HOT140" s="3"/>
      <c r="HOU140" s="3"/>
      <c r="HOV140" s="3"/>
      <c r="HOW140" s="3"/>
      <c r="HOX140" s="3"/>
      <c r="HOY140" s="3"/>
      <c r="HOZ140" s="3"/>
      <c r="HPA140" s="3"/>
      <c r="HPB140" s="3"/>
      <c r="HPC140" s="3"/>
      <c r="HPD140" s="3"/>
      <c r="HPE140" s="3"/>
      <c r="HPF140" s="3"/>
      <c r="HPG140" s="3"/>
      <c r="HPH140" s="3"/>
      <c r="HPI140" s="3"/>
      <c r="HPJ140" s="3"/>
      <c r="HPK140" s="3"/>
      <c r="HPL140" s="3"/>
      <c r="HPM140" s="3"/>
      <c r="HPN140" s="3"/>
      <c r="HPO140" s="3"/>
      <c r="HPP140" s="3"/>
      <c r="HPQ140" s="3"/>
      <c r="HPR140" s="3"/>
      <c r="HPS140" s="3"/>
      <c r="HPT140" s="3"/>
      <c r="HPU140" s="3"/>
      <c r="HPV140" s="3"/>
      <c r="HPW140" s="3"/>
      <c r="HPX140" s="3"/>
      <c r="HPY140" s="3"/>
      <c r="HPZ140" s="3"/>
      <c r="HQA140" s="3"/>
      <c r="HQB140" s="3"/>
      <c r="HQC140" s="3"/>
      <c r="HQD140" s="3"/>
      <c r="HQE140" s="3"/>
      <c r="HQF140" s="3"/>
      <c r="HQG140" s="3"/>
      <c r="HQH140" s="3"/>
      <c r="HQI140" s="3"/>
      <c r="HQJ140" s="3"/>
      <c r="HQK140" s="3"/>
      <c r="HQL140" s="3"/>
      <c r="HQM140" s="3"/>
      <c r="HQN140" s="3"/>
      <c r="HQO140" s="3"/>
      <c r="HQP140" s="3"/>
      <c r="HQQ140" s="3"/>
      <c r="HQR140" s="3"/>
      <c r="HQS140" s="3"/>
      <c r="HQT140" s="3"/>
      <c r="HQU140" s="3"/>
      <c r="HQV140" s="3"/>
      <c r="HQW140" s="3"/>
      <c r="HQX140" s="3"/>
      <c r="HQY140" s="3"/>
      <c r="HQZ140" s="3"/>
      <c r="HRA140" s="3"/>
      <c r="HRB140" s="3"/>
      <c r="HRC140" s="3"/>
      <c r="HRD140" s="3"/>
      <c r="HRE140" s="3"/>
      <c r="HRF140" s="3"/>
      <c r="HRG140" s="3"/>
      <c r="HRH140" s="3"/>
      <c r="HRI140" s="3"/>
      <c r="HRJ140" s="3"/>
      <c r="HRK140" s="3"/>
      <c r="HRL140" s="3"/>
      <c r="HRM140" s="3"/>
      <c r="HRN140" s="3"/>
      <c r="HRO140" s="3"/>
      <c r="HRP140" s="3"/>
      <c r="HRQ140" s="3"/>
      <c r="HRR140" s="3"/>
      <c r="HRS140" s="3"/>
      <c r="HRT140" s="3"/>
      <c r="HRU140" s="3"/>
      <c r="HRV140" s="3"/>
      <c r="HRW140" s="3"/>
      <c r="HRX140" s="3"/>
      <c r="HRY140" s="3"/>
      <c r="HRZ140" s="3"/>
      <c r="HSA140" s="3"/>
      <c r="HSB140" s="3"/>
      <c r="HSC140" s="3"/>
      <c r="HSD140" s="3"/>
      <c r="HSE140" s="3"/>
      <c r="HSF140" s="3"/>
      <c r="HSG140" s="3"/>
      <c r="HSH140" s="3"/>
      <c r="HSI140" s="3"/>
      <c r="HSJ140" s="3"/>
      <c r="HSK140" s="3"/>
      <c r="HSL140" s="3"/>
      <c r="HSM140" s="3"/>
      <c r="HSN140" s="3"/>
      <c r="HSO140" s="3"/>
      <c r="HSP140" s="3"/>
      <c r="HSQ140" s="3"/>
      <c r="HSR140" s="3"/>
      <c r="HSS140" s="3"/>
      <c r="HST140" s="3"/>
      <c r="HSU140" s="3"/>
      <c r="HSV140" s="3"/>
      <c r="HSW140" s="3"/>
      <c r="HSX140" s="3"/>
      <c r="HSY140" s="3"/>
      <c r="HSZ140" s="3"/>
      <c r="HTA140" s="3"/>
      <c r="HTB140" s="3"/>
      <c r="HTC140" s="3"/>
      <c r="HTD140" s="3"/>
      <c r="HTE140" s="3"/>
      <c r="HTF140" s="3"/>
      <c r="HTG140" s="3"/>
      <c r="HTH140" s="3"/>
      <c r="HTI140" s="3"/>
      <c r="HTJ140" s="3"/>
      <c r="HTK140" s="3"/>
      <c r="HTL140" s="3"/>
      <c r="HTM140" s="3"/>
      <c r="HTN140" s="3"/>
      <c r="HTO140" s="3"/>
      <c r="HTP140" s="3"/>
      <c r="HTQ140" s="3"/>
      <c r="HTR140" s="3"/>
      <c r="HTS140" s="3"/>
      <c r="HTT140" s="3"/>
      <c r="HTU140" s="3"/>
      <c r="HTV140" s="3"/>
      <c r="HTW140" s="3"/>
      <c r="HTX140" s="3"/>
      <c r="HTY140" s="3"/>
      <c r="HTZ140" s="3"/>
      <c r="HUA140" s="3"/>
      <c r="HUB140" s="3"/>
      <c r="HUC140" s="3"/>
      <c r="HUD140" s="3"/>
      <c r="HUE140" s="3"/>
      <c r="HUF140" s="3"/>
      <c r="HUG140" s="3"/>
      <c r="HUH140" s="3"/>
      <c r="HUI140" s="3"/>
      <c r="HUJ140" s="3"/>
      <c r="HUK140" s="3"/>
      <c r="HUL140" s="3"/>
      <c r="HUM140" s="3"/>
      <c r="HUN140" s="3"/>
      <c r="HUO140" s="3"/>
      <c r="HUP140" s="3"/>
      <c r="HUQ140" s="3"/>
      <c r="HUR140" s="3"/>
      <c r="HUS140" s="3"/>
      <c r="HUT140" s="3"/>
      <c r="HUU140" s="3"/>
      <c r="HUV140" s="3"/>
      <c r="HUW140" s="3"/>
      <c r="HUX140" s="3"/>
      <c r="HUY140" s="3"/>
      <c r="HUZ140" s="3"/>
      <c r="HVA140" s="3"/>
      <c r="HVB140" s="3"/>
      <c r="HVC140" s="3"/>
      <c r="HVD140" s="3"/>
      <c r="HVE140" s="3"/>
      <c r="HVF140" s="3"/>
      <c r="HVG140" s="3"/>
      <c r="HVH140" s="3"/>
      <c r="HVI140" s="3"/>
      <c r="HVJ140" s="3"/>
      <c r="HVK140" s="3"/>
      <c r="HVL140" s="3"/>
      <c r="HVM140" s="3"/>
      <c r="HVN140" s="3"/>
      <c r="HVO140" s="3"/>
      <c r="HVP140" s="3"/>
      <c r="HVQ140" s="3"/>
      <c r="HVR140" s="3"/>
      <c r="HVS140" s="3"/>
      <c r="HVT140" s="3"/>
      <c r="HVU140" s="3"/>
      <c r="HVV140" s="3"/>
      <c r="HVW140" s="3"/>
      <c r="HVX140" s="3"/>
      <c r="HVY140" s="3"/>
      <c r="HVZ140" s="3"/>
      <c r="HWA140" s="3"/>
      <c r="HWB140" s="3"/>
      <c r="HWC140" s="3"/>
      <c r="HWD140" s="3"/>
      <c r="HWE140" s="3"/>
      <c r="HWF140" s="3"/>
      <c r="HWG140" s="3"/>
      <c r="HWH140" s="3"/>
      <c r="HWI140" s="3"/>
      <c r="HWJ140" s="3"/>
      <c r="HWK140" s="3"/>
      <c r="HWL140" s="3"/>
      <c r="HWM140" s="3"/>
      <c r="HWN140" s="3"/>
      <c r="HWO140" s="3"/>
      <c r="HWP140" s="3"/>
      <c r="HWQ140" s="3"/>
      <c r="HWR140" s="3"/>
      <c r="HWS140" s="3"/>
      <c r="HWT140" s="3"/>
      <c r="HWU140" s="3"/>
      <c r="HWV140" s="3"/>
      <c r="HWW140" s="3"/>
      <c r="HWX140" s="3"/>
      <c r="HWY140" s="3"/>
      <c r="HWZ140" s="3"/>
      <c r="HXA140" s="3"/>
      <c r="HXB140" s="3"/>
      <c r="HXC140" s="3"/>
      <c r="HXD140" s="3"/>
      <c r="HXE140" s="3"/>
      <c r="HXF140" s="3"/>
      <c r="HXG140" s="3"/>
      <c r="HXH140" s="3"/>
      <c r="HXI140" s="3"/>
      <c r="HXJ140" s="3"/>
      <c r="HXK140" s="3"/>
      <c r="HXL140" s="3"/>
      <c r="HXM140" s="3"/>
      <c r="HXN140" s="3"/>
      <c r="HXO140" s="3"/>
      <c r="HXP140" s="3"/>
      <c r="HXQ140" s="3"/>
      <c r="HXR140" s="3"/>
      <c r="HXS140" s="3"/>
      <c r="HXT140" s="3"/>
      <c r="HXU140" s="3"/>
      <c r="HXV140" s="3"/>
      <c r="HXW140" s="3"/>
      <c r="HXX140" s="3"/>
      <c r="HXY140" s="3"/>
      <c r="HXZ140" s="3"/>
      <c r="HYA140" s="3"/>
      <c r="HYB140" s="3"/>
      <c r="HYC140" s="3"/>
      <c r="HYD140" s="3"/>
      <c r="HYE140" s="3"/>
      <c r="HYF140" s="3"/>
      <c r="HYG140" s="3"/>
      <c r="HYH140" s="3"/>
      <c r="HYI140" s="3"/>
      <c r="HYJ140" s="3"/>
      <c r="HYK140" s="3"/>
      <c r="HYL140" s="3"/>
      <c r="HYM140" s="3"/>
      <c r="HYN140" s="3"/>
      <c r="HYO140" s="3"/>
      <c r="HYP140" s="3"/>
      <c r="HYQ140" s="3"/>
      <c r="HYR140" s="3"/>
      <c r="HYS140" s="3"/>
      <c r="HYT140" s="3"/>
      <c r="HYU140" s="3"/>
      <c r="HYV140" s="3"/>
      <c r="HYW140" s="3"/>
      <c r="HYX140" s="3"/>
      <c r="HYY140" s="3"/>
      <c r="HYZ140" s="3"/>
      <c r="HZA140" s="3"/>
      <c r="HZB140" s="3"/>
      <c r="HZC140" s="3"/>
      <c r="HZD140" s="3"/>
      <c r="HZE140" s="3"/>
      <c r="HZF140" s="3"/>
      <c r="HZG140" s="3"/>
      <c r="HZH140" s="3"/>
      <c r="HZI140" s="3"/>
      <c r="HZJ140" s="3"/>
      <c r="HZK140" s="3"/>
      <c r="HZL140" s="3"/>
      <c r="HZM140" s="3"/>
      <c r="HZN140" s="3"/>
      <c r="HZO140" s="3"/>
      <c r="HZP140" s="3"/>
      <c r="HZQ140" s="3"/>
      <c r="HZR140" s="3"/>
      <c r="HZS140" s="3"/>
      <c r="HZT140" s="3"/>
      <c r="HZU140" s="3"/>
      <c r="HZV140" s="3"/>
      <c r="HZW140" s="3"/>
      <c r="HZX140" s="3"/>
      <c r="HZY140" s="3"/>
      <c r="HZZ140" s="3"/>
      <c r="IAA140" s="3"/>
      <c r="IAB140" s="3"/>
      <c r="IAC140" s="3"/>
      <c r="IAD140" s="3"/>
      <c r="IAE140" s="3"/>
      <c r="IAF140" s="3"/>
      <c r="IAG140" s="3"/>
      <c r="IAH140" s="3"/>
      <c r="IAI140" s="3"/>
      <c r="IAJ140" s="3"/>
      <c r="IAK140" s="3"/>
      <c r="IAL140" s="3"/>
      <c r="IAM140" s="3"/>
      <c r="IAN140" s="3"/>
      <c r="IAO140" s="3"/>
      <c r="IAP140" s="3"/>
      <c r="IAQ140" s="3"/>
      <c r="IAR140" s="3"/>
      <c r="IAS140" s="3"/>
      <c r="IAT140" s="3"/>
      <c r="IAU140" s="3"/>
      <c r="IAV140" s="3"/>
      <c r="IAW140" s="3"/>
      <c r="IAX140" s="3"/>
      <c r="IAY140" s="3"/>
      <c r="IAZ140" s="3"/>
      <c r="IBA140" s="3"/>
      <c r="IBB140" s="3"/>
      <c r="IBC140" s="3"/>
      <c r="IBD140" s="3"/>
      <c r="IBE140" s="3"/>
      <c r="IBF140" s="3"/>
      <c r="IBG140" s="3"/>
      <c r="IBH140" s="3"/>
      <c r="IBI140" s="3"/>
      <c r="IBJ140" s="3"/>
      <c r="IBK140" s="3"/>
      <c r="IBL140" s="3"/>
      <c r="IBM140" s="3"/>
      <c r="IBN140" s="3"/>
      <c r="IBO140" s="3"/>
      <c r="IBP140" s="3"/>
      <c r="IBQ140" s="3"/>
      <c r="IBR140" s="3"/>
      <c r="IBS140" s="3"/>
      <c r="IBT140" s="3"/>
      <c r="IBU140" s="3"/>
      <c r="IBV140" s="3"/>
      <c r="IBW140" s="3"/>
      <c r="IBX140" s="3"/>
      <c r="IBY140" s="3"/>
      <c r="IBZ140" s="3"/>
      <c r="ICA140" s="3"/>
      <c r="ICB140" s="3"/>
      <c r="ICC140" s="3"/>
      <c r="ICD140" s="3"/>
      <c r="ICE140" s="3"/>
      <c r="ICF140" s="3"/>
      <c r="ICG140" s="3"/>
      <c r="ICH140" s="3"/>
      <c r="ICI140" s="3"/>
      <c r="ICJ140" s="3"/>
      <c r="ICK140" s="3"/>
      <c r="ICL140" s="3"/>
      <c r="ICM140" s="3"/>
      <c r="ICN140" s="3"/>
      <c r="ICO140" s="3"/>
      <c r="ICP140" s="3"/>
      <c r="ICQ140" s="3"/>
      <c r="ICR140" s="3"/>
      <c r="ICS140" s="3"/>
      <c r="ICT140" s="3"/>
      <c r="ICU140" s="3"/>
      <c r="ICV140" s="3"/>
      <c r="ICW140" s="3"/>
      <c r="ICX140" s="3"/>
      <c r="ICY140" s="3"/>
      <c r="ICZ140" s="3"/>
      <c r="IDA140" s="3"/>
      <c r="IDB140" s="3"/>
      <c r="IDC140" s="3"/>
      <c r="IDD140" s="3"/>
      <c r="IDE140" s="3"/>
      <c r="IDF140" s="3"/>
      <c r="IDG140" s="3"/>
      <c r="IDH140" s="3"/>
      <c r="IDI140" s="3"/>
      <c r="IDJ140" s="3"/>
      <c r="IDK140" s="3"/>
      <c r="IDL140" s="3"/>
      <c r="IDM140" s="3"/>
      <c r="IDN140" s="3"/>
      <c r="IDO140" s="3"/>
      <c r="IDP140" s="3"/>
      <c r="IDQ140" s="3"/>
      <c r="IDR140" s="3"/>
      <c r="IDS140" s="3"/>
      <c r="IDT140" s="3"/>
      <c r="IDU140" s="3"/>
      <c r="IDV140" s="3"/>
      <c r="IDW140" s="3"/>
      <c r="IDX140" s="3"/>
      <c r="IDY140" s="3"/>
      <c r="IDZ140" s="3"/>
      <c r="IEA140" s="3"/>
      <c r="IEB140" s="3"/>
      <c r="IEC140" s="3"/>
      <c r="IED140" s="3"/>
      <c r="IEE140" s="3"/>
      <c r="IEF140" s="3"/>
      <c r="IEG140" s="3"/>
      <c r="IEH140" s="3"/>
      <c r="IEI140" s="3"/>
      <c r="IEJ140" s="3"/>
      <c r="IEK140" s="3"/>
      <c r="IEL140" s="3"/>
      <c r="IEM140" s="3"/>
      <c r="IEN140" s="3"/>
      <c r="IEO140" s="3"/>
      <c r="IEP140" s="3"/>
      <c r="IEQ140" s="3"/>
      <c r="IER140" s="3"/>
      <c r="IES140" s="3"/>
      <c r="IET140" s="3"/>
      <c r="IEU140" s="3"/>
      <c r="IEV140" s="3"/>
      <c r="IEW140" s="3"/>
      <c r="IEX140" s="3"/>
      <c r="IEY140" s="3"/>
      <c r="IEZ140" s="3"/>
      <c r="IFA140" s="3"/>
      <c r="IFB140" s="3"/>
      <c r="IFC140" s="3"/>
      <c r="IFD140" s="3"/>
      <c r="IFE140" s="3"/>
      <c r="IFF140" s="3"/>
      <c r="IFG140" s="3"/>
      <c r="IFH140" s="3"/>
      <c r="IFI140" s="3"/>
      <c r="IFJ140" s="3"/>
      <c r="IFK140" s="3"/>
      <c r="IFL140" s="3"/>
      <c r="IFM140" s="3"/>
      <c r="IFN140" s="3"/>
      <c r="IFO140" s="3"/>
      <c r="IFP140" s="3"/>
      <c r="IFQ140" s="3"/>
      <c r="IFR140" s="3"/>
      <c r="IFS140" s="3"/>
      <c r="IFT140" s="3"/>
      <c r="IFU140" s="3"/>
      <c r="IFV140" s="3"/>
      <c r="IFW140" s="3"/>
      <c r="IFX140" s="3"/>
      <c r="IFY140" s="3"/>
      <c r="IFZ140" s="3"/>
      <c r="IGA140" s="3"/>
      <c r="IGB140" s="3"/>
      <c r="IGC140" s="3"/>
      <c r="IGD140" s="3"/>
      <c r="IGE140" s="3"/>
      <c r="IGF140" s="3"/>
      <c r="IGG140" s="3"/>
      <c r="IGH140" s="3"/>
      <c r="IGI140" s="3"/>
      <c r="IGJ140" s="3"/>
      <c r="IGK140" s="3"/>
      <c r="IGL140" s="3"/>
      <c r="IGM140" s="3"/>
      <c r="IGN140" s="3"/>
      <c r="IGO140" s="3"/>
      <c r="IGP140" s="3"/>
      <c r="IGQ140" s="3"/>
      <c r="IGR140" s="3"/>
      <c r="IGS140" s="3"/>
      <c r="IGT140" s="3"/>
      <c r="IGU140" s="3"/>
      <c r="IGV140" s="3"/>
      <c r="IGW140" s="3"/>
      <c r="IGX140" s="3"/>
      <c r="IGY140" s="3"/>
      <c r="IGZ140" s="3"/>
      <c r="IHA140" s="3"/>
      <c r="IHB140" s="3"/>
      <c r="IHC140" s="3"/>
      <c r="IHD140" s="3"/>
      <c r="IHE140" s="3"/>
      <c r="IHF140" s="3"/>
      <c r="IHG140" s="3"/>
      <c r="IHH140" s="3"/>
      <c r="IHI140" s="3"/>
      <c r="IHJ140" s="3"/>
      <c r="IHK140" s="3"/>
      <c r="IHL140" s="3"/>
      <c r="IHM140" s="3"/>
      <c r="IHN140" s="3"/>
      <c r="IHO140" s="3"/>
      <c r="IHP140" s="3"/>
      <c r="IHQ140" s="3"/>
      <c r="IHR140" s="3"/>
      <c r="IHS140" s="3"/>
      <c r="IHT140" s="3"/>
      <c r="IHU140" s="3"/>
      <c r="IHV140" s="3"/>
      <c r="IHW140" s="3"/>
      <c r="IHX140" s="3"/>
      <c r="IHY140" s="3"/>
      <c r="IHZ140" s="3"/>
      <c r="IIA140" s="3"/>
      <c r="IIB140" s="3"/>
      <c r="IIC140" s="3"/>
      <c r="IID140" s="3"/>
      <c r="IIE140" s="3"/>
      <c r="IIF140" s="3"/>
      <c r="IIG140" s="3"/>
      <c r="IIH140" s="3"/>
      <c r="III140" s="3"/>
      <c r="IIJ140" s="3"/>
      <c r="IIK140" s="3"/>
      <c r="IIL140" s="3"/>
      <c r="IIM140" s="3"/>
      <c r="IIN140" s="3"/>
      <c r="IIO140" s="3"/>
      <c r="IIP140" s="3"/>
      <c r="IIQ140" s="3"/>
      <c r="IIR140" s="3"/>
      <c r="IIS140" s="3"/>
      <c r="IIT140" s="3"/>
      <c r="IIU140" s="3"/>
      <c r="IIV140" s="3"/>
      <c r="IIW140" s="3"/>
      <c r="IIX140" s="3"/>
      <c r="IIY140" s="3"/>
      <c r="IIZ140" s="3"/>
      <c r="IJA140" s="3"/>
      <c r="IJB140" s="3"/>
      <c r="IJC140" s="3"/>
      <c r="IJD140" s="3"/>
      <c r="IJE140" s="3"/>
      <c r="IJF140" s="3"/>
      <c r="IJG140" s="3"/>
      <c r="IJH140" s="3"/>
      <c r="IJI140" s="3"/>
      <c r="IJJ140" s="3"/>
      <c r="IJK140" s="3"/>
      <c r="IJL140" s="3"/>
      <c r="IJM140" s="3"/>
      <c r="IJN140" s="3"/>
      <c r="IJO140" s="3"/>
      <c r="IJP140" s="3"/>
      <c r="IJQ140" s="3"/>
      <c r="IJR140" s="3"/>
      <c r="IJS140" s="3"/>
      <c r="IJT140" s="3"/>
      <c r="IJU140" s="3"/>
      <c r="IJV140" s="3"/>
      <c r="IJW140" s="3"/>
      <c r="IJX140" s="3"/>
      <c r="IJY140" s="3"/>
      <c r="IJZ140" s="3"/>
      <c r="IKA140" s="3"/>
      <c r="IKB140" s="3"/>
      <c r="IKC140" s="3"/>
      <c r="IKD140" s="3"/>
      <c r="IKE140" s="3"/>
      <c r="IKF140" s="3"/>
      <c r="IKG140" s="3"/>
      <c r="IKH140" s="3"/>
      <c r="IKI140" s="3"/>
      <c r="IKJ140" s="3"/>
      <c r="IKK140" s="3"/>
      <c r="IKL140" s="3"/>
      <c r="IKM140" s="3"/>
      <c r="IKN140" s="3"/>
      <c r="IKO140" s="3"/>
      <c r="IKP140" s="3"/>
      <c r="IKQ140" s="3"/>
      <c r="IKR140" s="3"/>
      <c r="IKS140" s="3"/>
      <c r="IKT140" s="3"/>
      <c r="IKU140" s="3"/>
      <c r="IKV140" s="3"/>
      <c r="IKW140" s="3"/>
      <c r="IKX140" s="3"/>
      <c r="IKY140" s="3"/>
      <c r="IKZ140" s="3"/>
      <c r="ILA140" s="3"/>
      <c r="ILB140" s="3"/>
      <c r="ILC140" s="3"/>
      <c r="ILD140" s="3"/>
      <c r="ILE140" s="3"/>
      <c r="ILF140" s="3"/>
      <c r="ILG140" s="3"/>
      <c r="ILH140" s="3"/>
      <c r="ILI140" s="3"/>
      <c r="ILJ140" s="3"/>
      <c r="ILK140" s="3"/>
      <c r="ILL140" s="3"/>
      <c r="ILM140" s="3"/>
      <c r="ILN140" s="3"/>
      <c r="ILO140" s="3"/>
      <c r="ILP140" s="3"/>
      <c r="ILQ140" s="3"/>
      <c r="ILR140" s="3"/>
      <c r="ILS140" s="3"/>
      <c r="ILT140" s="3"/>
      <c r="ILU140" s="3"/>
      <c r="ILV140" s="3"/>
      <c r="ILW140" s="3"/>
      <c r="ILX140" s="3"/>
      <c r="ILY140" s="3"/>
      <c r="ILZ140" s="3"/>
      <c r="IMA140" s="3"/>
      <c r="IMB140" s="3"/>
      <c r="IMC140" s="3"/>
      <c r="IMD140" s="3"/>
      <c r="IME140" s="3"/>
      <c r="IMF140" s="3"/>
      <c r="IMG140" s="3"/>
      <c r="IMH140" s="3"/>
      <c r="IMI140" s="3"/>
      <c r="IMJ140" s="3"/>
      <c r="IMK140" s="3"/>
      <c r="IML140" s="3"/>
      <c r="IMM140" s="3"/>
      <c r="IMN140" s="3"/>
      <c r="IMO140" s="3"/>
      <c r="IMP140" s="3"/>
      <c r="IMQ140" s="3"/>
      <c r="IMR140" s="3"/>
      <c r="IMS140" s="3"/>
      <c r="IMT140" s="3"/>
      <c r="IMU140" s="3"/>
      <c r="IMV140" s="3"/>
      <c r="IMW140" s="3"/>
      <c r="IMX140" s="3"/>
      <c r="IMY140" s="3"/>
      <c r="IMZ140" s="3"/>
      <c r="INA140" s="3"/>
      <c r="INB140" s="3"/>
      <c r="INC140" s="3"/>
      <c r="IND140" s="3"/>
      <c r="INE140" s="3"/>
      <c r="INF140" s="3"/>
      <c r="ING140" s="3"/>
      <c r="INH140" s="3"/>
      <c r="INI140" s="3"/>
      <c r="INJ140" s="3"/>
      <c r="INK140" s="3"/>
      <c r="INL140" s="3"/>
      <c r="INM140" s="3"/>
      <c r="INN140" s="3"/>
      <c r="INO140" s="3"/>
      <c r="INP140" s="3"/>
      <c r="INQ140" s="3"/>
      <c r="INR140" s="3"/>
      <c r="INS140" s="3"/>
      <c r="INT140" s="3"/>
      <c r="INU140" s="3"/>
      <c r="INV140" s="3"/>
      <c r="INW140" s="3"/>
      <c r="INX140" s="3"/>
      <c r="INY140" s="3"/>
      <c r="INZ140" s="3"/>
      <c r="IOA140" s="3"/>
      <c r="IOB140" s="3"/>
      <c r="IOC140" s="3"/>
      <c r="IOD140" s="3"/>
      <c r="IOE140" s="3"/>
      <c r="IOF140" s="3"/>
      <c r="IOG140" s="3"/>
      <c r="IOH140" s="3"/>
      <c r="IOI140" s="3"/>
      <c r="IOJ140" s="3"/>
      <c r="IOK140" s="3"/>
      <c r="IOL140" s="3"/>
      <c r="IOM140" s="3"/>
      <c r="ION140" s="3"/>
      <c r="IOO140" s="3"/>
      <c r="IOP140" s="3"/>
      <c r="IOQ140" s="3"/>
      <c r="IOR140" s="3"/>
      <c r="IOS140" s="3"/>
      <c r="IOT140" s="3"/>
      <c r="IOU140" s="3"/>
      <c r="IOV140" s="3"/>
      <c r="IOW140" s="3"/>
      <c r="IOX140" s="3"/>
      <c r="IOY140" s="3"/>
      <c r="IOZ140" s="3"/>
      <c r="IPA140" s="3"/>
      <c r="IPB140" s="3"/>
      <c r="IPC140" s="3"/>
      <c r="IPD140" s="3"/>
      <c r="IPE140" s="3"/>
      <c r="IPF140" s="3"/>
      <c r="IPG140" s="3"/>
      <c r="IPH140" s="3"/>
      <c r="IPI140" s="3"/>
      <c r="IPJ140" s="3"/>
      <c r="IPK140" s="3"/>
      <c r="IPL140" s="3"/>
      <c r="IPM140" s="3"/>
      <c r="IPN140" s="3"/>
      <c r="IPO140" s="3"/>
      <c r="IPP140" s="3"/>
      <c r="IPQ140" s="3"/>
      <c r="IPR140" s="3"/>
      <c r="IPS140" s="3"/>
      <c r="IPT140" s="3"/>
      <c r="IPU140" s="3"/>
      <c r="IPV140" s="3"/>
      <c r="IPW140" s="3"/>
      <c r="IPX140" s="3"/>
      <c r="IPY140" s="3"/>
      <c r="IPZ140" s="3"/>
      <c r="IQA140" s="3"/>
      <c r="IQB140" s="3"/>
      <c r="IQC140" s="3"/>
      <c r="IQD140" s="3"/>
      <c r="IQE140" s="3"/>
      <c r="IQF140" s="3"/>
      <c r="IQG140" s="3"/>
      <c r="IQH140" s="3"/>
      <c r="IQI140" s="3"/>
      <c r="IQJ140" s="3"/>
      <c r="IQK140" s="3"/>
      <c r="IQL140" s="3"/>
      <c r="IQM140" s="3"/>
      <c r="IQN140" s="3"/>
      <c r="IQO140" s="3"/>
      <c r="IQP140" s="3"/>
      <c r="IQQ140" s="3"/>
      <c r="IQR140" s="3"/>
      <c r="IQS140" s="3"/>
      <c r="IQT140" s="3"/>
      <c r="IQU140" s="3"/>
      <c r="IQV140" s="3"/>
      <c r="IQW140" s="3"/>
      <c r="IQX140" s="3"/>
      <c r="IQY140" s="3"/>
      <c r="IQZ140" s="3"/>
      <c r="IRA140" s="3"/>
      <c r="IRB140" s="3"/>
      <c r="IRC140" s="3"/>
      <c r="IRD140" s="3"/>
      <c r="IRE140" s="3"/>
      <c r="IRF140" s="3"/>
      <c r="IRG140" s="3"/>
      <c r="IRH140" s="3"/>
      <c r="IRI140" s="3"/>
      <c r="IRJ140" s="3"/>
      <c r="IRK140" s="3"/>
      <c r="IRL140" s="3"/>
      <c r="IRM140" s="3"/>
      <c r="IRN140" s="3"/>
      <c r="IRO140" s="3"/>
      <c r="IRP140" s="3"/>
      <c r="IRQ140" s="3"/>
      <c r="IRR140" s="3"/>
      <c r="IRS140" s="3"/>
      <c r="IRT140" s="3"/>
      <c r="IRU140" s="3"/>
      <c r="IRV140" s="3"/>
      <c r="IRW140" s="3"/>
      <c r="IRX140" s="3"/>
      <c r="IRY140" s="3"/>
      <c r="IRZ140" s="3"/>
      <c r="ISA140" s="3"/>
      <c r="ISB140" s="3"/>
      <c r="ISC140" s="3"/>
      <c r="ISD140" s="3"/>
      <c r="ISE140" s="3"/>
      <c r="ISF140" s="3"/>
      <c r="ISG140" s="3"/>
      <c r="ISH140" s="3"/>
      <c r="ISI140" s="3"/>
      <c r="ISJ140" s="3"/>
      <c r="ISK140" s="3"/>
      <c r="ISL140" s="3"/>
      <c r="ISM140" s="3"/>
      <c r="ISN140" s="3"/>
      <c r="ISO140" s="3"/>
      <c r="ISP140" s="3"/>
      <c r="ISQ140" s="3"/>
      <c r="ISR140" s="3"/>
      <c r="ISS140" s="3"/>
      <c r="IST140" s="3"/>
      <c r="ISU140" s="3"/>
      <c r="ISV140" s="3"/>
      <c r="ISW140" s="3"/>
      <c r="ISX140" s="3"/>
      <c r="ISY140" s="3"/>
      <c r="ISZ140" s="3"/>
      <c r="ITA140" s="3"/>
      <c r="ITB140" s="3"/>
      <c r="ITC140" s="3"/>
      <c r="ITD140" s="3"/>
      <c r="ITE140" s="3"/>
      <c r="ITF140" s="3"/>
      <c r="ITG140" s="3"/>
      <c r="ITH140" s="3"/>
      <c r="ITI140" s="3"/>
      <c r="ITJ140" s="3"/>
      <c r="ITK140" s="3"/>
      <c r="ITL140" s="3"/>
      <c r="ITM140" s="3"/>
      <c r="ITN140" s="3"/>
      <c r="ITO140" s="3"/>
      <c r="ITP140" s="3"/>
      <c r="ITQ140" s="3"/>
      <c r="ITR140" s="3"/>
      <c r="ITS140" s="3"/>
      <c r="ITT140" s="3"/>
      <c r="ITU140" s="3"/>
      <c r="ITV140" s="3"/>
      <c r="ITW140" s="3"/>
      <c r="ITX140" s="3"/>
      <c r="ITY140" s="3"/>
      <c r="ITZ140" s="3"/>
      <c r="IUA140" s="3"/>
      <c r="IUB140" s="3"/>
      <c r="IUC140" s="3"/>
      <c r="IUD140" s="3"/>
      <c r="IUE140" s="3"/>
      <c r="IUF140" s="3"/>
      <c r="IUG140" s="3"/>
      <c r="IUH140" s="3"/>
      <c r="IUI140" s="3"/>
      <c r="IUJ140" s="3"/>
      <c r="IUK140" s="3"/>
      <c r="IUL140" s="3"/>
      <c r="IUM140" s="3"/>
      <c r="IUN140" s="3"/>
      <c r="IUO140" s="3"/>
      <c r="IUP140" s="3"/>
      <c r="IUQ140" s="3"/>
      <c r="IUR140" s="3"/>
      <c r="IUS140" s="3"/>
      <c r="IUT140" s="3"/>
      <c r="IUU140" s="3"/>
      <c r="IUV140" s="3"/>
      <c r="IUW140" s="3"/>
      <c r="IUX140" s="3"/>
      <c r="IUY140" s="3"/>
      <c r="IUZ140" s="3"/>
      <c r="IVA140" s="3"/>
      <c r="IVB140" s="3"/>
      <c r="IVC140" s="3"/>
      <c r="IVD140" s="3"/>
      <c r="IVE140" s="3"/>
      <c r="IVF140" s="3"/>
      <c r="IVG140" s="3"/>
      <c r="IVH140" s="3"/>
      <c r="IVI140" s="3"/>
      <c r="IVJ140" s="3"/>
      <c r="IVK140" s="3"/>
      <c r="IVL140" s="3"/>
      <c r="IVM140" s="3"/>
      <c r="IVN140" s="3"/>
      <c r="IVO140" s="3"/>
      <c r="IVP140" s="3"/>
      <c r="IVQ140" s="3"/>
      <c r="IVR140" s="3"/>
      <c r="IVS140" s="3"/>
      <c r="IVT140" s="3"/>
      <c r="IVU140" s="3"/>
      <c r="IVV140" s="3"/>
      <c r="IVW140" s="3"/>
      <c r="IVX140" s="3"/>
      <c r="IVY140" s="3"/>
      <c r="IVZ140" s="3"/>
      <c r="IWA140" s="3"/>
      <c r="IWB140" s="3"/>
      <c r="IWC140" s="3"/>
      <c r="IWD140" s="3"/>
      <c r="IWE140" s="3"/>
      <c r="IWF140" s="3"/>
      <c r="IWG140" s="3"/>
      <c r="IWH140" s="3"/>
      <c r="IWI140" s="3"/>
      <c r="IWJ140" s="3"/>
      <c r="IWK140" s="3"/>
      <c r="IWL140" s="3"/>
      <c r="IWM140" s="3"/>
      <c r="IWN140" s="3"/>
      <c r="IWO140" s="3"/>
      <c r="IWP140" s="3"/>
      <c r="IWQ140" s="3"/>
      <c r="IWR140" s="3"/>
      <c r="IWS140" s="3"/>
      <c r="IWT140" s="3"/>
      <c r="IWU140" s="3"/>
      <c r="IWV140" s="3"/>
      <c r="IWW140" s="3"/>
      <c r="IWX140" s="3"/>
      <c r="IWY140" s="3"/>
      <c r="IWZ140" s="3"/>
      <c r="IXA140" s="3"/>
      <c r="IXB140" s="3"/>
      <c r="IXC140" s="3"/>
      <c r="IXD140" s="3"/>
      <c r="IXE140" s="3"/>
      <c r="IXF140" s="3"/>
      <c r="IXG140" s="3"/>
      <c r="IXH140" s="3"/>
      <c r="IXI140" s="3"/>
      <c r="IXJ140" s="3"/>
      <c r="IXK140" s="3"/>
      <c r="IXL140" s="3"/>
      <c r="IXM140" s="3"/>
      <c r="IXN140" s="3"/>
      <c r="IXO140" s="3"/>
      <c r="IXP140" s="3"/>
      <c r="IXQ140" s="3"/>
      <c r="IXR140" s="3"/>
      <c r="IXS140" s="3"/>
      <c r="IXT140" s="3"/>
      <c r="IXU140" s="3"/>
      <c r="IXV140" s="3"/>
      <c r="IXW140" s="3"/>
      <c r="IXX140" s="3"/>
      <c r="IXY140" s="3"/>
      <c r="IXZ140" s="3"/>
      <c r="IYA140" s="3"/>
      <c r="IYB140" s="3"/>
      <c r="IYC140" s="3"/>
      <c r="IYD140" s="3"/>
      <c r="IYE140" s="3"/>
      <c r="IYF140" s="3"/>
      <c r="IYG140" s="3"/>
      <c r="IYH140" s="3"/>
      <c r="IYI140" s="3"/>
      <c r="IYJ140" s="3"/>
      <c r="IYK140" s="3"/>
      <c r="IYL140" s="3"/>
      <c r="IYM140" s="3"/>
      <c r="IYN140" s="3"/>
      <c r="IYO140" s="3"/>
      <c r="IYP140" s="3"/>
      <c r="IYQ140" s="3"/>
      <c r="IYR140" s="3"/>
      <c r="IYS140" s="3"/>
      <c r="IYT140" s="3"/>
      <c r="IYU140" s="3"/>
      <c r="IYV140" s="3"/>
      <c r="IYW140" s="3"/>
      <c r="IYX140" s="3"/>
      <c r="IYY140" s="3"/>
      <c r="IYZ140" s="3"/>
      <c r="IZA140" s="3"/>
      <c r="IZB140" s="3"/>
      <c r="IZC140" s="3"/>
      <c r="IZD140" s="3"/>
      <c r="IZE140" s="3"/>
      <c r="IZF140" s="3"/>
      <c r="IZG140" s="3"/>
      <c r="IZH140" s="3"/>
      <c r="IZI140" s="3"/>
      <c r="IZJ140" s="3"/>
      <c r="IZK140" s="3"/>
      <c r="IZL140" s="3"/>
      <c r="IZM140" s="3"/>
      <c r="IZN140" s="3"/>
      <c r="IZO140" s="3"/>
      <c r="IZP140" s="3"/>
      <c r="IZQ140" s="3"/>
      <c r="IZR140" s="3"/>
      <c r="IZS140" s="3"/>
      <c r="IZT140" s="3"/>
      <c r="IZU140" s="3"/>
      <c r="IZV140" s="3"/>
      <c r="IZW140" s="3"/>
      <c r="IZX140" s="3"/>
      <c r="IZY140" s="3"/>
      <c r="IZZ140" s="3"/>
      <c r="JAA140" s="3"/>
      <c r="JAB140" s="3"/>
      <c r="JAC140" s="3"/>
      <c r="JAD140" s="3"/>
      <c r="JAE140" s="3"/>
      <c r="JAF140" s="3"/>
      <c r="JAG140" s="3"/>
      <c r="JAH140" s="3"/>
      <c r="JAI140" s="3"/>
      <c r="JAJ140" s="3"/>
      <c r="JAK140" s="3"/>
      <c r="JAL140" s="3"/>
      <c r="JAM140" s="3"/>
      <c r="JAN140" s="3"/>
      <c r="JAO140" s="3"/>
      <c r="JAP140" s="3"/>
      <c r="JAQ140" s="3"/>
      <c r="JAR140" s="3"/>
      <c r="JAS140" s="3"/>
      <c r="JAT140" s="3"/>
      <c r="JAU140" s="3"/>
      <c r="JAV140" s="3"/>
      <c r="JAW140" s="3"/>
      <c r="JAX140" s="3"/>
      <c r="JAY140" s="3"/>
      <c r="JAZ140" s="3"/>
      <c r="JBA140" s="3"/>
      <c r="JBB140" s="3"/>
      <c r="JBC140" s="3"/>
      <c r="JBD140" s="3"/>
      <c r="JBE140" s="3"/>
      <c r="JBF140" s="3"/>
      <c r="JBG140" s="3"/>
      <c r="JBH140" s="3"/>
      <c r="JBI140" s="3"/>
      <c r="JBJ140" s="3"/>
      <c r="JBK140" s="3"/>
      <c r="JBL140" s="3"/>
      <c r="JBM140" s="3"/>
      <c r="JBN140" s="3"/>
      <c r="JBO140" s="3"/>
      <c r="JBP140" s="3"/>
      <c r="JBQ140" s="3"/>
      <c r="JBR140" s="3"/>
      <c r="JBS140" s="3"/>
      <c r="JBT140" s="3"/>
      <c r="JBU140" s="3"/>
      <c r="JBV140" s="3"/>
      <c r="JBW140" s="3"/>
      <c r="JBX140" s="3"/>
      <c r="JBY140" s="3"/>
      <c r="JBZ140" s="3"/>
      <c r="JCA140" s="3"/>
      <c r="JCB140" s="3"/>
      <c r="JCC140" s="3"/>
      <c r="JCD140" s="3"/>
      <c r="JCE140" s="3"/>
      <c r="JCF140" s="3"/>
      <c r="JCG140" s="3"/>
      <c r="JCH140" s="3"/>
      <c r="JCI140" s="3"/>
      <c r="JCJ140" s="3"/>
      <c r="JCK140" s="3"/>
      <c r="JCL140" s="3"/>
      <c r="JCM140" s="3"/>
      <c r="JCN140" s="3"/>
      <c r="JCO140" s="3"/>
      <c r="JCP140" s="3"/>
      <c r="JCQ140" s="3"/>
      <c r="JCR140" s="3"/>
      <c r="JCS140" s="3"/>
      <c r="JCT140" s="3"/>
      <c r="JCU140" s="3"/>
      <c r="JCV140" s="3"/>
      <c r="JCW140" s="3"/>
      <c r="JCX140" s="3"/>
      <c r="JCY140" s="3"/>
      <c r="JCZ140" s="3"/>
      <c r="JDA140" s="3"/>
      <c r="JDB140" s="3"/>
      <c r="JDC140" s="3"/>
      <c r="JDD140" s="3"/>
      <c r="JDE140" s="3"/>
      <c r="JDF140" s="3"/>
      <c r="JDG140" s="3"/>
      <c r="JDH140" s="3"/>
      <c r="JDI140" s="3"/>
      <c r="JDJ140" s="3"/>
      <c r="JDK140" s="3"/>
      <c r="JDL140" s="3"/>
      <c r="JDM140" s="3"/>
      <c r="JDN140" s="3"/>
      <c r="JDO140" s="3"/>
      <c r="JDP140" s="3"/>
      <c r="JDQ140" s="3"/>
      <c r="JDR140" s="3"/>
      <c r="JDS140" s="3"/>
      <c r="JDT140" s="3"/>
      <c r="JDU140" s="3"/>
      <c r="JDV140" s="3"/>
      <c r="JDW140" s="3"/>
      <c r="JDX140" s="3"/>
      <c r="JDY140" s="3"/>
      <c r="JDZ140" s="3"/>
      <c r="JEA140" s="3"/>
      <c r="JEB140" s="3"/>
      <c r="JEC140" s="3"/>
      <c r="JED140" s="3"/>
      <c r="JEE140" s="3"/>
      <c r="JEF140" s="3"/>
      <c r="JEG140" s="3"/>
      <c r="JEH140" s="3"/>
      <c r="JEI140" s="3"/>
      <c r="JEJ140" s="3"/>
      <c r="JEK140" s="3"/>
      <c r="JEL140" s="3"/>
      <c r="JEM140" s="3"/>
      <c r="JEN140" s="3"/>
      <c r="JEO140" s="3"/>
      <c r="JEP140" s="3"/>
      <c r="JEQ140" s="3"/>
      <c r="JER140" s="3"/>
      <c r="JES140" s="3"/>
      <c r="JET140" s="3"/>
      <c r="JEU140" s="3"/>
      <c r="JEV140" s="3"/>
      <c r="JEW140" s="3"/>
      <c r="JEX140" s="3"/>
      <c r="JEY140" s="3"/>
      <c r="JEZ140" s="3"/>
      <c r="JFA140" s="3"/>
      <c r="JFB140" s="3"/>
      <c r="JFC140" s="3"/>
      <c r="JFD140" s="3"/>
      <c r="JFE140" s="3"/>
      <c r="JFF140" s="3"/>
      <c r="JFG140" s="3"/>
      <c r="JFH140" s="3"/>
      <c r="JFI140" s="3"/>
      <c r="JFJ140" s="3"/>
      <c r="JFK140" s="3"/>
      <c r="JFL140" s="3"/>
      <c r="JFM140" s="3"/>
      <c r="JFN140" s="3"/>
      <c r="JFO140" s="3"/>
      <c r="JFP140" s="3"/>
      <c r="JFQ140" s="3"/>
      <c r="JFR140" s="3"/>
      <c r="JFS140" s="3"/>
      <c r="JFT140" s="3"/>
      <c r="JFU140" s="3"/>
      <c r="JFV140" s="3"/>
      <c r="JFW140" s="3"/>
      <c r="JFX140" s="3"/>
      <c r="JFY140" s="3"/>
      <c r="JFZ140" s="3"/>
      <c r="JGA140" s="3"/>
      <c r="JGB140" s="3"/>
      <c r="JGC140" s="3"/>
      <c r="JGD140" s="3"/>
      <c r="JGE140" s="3"/>
      <c r="JGF140" s="3"/>
      <c r="JGG140" s="3"/>
      <c r="JGH140" s="3"/>
      <c r="JGI140" s="3"/>
      <c r="JGJ140" s="3"/>
      <c r="JGK140" s="3"/>
      <c r="JGL140" s="3"/>
      <c r="JGM140" s="3"/>
      <c r="JGN140" s="3"/>
      <c r="JGO140" s="3"/>
      <c r="JGP140" s="3"/>
      <c r="JGQ140" s="3"/>
      <c r="JGR140" s="3"/>
      <c r="JGS140" s="3"/>
      <c r="JGT140" s="3"/>
      <c r="JGU140" s="3"/>
      <c r="JGV140" s="3"/>
      <c r="JGW140" s="3"/>
      <c r="JGX140" s="3"/>
      <c r="JGY140" s="3"/>
      <c r="JGZ140" s="3"/>
      <c r="JHA140" s="3"/>
      <c r="JHB140" s="3"/>
      <c r="JHC140" s="3"/>
      <c r="JHD140" s="3"/>
      <c r="JHE140" s="3"/>
      <c r="JHF140" s="3"/>
      <c r="JHG140" s="3"/>
      <c r="JHH140" s="3"/>
      <c r="JHI140" s="3"/>
      <c r="JHJ140" s="3"/>
      <c r="JHK140" s="3"/>
      <c r="JHL140" s="3"/>
      <c r="JHM140" s="3"/>
      <c r="JHN140" s="3"/>
      <c r="JHO140" s="3"/>
      <c r="JHP140" s="3"/>
      <c r="JHQ140" s="3"/>
      <c r="JHR140" s="3"/>
      <c r="JHS140" s="3"/>
      <c r="JHT140" s="3"/>
      <c r="JHU140" s="3"/>
      <c r="JHV140" s="3"/>
      <c r="JHW140" s="3"/>
      <c r="JHX140" s="3"/>
      <c r="JHY140" s="3"/>
      <c r="JHZ140" s="3"/>
      <c r="JIA140" s="3"/>
      <c r="JIB140" s="3"/>
      <c r="JIC140" s="3"/>
      <c r="JID140" s="3"/>
      <c r="JIE140" s="3"/>
      <c r="JIF140" s="3"/>
      <c r="JIG140" s="3"/>
      <c r="JIH140" s="3"/>
      <c r="JII140" s="3"/>
      <c r="JIJ140" s="3"/>
      <c r="JIK140" s="3"/>
      <c r="JIL140" s="3"/>
      <c r="JIM140" s="3"/>
      <c r="JIN140" s="3"/>
      <c r="JIO140" s="3"/>
      <c r="JIP140" s="3"/>
      <c r="JIQ140" s="3"/>
      <c r="JIR140" s="3"/>
      <c r="JIS140" s="3"/>
      <c r="JIT140" s="3"/>
      <c r="JIU140" s="3"/>
      <c r="JIV140" s="3"/>
      <c r="JIW140" s="3"/>
      <c r="JIX140" s="3"/>
      <c r="JIY140" s="3"/>
      <c r="JIZ140" s="3"/>
      <c r="JJA140" s="3"/>
      <c r="JJB140" s="3"/>
      <c r="JJC140" s="3"/>
      <c r="JJD140" s="3"/>
      <c r="JJE140" s="3"/>
      <c r="JJF140" s="3"/>
      <c r="JJG140" s="3"/>
      <c r="JJH140" s="3"/>
      <c r="JJI140" s="3"/>
      <c r="JJJ140" s="3"/>
      <c r="JJK140" s="3"/>
      <c r="JJL140" s="3"/>
      <c r="JJM140" s="3"/>
      <c r="JJN140" s="3"/>
      <c r="JJO140" s="3"/>
      <c r="JJP140" s="3"/>
      <c r="JJQ140" s="3"/>
      <c r="JJR140" s="3"/>
      <c r="JJS140" s="3"/>
      <c r="JJT140" s="3"/>
      <c r="JJU140" s="3"/>
      <c r="JJV140" s="3"/>
      <c r="JJW140" s="3"/>
      <c r="JJX140" s="3"/>
      <c r="JJY140" s="3"/>
      <c r="JJZ140" s="3"/>
      <c r="JKA140" s="3"/>
      <c r="JKB140" s="3"/>
      <c r="JKC140" s="3"/>
      <c r="JKD140" s="3"/>
      <c r="JKE140" s="3"/>
      <c r="JKF140" s="3"/>
      <c r="JKG140" s="3"/>
      <c r="JKH140" s="3"/>
      <c r="JKI140" s="3"/>
      <c r="JKJ140" s="3"/>
      <c r="JKK140" s="3"/>
      <c r="JKL140" s="3"/>
      <c r="JKM140" s="3"/>
      <c r="JKN140" s="3"/>
      <c r="JKO140" s="3"/>
      <c r="JKP140" s="3"/>
      <c r="JKQ140" s="3"/>
      <c r="JKR140" s="3"/>
      <c r="JKS140" s="3"/>
      <c r="JKT140" s="3"/>
      <c r="JKU140" s="3"/>
      <c r="JKV140" s="3"/>
      <c r="JKW140" s="3"/>
      <c r="JKX140" s="3"/>
      <c r="JKY140" s="3"/>
      <c r="JKZ140" s="3"/>
      <c r="JLA140" s="3"/>
      <c r="JLB140" s="3"/>
      <c r="JLC140" s="3"/>
      <c r="JLD140" s="3"/>
      <c r="JLE140" s="3"/>
      <c r="JLF140" s="3"/>
      <c r="JLG140" s="3"/>
      <c r="JLH140" s="3"/>
      <c r="JLI140" s="3"/>
      <c r="JLJ140" s="3"/>
      <c r="JLK140" s="3"/>
      <c r="JLL140" s="3"/>
      <c r="JLM140" s="3"/>
      <c r="JLN140" s="3"/>
      <c r="JLO140" s="3"/>
      <c r="JLP140" s="3"/>
      <c r="JLQ140" s="3"/>
      <c r="JLR140" s="3"/>
      <c r="JLS140" s="3"/>
      <c r="JLT140" s="3"/>
      <c r="JLU140" s="3"/>
      <c r="JLV140" s="3"/>
      <c r="JLW140" s="3"/>
      <c r="JLX140" s="3"/>
      <c r="JLY140" s="3"/>
      <c r="JLZ140" s="3"/>
      <c r="JMA140" s="3"/>
      <c r="JMB140" s="3"/>
      <c r="JMC140" s="3"/>
      <c r="JMD140" s="3"/>
      <c r="JME140" s="3"/>
      <c r="JMF140" s="3"/>
      <c r="JMG140" s="3"/>
      <c r="JMH140" s="3"/>
      <c r="JMI140" s="3"/>
      <c r="JMJ140" s="3"/>
      <c r="JMK140" s="3"/>
      <c r="JML140" s="3"/>
      <c r="JMM140" s="3"/>
      <c r="JMN140" s="3"/>
      <c r="JMO140" s="3"/>
      <c r="JMP140" s="3"/>
      <c r="JMQ140" s="3"/>
      <c r="JMR140" s="3"/>
      <c r="JMS140" s="3"/>
      <c r="JMT140" s="3"/>
      <c r="JMU140" s="3"/>
      <c r="JMV140" s="3"/>
      <c r="JMW140" s="3"/>
      <c r="JMX140" s="3"/>
      <c r="JMY140" s="3"/>
      <c r="JMZ140" s="3"/>
      <c r="JNA140" s="3"/>
      <c r="JNB140" s="3"/>
      <c r="JNC140" s="3"/>
      <c r="JND140" s="3"/>
      <c r="JNE140" s="3"/>
      <c r="JNF140" s="3"/>
      <c r="JNG140" s="3"/>
      <c r="JNH140" s="3"/>
      <c r="JNI140" s="3"/>
      <c r="JNJ140" s="3"/>
      <c r="JNK140" s="3"/>
      <c r="JNL140" s="3"/>
      <c r="JNM140" s="3"/>
      <c r="JNN140" s="3"/>
      <c r="JNO140" s="3"/>
      <c r="JNP140" s="3"/>
      <c r="JNQ140" s="3"/>
      <c r="JNR140" s="3"/>
      <c r="JNS140" s="3"/>
      <c r="JNT140" s="3"/>
      <c r="JNU140" s="3"/>
      <c r="JNV140" s="3"/>
      <c r="JNW140" s="3"/>
      <c r="JNX140" s="3"/>
      <c r="JNY140" s="3"/>
      <c r="JNZ140" s="3"/>
      <c r="JOA140" s="3"/>
      <c r="JOB140" s="3"/>
      <c r="JOC140" s="3"/>
      <c r="JOD140" s="3"/>
      <c r="JOE140" s="3"/>
      <c r="JOF140" s="3"/>
      <c r="JOG140" s="3"/>
      <c r="JOH140" s="3"/>
      <c r="JOI140" s="3"/>
      <c r="JOJ140" s="3"/>
      <c r="JOK140" s="3"/>
      <c r="JOL140" s="3"/>
      <c r="JOM140" s="3"/>
      <c r="JON140" s="3"/>
      <c r="JOO140" s="3"/>
      <c r="JOP140" s="3"/>
      <c r="JOQ140" s="3"/>
      <c r="JOR140" s="3"/>
      <c r="JOS140" s="3"/>
      <c r="JOT140" s="3"/>
      <c r="JOU140" s="3"/>
      <c r="JOV140" s="3"/>
      <c r="JOW140" s="3"/>
      <c r="JOX140" s="3"/>
      <c r="JOY140" s="3"/>
      <c r="JOZ140" s="3"/>
      <c r="JPA140" s="3"/>
      <c r="JPB140" s="3"/>
      <c r="JPC140" s="3"/>
      <c r="JPD140" s="3"/>
      <c r="JPE140" s="3"/>
      <c r="JPF140" s="3"/>
      <c r="JPG140" s="3"/>
      <c r="JPH140" s="3"/>
      <c r="JPI140" s="3"/>
      <c r="JPJ140" s="3"/>
      <c r="JPK140" s="3"/>
      <c r="JPL140" s="3"/>
      <c r="JPM140" s="3"/>
      <c r="JPN140" s="3"/>
      <c r="JPO140" s="3"/>
      <c r="JPP140" s="3"/>
      <c r="JPQ140" s="3"/>
      <c r="JPR140" s="3"/>
      <c r="JPS140" s="3"/>
      <c r="JPT140" s="3"/>
      <c r="JPU140" s="3"/>
      <c r="JPV140" s="3"/>
      <c r="JPW140" s="3"/>
      <c r="JPX140" s="3"/>
      <c r="JPY140" s="3"/>
      <c r="JPZ140" s="3"/>
      <c r="JQA140" s="3"/>
      <c r="JQB140" s="3"/>
      <c r="JQC140" s="3"/>
      <c r="JQD140" s="3"/>
      <c r="JQE140" s="3"/>
      <c r="JQF140" s="3"/>
      <c r="JQG140" s="3"/>
      <c r="JQH140" s="3"/>
      <c r="JQI140" s="3"/>
      <c r="JQJ140" s="3"/>
      <c r="JQK140" s="3"/>
      <c r="JQL140" s="3"/>
      <c r="JQM140" s="3"/>
      <c r="JQN140" s="3"/>
      <c r="JQO140" s="3"/>
      <c r="JQP140" s="3"/>
      <c r="JQQ140" s="3"/>
      <c r="JQR140" s="3"/>
      <c r="JQS140" s="3"/>
      <c r="JQT140" s="3"/>
      <c r="JQU140" s="3"/>
      <c r="JQV140" s="3"/>
      <c r="JQW140" s="3"/>
      <c r="JQX140" s="3"/>
      <c r="JQY140" s="3"/>
      <c r="JQZ140" s="3"/>
      <c r="JRA140" s="3"/>
      <c r="JRB140" s="3"/>
      <c r="JRC140" s="3"/>
      <c r="JRD140" s="3"/>
      <c r="JRE140" s="3"/>
      <c r="JRF140" s="3"/>
      <c r="JRG140" s="3"/>
      <c r="JRH140" s="3"/>
      <c r="JRI140" s="3"/>
      <c r="JRJ140" s="3"/>
      <c r="JRK140" s="3"/>
      <c r="JRL140" s="3"/>
      <c r="JRM140" s="3"/>
      <c r="JRN140" s="3"/>
      <c r="JRO140" s="3"/>
      <c r="JRP140" s="3"/>
      <c r="JRQ140" s="3"/>
      <c r="JRR140" s="3"/>
      <c r="JRS140" s="3"/>
      <c r="JRT140" s="3"/>
      <c r="JRU140" s="3"/>
      <c r="JRV140" s="3"/>
      <c r="JRW140" s="3"/>
      <c r="JRX140" s="3"/>
      <c r="JRY140" s="3"/>
      <c r="JRZ140" s="3"/>
      <c r="JSA140" s="3"/>
      <c r="JSB140" s="3"/>
      <c r="JSC140" s="3"/>
      <c r="JSD140" s="3"/>
      <c r="JSE140" s="3"/>
      <c r="JSF140" s="3"/>
      <c r="JSG140" s="3"/>
      <c r="JSH140" s="3"/>
      <c r="JSI140" s="3"/>
      <c r="JSJ140" s="3"/>
      <c r="JSK140" s="3"/>
      <c r="JSL140" s="3"/>
      <c r="JSM140" s="3"/>
      <c r="JSN140" s="3"/>
      <c r="JSO140" s="3"/>
      <c r="JSP140" s="3"/>
      <c r="JSQ140" s="3"/>
      <c r="JSR140" s="3"/>
      <c r="JSS140" s="3"/>
      <c r="JST140" s="3"/>
      <c r="JSU140" s="3"/>
      <c r="JSV140" s="3"/>
      <c r="JSW140" s="3"/>
      <c r="JSX140" s="3"/>
      <c r="JSY140" s="3"/>
      <c r="JSZ140" s="3"/>
      <c r="JTA140" s="3"/>
      <c r="JTB140" s="3"/>
      <c r="JTC140" s="3"/>
      <c r="JTD140" s="3"/>
      <c r="JTE140" s="3"/>
      <c r="JTF140" s="3"/>
      <c r="JTG140" s="3"/>
      <c r="JTH140" s="3"/>
      <c r="JTI140" s="3"/>
      <c r="JTJ140" s="3"/>
      <c r="JTK140" s="3"/>
      <c r="JTL140" s="3"/>
      <c r="JTM140" s="3"/>
      <c r="JTN140" s="3"/>
      <c r="JTO140" s="3"/>
      <c r="JTP140" s="3"/>
      <c r="JTQ140" s="3"/>
      <c r="JTR140" s="3"/>
      <c r="JTS140" s="3"/>
      <c r="JTT140" s="3"/>
      <c r="JTU140" s="3"/>
      <c r="JTV140" s="3"/>
      <c r="JTW140" s="3"/>
      <c r="JTX140" s="3"/>
      <c r="JTY140" s="3"/>
      <c r="JTZ140" s="3"/>
      <c r="JUA140" s="3"/>
      <c r="JUB140" s="3"/>
      <c r="JUC140" s="3"/>
      <c r="JUD140" s="3"/>
      <c r="JUE140" s="3"/>
      <c r="JUF140" s="3"/>
      <c r="JUG140" s="3"/>
      <c r="JUH140" s="3"/>
      <c r="JUI140" s="3"/>
      <c r="JUJ140" s="3"/>
      <c r="JUK140" s="3"/>
      <c r="JUL140" s="3"/>
      <c r="JUM140" s="3"/>
      <c r="JUN140" s="3"/>
      <c r="JUO140" s="3"/>
      <c r="JUP140" s="3"/>
      <c r="JUQ140" s="3"/>
      <c r="JUR140" s="3"/>
      <c r="JUS140" s="3"/>
      <c r="JUT140" s="3"/>
      <c r="JUU140" s="3"/>
      <c r="JUV140" s="3"/>
      <c r="JUW140" s="3"/>
      <c r="JUX140" s="3"/>
      <c r="JUY140" s="3"/>
      <c r="JUZ140" s="3"/>
      <c r="JVA140" s="3"/>
      <c r="JVB140" s="3"/>
      <c r="JVC140" s="3"/>
      <c r="JVD140" s="3"/>
      <c r="JVE140" s="3"/>
      <c r="JVF140" s="3"/>
      <c r="JVG140" s="3"/>
      <c r="JVH140" s="3"/>
      <c r="JVI140" s="3"/>
      <c r="JVJ140" s="3"/>
      <c r="JVK140" s="3"/>
      <c r="JVL140" s="3"/>
      <c r="JVM140" s="3"/>
      <c r="JVN140" s="3"/>
      <c r="JVO140" s="3"/>
      <c r="JVP140" s="3"/>
      <c r="JVQ140" s="3"/>
      <c r="JVR140" s="3"/>
      <c r="JVS140" s="3"/>
      <c r="JVT140" s="3"/>
      <c r="JVU140" s="3"/>
      <c r="JVV140" s="3"/>
      <c r="JVW140" s="3"/>
      <c r="JVX140" s="3"/>
      <c r="JVY140" s="3"/>
      <c r="JVZ140" s="3"/>
      <c r="JWA140" s="3"/>
      <c r="JWB140" s="3"/>
      <c r="JWC140" s="3"/>
      <c r="JWD140" s="3"/>
      <c r="JWE140" s="3"/>
      <c r="JWF140" s="3"/>
      <c r="JWG140" s="3"/>
      <c r="JWH140" s="3"/>
      <c r="JWI140" s="3"/>
      <c r="JWJ140" s="3"/>
      <c r="JWK140" s="3"/>
      <c r="JWL140" s="3"/>
      <c r="JWM140" s="3"/>
      <c r="JWN140" s="3"/>
      <c r="JWO140" s="3"/>
      <c r="JWP140" s="3"/>
      <c r="JWQ140" s="3"/>
      <c r="JWR140" s="3"/>
      <c r="JWS140" s="3"/>
      <c r="JWT140" s="3"/>
      <c r="JWU140" s="3"/>
      <c r="JWV140" s="3"/>
      <c r="JWW140" s="3"/>
      <c r="JWX140" s="3"/>
      <c r="JWY140" s="3"/>
      <c r="JWZ140" s="3"/>
      <c r="JXA140" s="3"/>
      <c r="JXB140" s="3"/>
      <c r="JXC140" s="3"/>
      <c r="JXD140" s="3"/>
      <c r="JXE140" s="3"/>
      <c r="JXF140" s="3"/>
      <c r="JXG140" s="3"/>
      <c r="JXH140" s="3"/>
      <c r="JXI140" s="3"/>
      <c r="JXJ140" s="3"/>
      <c r="JXK140" s="3"/>
      <c r="JXL140" s="3"/>
      <c r="JXM140" s="3"/>
      <c r="JXN140" s="3"/>
      <c r="JXO140" s="3"/>
      <c r="JXP140" s="3"/>
      <c r="JXQ140" s="3"/>
      <c r="JXR140" s="3"/>
      <c r="JXS140" s="3"/>
      <c r="JXT140" s="3"/>
      <c r="JXU140" s="3"/>
      <c r="JXV140" s="3"/>
      <c r="JXW140" s="3"/>
      <c r="JXX140" s="3"/>
      <c r="JXY140" s="3"/>
      <c r="JXZ140" s="3"/>
      <c r="JYA140" s="3"/>
      <c r="JYB140" s="3"/>
      <c r="JYC140" s="3"/>
      <c r="JYD140" s="3"/>
      <c r="JYE140" s="3"/>
      <c r="JYF140" s="3"/>
      <c r="JYG140" s="3"/>
      <c r="JYH140" s="3"/>
      <c r="JYI140" s="3"/>
      <c r="JYJ140" s="3"/>
      <c r="JYK140" s="3"/>
      <c r="JYL140" s="3"/>
      <c r="JYM140" s="3"/>
      <c r="JYN140" s="3"/>
      <c r="JYO140" s="3"/>
      <c r="JYP140" s="3"/>
      <c r="JYQ140" s="3"/>
      <c r="JYR140" s="3"/>
      <c r="JYS140" s="3"/>
      <c r="JYT140" s="3"/>
      <c r="JYU140" s="3"/>
      <c r="JYV140" s="3"/>
      <c r="JYW140" s="3"/>
      <c r="JYX140" s="3"/>
      <c r="JYY140" s="3"/>
      <c r="JYZ140" s="3"/>
      <c r="JZA140" s="3"/>
      <c r="JZB140" s="3"/>
      <c r="JZC140" s="3"/>
      <c r="JZD140" s="3"/>
      <c r="JZE140" s="3"/>
      <c r="JZF140" s="3"/>
      <c r="JZG140" s="3"/>
      <c r="JZH140" s="3"/>
      <c r="JZI140" s="3"/>
      <c r="JZJ140" s="3"/>
      <c r="JZK140" s="3"/>
      <c r="JZL140" s="3"/>
      <c r="JZM140" s="3"/>
      <c r="JZN140" s="3"/>
      <c r="JZO140" s="3"/>
      <c r="JZP140" s="3"/>
      <c r="JZQ140" s="3"/>
      <c r="JZR140" s="3"/>
      <c r="JZS140" s="3"/>
      <c r="JZT140" s="3"/>
      <c r="JZU140" s="3"/>
      <c r="JZV140" s="3"/>
      <c r="JZW140" s="3"/>
      <c r="JZX140" s="3"/>
      <c r="JZY140" s="3"/>
      <c r="JZZ140" s="3"/>
      <c r="KAA140" s="3"/>
      <c r="KAB140" s="3"/>
      <c r="KAC140" s="3"/>
      <c r="KAD140" s="3"/>
      <c r="KAE140" s="3"/>
      <c r="KAF140" s="3"/>
      <c r="KAG140" s="3"/>
      <c r="KAH140" s="3"/>
      <c r="KAI140" s="3"/>
      <c r="KAJ140" s="3"/>
      <c r="KAK140" s="3"/>
      <c r="KAL140" s="3"/>
      <c r="KAM140" s="3"/>
      <c r="KAN140" s="3"/>
      <c r="KAO140" s="3"/>
      <c r="KAP140" s="3"/>
      <c r="KAQ140" s="3"/>
      <c r="KAR140" s="3"/>
      <c r="KAS140" s="3"/>
      <c r="KAT140" s="3"/>
      <c r="KAU140" s="3"/>
      <c r="KAV140" s="3"/>
      <c r="KAW140" s="3"/>
      <c r="KAX140" s="3"/>
      <c r="KAY140" s="3"/>
      <c r="KAZ140" s="3"/>
      <c r="KBA140" s="3"/>
      <c r="KBB140" s="3"/>
      <c r="KBC140" s="3"/>
      <c r="KBD140" s="3"/>
      <c r="KBE140" s="3"/>
      <c r="KBF140" s="3"/>
      <c r="KBG140" s="3"/>
      <c r="KBH140" s="3"/>
      <c r="KBI140" s="3"/>
      <c r="KBJ140" s="3"/>
      <c r="KBK140" s="3"/>
      <c r="KBL140" s="3"/>
      <c r="KBM140" s="3"/>
      <c r="KBN140" s="3"/>
      <c r="KBO140" s="3"/>
      <c r="KBP140" s="3"/>
      <c r="KBQ140" s="3"/>
      <c r="KBR140" s="3"/>
      <c r="KBS140" s="3"/>
      <c r="KBT140" s="3"/>
      <c r="KBU140" s="3"/>
      <c r="KBV140" s="3"/>
      <c r="KBW140" s="3"/>
      <c r="KBX140" s="3"/>
      <c r="KBY140" s="3"/>
      <c r="KBZ140" s="3"/>
      <c r="KCA140" s="3"/>
      <c r="KCB140" s="3"/>
      <c r="KCC140" s="3"/>
      <c r="KCD140" s="3"/>
      <c r="KCE140" s="3"/>
      <c r="KCF140" s="3"/>
      <c r="KCG140" s="3"/>
      <c r="KCH140" s="3"/>
      <c r="KCI140" s="3"/>
      <c r="KCJ140" s="3"/>
      <c r="KCK140" s="3"/>
      <c r="KCL140" s="3"/>
      <c r="KCM140" s="3"/>
      <c r="KCN140" s="3"/>
      <c r="KCO140" s="3"/>
      <c r="KCP140" s="3"/>
      <c r="KCQ140" s="3"/>
      <c r="KCR140" s="3"/>
      <c r="KCS140" s="3"/>
      <c r="KCT140" s="3"/>
      <c r="KCU140" s="3"/>
      <c r="KCV140" s="3"/>
      <c r="KCW140" s="3"/>
      <c r="KCX140" s="3"/>
      <c r="KCY140" s="3"/>
      <c r="KCZ140" s="3"/>
      <c r="KDA140" s="3"/>
      <c r="KDB140" s="3"/>
      <c r="KDC140" s="3"/>
      <c r="KDD140" s="3"/>
      <c r="KDE140" s="3"/>
      <c r="KDF140" s="3"/>
      <c r="KDG140" s="3"/>
      <c r="KDH140" s="3"/>
      <c r="KDI140" s="3"/>
      <c r="KDJ140" s="3"/>
      <c r="KDK140" s="3"/>
      <c r="KDL140" s="3"/>
      <c r="KDM140" s="3"/>
      <c r="KDN140" s="3"/>
      <c r="KDO140" s="3"/>
      <c r="KDP140" s="3"/>
      <c r="KDQ140" s="3"/>
      <c r="KDR140" s="3"/>
      <c r="KDS140" s="3"/>
      <c r="KDT140" s="3"/>
      <c r="KDU140" s="3"/>
      <c r="KDV140" s="3"/>
      <c r="KDW140" s="3"/>
      <c r="KDX140" s="3"/>
      <c r="KDY140" s="3"/>
      <c r="KDZ140" s="3"/>
      <c r="KEA140" s="3"/>
      <c r="KEB140" s="3"/>
      <c r="KEC140" s="3"/>
      <c r="KED140" s="3"/>
      <c r="KEE140" s="3"/>
      <c r="KEF140" s="3"/>
      <c r="KEG140" s="3"/>
      <c r="KEH140" s="3"/>
      <c r="KEI140" s="3"/>
      <c r="KEJ140" s="3"/>
      <c r="KEK140" s="3"/>
      <c r="KEL140" s="3"/>
      <c r="KEM140" s="3"/>
      <c r="KEN140" s="3"/>
      <c r="KEO140" s="3"/>
      <c r="KEP140" s="3"/>
      <c r="KEQ140" s="3"/>
      <c r="KER140" s="3"/>
      <c r="KES140" s="3"/>
      <c r="KET140" s="3"/>
      <c r="KEU140" s="3"/>
      <c r="KEV140" s="3"/>
      <c r="KEW140" s="3"/>
      <c r="KEX140" s="3"/>
      <c r="KEY140" s="3"/>
      <c r="KEZ140" s="3"/>
      <c r="KFA140" s="3"/>
      <c r="KFB140" s="3"/>
      <c r="KFC140" s="3"/>
      <c r="KFD140" s="3"/>
      <c r="KFE140" s="3"/>
      <c r="KFF140" s="3"/>
      <c r="KFG140" s="3"/>
      <c r="KFH140" s="3"/>
      <c r="KFI140" s="3"/>
      <c r="KFJ140" s="3"/>
      <c r="KFK140" s="3"/>
      <c r="KFL140" s="3"/>
      <c r="KFM140" s="3"/>
      <c r="KFN140" s="3"/>
      <c r="KFO140" s="3"/>
      <c r="KFP140" s="3"/>
      <c r="KFQ140" s="3"/>
      <c r="KFR140" s="3"/>
      <c r="KFS140" s="3"/>
      <c r="KFT140" s="3"/>
      <c r="KFU140" s="3"/>
      <c r="KFV140" s="3"/>
      <c r="KFW140" s="3"/>
      <c r="KFX140" s="3"/>
      <c r="KFY140" s="3"/>
      <c r="KFZ140" s="3"/>
      <c r="KGA140" s="3"/>
      <c r="KGB140" s="3"/>
      <c r="KGC140" s="3"/>
      <c r="KGD140" s="3"/>
      <c r="KGE140" s="3"/>
      <c r="KGF140" s="3"/>
      <c r="KGG140" s="3"/>
      <c r="KGH140" s="3"/>
      <c r="KGI140" s="3"/>
      <c r="KGJ140" s="3"/>
      <c r="KGK140" s="3"/>
      <c r="KGL140" s="3"/>
      <c r="KGM140" s="3"/>
      <c r="KGN140" s="3"/>
      <c r="KGO140" s="3"/>
      <c r="KGP140" s="3"/>
      <c r="KGQ140" s="3"/>
      <c r="KGR140" s="3"/>
      <c r="KGS140" s="3"/>
      <c r="KGT140" s="3"/>
      <c r="KGU140" s="3"/>
      <c r="KGV140" s="3"/>
      <c r="KGW140" s="3"/>
      <c r="KGX140" s="3"/>
      <c r="KGY140" s="3"/>
      <c r="KGZ140" s="3"/>
      <c r="KHA140" s="3"/>
      <c r="KHB140" s="3"/>
      <c r="KHC140" s="3"/>
      <c r="KHD140" s="3"/>
      <c r="KHE140" s="3"/>
      <c r="KHF140" s="3"/>
      <c r="KHG140" s="3"/>
      <c r="KHH140" s="3"/>
      <c r="KHI140" s="3"/>
      <c r="KHJ140" s="3"/>
      <c r="KHK140" s="3"/>
      <c r="KHL140" s="3"/>
      <c r="KHM140" s="3"/>
      <c r="KHN140" s="3"/>
      <c r="KHO140" s="3"/>
      <c r="KHP140" s="3"/>
      <c r="KHQ140" s="3"/>
      <c r="KHR140" s="3"/>
      <c r="KHS140" s="3"/>
      <c r="KHT140" s="3"/>
      <c r="KHU140" s="3"/>
      <c r="KHV140" s="3"/>
      <c r="KHW140" s="3"/>
      <c r="KHX140" s="3"/>
      <c r="KHY140" s="3"/>
      <c r="KHZ140" s="3"/>
      <c r="KIA140" s="3"/>
      <c r="KIB140" s="3"/>
      <c r="KIC140" s="3"/>
      <c r="KID140" s="3"/>
      <c r="KIE140" s="3"/>
      <c r="KIF140" s="3"/>
      <c r="KIG140" s="3"/>
      <c r="KIH140" s="3"/>
      <c r="KII140" s="3"/>
      <c r="KIJ140" s="3"/>
      <c r="KIK140" s="3"/>
      <c r="KIL140" s="3"/>
      <c r="KIM140" s="3"/>
      <c r="KIN140" s="3"/>
      <c r="KIO140" s="3"/>
      <c r="KIP140" s="3"/>
      <c r="KIQ140" s="3"/>
      <c r="KIR140" s="3"/>
      <c r="KIS140" s="3"/>
      <c r="KIT140" s="3"/>
      <c r="KIU140" s="3"/>
      <c r="KIV140" s="3"/>
      <c r="KIW140" s="3"/>
      <c r="KIX140" s="3"/>
      <c r="KIY140" s="3"/>
      <c r="KIZ140" s="3"/>
      <c r="KJA140" s="3"/>
      <c r="KJB140" s="3"/>
      <c r="KJC140" s="3"/>
      <c r="KJD140" s="3"/>
      <c r="KJE140" s="3"/>
      <c r="KJF140" s="3"/>
      <c r="KJG140" s="3"/>
      <c r="KJH140" s="3"/>
      <c r="KJI140" s="3"/>
      <c r="KJJ140" s="3"/>
      <c r="KJK140" s="3"/>
      <c r="KJL140" s="3"/>
      <c r="KJM140" s="3"/>
      <c r="KJN140" s="3"/>
      <c r="KJO140" s="3"/>
      <c r="KJP140" s="3"/>
      <c r="KJQ140" s="3"/>
      <c r="KJR140" s="3"/>
      <c r="KJS140" s="3"/>
      <c r="KJT140" s="3"/>
      <c r="KJU140" s="3"/>
      <c r="KJV140" s="3"/>
      <c r="KJW140" s="3"/>
      <c r="KJX140" s="3"/>
      <c r="KJY140" s="3"/>
      <c r="KJZ140" s="3"/>
      <c r="KKA140" s="3"/>
      <c r="KKB140" s="3"/>
      <c r="KKC140" s="3"/>
      <c r="KKD140" s="3"/>
      <c r="KKE140" s="3"/>
      <c r="KKF140" s="3"/>
      <c r="KKG140" s="3"/>
      <c r="KKH140" s="3"/>
      <c r="KKI140" s="3"/>
      <c r="KKJ140" s="3"/>
      <c r="KKK140" s="3"/>
      <c r="KKL140" s="3"/>
      <c r="KKM140" s="3"/>
      <c r="KKN140" s="3"/>
      <c r="KKO140" s="3"/>
      <c r="KKP140" s="3"/>
      <c r="KKQ140" s="3"/>
      <c r="KKR140" s="3"/>
      <c r="KKS140" s="3"/>
      <c r="KKT140" s="3"/>
      <c r="KKU140" s="3"/>
      <c r="KKV140" s="3"/>
      <c r="KKW140" s="3"/>
      <c r="KKX140" s="3"/>
      <c r="KKY140" s="3"/>
      <c r="KKZ140" s="3"/>
      <c r="KLA140" s="3"/>
      <c r="KLB140" s="3"/>
      <c r="KLC140" s="3"/>
      <c r="KLD140" s="3"/>
      <c r="KLE140" s="3"/>
      <c r="KLF140" s="3"/>
      <c r="KLG140" s="3"/>
      <c r="KLH140" s="3"/>
      <c r="KLI140" s="3"/>
      <c r="KLJ140" s="3"/>
      <c r="KLK140" s="3"/>
      <c r="KLL140" s="3"/>
      <c r="KLM140" s="3"/>
      <c r="KLN140" s="3"/>
      <c r="KLO140" s="3"/>
      <c r="KLP140" s="3"/>
      <c r="KLQ140" s="3"/>
      <c r="KLR140" s="3"/>
      <c r="KLS140" s="3"/>
      <c r="KLT140" s="3"/>
      <c r="KLU140" s="3"/>
      <c r="KLV140" s="3"/>
      <c r="KLW140" s="3"/>
      <c r="KLX140" s="3"/>
      <c r="KLY140" s="3"/>
      <c r="KLZ140" s="3"/>
      <c r="KMA140" s="3"/>
      <c r="KMB140" s="3"/>
      <c r="KMC140" s="3"/>
      <c r="KMD140" s="3"/>
      <c r="KME140" s="3"/>
      <c r="KMF140" s="3"/>
      <c r="KMG140" s="3"/>
      <c r="KMH140" s="3"/>
      <c r="KMI140" s="3"/>
      <c r="KMJ140" s="3"/>
      <c r="KMK140" s="3"/>
      <c r="KML140" s="3"/>
      <c r="KMM140" s="3"/>
      <c r="KMN140" s="3"/>
      <c r="KMO140" s="3"/>
      <c r="KMP140" s="3"/>
      <c r="KMQ140" s="3"/>
      <c r="KMR140" s="3"/>
      <c r="KMS140" s="3"/>
      <c r="KMT140" s="3"/>
      <c r="KMU140" s="3"/>
      <c r="KMV140" s="3"/>
      <c r="KMW140" s="3"/>
      <c r="KMX140" s="3"/>
      <c r="KMY140" s="3"/>
      <c r="KMZ140" s="3"/>
      <c r="KNA140" s="3"/>
      <c r="KNB140" s="3"/>
      <c r="KNC140" s="3"/>
      <c r="KND140" s="3"/>
      <c r="KNE140" s="3"/>
      <c r="KNF140" s="3"/>
      <c r="KNG140" s="3"/>
      <c r="KNH140" s="3"/>
      <c r="KNI140" s="3"/>
      <c r="KNJ140" s="3"/>
      <c r="KNK140" s="3"/>
      <c r="KNL140" s="3"/>
      <c r="KNM140" s="3"/>
      <c r="KNN140" s="3"/>
      <c r="KNO140" s="3"/>
      <c r="KNP140" s="3"/>
      <c r="KNQ140" s="3"/>
      <c r="KNR140" s="3"/>
      <c r="KNS140" s="3"/>
      <c r="KNT140" s="3"/>
      <c r="KNU140" s="3"/>
      <c r="KNV140" s="3"/>
      <c r="KNW140" s="3"/>
      <c r="KNX140" s="3"/>
      <c r="KNY140" s="3"/>
      <c r="KNZ140" s="3"/>
      <c r="KOA140" s="3"/>
      <c r="KOB140" s="3"/>
      <c r="KOC140" s="3"/>
      <c r="KOD140" s="3"/>
      <c r="KOE140" s="3"/>
      <c r="KOF140" s="3"/>
      <c r="KOG140" s="3"/>
      <c r="KOH140" s="3"/>
      <c r="KOI140" s="3"/>
      <c r="KOJ140" s="3"/>
      <c r="KOK140" s="3"/>
      <c r="KOL140" s="3"/>
      <c r="KOM140" s="3"/>
      <c r="KON140" s="3"/>
      <c r="KOO140" s="3"/>
      <c r="KOP140" s="3"/>
      <c r="KOQ140" s="3"/>
      <c r="KOR140" s="3"/>
      <c r="KOS140" s="3"/>
      <c r="KOT140" s="3"/>
      <c r="KOU140" s="3"/>
      <c r="KOV140" s="3"/>
      <c r="KOW140" s="3"/>
      <c r="KOX140" s="3"/>
      <c r="KOY140" s="3"/>
      <c r="KOZ140" s="3"/>
      <c r="KPA140" s="3"/>
      <c r="KPB140" s="3"/>
      <c r="KPC140" s="3"/>
      <c r="KPD140" s="3"/>
      <c r="KPE140" s="3"/>
      <c r="KPF140" s="3"/>
      <c r="KPG140" s="3"/>
      <c r="KPH140" s="3"/>
      <c r="KPI140" s="3"/>
      <c r="KPJ140" s="3"/>
      <c r="KPK140" s="3"/>
      <c r="KPL140" s="3"/>
      <c r="KPM140" s="3"/>
      <c r="KPN140" s="3"/>
      <c r="KPO140" s="3"/>
      <c r="KPP140" s="3"/>
      <c r="KPQ140" s="3"/>
      <c r="KPR140" s="3"/>
      <c r="KPS140" s="3"/>
      <c r="KPT140" s="3"/>
      <c r="KPU140" s="3"/>
      <c r="KPV140" s="3"/>
      <c r="KPW140" s="3"/>
      <c r="KPX140" s="3"/>
      <c r="KPY140" s="3"/>
      <c r="KPZ140" s="3"/>
      <c r="KQA140" s="3"/>
      <c r="KQB140" s="3"/>
      <c r="KQC140" s="3"/>
      <c r="KQD140" s="3"/>
      <c r="KQE140" s="3"/>
      <c r="KQF140" s="3"/>
      <c r="KQG140" s="3"/>
      <c r="KQH140" s="3"/>
      <c r="KQI140" s="3"/>
      <c r="KQJ140" s="3"/>
      <c r="KQK140" s="3"/>
      <c r="KQL140" s="3"/>
      <c r="KQM140" s="3"/>
      <c r="KQN140" s="3"/>
      <c r="KQO140" s="3"/>
      <c r="KQP140" s="3"/>
      <c r="KQQ140" s="3"/>
      <c r="KQR140" s="3"/>
      <c r="KQS140" s="3"/>
      <c r="KQT140" s="3"/>
      <c r="KQU140" s="3"/>
      <c r="KQV140" s="3"/>
      <c r="KQW140" s="3"/>
      <c r="KQX140" s="3"/>
      <c r="KQY140" s="3"/>
      <c r="KQZ140" s="3"/>
      <c r="KRA140" s="3"/>
      <c r="KRB140" s="3"/>
      <c r="KRC140" s="3"/>
      <c r="KRD140" s="3"/>
      <c r="KRE140" s="3"/>
      <c r="KRF140" s="3"/>
      <c r="KRG140" s="3"/>
      <c r="KRH140" s="3"/>
      <c r="KRI140" s="3"/>
      <c r="KRJ140" s="3"/>
      <c r="KRK140" s="3"/>
      <c r="KRL140" s="3"/>
      <c r="KRM140" s="3"/>
      <c r="KRN140" s="3"/>
      <c r="KRO140" s="3"/>
      <c r="KRP140" s="3"/>
      <c r="KRQ140" s="3"/>
      <c r="KRR140" s="3"/>
      <c r="KRS140" s="3"/>
      <c r="KRT140" s="3"/>
      <c r="KRU140" s="3"/>
      <c r="KRV140" s="3"/>
      <c r="KRW140" s="3"/>
      <c r="KRX140" s="3"/>
      <c r="KRY140" s="3"/>
      <c r="KRZ140" s="3"/>
      <c r="KSA140" s="3"/>
      <c r="KSB140" s="3"/>
      <c r="KSC140" s="3"/>
      <c r="KSD140" s="3"/>
      <c r="KSE140" s="3"/>
      <c r="KSF140" s="3"/>
      <c r="KSG140" s="3"/>
      <c r="KSH140" s="3"/>
      <c r="KSI140" s="3"/>
      <c r="KSJ140" s="3"/>
      <c r="KSK140" s="3"/>
      <c r="KSL140" s="3"/>
      <c r="KSM140" s="3"/>
      <c r="KSN140" s="3"/>
      <c r="KSO140" s="3"/>
      <c r="KSP140" s="3"/>
      <c r="KSQ140" s="3"/>
      <c r="KSR140" s="3"/>
      <c r="KSS140" s="3"/>
      <c r="KST140" s="3"/>
      <c r="KSU140" s="3"/>
      <c r="KSV140" s="3"/>
      <c r="KSW140" s="3"/>
      <c r="KSX140" s="3"/>
      <c r="KSY140" s="3"/>
      <c r="KSZ140" s="3"/>
      <c r="KTA140" s="3"/>
      <c r="KTB140" s="3"/>
      <c r="KTC140" s="3"/>
      <c r="KTD140" s="3"/>
      <c r="KTE140" s="3"/>
      <c r="KTF140" s="3"/>
      <c r="KTG140" s="3"/>
      <c r="KTH140" s="3"/>
      <c r="KTI140" s="3"/>
      <c r="KTJ140" s="3"/>
      <c r="KTK140" s="3"/>
      <c r="KTL140" s="3"/>
      <c r="KTM140" s="3"/>
      <c r="KTN140" s="3"/>
      <c r="KTO140" s="3"/>
      <c r="KTP140" s="3"/>
      <c r="KTQ140" s="3"/>
      <c r="KTR140" s="3"/>
      <c r="KTS140" s="3"/>
      <c r="KTT140" s="3"/>
      <c r="KTU140" s="3"/>
      <c r="KTV140" s="3"/>
      <c r="KTW140" s="3"/>
      <c r="KTX140" s="3"/>
      <c r="KTY140" s="3"/>
      <c r="KTZ140" s="3"/>
      <c r="KUA140" s="3"/>
      <c r="KUB140" s="3"/>
      <c r="KUC140" s="3"/>
      <c r="KUD140" s="3"/>
      <c r="KUE140" s="3"/>
      <c r="KUF140" s="3"/>
      <c r="KUG140" s="3"/>
      <c r="KUH140" s="3"/>
      <c r="KUI140" s="3"/>
      <c r="KUJ140" s="3"/>
      <c r="KUK140" s="3"/>
      <c r="KUL140" s="3"/>
      <c r="KUM140" s="3"/>
      <c r="KUN140" s="3"/>
      <c r="KUO140" s="3"/>
      <c r="KUP140" s="3"/>
      <c r="KUQ140" s="3"/>
      <c r="KUR140" s="3"/>
      <c r="KUS140" s="3"/>
      <c r="KUT140" s="3"/>
      <c r="KUU140" s="3"/>
      <c r="KUV140" s="3"/>
      <c r="KUW140" s="3"/>
      <c r="KUX140" s="3"/>
      <c r="KUY140" s="3"/>
      <c r="KUZ140" s="3"/>
      <c r="KVA140" s="3"/>
      <c r="KVB140" s="3"/>
      <c r="KVC140" s="3"/>
      <c r="KVD140" s="3"/>
      <c r="KVE140" s="3"/>
      <c r="KVF140" s="3"/>
      <c r="KVG140" s="3"/>
      <c r="KVH140" s="3"/>
      <c r="KVI140" s="3"/>
      <c r="KVJ140" s="3"/>
      <c r="KVK140" s="3"/>
      <c r="KVL140" s="3"/>
      <c r="KVM140" s="3"/>
      <c r="KVN140" s="3"/>
      <c r="KVO140" s="3"/>
      <c r="KVP140" s="3"/>
      <c r="KVQ140" s="3"/>
      <c r="KVR140" s="3"/>
      <c r="KVS140" s="3"/>
      <c r="KVT140" s="3"/>
      <c r="KVU140" s="3"/>
      <c r="KVV140" s="3"/>
      <c r="KVW140" s="3"/>
      <c r="KVX140" s="3"/>
      <c r="KVY140" s="3"/>
      <c r="KVZ140" s="3"/>
      <c r="KWA140" s="3"/>
      <c r="KWB140" s="3"/>
      <c r="KWC140" s="3"/>
      <c r="KWD140" s="3"/>
      <c r="KWE140" s="3"/>
      <c r="KWF140" s="3"/>
      <c r="KWG140" s="3"/>
      <c r="KWH140" s="3"/>
      <c r="KWI140" s="3"/>
      <c r="KWJ140" s="3"/>
      <c r="KWK140" s="3"/>
      <c r="KWL140" s="3"/>
      <c r="KWM140" s="3"/>
      <c r="KWN140" s="3"/>
      <c r="KWO140" s="3"/>
      <c r="KWP140" s="3"/>
      <c r="KWQ140" s="3"/>
      <c r="KWR140" s="3"/>
      <c r="KWS140" s="3"/>
      <c r="KWT140" s="3"/>
      <c r="KWU140" s="3"/>
      <c r="KWV140" s="3"/>
      <c r="KWW140" s="3"/>
      <c r="KWX140" s="3"/>
      <c r="KWY140" s="3"/>
      <c r="KWZ140" s="3"/>
      <c r="KXA140" s="3"/>
      <c r="KXB140" s="3"/>
      <c r="KXC140" s="3"/>
      <c r="KXD140" s="3"/>
      <c r="KXE140" s="3"/>
      <c r="KXF140" s="3"/>
      <c r="KXG140" s="3"/>
      <c r="KXH140" s="3"/>
      <c r="KXI140" s="3"/>
      <c r="KXJ140" s="3"/>
      <c r="KXK140" s="3"/>
      <c r="KXL140" s="3"/>
      <c r="KXM140" s="3"/>
      <c r="KXN140" s="3"/>
      <c r="KXO140" s="3"/>
      <c r="KXP140" s="3"/>
      <c r="KXQ140" s="3"/>
      <c r="KXR140" s="3"/>
      <c r="KXS140" s="3"/>
      <c r="KXT140" s="3"/>
      <c r="KXU140" s="3"/>
      <c r="KXV140" s="3"/>
      <c r="KXW140" s="3"/>
      <c r="KXX140" s="3"/>
      <c r="KXY140" s="3"/>
      <c r="KXZ140" s="3"/>
      <c r="KYA140" s="3"/>
      <c r="KYB140" s="3"/>
      <c r="KYC140" s="3"/>
      <c r="KYD140" s="3"/>
      <c r="KYE140" s="3"/>
      <c r="KYF140" s="3"/>
      <c r="KYG140" s="3"/>
      <c r="KYH140" s="3"/>
      <c r="KYI140" s="3"/>
      <c r="KYJ140" s="3"/>
      <c r="KYK140" s="3"/>
      <c r="KYL140" s="3"/>
      <c r="KYM140" s="3"/>
      <c r="KYN140" s="3"/>
      <c r="KYO140" s="3"/>
      <c r="KYP140" s="3"/>
      <c r="KYQ140" s="3"/>
      <c r="KYR140" s="3"/>
      <c r="KYS140" s="3"/>
      <c r="KYT140" s="3"/>
      <c r="KYU140" s="3"/>
      <c r="KYV140" s="3"/>
      <c r="KYW140" s="3"/>
      <c r="KYX140" s="3"/>
      <c r="KYY140" s="3"/>
      <c r="KYZ140" s="3"/>
      <c r="KZA140" s="3"/>
      <c r="KZB140" s="3"/>
      <c r="KZC140" s="3"/>
      <c r="KZD140" s="3"/>
      <c r="KZE140" s="3"/>
      <c r="KZF140" s="3"/>
      <c r="KZG140" s="3"/>
      <c r="KZH140" s="3"/>
      <c r="KZI140" s="3"/>
      <c r="KZJ140" s="3"/>
      <c r="KZK140" s="3"/>
      <c r="KZL140" s="3"/>
      <c r="KZM140" s="3"/>
      <c r="KZN140" s="3"/>
      <c r="KZO140" s="3"/>
      <c r="KZP140" s="3"/>
      <c r="KZQ140" s="3"/>
      <c r="KZR140" s="3"/>
      <c r="KZS140" s="3"/>
      <c r="KZT140" s="3"/>
      <c r="KZU140" s="3"/>
      <c r="KZV140" s="3"/>
      <c r="KZW140" s="3"/>
      <c r="KZX140" s="3"/>
      <c r="KZY140" s="3"/>
      <c r="KZZ140" s="3"/>
      <c r="LAA140" s="3"/>
      <c r="LAB140" s="3"/>
      <c r="LAC140" s="3"/>
      <c r="LAD140" s="3"/>
      <c r="LAE140" s="3"/>
      <c r="LAF140" s="3"/>
      <c r="LAG140" s="3"/>
      <c r="LAH140" s="3"/>
      <c r="LAI140" s="3"/>
      <c r="LAJ140" s="3"/>
      <c r="LAK140" s="3"/>
      <c r="LAL140" s="3"/>
      <c r="LAM140" s="3"/>
      <c r="LAN140" s="3"/>
      <c r="LAO140" s="3"/>
      <c r="LAP140" s="3"/>
      <c r="LAQ140" s="3"/>
      <c r="LAR140" s="3"/>
      <c r="LAS140" s="3"/>
      <c r="LAT140" s="3"/>
      <c r="LAU140" s="3"/>
      <c r="LAV140" s="3"/>
      <c r="LAW140" s="3"/>
      <c r="LAX140" s="3"/>
      <c r="LAY140" s="3"/>
      <c r="LAZ140" s="3"/>
      <c r="LBA140" s="3"/>
      <c r="LBB140" s="3"/>
      <c r="LBC140" s="3"/>
      <c r="LBD140" s="3"/>
      <c r="LBE140" s="3"/>
      <c r="LBF140" s="3"/>
      <c r="LBG140" s="3"/>
      <c r="LBH140" s="3"/>
      <c r="LBI140" s="3"/>
      <c r="LBJ140" s="3"/>
      <c r="LBK140" s="3"/>
      <c r="LBL140" s="3"/>
      <c r="LBM140" s="3"/>
      <c r="LBN140" s="3"/>
      <c r="LBO140" s="3"/>
      <c r="LBP140" s="3"/>
      <c r="LBQ140" s="3"/>
      <c r="LBR140" s="3"/>
      <c r="LBS140" s="3"/>
      <c r="LBT140" s="3"/>
      <c r="LBU140" s="3"/>
      <c r="LBV140" s="3"/>
      <c r="LBW140" s="3"/>
      <c r="LBX140" s="3"/>
      <c r="LBY140" s="3"/>
      <c r="LBZ140" s="3"/>
      <c r="LCA140" s="3"/>
      <c r="LCB140" s="3"/>
      <c r="LCC140" s="3"/>
      <c r="LCD140" s="3"/>
      <c r="LCE140" s="3"/>
      <c r="LCF140" s="3"/>
      <c r="LCG140" s="3"/>
      <c r="LCH140" s="3"/>
      <c r="LCI140" s="3"/>
      <c r="LCJ140" s="3"/>
      <c r="LCK140" s="3"/>
      <c r="LCL140" s="3"/>
      <c r="LCM140" s="3"/>
      <c r="LCN140" s="3"/>
      <c r="LCO140" s="3"/>
      <c r="LCP140" s="3"/>
      <c r="LCQ140" s="3"/>
      <c r="LCR140" s="3"/>
      <c r="LCS140" s="3"/>
      <c r="LCT140" s="3"/>
      <c r="LCU140" s="3"/>
      <c r="LCV140" s="3"/>
      <c r="LCW140" s="3"/>
      <c r="LCX140" s="3"/>
      <c r="LCY140" s="3"/>
      <c r="LCZ140" s="3"/>
      <c r="LDA140" s="3"/>
      <c r="LDB140" s="3"/>
      <c r="LDC140" s="3"/>
      <c r="LDD140" s="3"/>
      <c r="LDE140" s="3"/>
      <c r="LDF140" s="3"/>
      <c r="LDG140" s="3"/>
      <c r="LDH140" s="3"/>
      <c r="LDI140" s="3"/>
      <c r="LDJ140" s="3"/>
      <c r="LDK140" s="3"/>
      <c r="LDL140" s="3"/>
      <c r="LDM140" s="3"/>
      <c r="LDN140" s="3"/>
      <c r="LDO140" s="3"/>
      <c r="LDP140" s="3"/>
      <c r="LDQ140" s="3"/>
      <c r="LDR140" s="3"/>
      <c r="LDS140" s="3"/>
      <c r="LDT140" s="3"/>
      <c r="LDU140" s="3"/>
      <c r="LDV140" s="3"/>
      <c r="LDW140" s="3"/>
      <c r="LDX140" s="3"/>
      <c r="LDY140" s="3"/>
      <c r="LDZ140" s="3"/>
      <c r="LEA140" s="3"/>
      <c r="LEB140" s="3"/>
      <c r="LEC140" s="3"/>
      <c r="LED140" s="3"/>
      <c r="LEE140" s="3"/>
      <c r="LEF140" s="3"/>
      <c r="LEG140" s="3"/>
      <c r="LEH140" s="3"/>
      <c r="LEI140" s="3"/>
      <c r="LEJ140" s="3"/>
      <c r="LEK140" s="3"/>
      <c r="LEL140" s="3"/>
      <c r="LEM140" s="3"/>
      <c r="LEN140" s="3"/>
      <c r="LEO140" s="3"/>
      <c r="LEP140" s="3"/>
      <c r="LEQ140" s="3"/>
      <c r="LER140" s="3"/>
      <c r="LES140" s="3"/>
      <c r="LET140" s="3"/>
      <c r="LEU140" s="3"/>
      <c r="LEV140" s="3"/>
      <c r="LEW140" s="3"/>
      <c r="LEX140" s="3"/>
      <c r="LEY140" s="3"/>
      <c r="LEZ140" s="3"/>
      <c r="LFA140" s="3"/>
      <c r="LFB140" s="3"/>
      <c r="LFC140" s="3"/>
      <c r="LFD140" s="3"/>
      <c r="LFE140" s="3"/>
      <c r="LFF140" s="3"/>
      <c r="LFG140" s="3"/>
      <c r="LFH140" s="3"/>
      <c r="LFI140" s="3"/>
      <c r="LFJ140" s="3"/>
      <c r="LFK140" s="3"/>
      <c r="LFL140" s="3"/>
      <c r="LFM140" s="3"/>
      <c r="LFN140" s="3"/>
      <c r="LFO140" s="3"/>
      <c r="LFP140" s="3"/>
      <c r="LFQ140" s="3"/>
      <c r="LFR140" s="3"/>
      <c r="LFS140" s="3"/>
      <c r="LFT140" s="3"/>
      <c r="LFU140" s="3"/>
      <c r="LFV140" s="3"/>
      <c r="LFW140" s="3"/>
      <c r="LFX140" s="3"/>
      <c r="LFY140" s="3"/>
      <c r="LFZ140" s="3"/>
      <c r="LGA140" s="3"/>
      <c r="LGB140" s="3"/>
      <c r="LGC140" s="3"/>
      <c r="LGD140" s="3"/>
      <c r="LGE140" s="3"/>
      <c r="LGF140" s="3"/>
      <c r="LGG140" s="3"/>
      <c r="LGH140" s="3"/>
      <c r="LGI140" s="3"/>
      <c r="LGJ140" s="3"/>
      <c r="LGK140" s="3"/>
      <c r="LGL140" s="3"/>
      <c r="LGM140" s="3"/>
      <c r="LGN140" s="3"/>
      <c r="LGO140" s="3"/>
      <c r="LGP140" s="3"/>
      <c r="LGQ140" s="3"/>
      <c r="LGR140" s="3"/>
      <c r="LGS140" s="3"/>
      <c r="LGT140" s="3"/>
      <c r="LGU140" s="3"/>
      <c r="LGV140" s="3"/>
      <c r="LGW140" s="3"/>
      <c r="LGX140" s="3"/>
      <c r="LGY140" s="3"/>
      <c r="LGZ140" s="3"/>
      <c r="LHA140" s="3"/>
      <c r="LHB140" s="3"/>
      <c r="LHC140" s="3"/>
      <c r="LHD140" s="3"/>
      <c r="LHE140" s="3"/>
      <c r="LHF140" s="3"/>
      <c r="LHG140" s="3"/>
      <c r="LHH140" s="3"/>
      <c r="LHI140" s="3"/>
      <c r="LHJ140" s="3"/>
      <c r="LHK140" s="3"/>
      <c r="LHL140" s="3"/>
      <c r="LHM140" s="3"/>
      <c r="LHN140" s="3"/>
      <c r="LHO140" s="3"/>
      <c r="LHP140" s="3"/>
      <c r="LHQ140" s="3"/>
      <c r="LHR140" s="3"/>
      <c r="LHS140" s="3"/>
      <c r="LHT140" s="3"/>
      <c r="LHU140" s="3"/>
      <c r="LHV140" s="3"/>
      <c r="LHW140" s="3"/>
      <c r="LHX140" s="3"/>
      <c r="LHY140" s="3"/>
      <c r="LHZ140" s="3"/>
      <c r="LIA140" s="3"/>
      <c r="LIB140" s="3"/>
      <c r="LIC140" s="3"/>
      <c r="LID140" s="3"/>
      <c r="LIE140" s="3"/>
      <c r="LIF140" s="3"/>
      <c r="LIG140" s="3"/>
      <c r="LIH140" s="3"/>
      <c r="LII140" s="3"/>
      <c r="LIJ140" s="3"/>
      <c r="LIK140" s="3"/>
      <c r="LIL140" s="3"/>
      <c r="LIM140" s="3"/>
      <c r="LIN140" s="3"/>
      <c r="LIO140" s="3"/>
      <c r="LIP140" s="3"/>
      <c r="LIQ140" s="3"/>
      <c r="LIR140" s="3"/>
      <c r="LIS140" s="3"/>
      <c r="LIT140" s="3"/>
      <c r="LIU140" s="3"/>
      <c r="LIV140" s="3"/>
      <c r="LIW140" s="3"/>
      <c r="LIX140" s="3"/>
      <c r="LIY140" s="3"/>
      <c r="LIZ140" s="3"/>
      <c r="LJA140" s="3"/>
      <c r="LJB140" s="3"/>
      <c r="LJC140" s="3"/>
      <c r="LJD140" s="3"/>
      <c r="LJE140" s="3"/>
      <c r="LJF140" s="3"/>
      <c r="LJG140" s="3"/>
      <c r="LJH140" s="3"/>
      <c r="LJI140" s="3"/>
      <c r="LJJ140" s="3"/>
      <c r="LJK140" s="3"/>
      <c r="LJL140" s="3"/>
      <c r="LJM140" s="3"/>
      <c r="LJN140" s="3"/>
      <c r="LJO140" s="3"/>
      <c r="LJP140" s="3"/>
      <c r="LJQ140" s="3"/>
      <c r="LJR140" s="3"/>
      <c r="LJS140" s="3"/>
      <c r="LJT140" s="3"/>
      <c r="LJU140" s="3"/>
      <c r="LJV140" s="3"/>
      <c r="LJW140" s="3"/>
      <c r="LJX140" s="3"/>
      <c r="LJY140" s="3"/>
      <c r="LJZ140" s="3"/>
      <c r="LKA140" s="3"/>
      <c r="LKB140" s="3"/>
      <c r="LKC140" s="3"/>
      <c r="LKD140" s="3"/>
      <c r="LKE140" s="3"/>
      <c r="LKF140" s="3"/>
      <c r="LKG140" s="3"/>
      <c r="LKH140" s="3"/>
      <c r="LKI140" s="3"/>
      <c r="LKJ140" s="3"/>
      <c r="LKK140" s="3"/>
      <c r="LKL140" s="3"/>
      <c r="LKM140" s="3"/>
      <c r="LKN140" s="3"/>
      <c r="LKO140" s="3"/>
      <c r="LKP140" s="3"/>
      <c r="LKQ140" s="3"/>
      <c r="LKR140" s="3"/>
      <c r="LKS140" s="3"/>
      <c r="LKT140" s="3"/>
      <c r="LKU140" s="3"/>
      <c r="LKV140" s="3"/>
      <c r="LKW140" s="3"/>
      <c r="LKX140" s="3"/>
      <c r="LKY140" s="3"/>
      <c r="LKZ140" s="3"/>
      <c r="LLA140" s="3"/>
      <c r="LLB140" s="3"/>
      <c r="LLC140" s="3"/>
      <c r="LLD140" s="3"/>
      <c r="LLE140" s="3"/>
      <c r="LLF140" s="3"/>
      <c r="LLG140" s="3"/>
      <c r="LLH140" s="3"/>
      <c r="LLI140" s="3"/>
      <c r="LLJ140" s="3"/>
      <c r="LLK140" s="3"/>
      <c r="LLL140" s="3"/>
      <c r="LLM140" s="3"/>
      <c r="LLN140" s="3"/>
      <c r="LLO140" s="3"/>
      <c r="LLP140" s="3"/>
      <c r="LLQ140" s="3"/>
      <c r="LLR140" s="3"/>
      <c r="LLS140" s="3"/>
      <c r="LLT140" s="3"/>
      <c r="LLU140" s="3"/>
      <c r="LLV140" s="3"/>
      <c r="LLW140" s="3"/>
      <c r="LLX140" s="3"/>
      <c r="LLY140" s="3"/>
      <c r="LLZ140" s="3"/>
      <c r="LMA140" s="3"/>
      <c r="LMB140" s="3"/>
      <c r="LMC140" s="3"/>
      <c r="LMD140" s="3"/>
      <c r="LME140" s="3"/>
      <c r="LMF140" s="3"/>
      <c r="LMG140" s="3"/>
      <c r="LMH140" s="3"/>
      <c r="LMI140" s="3"/>
      <c r="LMJ140" s="3"/>
      <c r="LMK140" s="3"/>
      <c r="LML140" s="3"/>
      <c r="LMM140" s="3"/>
      <c r="LMN140" s="3"/>
      <c r="LMO140" s="3"/>
      <c r="LMP140" s="3"/>
      <c r="LMQ140" s="3"/>
      <c r="LMR140" s="3"/>
      <c r="LMS140" s="3"/>
      <c r="LMT140" s="3"/>
      <c r="LMU140" s="3"/>
      <c r="LMV140" s="3"/>
      <c r="LMW140" s="3"/>
      <c r="LMX140" s="3"/>
      <c r="LMY140" s="3"/>
      <c r="LMZ140" s="3"/>
      <c r="LNA140" s="3"/>
      <c r="LNB140" s="3"/>
      <c r="LNC140" s="3"/>
      <c r="LND140" s="3"/>
      <c r="LNE140" s="3"/>
      <c r="LNF140" s="3"/>
      <c r="LNG140" s="3"/>
      <c r="LNH140" s="3"/>
      <c r="LNI140" s="3"/>
      <c r="LNJ140" s="3"/>
      <c r="LNK140" s="3"/>
      <c r="LNL140" s="3"/>
      <c r="LNM140" s="3"/>
      <c r="LNN140" s="3"/>
      <c r="LNO140" s="3"/>
      <c r="LNP140" s="3"/>
      <c r="LNQ140" s="3"/>
      <c r="LNR140" s="3"/>
      <c r="LNS140" s="3"/>
      <c r="LNT140" s="3"/>
      <c r="LNU140" s="3"/>
      <c r="LNV140" s="3"/>
      <c r="LNW140" s="3"/>
      <c r="LNX140" s="3"/>
      <c r="LNY140" s="3"/>
      <c r="LNZ140" s="3"/>
      <c r="LOA140" s="3"/>
      <c r="LOB140" s="3"/>
      <c r="LOC140" s="3"/>
      <c r="LOD140" s="3"/>
      <c r="LOE140" s="3"/>
      <c r="LOF140" s="3"/>
      <c r="LOG140" s="3"/>
      <c r="LOH140" s="3"/>
      <c r="LOI140" s="3"/>
      <c r="LOJ140" s="3"/>
      <c r="LOK140" s="3"/>
      <c r="LOL140" s="3"/>
      <c r="LOM140" s="3"/>
      <c r="LON140" s="3"/>
      <c r="LOO140" s="3"/>
      <c r="LOP140" s="3"/>
      <c r="LOQ140" s="3"/>
      <c r="LOR140" s="3"/>
      <c r="LOS140" s="3"/>
      <c r="LOT140" s="3"/>
      <c r="LOU140" s="3"/>
      <c r="LOV140" s="3"/>
      <c r="LOW140" s="3"/>
      <c r="LOX140" s="3"/>
      <c r="LOY140" s="3"/>
      <c r="LOZ140" s="3"/>
      <c r="LPA140" s="3"/>
      <c r="LPB140" s="3"/>
      <c r="LPC140" s="3"/>
      <c r="LPD140" s="3"/>
      <c r="LPE140" s="3"/>
      <c r="LPF140" s="3"/>
      <c r="LPG140" s="3"/>
      <c r="LPH140" s="3"/>
      <c r="LPI140" s="3"/>
      <c r="LPJ140" s="3"/>
      <c r="LPK140" s="3"/>
      <c r="LPL140" s="3"/>
      <c r="LPM140" s="3"/>
      <c r="LPN140" s="3"/>
      <c r="LPO140" s="3"/>
      <c r="LPP140" s="3"/>
      <c r="LPQ140" s="3"/>
      <c r="LPR140" s="3"/>
      <c r="LPS140" s="3"/>
      <c r="LPT140" s="3"/>
      <c r="LPU140" s="3"/>
      <c r="LPV140" s="3"/>
      <c r="LPW140" s="3"/>
      <c r="LPX140" s="3"/>
      <c r="LPY140" s="3"/>
      <c r="LPZ140" s="3"/>
      <c r="LQA140" s="3"/>
      <c r="LQB140" s="3"/>
      <c r="LQC140" s="3"/>
      <c r="LQD140" s="3"/>
      <c r="LQE140" s="3"/>
      <c r="LQF140" s="3"/>
      <c r="LQG140" s="3"/>
      <c r="LQH140" s="3"/>
      <c r="LQI140" s="3"/>
      <c r="LQJ140" s="3"/>
      <c r="LQK140" s="3"/>
      <c r="LQL140" s="3"/>
      <c r="LQM140" s="3"/>
      <c r="LQN140" s="3"/>
      <c r="LQO140" s="3"/>
      <c r="LQP140" s="3"/>
      <c r="LQQ140" s="3"/>
      <c r="LQR140" s="3"/>
      <c r="LQS140" s="3"/>
      <c r="LQT140" s="3"/>
      <c r="LQU140" s="3"/>
      <c r="LQV140" s="3"/>
      <c r="LQW140" s="3"/>
      <c r="LQX140" s="3"/>
      <c r="LQY140" s="3"/>
      <c r="LQZ140" s="3"/>
      <c r="LRA140" s="3"/>
      <c r="LRB140" s="3"/>
      <c r="LRC140" s="3"/>
      <c r="LRD140" s="3"/>
      <c r="LRE140" s="3"/>
      <c r="LRF140" s="3"/>
      <c r="LRG140" s="3"/>
      <c r="LRH140" s="3"/>
      <c r="LRI140" s="3"/>
      <c r="LRJ140" s="3"/>
      <c r="LRK140" s="3"/>
      <c r="LRL140" s="3"/>
      <c r="LRM140" s="3"/>
      <c r="LRN140" s="3"/>
      <c r="LRO140" s="3"/>
      <c r="LRP140" s="3"/>
      <c r="LRQ140" s="3"/>
      <c r="LRR140" s="3"/>
      <c r="LRS140" s="3"/>
      <c r="LRT140" s="3"/>
      <c r="LRU140" s="3"/>
      <c r="LRV140" s="3"/>
      <c r="LRW140" s="3"/>
      <c r="LRX140" s="3"/>
      <c r="LRY140" s="3"/>
      <c r="LRZ140" s="3"/>
      <c r="LSA140" s="3"/>
      <c r="LSB140" s="3"/>
      <c r="LSC140" s="3"/>
      <c r="LSD140" s="3"/>
      <c r="LSE140" s="3"/>
      <c r="LSF140" s="3"/>
      <c r="LSG140" s="3"/>
      <c r="LSH140" s="3"/>
      <c r="LSI140" s="3"/>
      <c r="LSJ140" s="3"/>
      <c r="LSK140" s="3"/>
      <c r="LSL140" s="3"/>
      <c r="LSM140" s="3"/>
      <c r="LSN140" s="3"/>
      <c r="LSO140" s="3"/>
      <c r="LSP140" s="3"/>
      <c r="LSQ140" s="3"/>
      <c r="LSR140" s="3"/>
      <c r="LSS140" s="3"/>
      <c r="LST140" s="3"/>
      <c r="LSU140" s="3"/>
      <c r="LSV140" s="3"/>
      <c r="LSW140" s="3"/>
      <c r="LSX140" s="3"/>
      <c r="LSY140" s="3"/>
      <c r="LSZ140" s="3"/>
      <c r="LTA140" s="3"/>
      <c r="LTB140" s="3"/>
      <c r="LTC140" s="3"/>
      <c r="LTD140" s="3"/>
      <c r="LTE140" s="3"/>
      <c r="LTF140" s="3"/>
      <c r="LTG140" s="3"/>
      <c r="LTH140" s="3"/>
      <c r="LTI140" s="3"/>
      <c r="LTJ140" s="3"/>
      <c r="LTK140" s="3"/>
      <c r="LTL140" s="3"/>
      <c r="LTM140" s="3"/>
      <c r="LTN140" s="3"/>
      <c r="LTO140" s="3"/>
      <c r="LTP140" s="3"/>
      <c r="LTQ140" s="3"/>
      <c r="LTR140" s="3"/>
      <c r="LTS140" s="3"/>
      <c r="LTT140" s="3"/>
      <c r="LTU140" s="3"/>
      <c r="LTV140" s="3"/>
      <c r="LTW140" s="3"/>
      <c r="LTX140" s="3"/>
      <c r="LTY140" s="3"/>
      <c r="LTZ140" s="3"/>
      <c r="LUA140" s="3"/>
      <c r="LUB140" s="3"/>
      <c r="LUC140" s="3"/>
      <c r="LUD140" s="3"/>
      <c r="LUE140" s="3"/>
      <c r="LUF140" s="3"/>
      <c r="LUG140" s="3"/>
      <c r="LUH140" s="3"/>
      <c r="LUI140" s="3"/>
      <c r="LUJ140" s="3"/>
      <c r="LUK140" s="3"/>
      <c r="LUL140" s="3"/>
      <c r="LUM140" s="3"/>
      <c r="LUN140" s="3"/>
      <c r="LUO140" s="3"/>
      <c r="LUP140" s="3"/>
      <c r="LUQ140" s="3"/>
      <c r="LUR140" s="3"/>
      <c r="LUS140" s="3"/>
      <c r="LUT140" s="3"/>
      <c r="LUU140" s="3"/>
      <c r="LUV140" s="3"/>
      <c r="LUW140" s="3"/>
      <c r="LUX140" s="3"/>
      <c r="LUY140" s="3"/>
      <c r="LUZ140" s="3"/>
      <c r="LVA140" s="3"/>
      <c r="LVB140" s="3"/>
      <c r="LVC140" s="3"/>
      <c r="LVD140" s="3"/>
      <c r="LVE140" s="3"/>
      <c r="LVF140" s="3"/>
      <c r="LVG140" s="3"/>
      <c r="LVH140" s="3"/>
      <c r="LVI140" s="3"/>
      <c r="LVJ140" s="3"/>
      <c r="LVK140" s="3"/>
      <c r="LVL140" s="3"/>
      <c r="LVM140" s="3"/>
      <c r="LVN140" s="3"/>
      <c r="LVO140" s="3"/>
      <c r="LVP140" s="3"/>
      <c r="LVQ140" s="3"/>
      <c r="LVR140" s="3"/>
      <c r="LVS140" s="3"/>
      <c r="LVT140" s="3"/>
      <c r="LVU140" s="3"/>
      <c r="LVV140" s="3"/>
      <c r="LVW140" s="3"/>
      <c r="LVX140" s="3"/>
      <c r="LVY140" s="3"/>
      <c r="LVZ140" s="3"/>
      <c r="LWA140" s="3"/>
      <c r="LWB140" s="3"/>
      <c r="LWC140" s="3"/>
      <c r="LWD140" s="3"/>
      <c r="LWE140" s="3"/>
      <c r="LWF140" s="3"/>
      <c r="LWG140" s="3"/>
      <c r="LWH140" s="3"/>
      <c r="LWI140" s="3"/>
      <c r="LWJ140" s="3"/>
      <c r="LWK140" s="3"/>
      <c r="LWL140" s="3"/>
      <c r="LWM140" s="3"/>
      <c r="LWN140" s="3"/>
      <c r="LWO140" s="3"/>
      <c r="LWP140" s="3"/>
      <c r="LWQ140" s="3"/>
      <c r="LWR140" s="3"/>
      <c r="LWS140" s="3"/>
      <c r="LWT140" s="3"/>
      <c r="LWU140" s="3"/>
      <c r="LWV140" s="3"/>
      <c r="LWW140" s="3"/>
      <c r="LWX140" s="3"/>
      <c r="LWY140" s="3"/>
      <c r="LWZ140" s="3"/>
      <c r="LXA140" s="3"/>
      <c r="LXB140" s="3"/>
      <c r="LXC140" s="3"/>
      <c r="LXD140" s="3"/>
      <c r="LXE140" s="3"/>
      <c r="LXF140" s="3"/>
      <c r="LXG140" s="3"/>
      <c r="LXH140" s="3"/>
      <c r="LXI140" s="3"/>
      <c r="LXJ140" s="3"/>
      <c r="LXK140" s="3"/>
      <c r="LXL140" s="3"/>
      <c r="LXM140" s="3"/>
      <c r="LXN140" s="3"/>
      <c r="LXO140" s="3"/>
      <c r="LXP140" s="3"/>
      <c r="LXQ140" s="3"/>
      <c r="LXR140" s="3"/>
      <c r="LXS140" s="3"/>
      <c r="LXT140" s="3"/>
      <c r="LXU140" s="3"/>
      <c r="LXV140" s="3"/>
      <c r="LXW140" s="3"/>
      <c r="LXX140" s="3"/>
      <c r="LXY140" s="3"/>
      <c r="LXZ140" s="3"/>
      <c r="LYA140" s="3"/>
      <c r="LYB140" s="3"/>
      <c r="LYC140" s="3"/>
      <c r="LYD140" s="3"/>
      <c r="LYE140" s="3"/>
      <c r="LYF140" s="3"/>
      <c r="LYG140" s="3"/>
      <c r="LYH140" s="3"/>
      <c r="LYI140" s="3"/>
      <c r="LYJ140" s="3"/>
      <c r="LYK140" s="3"/>
      <c r="LYL140" s="3"/>
      <c r="LYM140" s="3"/>
      <c r="LYN140" s="3"/>
      <c r="LYO140" s="3"/>
      <c r="LYP140" s="3"/>
      <c r="LYQ140" s="3"/>
      <c r="LYR140" s="3"/>
      <c r="LYS140" s="3"/>
      <c r="LYT140" s="3"/>
      <c r="LYU140" s="3"/>
      <c r="LYV140" s="3"/>
      <c r="LYW140" s="3"/>
      <c r="LYX140" s="3"/>
      <c r="LYY140" s="3"/>
      <c r="LYZ140" s="3"/>
      <c r="LZA140" s="3"/>
      <c r="LZB140" s="3"/>
      <c r="LZC140" s="3"/>
      <c r="LZD140" s="3"/>
      <c r="LZE140" s="3"/>
      <c r="LZF140" s="3"/>
      <c r="LZG140" s="3"/>
      <c r="LZH140" s="3"/>
      <c r="LZI140" s="3"/>
      <c r="LZJ140" s="3"/>
      <c r="LZK140" s="3"/>
      <c r="LZL140" s="3"/>
      <c r="LZM140" s="3"/>
      <c r="LZN140" s="3"/>
      <c r="LZO140" s="3"/>
      <c r="LZP140" s="3"/>
      <c r="LZQ140" s="3"/>
      <c r="LZR140" s="3"/>
      <c r="LZS140" s="3"/>
      <c r="LZT140" s="3"/>
      <c r="LZU140" s="3"/>
      <c r="LZV140" s="3"/>
      <c r="LZW140" s="3"/>
      <c r="LZX140" s="3"/>
      <c r="LZY140" s="3"/>
      <c r="LZZ140" s="3"/>
      <c r="MAA140" s="3"/>
      <c r="MAB140" s="3"/>
      <c r="MAC140" s="3"/>
      <c r="MAD140" s="3"/>
      <c r="MAE140" s="3"/>
      <c r="MAF140" s="3"/>
      <c r="MAG140" s="3"/>
      <c r="MAH140" s="3"/>
      <c r="MAI140" s="3"/>
      <c r="MAJ140" s="3"/>
      <c r="MAK140" s="3"/>
      <c r="MAL140" s="3"/>
      <c r="MAM140" s="3"/>
      <c r="MAN140" s="3"/>
      <c r="MAO140" s="3"/>
      <c r="MAP140" s="3"/>
      <c r="MAQ140" s="3"/>
      <c r="MAR140" s="3"/>
      <c r="MAS140" s="3"/>
      <c r="MAT140" s="3"/>
      <c r="MAU140" s="3"/>
      <c r="MAV140" s="3"/>
      <c r="MAW140" s="3"/>
      <c r="MAX140" s="3"/>
      <c r="MAY140" s="3"/>
      <c r="MAZ140" s="3"/>
      <c r="MBA140" s="3"/>
      <c r="MBB140" s="3"/>
      <c r="MBC140" s="3"/>
      <c r="MBD140" s="3"/>
      <c r="MBE140" s="3"/>
      <c r="MBF140" s="3"/>
      <c r="MBG140" s="3"/>
      <c r="MBH140" s="3"/>
      <c r="MBI140" s="3"/>
      <c r="MBJ140" s="3"/>
      <c r="MBK140" s="3"/>
      <c r="MBL140" s="3"/>
      <c r="MBM140" s="3"/>
      <c r="MBN140" s="3"/>
      <c r="MBO140" s="3"/>
      <c r="MBP140" s="3"/>
      <c r="MBQ140" s="3"/>
      <c r="MBR140" s="3"/>
      <c r="MBS140" s="3"/>
      <c r="MBT140" s="3"/>
      <c r="MBU140" s="3"/>
      <c r="MBV140" s="3"/>
      <c r="MBW140" s="3"/>
      <c r="MBX140" s="3"/>
      <c r="MBY140" s="3"/>
      <c r="MBZ140" s="3"/>
      <c r="MCA140" s="3"/>
      <c r="MCB140" s="3"/>
      <c r="MCC140" s="3"/>
      <c r="MCD140" s="3"/>
      <c r="MCE140" s="3"/>
      <c r="MCF140" s="3"/>
      <c r="MCG140" s="3"/>
      <c r="MCH140" s="3"/>
      <c r="MCI140" s="3"/>
      <c r="MCJ140" s="3"/>
      <c r="MCK140" s="3"/>
      <c r="MCL140" s="3"/>
      <c r="MCM140" s="3"/>
      <c r="MCN140" s="3"/>
      <c r="MCO140" s="3"/>
      <c r="MCP140" s="3"/>
      <c r="MCQ140" s="3"/>
      <c r="MCR140" s="3"/>
      <c r="MCS140" s="3"/>
      <c r="MCT140" s="3"/>
      <c r="MCU140" s="3"/>
      <c r="MCV140" s="3"/>
      <c r="MCW140" s="3"/>
      <c r="MCX140" s="3"/>
      <c r="MCY140" s="3"/>
      <c r="MCZ140" s="3"/>
      <c r="MDA140" s="3"/>
      <c r="MDB140" s="3"/>
      <c r="MDC140" s="3"/>
      <c r="MDD140" s="3"/>
      <c r="MDE140" s="3"/>
      <c r="MDF140" s="3"/>
      <c r="MDG140" s="3"/>
      <c r="MDH140" s="3"/>
      <c r="MDI140" s="3"/>
      <c r="MDJ140" s="3"/>
      <c r="MDK140" s="3"/>
      <c r="MDL140" s="3"/>
      <c r="MDM140" s="3"/>
      <c r="MDN140" s="3"/>
      <c r="MDO140" s="3"/>
      <c r="MDP140" s="3"/>
      <c r="MDQ140" s="3"/>
      <c r="MDR140" s="3"/>
      <c r="MDS140" s="3"/>
      <c r="MDT140" s="3"/>
      <c r="MDU140" s="3"/>
      <c r="MDV140" s="3"/>
      <c r="MDW140" s="3"/>
      <c r="MDX140" s="3"/>
      <c r="MDY140" s="3"/>
      <c r="MDZ140" s="3"/>
      <c r="MEA140" s="3"/>
      <c r="MEB140" s="3"/>
      <c r="MEC140" s="3"/>
      <c r="MED140" s="3"/>
      <c r="MEE140" s="3"/>
      <c r="MEF140" s="3"/>
      <c r="MEG140" s="3"/>
      <c r="MEH140" s="3"/>
      <c r="MEI140" s="3"/>
      <c r="MEJ140" s="3"/>
      <c r="MEK140" s="3"/>
      <c r="MEL140" s="3"/>
      <c r="MEM140" s="3"/>
      <c r="MEN140" s="3"/>
      <c r="MEO140" s="3"/>
      <c r="MEP140" s="3"/>
      <c r="MEQ140" s="3"/>
      <c r="MER140" s="3"/>
      <c r="MES140" s="3"/>
      <c r="MET140" s="3"/>
      <c r="MEU140" s="3"/>
      <c r="MEV140" s="3"/>
      <c r="MEW140" s="3"/>
      <c r="MEX140" s="3"/>
      <c r="MEY140" s="3"/>
      <c r="MEZ140" s="3"/>
      <c r="MFA140" s="3"/>
      <c r="MFB140" s="3"/>
      <c r="MFC140" s="3"/>
      <c r="MFD140" s="3"/>
      <c r="MFE140" s="3"/>
      <c r="MFF140" s="3"/>
      <c r="MFG140" s="3"/>
      <c r="MFH140" s="3"/>
      <c r="MFI140" s="3"/>
      <c r="MFJ140" s="3"/>
      <c r="MFK140" s="3"/>
      <c r="MFL140" s="3"/>
      <c r="MFM140" s="3"/>
      <c r="MFN140" s="3"/>
      <c r="MFO140" s="3"/>
      <c r="MFP140" s="3"/>
      <c r="MFQ140" s="3"/>
      <c r="MFR140" s="3"/>
      <c r="MFS140" s="3"/>
      <c r="MFT140" s="3"/>
      <c r="MFU140" s="3"/>
      <c r="MFV140" s="3"/>
      <c r="MFW140" s="3"/>
      <c r="MFX140" s="3"/>
      <c r="MFY140" s="3"/>
      <c r="MFZ140" s="3"/>
      <c r="MGA140" s="3"/>
      <c r="MGB140" s="3"/>
      <c r="MGC140" s="3"/>
      <c r="MGD140" s="3"/>
      <c r="MGE140" s="3"/>
      <c r="MGF140" s="3"/>
      <c r="MGG140" s="3"/>
      <c r="MGH140" s="3"/>
      <c r="MGI140" s="3"/>
      <c r="MGJ140" s="3"/>
      <c r="MGK140" s="3"/>
      <c r="MGL140" s="3"/>
      <c r="MGM140" s="3"/>
      <c r="MGN140" s="3"/>
      <c r="MGO140" s="3"/>
      <c r="MGP140" s="3"/>
      <c r="MGQ140" s="3"/>
      <c r="MGR140" s="3"/>
      <c r="MGS140" s="3"/>
      <c r="MGT140" s="3"/>
      <c r="MGU140" s="3"/>
      <c r="MGV140" s="3"/>
      <c r="MGW140" s="3"/>
      <c r="MGX140" s="3"/>
      <c r="MGY140" s="3"/>
      <c r="MGZ140" s="3"/>
      <c r="MHA140" s="3"/>
      <c r="MHB140" s="3"/>
      <c r="MHC140" s="3"/>
      <c r="MHD140" s="3"/>
      <c r="MHE140" s="3"/>
      <c r="MHF140" s="3"/>
      <c r="MHG140" s="3"/>
      <c r="MHH140" s="3"/>
      <c r="MHI140" s="3"/>
      <c r="MHJ140" s="3"/>
      <c r="MHK140" s="3"/>
      <c r="MHL140" s="3"/>
      <c r="MHM140" s="3"/>
      <c r="MHN140" s="3"/>
      <c r="MHO140" s="3"/>
      <c r="MHP140" s="3"/>
      <c r="MHQ140" s="3"/>
      <c r="MHR140" s="3"/>
      <c r="MHS140" s="3"/>
      <c r="MHT140" s="3"/>
      <c r="MHU140" s="3"/>
      <c r="MHV140" s="3"/>
      <c r="MHW140" s="3"/>
      <c r="MHX140" s="3"/>
      <c r="MHY140" s="3"/>
      <c r="MHZ140" s="3"/>
      <c r="MIA140" s="3"/>
      <c r="MIB140" s="3"/>
      <c r="MIC140" s="3"/>
      <c r="MID140" s="3"/>
      <c r="MIE140" s="3"/>
      <c r="MIF140" s="3"/>
      <c r="MIG140" s="3"/>
      <c r="MIH140" s="3"/>
      <c r="MII140" s="3"/>
      <c r="MIJ140" s="3"/>
      <c r="MIK140" s="3"/>
      <c r="MIL140" s="3"/>
      <c r="MIM140" s="3"/>
      <c r="MIN140" s="3"/>
      <c r="MIO140" s="3"/>
      <c r="MIP140" s="3"/>
      <c r="MIQ140" s="3"/>
      <c r="MIR140" s="3"/>
      <c r="MIS140" s="3"/>
      <c r="MIT140" s="3"/>
      <c r="MIU140" s="3"/>
      <c r="MIV140" s="3"/>
      <c r="MIW140" s="3"/>
      <c r="MIX140" s="3"/>
      <c r="MIY140" s="3"/>
      <c r="MIZ140" s="3"/>
      <c r="MJA140" s="3"/>
      <c r="MJB140" s="3"/>
      <c r="MJC140" s="3"/>
      <c r="MJD140" s="3"/>
      <c r="MJE140" s="3"/>
      <c r="MJF140" s="3"/>
      <c r="MJG140" s="3"/>
      <c r="MJH140" s="3"/>
      <c r="MJI140" s="3"/>
      <c r="MJJ140" s="3"/>
      <c r="MJK140" s="3"/>
      <c r="MJL140" s="3"/>
      <c r="MJM140" s="3"/>
      <c r="MJN140" s="3"/>
      <c r="MJO140" s="3"/>
      <c r="MJP140" s="3"/>
      <c r="MJQ140" s="3"/>
      <c r="MJR140" s="3"/>
      <c r="MJS140" s="3"/>
      <c r="MJT140" s="3"/>
      <c r="MJU140" s="3"/>
      <c r="MJV140" s="3"/>
      <c r="MJW140" s="3"/>
      <c r="MJX140" s="3"/>
      <c r="MJY140" s="3"/>
      <c r="MJZ140" s="3"/>
      <c r="MKA140" s="3"/>
      <c r="MKB140" s="3"/>
      <c r="MKC140" s="3"/>
      <c r="MKD140" s="3"/>
      <c r="MKE140" s="3"/>
      <c r="MKF140" s="3"/>
      <c r="MKG140" s="3"/>
      <c r="MKH140" s="3"/>
      <c r="MKI140" s="3"/>
      <c r="MKJ140" s="3"/>
      <c r="MKK140" s="3"/>
      <c r="MKL140" s="3"/>
      <c r="MKM140" s="3"/>
      <c r="MKN140" s="3"/>
      <c r="MKO140" s="3"/>
      <c r="MKP140" s="3"/>
      <c r="MKQ140" s="3"/>
      <c r="MKR140" s="3"/>
      <c r="MKS140" s="3"/>
      <c r="MKT140" s="3"/>
      <c r="MKU140" s="3"/>
      <c r="MKV140" s="3"/>
      <c r="MKW140" s="3"/>
      <c r="MKX140" s="3"/>
      <c r="MKY140" s="3"/>
      <c r="MKZ140" s="3"/>
      <c r="MLA140" s="3"/>
      <c r="MLB140" s="3"/>
      <c r="MLC140" s="3"/>
      <c r="MLD140" s="3"/>
      <c r="MLE140" s="3"/>
      <c r="MLF140" s="3"/>
      <c r="MLG140" s="3"/>
      <c r="MLH140" s="3"/>
      <c r="MLI140" s="3"/>
      <c r="MLJ140" s="3"/>
      <c r="MLK140" s="3"/>
      <c r="MLL140" s="3"/>
      <c r="MLM140" s="3"/>
      <c r="MLN140" s="3"/>
      <c r="MLO140" s="3"/>
      <c r="MLP140" s="3"/>
      <c r="MLQ140" s="3"/>
      <c r="MLR140" s="3"/>
      <c r="MLS140" s="3"/>
      <c r="MLT140" s="3"/>
      <c r="MLU140" s="3"/>
      <c r="MLV140" s="3"/>
      <c r="MLW140" s="3"/>
      <c r="MLX140" s="3"/>
      <c r="MLY140" s="3"/>
      <c r="MLZ140" s="3"/>
      <c r="MMA140" s="3"/>
      <c r="MMB140" s="3"/>
      <c r="MMC140" s="3"/>
      <c r="MMD140" s="3"/>
      <c r="MME140" s="3"/>
      <c r="MMF140" s="3"/>
      <c r="MMG140" s="3"/>
      <c r="MMH140" s="3"/>
      <c r="MMI140" s="3"/>
      <c r="MMJ140" s="3"/>
      <c r="MMK140" s="3"/>
      <c r="MML140" s="3"/>
      <c r="MMM140" s="3"/>
      <c r="MMN140" s="3"/>
      <c r="MMO140" s="3"/>
      <c r="MMP140" s="3"/>
      <c r="MMQ140" s="3"/>
      <c r="MMR140" s="3"/>
      <c r="MMS140" s="3"/>
      <c r="MMT140" s="3"/>
      <c r="MMU140" s="3"/>
      <c r="MMV140" s="3"/>
      <c r="MMW140" s="3"/>
      <c r="MMX140" s="3"/>
      <c r="MMY140" s="3"/>
      <c r="MMZ140" s="3"/>
      <c r="MNA140" s="3"/>
      <c r="MNB140" s="3"/>
      <c r="MNC140" s="3"/>
      <c r="MND140" s="3"/>
      <c r="MNE140" s="3"/>
      <c r="MNF140" s="3"/>
      <c r="MNG140" s="3"/>
      <c r="MNH140" s="3"/>
      <c r="MNI140" s="3"/>
      <c r="MNJ140" s="3"/>
      <c r="MNK140" s="3"/>
      <c r="MNL140" s="3"/>
      <c r="MNM140" s="3"/>
      <c r="MNN140" s="3"/>
      <c r="MNO140" s="3"/>
      <c r="MNP140" s="3"/>
      <c r="MNQ140" s="3"/>
      <c r="MNR140" s="3"/>
      <c r="MNS140" s="3"/>
      <c r="MNT140" s="3"/>
      <c r="MNU140" s="3"/>
      <c r="MNV140" s="3"/>
      <c r="MNW140" s="3"/>
      <c r="MNX140" s="3"/>
      <c r="MNY140" s="3"/>
      <c r="MNZ140" s="3"/>
      <c r="MOA140" s="3"/>
      <c r="MOB140" s="3"/>
      <c r="MOC140" s="3"/>
      <c r="MOD140" s="3"/>
      <c r="MOE140" s="3"/>
      <c r="MOF140" s="3"/>
      <c r="MOG140" s="3"/>
      <c r="MOH140" s="3"/>
      <c r="MOI140" s="3"/>
      <c r="MOJ140" s="3"/>
      <c r="MOK140" s="3"/>
      <c r="MOL140" s="3"/>
      <c r="MOM140" s="3"/>
      <c r="MON140" s="3"/>
      <c r="MOO140" s="3"/>
      <c r="MOP140" s="3"/>
      <c r="MOQ140" s="3"/>
      <c r="MOR140" s="3"/>
      <c r="MOS140" s="3"/>
      <c r="MOT140" s="3"/>
      <c r="MOU140" s="3"/>
      <c r="MOV140" s="3"/>
      <c r="MOW140" s="3"/>
      <c r="MOX140" s="3"/>
      <c r="MOY140" s="3"/>
      <c r="MOZ140" s="3"/>
      <c r="MPA140" s="3"/>
      <c r="MPB140" s="3"/>
      <c r="MPC140" s="3"/>
      <c r="MPD140" s="3"/>
      <c r="MPE140" s="3"/>
      <c r="MPF140" s="3"/>
      <c r="MPG140" s="3"/>
      <c r="MPH140" s="3"/>
      <c r="MPI140" s="3"/>
      <c r="MPJ140" s="3"/>
      <c r="MPK140" s="3"/>
      <c r="MPL140" s="3"/>
      <c r="MPM140" s="3"/>
      <c r="MPN140" s="3"/>
      <c r="MPO140" s="3"/>
      <c r="MPP140" s="3"/>
      <c r="MPQ140" s="3"/>
      <c r="MPR140" s="3"/>
      <c r="MPS140" s="3"/>
      <c r="MPT140" s="3"/>
      <c r="MPU140" s="3"/>
      <c r="MPV140" s="3"/>
      <c r="MPW140" s="3"/>
      <c r="MPX140" s="3"/>
      <c r="MPY140" s="3"/>
      <c r="MPZ140" s="3"/>
      <c r="MQA140" s="3"/>
      <c r="MQB140" s="3"/>
      <c r="MQC140" s="3"/>
      <c r="MQD140" s="3"/>
      <c r="MQE140" s="3"/>
      <c r="MQF140" s="3"/>
      <c r="MQG140" s="3"/>
      <c r="MQH140" s="3"/>
      <c r="MQI140" s="3"/>
      <c r="MQJ140" s="3"/>
      <c r="MQK140" s="3"/>
      <c r="MQL140" s="3"/>
      <c r="MQM140" s="3"/>
      <c r="MQN140" s="3"/>
      <c r="MQO140" s="3"/>
      <c r="MQP140" s="3"/>
      <c r="MQQ140" s="3"/>
      <c r="MQR140" s="3"/>
      <c r="MQS140" s="3"/>
      <c r="MQT140" s="3"/>
      <c r="MQU140" s="3"/>
      <c r="MQV140" s="3"/>
      <c r="MQW140" s="3"/>
      <c r="MQX140" s="3"/>
      <c r="MQY140" s="3"/>
      <c r="MQZ140" s="3"/>
      <c r="MRA140" s="3"/>
      <c r="MRB140" s="3"/>
      <c r="MRC140" s="3"/>
      <c r="MRD140" s="3"/>
      <c r="MRE140" s="3"/>
      <c r="MRF140" s="3"/>
      <c r="MRG140" s="3"/>
      <c r="MRH140" s="3"/>
      <c r="MRI140" s="3"/>
      <c r="MRJ140" s="3"/>
      <c r="MRK140" s="3"/>
      <c r="MRL140" s="3"/>
      <c r="MRM140" s="3"/>
      <c r="MRN140" s="3"/>
      <c r="MRO140" s="3"/>
      <c r="MRP140" s="3"/>
      <c r="MRQ140" s="3"/>
      <c r="MRR140" s="3"/>
      <c r="MRS140" s="3"/>
      <c r="MRT140" s="3"/>
      <c r="MRU140" s="3"/>
      <c r="MRV140" s="3"/>
      <c r="MRW140" s="3"/>
      <c r="MRX140" s="3"/>
      <c r="MRY140" s="3"/>
      <c r="MRZ140" s="3"/>
      <c r="MSA140" s="3"/>
      <c r="MSB140" s="3"/>
      <c r="MSC140" s="3"/>
      <c r="MSD140" s="3"/>
      <c r="MSE140" s="3"/>
      <c r="MSF140" s="3"/>
      <c r="MSG140" s="3"/>
      <c r="MSH140" s="3"/>
      <c r="MSI140" s="3"/>
      <c r="MSJ140" s="3"/>
      <c r="MSK140" s="3"/>
      <c r="MSL140" s="3"/>
      <c r="MSM140" s="3"/>
      <c r="MSN140" s="3"/>
      <c r="MSO140" s="3"/>
      <c r="MSP140" s="3"/>
      <c r="MSQ140" s="3"/>
      <c r="MSR140" s="3"/>
      <c r="MSS140" s="3"/>
      <c r="MST140" s="3"/>
      <c r="MSU140" s="3"/>
      <c r="MSV140" s="3"/>
      <c r="MSW140" s="3"/>
      <c r="MSX140" s="3"/>
      <c r="MSY140" s="3"/>
      <c r="MSZ140" s="3"/>
      <c r="MTA140" s="3"/>
      <c r="MTB140" s="3"/>
      <c r="MTC140" s="3"/>
      <c r="MTD140" s="3"/>
      <c r="MTE140" s="3"/>
      <c r="MTF140" s="3"/>
      <c r="MTG140" s="3"/>
      <c r="MTH140" s="3"/>
      <c r="MTI140" s="3"/>
      <c r="MTJ140" s="3"/>
      <c r="MTK140" s="3"/>
      <c r="MTL140" s="3"/>
      <c r="MTM140" s="3"/>
      <c r="MTN140" s="3"/>
      <c r="MTO140" s="3"/>
      <c r="MTP140" s="3"/>
      <c r="MTQ140" s="3"/>
      <c r="MTR140" s="3"/>
      <c r="MTS140" s="3"/>
      <c r="MTT140" s="3"/>
      <c r="MTU140" s="3"/>
      <c r="MTV140" s="3"/>
      <c r="MTW140" s="3"/>
      <c r="MTX140" s="3"/>
      <c r="MTY140" s="3"/>
      <c r="MTZ140" s="3"/>
      <c r="MUA140" s="3"/>
      <c r="MUB140" s="3"/>
      <c r="MUC140" s="3"/>
      <c r="MUD140" s="3"/>
      <c r="MUE140" s="3"/>
      <c r="MUF140" s="3"/>
      <c r="MUG140" s="3"/>
      <c r="MUH140" s="3"/>
      <c r="MUI140" s="3"/>
      <c r="MUJ140" s="3"/>
      <c r="MUK140" s="3"/>
      <c r="MUL140" s="3"/>
      <c r="MUM140" s="3"/>
      <c r="MUN140" s="3"/>
      <c r="MUO140" s="3"/>
      <c r="MUP140" s="3"/>
      <c r="MUQ140" s="3"/>
      <c r="MUR140" s="3"/>
      <c r="MUS140" s="3"/>
      <c r="MUT140" s="3"/>
      <c r="MUU140" s="3"/>
      <c r="MUV140" s="3"/>
      <c r="MUW140" s="3"/>
      <c r="MUX140" s="3"/>
      <c r="MUY140" s="3"/>
      <c r="MUZ140" s="3"/>
      <c r="MVA140" s="3"/>
      <c r="MVB140" s="3"/>
      <c r="MVC140" s="3"/>
      <c r="MVD140" s="3"/>
      <c r="MVE140" s="3"/>
      <c r="MVF140" s="3"/>
      <c r="MVG140" s="3"/>
      <c r="MVH140" s="3"/>
      <c r="MVI140" s="3"/>
      <c r="MVJ140" s="3"/>
      <c r="MVK140" s="3"/>
      <c r="MVL140" s="3"/>
      <c r="MVM140" s="3"/>
      <c r="MVN140" s="3"/>
      <c r="MVO140" s="3"/>
      <c r="MVP140" s="3"/>
      <c r="MVQ140" s="3"/>
      <c r="MVR140" s="3"/>
      <c r="MVS140" s="3"/>
      <c r="MVT140" s="3"/>
      <c r="MVU140" s="3"/>
      <c r="MVV140" s="3"/>
      <c r="MVW140" s="3"/>
      <c r="MVX140" s="3"/>
      <c r="MVY140" s="3"/>
      <c r="MVZ140" s="3"/>
      <c r="MWA140" s="3"/>
      <c r="MWB140" s="3"/>
      <c r="MWC140" s="3"/>
      <c r="MWD140" s="3"/>
      <c r="MWE140" s="3"/>
      <c r="MWF140" s="3"/>
      <c r="MWG140" s="3"/>
      <c r="MWH140" s="3"/>
      <c r="MWI140" s="3"/>
      <c r="MWJ140" s="3"/>
      <c r="MWK140" s="3"/>
      <c r="MWL140" s="3"/>
      <c r="MWM140" s="3"/>
      <c r="MWN140" s="3"/>
      <c r="MWO140" s="3"/>
      <c r="MWP140" s="3"/>
      <c r="MWQ140" s="3"/>
      <c r="MWR140" s="3"/>
      <c r="MWS140" s="3"/>
      <c r="MWT140" s="3"/>
      <c r="MWU140" s="3"/>
      <c r="MWV140" s="3"/>
      <c r="MWW140" s="3"/>
      <c r="MWX140" s="3"/>
      <c r="MWY140" s="3"/>
      <c r="MWZ140" s="3"/>
      <c r="MXA140" s="3"/>
      <c r="MXB140" s="3"/>
      <c r="MXC140" s="3"/>
      <c r="MXD140" s="3"/>
      <c r="MXE140" s="3"/>
      <c r="MXF140" s="3"/>
      <c r="MXG140" s="3"/>
      <c r="MXH140" s="3"/>
      <c r="MXI140" s="3"/>
      <c r="MXJ140" s="3"/>
      <c r="MXK140" s="3"/>
      <c r="MXL140" s="3"/>
      <c r="MXM140" s="3"/>
      <c r="MXN140" s="3"/>
      <c r="MXO140" s="3"/>
      <c r="MXP140" s="3"/>
      <c r="MXQ140" s="3"/>
      <c r="MXR140" s="3"/>
      <c r="MXS140" s="3"/>
      <c r="MXT140" s="3"/>
      <c r="MXU140" s="3"/>
      <c r="MXV140" s="3"/>
      <c r="MXW140" s="3"/>
      <c r="MXX140" s="3"/>
      <c r="MXY140" s="3"/>
      <c r="MXZ140" s="3"/>
      <c r="MYA140" s="3"/>
      <c r="MYB140" s="3"/>
      <c r="MYC140" s="3"/>
      <c r="MYD140" s="3"/>
      <c r="MYE140" s="3"/>
      <c r="MYF140" s="3"/>
      <c r="MYG140" s="3"/>
      <c r="MYH140" s="3"/>
      <c r="MYI140" s="3"/>
      <c r="MYJ140" s="3"/>
      <c r="MYK140" s="3"/>
      <c r="MYL140" s="3"/>
      <c r="MYM140" s="3"/>
      <c r="MYN140" s="3"/>
      <c r="MYO140" s="3"/>
      <c r="MYP140" s="3"/>
      <c r="MYQ140" s="3"/>
      <c r="MYR140" s="3"/>
      <c r="MYS140" s="3"/>
      <c r="MYT140" s="3"/>
      <c r="MYU140" s="3"/>
      <c r="MYV140" s="3"/>
      <c r="MYW140" s="3"/>
      <c r="MYX140" s="3"/>
      <c r="MYY140" s="3"/>
      <c r="MYZ140" s="3"/>
      <c r="MZA140" s="3"/>
      <c r="MZB140" s="3"/>
      <c r="MZC140" s="3"/>
      <c r="MZD140" s="3"/>
      <c r="MZE140" s="3"/>
      <c r="MZF140" s="3"/>
      <c r="MZG140" s="3"/>
      <c r="MZH140" s="3"/>
      <c r="MZI140" s="3"/>
      <c r="MZJ140" s="3"/>
      <c r="MZK140" s="3"/>
      <c r="MZL140" s="3"/>
      <c r="MZM140" s="3"/>
      <c r="MZN140" s="3"/>
      <c r="MZO140" s="3"/>
      <c r="MZP140" s="3"/>
      <c r="MZQ140" s="3"/>
      <c r="MZR140" s="3"/>
      <c r="MZS140" s="3"/>
      <c r="MZT140" s="3"/>
      <c r="MZU140" s="3"/>
      <c r="MZV140" s="3"/>
      <c r="MZW140" s="3"/>
      <c r="MZX140" s="3"/>
      <c r="MZY140" s="3"/>
      <c r="MZZ140" s="3"/>
      <c r="NAA140" s="3"/>
      <c r="NAB140" s="3"/>
      <c r="NAC140" s="3"/>
      <c r="NAD140" s="3"/>
      <c r="NAE140" s="3"/>
      <c r="NAF140" s="3"/>
      <c r="NAG140" s="3"/>
      <c r="NAH140" s="3"/>
      <c r="NAI140" s="3"/>
      <c r="NAJ140" s="3"/>
      <c r="NAK140" s="3"/>
      <c r="NAL140" s="3"/>
      <c r="NAM140" s="3"/>
      <c r="NAN140" s="3"/>
      <c r="NAO140" s="3"/>
      <c r="NAP140" s="3"/>
      <c r="NAQ140" s="3"/>
      <c r="NAR140" s="3"/>
      <c r="NAS140" s="3"/>
      <c r="NAT140" s="3"/>
      <c r="NAU140" s="3"/>
      <c r="NAV140" s="3"/>
      <c r="NAW140" s="3"/>
      <c r="NAX140" s="3"/>
      <c r="NAY140" s="3"/>
      <c r="NAZ140" s="3"/>
      <c r="NBA140" s="3"/>
      <c r="NBB140" s="3"/>
      <c r="NBC140" s="3"/>
      <c r="NBD140" s="3"/>
      <c r="NBE140" s="3"/>
      <c r="NBF140" s="3"/>
      <c r="NBG140" s="3"/>
      <c r="NBH140" s="3"/>
      <c r="NBI140" s="3"/>
      <c r="NBJ140" s="3"/>
      <c r="NBK140" s="3"/>
      <c r="NBL140" s="3"/>
      <c r="NBM140" s="3"/>
      <c r="NBN140" s="3"/>
      <c r="NBO140" s="3"/>
      <c r="NBP140" s="3"/>
      <c r="NBQ140" s="3"/>
      <c r="NBR140" s="3"/>
      <c r="NBS140" s="3"/>
      <c r="NBT140" s="3"/>
      <c r="NBU140" s="3"/>
      <c r="NBV140" s="3"/>
      <c r="NBW140" s="3"/>
      <c r="NBX140" s="3"/>
      <c r="NBY140" s="3"/>
      <c r="NBZ140" s="3"/>
      <c r="NCA140" s="3"/>
      <c r="NCB140" s="3"/>
      <c r="NCC140" s="3"/>
      <c r="NCD140" s="3"/>
      <c r="NCE140" s="3"/>
      <c r="NCF140" s="3"/>
      <c r="NCG140" s="3"/>
      <c r="NCH140" s="3"/>
      <c r="NCI140" s="3"/>
      <c r="NCJ140" s="3"/>
      <c r="NCK140" s="3"/>
      <c r="NCL140" s="3"/>
      <c r="NCM140" s="3"/>
      <c r="NCN140" s="3"/>
      <c r="NCO140" s="3"/>
      <c r="NCP140" s="3"/>
      <c r="NCQ140" s="3"/>
      <c r="NCR140" s="3"/>
      <c r="NCS140" s="3"/>
      <c r="NCT140" s="3"/>
      <c r="NCU140" s="3"/>
      <c r="NCV140" s="3"/>
      <c r="NCW140" s="3"/>
      <c r="NCX140" s="3"/>
      <c r="NCY140" s="3"/>
      <c r="NCZ140" s="3"/>
      <c r="NDA140" s="3"/>
      <c r="NDB140" s="3"/>
      <c r="NDC140" s="3"/>
      <c r="NDD140" s="3"/>
      <c r="NDE140" s="3"/>
      <c r="NDF140" s="3"/>
      <c r="NDG140" s="3"/>
      <c r="NDH140" s="3"/>
      <c r="NDI140" s="3"/>
      <c r="NDJ140" s="3"/>
      <c r="NDK140" s="3"/>
      <c r="NDL140" s="3"/>
      <c r="NDM140" s="3"/>
      <c r="NDN140" s="3"/>
      <c r="NDO140" s="3"/>
      <c r="NDP140" s="3"/>
      <c r="NDQ140" s="3"/>
      <c r="NDR140" s="3"/>
      <c r="NDS140" s="3"/>
      <c r="NDT140" s="3"/>
      <c r="NDU140" s="3"/>
      <c r="NDV140" s="3"/>
      <c r="NDW140" s="3"/>
      <c r="NDX140" s="3"/>
      <c r="NDY140" s="3"/>
      <c r="NDZ140" s="3"/>
      <c r="NEA140" s="3"/>
      <c r="NEB140" s="3"/>
      <c r="NEC140" s="3"/>
      <c r="NED140" s="3"/>
      <c r="NEE140" s="3"/>
      <c r="NEF140" s="3"/>
      <c r="NEG140" s="3"/>
      <c r="NEH140" s="3"/>
      <c r="NEI140" s="3"/>
      <c r="NEJ140" s="3"/>
      <c r="NEK140" s="3"/>
      <c r="NEL140" s="3"/>
      <c r="NEM140" s="3"/>
      <c r="NEN140" s="3"/>
      <c r="NEO140" s="3"/>
      <c r="NEP140" s="3"/>
      <c r="NEQ140" s="3"/>
      <c r="NER140" s="3"/>
      <c r="NES140" s="3"/>
      <c r="NET140" s="3"/>
      <c r="NEU140" s="3"/>
      <c r="NEV140" s="3"/>
      <c r="NEW140" s="3"/>
      <c r="NEX140" s="3"/>
      <c r="NEY140" s="3"/>
      <c r="NEZ140" s="3"/>
      <c r="NFA140" s="3"/>
      <c r="NFB140" s="3"/>
      <c r="NFC140" s="3"/>
      <c r="NFD140" s="3"/>
      <c r="NFE140" s="3"/>
      <c r="NFF140" s="3"/>
      <c r="NFG140" s="3"/>
      <c r="NFH140" s="3"/>
      <c r="NFI140" s="3"/>
      <c r="NFJ140" s="3"/>
      <c r="NFK140" s="3"/>
      <c r="NFL140" s="3"/>
      <c r="NFM140" s="3"/>
      <c r="NFN140" s="3"/>
      <c r="NFO140" s="3"/>
      <c r="NFP140" s="3"/>
      <c r="NFQ140" s="3"/>
      <c r="NFR140" s="3"/>
      <c r="NFS140" s="3"/>
      <c r="NFT140" s="3"/>
      <c r="NFU140" s="3"/>
      <c r="NFV140" s="3"/>
      <c r="NFW140" s="3"/>
      <c r="NFX140" s="3"/>
      <c r="NFY140" s="3"/>
      <c r="NFZ140" s="3"/>
      <c r="NGA140" s="3"/>
      <c r="NGB140" s="3"/>
      <c r="NGC140" s="3"/>
      <c r="NGD140" s="3"/>
      <c r="NGE140" s="3"/>
      <c r="NGF140" s="3"/>
      <c r="NGG140" s="3"/>
      <c r="NGH140" s="3"/>
      <c r="NGI140" s="3"/>
      <c r="NGJ140" s="3"/>
      <c r="NGK140" s="3"/>
      <c r="NGL140" s="3"/>
      <c r="NGM140" s="3"/>
      <c r="NGN140" s="3"/>
      <c r="NGO140" s="3"/>
      <c r="NGP140" s="3"/>
      <c r="NGQ140" s="3"/>
      <c r="NGR140" s="3"/>
      <c r="NGS140" s="3"/>
      <c r="NGT140" s="3"/>
      <c r="NGU140" s="3"/>
      <c r="NGV140" s="3"/>
      <c r="NGW140" s="3"/>
      <c r="NGX140" s="3"/>
      <c r="NGY140" s="3"/>
      <c r="NGZ140" s="3"/>
      <c r="NHA140" s="3"/>
      <c r="NHB140" s="3"/>
      <c r="NHC140" s="3"/>
      <c r="NHD140" s="3"/>
      <c r="NHE140" s="3"/>
      <c r="NHF140" s="3"/>
      <c r="NHG140" s="3"/>
      <c r="NHH140" s="3"/>
      <c r="NHI140" s="3"/>
      <c r="NHJ140" s="3"/>
      <c r="NHK140" s="3"/>
      <c r="NHL140" s="3"/>
      <c r="NHM140" s="3"/>
      <c r="NHN140" s="3"/>
      <c r="NHO140" s="3"/>
      <c r="NHP140" s="3"/>
      <c r="NHQ140" s="3"/>
      <c r="NHR140" s="3"/>
      <c r="NHS140" s="3"/>
      <c r="NHT140" s="3"/>
      <c r="NHU140" s="3"/>
      <c r="NHV140" s="3"/>
      <c r="NHW140" s="3"/>
      <c r="NHX140" s="3"/>
      <c r="NHY140" s="3"/>
      <c r="NHZ140" s="3"/>
      <c r="NIA140" s="3"/>
      <c r="NIB140" s="3"/>
      <c r="NIC140" s="3"/>
      <c r="NID140" s="3"/>
      <c r="NIE140" s="3"/>
      <c r="NIF140" s="3"/>
      <c r="NIG140" s="3"/>
      <c r="NIH140" s="3"/>
      <c r="NII140" s="3"/>
      <c r="NIJ140" s="3"/>
      <c r="NIK140" s="3"/>
      <c r="NIL140" s="3"/>
      <c r="NIM140" s="3"/>
      <c r="NIN140" s="3"/>
      <c r="NIO140" s="3"/>
      <c r="NIP140" s="3"/>
      <c r="NIQ140" s="3"/>
      <c r="NIR140" s="3"/>
      <c r="NIS140" s="3"/>
      <c r="NIT140" s="3"/>
      <c r="NIU140" s="3"/>
      <c r="NIV140" s="3"/>
      <c r="NIW140" s="3"/>
      <c r="NIX140" s="3"/>
      <c r="NIY140" s="3"/>
      <c r="NIZ140" s="3"/>
      <c r="NJA140" s="3"/>
      <c r="NJB140" s="3"/>
      <c r="NJC140" s="3"/>
      <c r="NJD140" s="3"/>
      <c r="NJE140" s="3"/>
      <c r="NJF140" s="3"/>
      <c r="NJG140" s="3"/>
      <c r="NJH140" s="3"/>
      <c r="NJI140" s="3"/>
      <c r="NJJ140" s="3"/>
      <c r="NJK140" s="3"/>
      <c r="NJL140" s="3"/>
      <c r="NJM140" s="3"/>
      <c r="NJN140" s="3"/>
      <c r="NJO140" s="3"/>
      <c r="NJP140" s="3"/>
      <c r="NJQ140" s="3"/>
      <c r="NJR140" s="3"/>
      <c r="NJS140" s="3"/>
      <c r="NJT140" s="3"/>
      <c r="NJU140" s="3"/>
      <c r="NJV140" s="3"/>
      <c r="NJW140" s="3"/>
      <c r="NJX140" s="3"/>
      <c r="NJY140" s="3"/>
      <c r="NJZ140" s="3"/>
      <c r="NKA140" s="3"/>
      <c r="NKB140" s="3"/>
      <c r="NKC140" s="3"/>
      <c r="NKD140" s="3"/>
      <c r="NKE140" s="3"/>
      <c r="NKF140" s="3"/>
      <c r="NKG140" s="3"/>
      <c r="NKH140" s="3"/>
      <c r="NKI140" s="3"/>
      <c r="NKJ140" s="3"/>
      <c r="NKK140" s="3"/>
      <c r="NKL140" s="3"/>
      <c r="NKM140" s="3"/>
      <c r="NKN140" s="3"/>
      <c r="NKO140" s="3"/>
      <c r="NKP140" s="3"/>
      <c r="NKQ140" s="3"/>
      <c r="NKR140" s="3"/>
      <c r="NKS140" s="3"/>
      <c r="NKT140" s="3"/>
      <c r="NKU140" s="3"/>
      <c r="NKV140" s="3"/>
      <c r="NKW140" s="3"/>
      <c r="NKX140" s="3"/>
      <c r="NKY140" s="3"/>
      <c r="NKZ140" s="3"/>
      <c r="NLA140" s="3"/>
      <c r="NLB140" s="3"/>
      <c r="NLC140" s="3"/>
      <c r="NLD140" s="3"/>
      <c r="NLE140" s="3"/>
      <c r="NLF140" s="3"/>
      <c r="NLG140" s="3"/>
      <c r="NLH140" s="3"/>
      <c r="NLI140" s="3"/>
      <c r="NLJ140" s="3"/>
      <c r="NLK140" s="3"/>
      <c r="NLL140" s="3"/>
      <c r="NLM140" s="3"/>
      <c r="NLN140" s="3"/>
      <c r="NLO140" s="3"/>
      <c r="NLP140" s="3"/>
      <c r="NLQ140" s="3"/>
      <c r="NLR140" s="3"/>
      <c r="NLS140" s="3"/>
      <c r="NLT140" s="3"/>
      <c r="NLU140" s="3"/>
      <c r="NLV140" s="3"/>
      <c r="NLW140" s="3"/>
      <c r="NLX140" s="3"/>
      <c r="NLY140" s="3"/>
      <c r="NLZ140" s="3"/>
      <c r="NMA140" s="3"/>
      <c r="NMB140" s="3"/>
      <c r="NMC140" s="3"/>
      <c r="NMD140" s="3"/>
      <c r="NME140" s="3"/>
      <c r="NMF140" s="3"/>
      <c r="NMG140" s="3"/>
      <c r="NMH140" s="3"/>
      <c r="NMI140" s="3"/>
      <c r="NMJ140" s="3"/>
      <c r="NMK140" s="3"/>
      <c r="NML140" s="3"/>
      <c r="NMM140" s="3"/>
      <c r="NMN140" s="3"/>
      <c r="NMO140" s="3"/>
      <c r="NMP140" s="3"/>
      <c r="NMQ140" s="3"/>
      <c r="NMR140" s="3"/>
      <c r="NMS140" s="3"/>
      <c r="NMT140" s="3"/>
      <c r="NMU140" s="3"/>
      <c r="NMV140" s="3"/>
      <c r="NMW140" s="3"/>
      <c r="NMX140" s="3"/>
      <c r="NMY140" s="3"/>
      <c r="NMZ140" s="3"/>
      <c r="NNA140" s="3"/>
      <c r="NNB140" s="3"/>
      <c r="NNC140" s="3"/>
      <c r="NND140" s="3"/>
      <c r="NNE140" s="3"/>
      <c r="NNF140" s="3"/>
      <c r="NNG140" s="3"/>
      <c r="NNH140" s="3"/>
      <c r="NNI140" s="3"/>
      <c r="NNJ140" s="3"/>
      <c r="NNK140" s="3"/>
      <c r="NNL140" s="3"/>
      <c r="NNM140" s="3"/>
      <c r="NNN140" s="3"/>
      <c r="NNO140" s="3"/>
      <c r="NNP140" s="3"/>
      <c r="NNQ140" s="3"/>
      <c r="NNR140" s="3"/>
      <c r="NNS140" s="3"/>
      <c r="NNT140" s="3"/>
      <c r="NNU140" s="3"/>
      <c r="NNV140" s="3"/>
      <c r="NNW140" s="3"/>
      <c r="NNX140" s="3"/>
      <c r="NNY140" s="3"/>
      <c r="NNZ140" s="3"/>
      <c r="NOA140" s="3"/>
      <c r="NOB140" s="3"/>
      <c r="NOC140" s="3"/>
      <c r="NOD140" s="3"/>
      <c r="NOE140" s="3"/>
      <c r="NOF140" s="3"/>
      <c r="NOG140" s="3"/>
      <c r="NOH140" s="3"/>
      <c r="NOI140" s="3"/>
      <c r="NOJ140" s="3"/>
      <c r="NOK140" s="3"/>
      <c r="NOL140" s="3"/>
      <c r="NOM140" s="3"/>
      <c r="NON140" s="3"/>
      <c r="NOO140" s="3"/>
      <c r="NOP140" s="3"/>
      <c r="NOQ140" s="3"/>
      <c r="NOR140" s="3"/>
      <c r="NOS140" s="3"/>
      <c r="NOT140" s="3"/>
      <c r="NOU140" s="3"/>
      <c r="NOV140" s="3"/>
      <c r="NOW140" s="3"/>
      <c r="NOX140" s="3"/>
      <c r="NOY140" s="3"/>
      <c r="NOZ140" s="3"/>
      <c r="NPA140" s="3"/>
      <c r="NPB140" s="3"/>
      <c r="NPC140" s="3"/>
      <c r="NPD140" s="3"/>
      <c r="NPE140" s="3"/>
      <c r="NPF140" s="3"/>
      <c r="NPG140" s="3"/>
      <c r="NPH140" s="3"/>
      <c r="NPI140" s="3"/>
      <c r="NPJ140" s="3"/>
      <c r="NPK140" s="3"/>
      <c r="NPL140" s="3"/>
      <c r="NPM140" s="3"/>
      <c r="NPN140" s="3"/>
      <c r="NPO140" s="3"/>
      <c r="NPP140" s="3"/>
      <c r="NPQ140" s="3"/>
      <c r="NPR140" s="3"/>
      <c r="NPS140" s="3"/>
      <c r="NPT140" s="3"/>
      <c r="NPU140" s="3"/>
      <c r="NPV140" s="3"/>
      <c r="NPW140" s="3"/>
      <c r="NPX140" s="3"/>
      <c r="NPY140" s="3"/>
      <c r="NPZ140" s="3"/>
      <c r="NQA140" s="3"/>
      <c r="NQB140" s="3"/>
      <c r="NQC140" s="3"/>
      <c r="NQD140" s="3"/>
      <c r="NQE140" s="3"/>
      <c r="NQF140" s="3"/>
      <c r="NQG140" s="3"/>
      <c r="NQH140" s="3"/>
      <c r="NQI140" s="3"/>
      <c r="NQJ140" s="3"/>
      <c r="NQK140" s="3"/>
      <c r="NQL140" s="3"/>
      <c r="NQM140" s="3"/>
      <c r="NQN140" s="3"/>
      <c r="NQO140" s="3"/>
      <c r="NQP140" s="3"/>
      <c r="NQQ140" s="3"/>
      <c r="NQR140" s="3"/>
      <c r="NQS140" s="3"/>
      <c r="NQT140" s="3"/>
      <c r="NQU140" s="3"/>
      <c r="NQV140" s="3"/>
      <c r="NQW140" s="3"/>
      <c r="NQX140" s="3"/>
      <c r="NQY140" s="3"/>
      <c r="NQZ140" s="3"/>
      <c r="NRA140" s="3"/>
      <c r="NRB140" s="3"/>
      <c r="NRC140" s="3"/>
      <c r="NRD140" s="3"/>
      <c r="NRE140" s="3"/>
      <c r="NRF140" s="3"/>
      <c r="NRG140" s="3"/>
      <c r="NRH140" s="3"/>
      <c r="NRI140" s="3"/>
      <c r="NRJ140" s="3"/>
      <c r="NRK140" s="3"/>
      <c r="NRL140" s="3"/>
      <c r="NRM140" s="3"/>
      <c r="NRN140" s="3"/>
      <c r="NRO140" s="3"/>
      <c r="NRP140" s="3"/>
      <c r="NRQ140" s="3"/>
      <c r="NRR140" s="3"/>
      <c r="NRS140" s="3"/>
      <c r="NRT140" s="3"/>
      <c r="NRU140" s="3"/>
      <c r="NRV140" s="3"/>
      <c r="NRW140" s="3"/>
      <c r="NRX140" s="3"/>
      <c r="NRY140" s="3"/>
      <c r="NRZ140" s="3"/>
      <c r="NSA140" s="3"/>
      <c r="NSB140" s="3"/>
      <c r="NSC140" s="3"/>
      <c r="NSD140" s="3"/>
      <c r="NSE140" s="3"/>
      <c r="NSF140" s="3"/>
      <c r="NSG140" s="3"/>
      <c r="NSH140" s="3"/>
      <c r="NSI140" s="3"/>
      <c r="NSJ140" s="3"/>
      <c r="NSK140" s="3"/>
      <c r="NSL140" s="3"/>
      <c r="NSM140" s="3"/>
      <c r="NSN140" s="3"/>
      <c r="NSO140" s="3"/>
      <c r="NSP140" s="3"/>
      <c r="NSQ140" s="3"/>
      <c r="NSR140" s="3"/>
      <c r="NSS140" s="3"/>
      <c r="NST140" s="3"/>
      <c r="NSU140" s="3"/>
      <c r="NSV140" s="3"/>
      <c r="NSW140" s="3"/>
      <c r="NSX140" s="3"/>
      <c r="NSY140" s="3"/>
      <c r="NSZ140" s="3"/>
      <c r="NTA140" s="3"/>
      <c r="NTB140" s="3"/>
      <c r="NTC140" s="3"/>
      <c r="NTD140" s="3"/>
      <c r="NTE140" s="3"/>
      <c r="NTF140" s="3"/>
      <c r="NTG140" s="3"/>
      <c r="NTH140" s="3"/>
      <c r="NTI140" s="3"/>
      <c r="NTJ140" s="3"/>
      <c r="NTK140" s="3"/>
      <c r="NTL140" s="3"/>
      <c r="NTM140" s="3"/>
      <c r="NTN140" s="3"/>
      <c r="NTO140" s="3"/>
      <c r="NTP140" s="3"/>
      <c r="NTQ140" s="3"/>
      <c r="NTR140" s="3"/>
      <c r="NTS140" s="3"/>
      <c r="NTT140" s="3"/>
      <c r="NTU140" s="3"/>
      <c r="NTV140" s="3"/>
      <c r="NTW140" s="3"/>
      <c r="NTX140" s="3"/>
      <c r="NTY140" s="3"/>
      <c r="NTZ140" s="3"/>
      <c r="NUA140" s="3"/>
      <c r="NUB140" s="3"/>
      <c r="NUC140" s="3"/>
      <c r="NUD140" s="3"/>
      <c r="NUE140" s="3"/>
      <c r="NUF140" s="3"/>
      <c r="NUG140" s="3"/>
      <c r="NUH140" s="3"/>
      <c r="NUI140" s="3"/>
      <c r="NUJ140" s="3"/>
      <c r="NUK140" s="3"/>
      <c r="NUL140" s="3"/>
      <c r="NUM140" s="3"/>
      <c r="NUN140" s="3"/>
      <c r="NUO140" s="3"/>
      <c r="NUP140" s="3"/>
      <c r="NUQ140" s="3"/>
      <c r="NUR140" s="3"/>
      <c r="NUS140" s="3"/>
      <c r="NUT140" s="3"/>
      <c r="NUU140" s="3"/>
      <c r="NUV140" s="3"/>
      <c r="NUW140" s="3"/>
      <c r="NUX140" s="3"/>
      <c r="NUY140" s="3"/>
      <c r="NUZ140" s="3"/>
      <c r="NVA140" s="3"/>
      <c r="NVB140" s="3"/>
      <c r="NVC140" s="3"/>
      <c r="NVD140" s="3"/>
      <c r="NVE140" s="3"/>
      <c r="NVF140" s="3"/>
      <c r="NVG140" s="3"/>
      <c r="NVH140" s="3"/>
      <c r="NVI140" s="3"/>
      <c r="NVJ140" s="3"/>
      <c r="NVK140" s="3"/>
      <c r="NVL140" s="3"/>
      <c r="NVM140" s="3"/>
      <c r="NVN140" s="3"/>
      <c r="NVO140" s="3"/>
      <c r="NVP140" s="3"/>
      <c r="NVQ140" s="3"/>
      <c r="NVR140" s="3"/>
      <c r="NVS140" s="3"/>
      <c r="NVT140" s="3"/>
      <c r="NVU140" s="3"/>
      <c r="NVV140" s="3"/>
      <c r="NVW140" s="3"/>
      <c r="NVX140" s="3"/>
      <c r="NVY140" s="3"/>
      <c r="NVZ140" s="3"/>
      <c r="NWA140" s="3"/>
      <c r="NWB140" s="3"/>
      <c r="NWC140" s="3"/>
      <c r="NWD140" s="3"/>
      <c r="NWE140" s="3"/>
      <c r="NWF140" s="3"/>
      <c r="NWG140" s="3"/>
      <c r="NWH140" s="3"/>
      <c r="NWI140" s="3"/>
      <c r="NWJ140" s="3"/>
      <c r="NWK140" s="3"/>
      <c r="NWL140" s="3"/>
      <c r="NWM140" s="3"/>
      <c r="NWN140" s="3"/>
      <c r="NWO140" s="3"/>
      <c r="NWP140" s="3"/>
      <c r="NWQ140" s="3"/>
      <c r="NWR140" s="3"/>
      <c r="NWS140" s="3"/>
      <c r="NWT140" s="3"/>
      <c r="NWU140" s="3"/>
      <c r="NWV140" s="3"/>
      <c r="NWW140" s="3"/>
      <c r="NWX140" s="3"/>
      <c r="NWY140" s="3"/>
      <c r="NWZ140" s="3"/>
      <c r="NXA140" s="3"/>
      <c r="NXB140" s="3"/>
      <c r="NXC140" s="3"/>
      <c r="NXD140" s="3"/>
      <c r="NXE140" s="3"/>
      <c r="NXF140" s="3"/>
      <c r="NXG140" s="3"/>
      <c r="NXH140" s="3"/>
      <c r="NXI140" s="3"/>
      <c r="NXJ140" s="3"/>
      <c r="NXK140" s="3"/>
      <c r="NXL140" s="3"/>
      <c r="NXM140" s="3"/>
      <c r="NXN140" s="3"/>
      <c r="NXO140" s="3"/>
      <c r="NXP140" s="3"/>
      <c r="NXQ140" s="3"/>
      <c r="NXR140" s="3"/>
      <c r="NXS140" s="3"/>
      <c r="NXT140" s="3"/>
      <c r="NXU140" s="3"/>
      <c r="NXV140" s="3"/>
      <c r="NXW140" s="3"/>
      <c r="NXX140" s="3"/>
      <c r="NXY140" s="3"/>
      <c r="NXZ140" s="3"/>
      <c r="NYA140" s="3"/>
      <c r="NYB140" s="3"/>
      <c r="NYC140" s="3"/>
      <c r="NYD140" s="3"/>
      <c r="NYE140" s="3"/>
      <c r="NYF140" s="3"/>
      <c r="NYG140" s="3"/>
      <c r="NYH140" s="3"/>
      <c r="NYI140" s="3"/>
      <c r="NYJ140" s="3"/>
      <c r="NYK140" s="3"/>
      <c r="NYL140" s="3"/>
      <c r="NYM140" s="3"/>
      <c r="NYN140" s="3"/>
      <c r="NYO140" s="3"/>
      <c r="NYP140" s="3"/>
      <c r="NYQ140" s="3"/>
      <c r="NYR140" s="3"/>
      <c r="NYS140" s="3"/>
      <c r="NYT140" s="3"/>
      <c r="NYU140" s="3"/>
      <c r="NYV140" s="3"/>
      <c r="NYW140" s="3"/>
      <c r="NYX140" s="3"/>
      <c r="NYY140" s="3"/>
      <c r="NYZ140" s="3"/>
      <c r="NZA140" s="3"/>
      <c r="NZB140" s="3"/>
      <c r="NZC140" s="3"/>
      <c r="NZD140" s="3"/>
      <c r="NZE140" s="3"/>
      <c r="NZF140" s="3"/>
      <c r="NZG140" s="3"/>
      <c r="NZH140" s="3"/>
      <c r="NZI140" s="3"/>
      <c r="NZJ140" s="3"/>
      <c r="NZK140" s="3"/>
      <c r="NZL140" s="3"/>
      <c r="NZM140" s="3"/>
      <c r="NZN140" s="3"/>
      <c r="NZO140" s="3"/>
      <c r="NZP140" s="3"/>
      <c r="NZQ140" s="3"/>
      <c r="NZR140" s="3"/>
      <c r="NZS140" s="3"/>
      <c r="NZT140" s="3"/>
      <c r="NZU140" s="3"/>
      <c r="NZV140" s="3"/>
      <c r="NZW140" s="3"/>
      <c r="NZX140" s="3"/>
      <c r="NZY140" s="3"/>
      <c r="NZZ140" s="3"/>
      <c r="OAA140" s="3"/>
      <c r="OAB140" s="3"/>
      <c r="OAC140" s="3"/>
      <c r="OAD140" s="3"/>
      <c r="OAE140" s="3"/>
      <c r="OAF140" s="3"/>
      <c r="OAG140" s="3"/>
      <c r="OAH140" s="3"/>
      <c r="OAI140" s="3"/>
      <c r="OAJ140" s="3"/>
      <c r="OAK140" s="3"/>
      <c r="OAL140" s="3"/>
      <c r="OAM140" s="3"/>
      <c r="OAN140" s="3"/>
      <c r="OAO140" s="3"/>
      <c r="OAP140" s="3"/>
      <c r="OAQ140" s="3"/>
      <c r="OAR140" s="3"/>
      <c r="OAS140" s="3"/>
      <c r="OAT140" s="3"/>
      <c r="OAU140" s="3"/>
      <c r="OAV140" s="3"/>
      <c r="OAW140" s="3"/>
      <c r="OAX140" s="3"/>
      <c r="OAY140" s="3"/>
      <c r="OAZ140" s="3"/>
      <c r="OBA140" s="3"/>
      <c r="OBB140" s="3"/>
      <c r="OBC140" s="3"/>
      <c r="OBD140" s="3"/>
      <c r="OBE140" s="3"/>
      <c r="OBF140" s="3"/>
      <c r="OBG140" s="3"/>
      <c r="OBH140" s="3"/>
      <c r="OBI140" s="3"/>
      <c r="OBJ140" s="3"/>
      <c r="OBK140" s="3"/>
      <c r="OBL140" s="3"/>
      <c r="OBM140" s="3"/>
      <c r="OBN140" s="3"/>
      <c r="OBO140" s="3"/>
      <c r="OBP140" s="3"/>
      <c r="OBQ140" s="3"/>
      <c r="OBR140" s="3"/>
      <c r="OBS140" s="3"/>
      <c r="OBT140" s="3"/>
      <c r="OBU140" s="3"/>
      <c r="OBV140" s="3"/>
      <c r="OBW140" s="3"/>
      <c r="OBX140" s="3"/>
      <c r="OBY140" s="3"/>
      <c r="OBZ140" s="3"/>
      <c r="OCA140" s="3"/>
      <c r="OCB140" s="3"/>
      <c r="OCC140" s="3"/>
      <c r="OCD140" s="3"/>
      <c r="OCE140" s="3"/>
      <c r="OCF140" s="3"/>
      <c r="OCG140" s="3"/>
      <c r="OCH140" s="3"/>
      <c r="OCI140" s="3"/>
      <c r="OCJ140" s="3"/>
      <c r="OCK140" s="3"/>
      <c r="OCL140" s="3"/>
      <c r="OCM140" s="3"/>
      <c r="OCN140" s="3"/>
      <c r="OCO140" s="3"/>
      <c r="OCP140" s="3"/>
      <c r="OCQ140" s="3"/>
      <c r="OCR140" s="3"/>
      <c r="OCS140" s="3"/>
      <c r="OCT140" s="3"/>
      <c r="OCU140" s="3"/>
      <c r="OCV140" s="3"/>
      <c r="OCW140" s="3"/>
      <c r="OCX140" s="3"/>
      <c r="OCY140" s="3"/>
      <c r="OCZ140" s="3"/>
      <c r="ODA140" s="3"/>
      <c r="ODB140" s="3"/>
      <c r="ODC140" s="3"/>
      <c r="ODD140" s="3"/>
      <c r="ODE140" s="3"/>
      <c r="ODF140" s="3"/>
      <c r="ODG140" s="3"/>
      <c r="ODH140" s="3"/>
      <c r="ODI140" s="3"/>
      <c r="ODJ140" s="3"/>
      <c r="ODK140" s="3"/>
      <c r="ODL140" s="3"/>
      <c r="ODM140" s="3"/>
      <c r="ODN140" s="3"/>
      <c r="ODO140" s="3"/>
      <c r="ODP140" s="3"/>
      <c r="ODQ140" s="3"/>
      <c r="ODR140" s="3"/>
      <c r="ODS140" s="3"/>
      <c r="ODT140" s="3"/>
      <c r="ODU140" s="3"/>
      <c r="ODV140" s="3"/>
      <c r="ODW140" s="3"/>
      <c r="ODX140" s="3"/>
      <c r="ODY140" s="3"/>
      <c r="ODZ140" s="3"/>
      <c r="OEA140" s="3"/>
      <c r="OEB140" s="3"/>
      <c r="OEC140" s="3"/>
      <c r="OED140" s="3"/>
      <c r="OEE140" s="3"/>
      <c r="OEF140" s="3"/>
      <c r="OEG140" s="3"/>
      <c r="OEH140" s="3"/>
      <c r="OEI140" s="3"/>
      <c r="OEJ140" s="3"/>
      <c r="OEK140" s="3"/>
      <c r="OEL140" s="3"/>
      <c r="OEM140" s="3"/>
      <c r="OEN140" s="3"/>
      <c r="OEO140" s="3"/>
      <c r="OEP140" s="3"/>
      <c r="OEQ140" s="3"/>
      <c r="OER140" s="3"/>
      <c r="OES140" s="3"/>
      <c r="OET140" s="3"/>
      <c r="OEU140" s="3"/>
      <c r="OEV140" s="3"/>
      <c r="OEW140" s="3"/>
      <c r="OEX140" s="3"/>
      <c r="OEY140" s="3"/>
      <c r="OEZ140" s="3"/>
      <c r="OFA140" s="3"/>
      <c r="OFB140" s="3"/>
      <c r="OFC140" s="3"/>
      <c r="OFD140" s="3"/>
      <c r="OFE140" s="3"/>
      <c r="OFF140" s="3"/>
      <c r="OFG140" s="3"/>
      <c r="OFH140" s="3"/>
      <c r="OFI140" s="3"/>
      <c r="OFJ140" s="3"/>
      <c r="OFK140" s="3"/>
      <c r="OFL140" s="3"/>
      <c r="OFM140" s="3"/>
      <c r="OFN140" s="3"/>
      <c r="OFO140" s="3"/>
      <c r="OFP140" s="3"/>
      <c r="OFQ140" s="3"/>
      <c r="OFR140" s="3"/>
      <c r="OFS140" s="3"/>
      <c r="OFT140" s="3"/>
      <c r="OFU140" s="3"/>
      <c r="OFV140" s="3"/>
      <c r="OFW140" s="3"/>
      <c r="OFX140" s="3"/>
      <c r="OFY140" s="3"/>
      <c r="OFZ140" s="3"/>
      <c r="OGA140" s="3"/>
      <c r="OGB140" s="3"/>
      <c r="OGC140" s="3"/>
      <c r="OGD140" s="3"/>
      <c r="OGE140" s="3"/>
      <c r="OGF140" s="3"/>
      <c r="OGG140" s="3"/>
      <c r="OGH140" s="3"/>
      <c r="OGI140" s="3"/>
      <c r="OGJ140" s="3"/>
      <c r="OGK140" s="3"/>
      <c r="OGL140" s="3"/>
      <c r="OGM140" s="3"/>
      <c r="OGN140" s="3"/>
      <c r="OGO140" s="3"/>
      <c r="OGP140" s="3"/>
      <c r="OGQ140" s="3"/>
      <c r="OGR140" s="3"/>
      <c r="OGS140" s="3"/>
      <c r="OGT140" s="3"/>
      <c r="OGU140" s="3"/>
      <c r="OGV140" s="3"/>
      <c r="OGW140" s="3"/>
      <c r="OGX140" s="3"/>
      <c r="OGY140" s="3"/>
      <c r="OGZ140" s="3"/>
      <c r="OHA140" s="3"/>
      <c r="OHB140" s="3"/>
      <c r="OHC140" s="3"/>
      <c r="OHD140" s="3"/>
      <c r="OHE140" s="3"/>
      <c r="OHF140" s="3"/>
      <c r="OHG140" s="3"/>
      <c r="OHH140" s="3"/>
      <c r="OHI140" s="3"/>
      <c r="OHJ140" s="3"/>
      <c r="OHK140" s="3"/>
      <c r="OHL140" s="3"/>
      <c r="OHM140" s="3"/>
      <c r="OHN140" s="3"/>
      <c r="OHO140" s="3"/>
      <c r="OHP140" s="3"/>
      <c r="OHQ140" s="3"/>
      <c r="OHR140" s="3"/>
      <c r="OHS140" s="3"/>
      <c r="OHT140" s="3"/>
      <c r="OHU140" s="3"/>
      <c r="OHV140" s="3"/>
      <c r="OHW140" s="3"/>
      <c r="OHX140" s="3"/>
      <c r="OHY140" s="3"/>
      <c r="OHZ140" s="3"/>
      <c r="OIA140" s="3"/>
      <c r="OIB140" s="3"/>
      <c r="OIC140" s="3"/>
      <c r="OID140" s="3"/>
      <c r="OIE140" s="3"/>
      <c r="OIF140" s="3"/>
      <c r="OIG140" s="3"/>
      <c r="OIH140" s="3"/>
      <c r="OII140" s="3"/>
      <c r="OIJ140" s="3"/>
      <c r="OIK140" s="3"/>
      <c r="OIL140" s="3"/>
      <c r="OIM140" s="3"/>
      <c r="OIN140" s="3"/>
      <c r="OIO140" s="3"/>
      <c r="OIP140" s="3"/>
      <c r="OIQ140" s="3"/>
      <c r="OIR140" s="3"/>
      <c r="OIS140" s="3"/>
      <c r="OIT140" s="3"/>
      <c r="OIU140" s="3"/>
      <c r="OIV140" s="3"/>
      <c r="OIW140" s="3"/>
      <c r="OIX140" s="3"/>
      <c r="OIY140" s="3"/>
      <c r="OIZ140" s="3"/>
      <c r="OJA140" s="3"/>
      <c r="OJB140" s="3"/>
      <c r="OJC140" s="3"/>
      <c r="OJD140" s="3"/>
      <c r="OJE140" s="3"/>
      <c r="OJF140" s="3"/>
      <c r="OJG140" s="3"/>
      <c r="OJH140" s="3"/>
      <c r="OJI140" s="3"/>
      <c r="OJJ140" s="3"/>
      <c r="OJK140" s="3"/>
      <c r="OJL140" s="3"/>
      <c r="OJM140" s="3"/>
      <c r="OJN140" s="3"/>
      <c r="OJO140" s="3"/>
      <c r="OJP140" s="3"/>
      <c r="OJQ140" s="3"/>
      <c r="OJR140" s="3"/>
      <c r="OJS140" s="3"/>
      <c r="OJT140" s="3"/>
      <c r="OJU140" s="3"/>
      <c r="OJV140" s="3"/>
      <c r="OJW140" s="3"/>
      <c r="OJX140" s="3"/>
      <c r="OJY140" s="3"/>
      <c r="OJZ140" s="3"/>
      <c r="OKA140" s="3"/>
      <c r="OKB140" s="3"/>
      <c r="OKC140" s="3"/>
      <c r="OKD140" s="3"/>
      <c r="OKE140" s="3"/>
      <c r="OKF140" s="3"/>
      <c r="OKG140" s="3"/>
      <c r="OKH140" s="3"/>
      <c r="OKI140" s="3"/>
      <c r="OKJ140" s="3"/>
      <c r="OKK140" s="3"/>
      <c r="OKL140" s="3"/>
      <c r="OKM140" s="3"/>
      <c r="OKN140" s="3"/>
      <c r="OKO140" s="3"/>
      <c r="OKP140" s="3"/>
      <c r="OKQ140" s="3"/>
      <c r="OKR140" s="3"/>
      <c r="OKS140" s="3"/>
      <c r="OKT140" s="3"/>
      <c r="OKU140" s="3"/>
      <c r="OKV140" s="3"/>
      <c r="OKW140" s="3"/>
      <c r="OKX140" s="3"/>
      <c r="OKY140" s="3"/>
      <c r="OKZ140" s="3"/>
      <c r="OLA140" s="3"/>
      <c r="OLB140" s="3"/>
      <c r="OLC140" s="3"/>
      <c r="OLD140" s="3"/>
      <c r="OLE140" s="3"/>
      <c r="OLF140" s="3"/>
      <c r="OLG140" s="3"/>
      <c r="OLH140" s="3"/>
      <c r="OLI140" s="3"/>
      <c r="OLJ140" s="3"/>
      <c r="OLK140" s="3"/>
      <c r="OLL140" s="3"/>
      <c r="OLM140" s="3"/>
      <c r="OLN140" s="3"/>
      <c r="OLO140" s="3"/>
      <c r="OLP140" s="3"/>
      <c r="OLQ140" s="3"/>
      <c r="OLR140" s="3"/>
      <c r="OLS140" s="3"/>
      <c r="OLT140" s="3"/>
      <c r="OLU140" s="3"/>
      <c r="OLV140" s="3"/>
      <c r="OLW140" s="3"/>
      <c r="OLX140" s="3"/>
      <c r="OLY140" s="3"/>
      <c r="OLZ140" s="3"/>
      <c r="OMA140" s="3"/>
      <c r="OMB140" s="3"/>
      <c r="OMC140" s="3"/>
      <c r="OMD140" s="3"/>
      <c r="OME140" s="3"/>
      <c r="OMF140" s="3"/>
      <c r="OMG140" s="3"/>
      <c r="OMH140" s="3"/>
      <c r="OMI140" s="3"/>
      <c r="OMJ140" s="3"/>
      <c r="OMK140" s="3"/>
      <c r="OML140" s="3"/>
      <c r="OMM140" s="3"/>
      <c r="OMN140" s="3"/>
      <c r="OMO140" s="3"/>
      <c r="OMP140" s="3"/>
      <c r="OMQ140" s="3"/>
      <c r="OMR140" s="3"/>
      <c r="OMS140" s="3"/>
      <c r="OMT140" s="3"/>
      <c r="OMU140" s="3"/>
      <c r="OMV140" s="3"/>
      <c r="OMW140" s="3"/>
      <c r="OMX140" s="3"/>
      <c r="OMY140" s="3"/>
      <c r="OMZ140" s="3"/>
      <c r="ONA140" s="3"/>
      <c r="ONB140" s="3"/>
      <c r="ONC140" s="3"/>
      <c r="OND140" s="3"/>
      <c r="ONE140" s="3"/>
      <c r="ONF140" s="3"/>
      <c r="ONG140" s="3"/>
      <c r="ONH140" s="3"/>
      <c r="ONI140" s="3"/>
      <c r="ONJ140" s="3"/>
      <c r="ONK140" s="3"/>
      <c r="ONL140" s="3"/>
      <c r="ONM140" s="3"/>
      <c r="ONN140" s="3"/>
      <c r="ONO140" s="3"/>
      <c r="ONP140" s="3"/>
      <c r="ONQ140" s="3"/>
      <c r="ONR140" s="3"/>
      <c r="ONS140" s="3"/>
      <c r="ONT140" s="3"/>
      <c r="ONU140" s="3"/>
      <c r="ONV140" s="3"/>
      <c r="ONW140" s="3"/>
      <c r="ONX140" s="3"/>
      <c r="ONY140" s="3"/>
      <c r="ONZ140" s="3"/>
      <c r="OOA140" s="3"/>
      <c r="OOB140" s="3"/>
      <c r="OOC140" s="3"/>
      <c r="OOD140" s="3"/>
      <c r="OOE140" s="3"/>
      <c r="OOF140" s="3"/>
      <c r="OOG140" s="3"/>
      <c r="OOH140" s="3"/>
      <c r="OOI140" s="3"/>
      <c r="OOJ140" s="3"/>
      <c r="OOK140" s="3"/>
      <c r="OOL140" s="3"/>
      <c r="OOM140" s="3"/>
      <c r="OON140" s="3"/>
      <c r="OOO140" s="3"/>
      <c r="OOP140" s="3"/>
      <c r="OOQ140" s="3"/>
      <c r="OOR140" s="3"/>
      <c r="OOS140" s="3"/>
      <c r="OOT140" s="3"/>
      <c r="OOU140" s="3"/>
      <c r="OOV140" s="3"/>
      <c r="OOW140" s="3"/>
      <c r="OOX140" s="3"/>
      <c r="OOY140" s="3"/>
      <c r="OOZ140" s="3"/>
      <c r="OPA140" s="3"/>
      <c r="OPB140" s="3"/>
      <c r="OPC140" s="3"/>
      <c r="OPD140" s="3"/>
      <c r="OPE140" s="3"/>
      <c r="OPF140" s="3"/>
      <c r="OPG140" s="3"/>
      <c r="OPH140" s="3"/>
      <c r="OPI140" s="3"/>
      <c r="OPJ140" s="3"/>
      <c r="OPK140" s="3"/>
      <c r="OPL140" s="3"/>
      <c r="OPM140" s="3"/>
      <c r="OPN140" s="3"/>
      <c r="OPO140" s="3"/>
      <c r="OPP140" s="3"/>
      <c r="OPQ140" s="3"/>
      <c r="OPR140" s="3"/>
      <c r="OPS140" s="3"/>
      <c r="OPT140" s="3"/>
      <c r="OPU140" s="3"/>
      <c r="OPV140" s="3"/>
      <c r="OPW140" s="3"/>
      <c r="OPX140" s="3"/>
      <c r="OPY140" s="3"/>
      <c r="OPZ140" s="3"/>
      <c r="OQA140" s="3"/>
      <c r="OQB140" s="3"/>
      <c r="OQC140" s="3"/>
      <c r="OQD140" s="3"/>
      <c r="OQE140" s="3"/>
      <c r="OQF140" s="3"/>
      <c r="OQG140" s="3"/>
      <c r="OQH140" s="3"/>
      <c r="OQI140" s="3"/>
      <c r="OQJ140" s="3"/>
      <c r="OQK140" s="3"/>
      <c r="OQL140" s="3"/>
      <c r="OQM140" s="3"/>
      <c r="OQN140" s="3"/>
      <c r="OQO140" s="3"/>
      <c r="OQP140" s="3"/>
      <c r="OQQ140" s="3"/>
      <c r="OQR140" s="3"/>
      <c r="OQS140" s="3"/>
      <c r="OQT140" s="3"/>
      <c r="OQU140" s="3"/>
      <c r="OQV140" s="3"/>
      <c r="OQW140" s="3"/>
      <c r="OQX140" s="3"/>
      <c r="OQY140" s="3"/>
      <c r="OQZ140" s="3"/>
      <c r="ORA140" s="3"/>
      <c r="ORB140" s="3"/>
      <c r="ORC140" s="3"/>
      <c r="ORD140" s="3"/>
      <c r="ORE140" s="3"/>
      <c r="ORF140" s="3"/>
      <c r="ORG140" s="3"/>
      <c r="ORH140" s="3"/>
      <c r="ORI140" s="3"/>
      <c r="ORJ140" s="3"/>
      <c r="ORK140" s="3"/>
      <c r="ORL140" s="3"/>
      <c r="ORM140" s="3"/>
      <c r="ORN140" s="3"/>
      <c r="ORO140" s="3"/>
      <c r="ORP140" s="3"/>
      <c r="ORQ140" s="3"/>
      <c r="ORR140" s="3"/>
      <c r="ORS140" s="3"/>
      <c r="ORT140" s="3"/>
      <c r="ORU140" s="3"/>
      <c r="ORV140" s="3"/>
      <c r="ORW140" s="3"/>
      <c r="ORX140" s="3"/>
      <c r="ORY140" s="3"/>
      <c r="ORZ140" s="3"/>
      <c r="OSA140" s="3"/>
      <c r="OSB140" s="3"/>
      <c r="OSC140" s="3"/>
      <c r="OSD140" s="3"/>
      <c r="OSE140" s="3"/>
      <c r="OSF140" s="3"/>
      <c r="OSG140" s="3"/>
      <c r="OSH140" s="3"/>
      <c r="OSI140" s="3"/>
      <c r="OSJ140" s="3"/>
      <c r="OSK140" s="3"/>
      <c r="OSL140" s="3"/>
      <c r="OSM140" s="3"/>
      <c r="OSN140" s="3"/>
      <c r="OSO140" s="3"/>
      <c r="OSP140" s="3"/>
      <c r="OSQ140" s="3"/>
      <c r="OSR140" s="3"/>
      <c r="OSS140" s="3"/>
      <c r="OST140" s="3"/>
      <c r="OSU140" s="3"/>
      <c r="OSV140" s="3"/>
      <c r="OSW140" s="3"/>
      <c r="OSX140" s="3"/>
      <c r="OSY140" s="3"/>
      <c r="OSZ140" s="3"/>
      <c r="OTA140" s="3"/>
      <c r="OTB140" s="3"/>
      <c r="OTC140" s="3"/>
      <c r="OTD140" s="3"/>
      <c r="OTE140" s="3"/>
      <c r="OTF140" s="3"/>
      <c r="OTG140" s="3"/>
      <c r="OTH140" s="3"/>
      <c r="OTI140" s="3"/>
      <c r="OTJ140" s="3"/>
      <c r="OTK140" s="3"/>
      <c r="OTL140" s="3"/>
      <c r="OTM140" s="3"/>
      <c r="OTN140" s="3"/>
      <c r="OTO140" s="3"/>
      <c r="OTP140" s="3"/>
      <c r="OTQ140" s="3"/>
      <c r="OTR140" s="3"/>
      <c r="OTS140" s="3"/>
      <c r="OTT140" s="3"/>
      <c r="OTU140" s="3"/>
      <c r="OTV140" s="3"/>
      <c r="OTW140" s="3"/>
      <c r="OTX140" s="3"/>
      <c r="OTY140" s="3"/>
      <c r="OTZ140" s="3"/>
      <c r="OUA140" s="3"/>
      <c r="OUB140" s="3"/>
      <c r="OUC140" s="3"/>
      <c r="OUD140" s="3"/>
      <c r="OUE140" s="3"/>
      <c r="OUF140" s="3"/>
      <c r="OUG140" s="3"/>
      <c r="OUH140" s="3"/>
      <c r="OUI140" s="3"/>
      <c r="OUJ140" s="3"/>
      <c r="OUK140" s="3"/>
      <c r="OUL140" s="3"/>
      <c r="OUM140" s="3"/>
      <c r="OUN140" s="3"/>
      <c r="OUO140" s="3"/>
      <c r="OUP140" s="3"/>
      <c r="OUQ140" s="3"/>
      <c r="OUR140" s="3"/>
      <c r="OUS140" s="3"/>
      <c r="OUT140" s="3"/>
      <c r="OUU140" s="3"/>
      <c r="OUV140" s="3"/>
      <c r="OUW140" s="3"/>
      <c r="OUX140" s="3"/>
      <c r="OUY140" s="3"/>
      <c r="OUZ140" s="3"/>
      <c r="OVA140" s="3"/>
      <c r="OVB140" s="3"/>
      <c r="OVC140" s="3"/>
      <c r="OVD140" s="3"/>
      <c r="OVE140" s="3"/>
      <c r="OVF140" s="3"/>
      <c r="OVG140" s="3"/>
      <c r="OVH140" s="3"/>
      <c r="OVI140" s="3"/>
      <c r="OVJ140" s="3"/>
      <c r="OVK140" s="3"/>
      <c r="OVL140" s="3"/>
      <c r="OVM140" s="3"/>
      <c r="OVN140" s="3"/>
      <c r="OVO140" s="3"/>
      <c r="OVP140" s="3"/>
      <c r="OVQ140" s="3"/>
      <c r="OVR140" s="3"/>
      <c r="OVS140" s="3"/>
      <c r="OVT140" s="3"/>
      <c r="OVU140" s="3"/>
      <c r="OVV140" s="3"/>
      <c r="OVW140" s="3"/>
      <c r="OVX140" s="3"/>
      <c r="OVY140" s="3"/>
      <c r="OVZ140" s="3"/>
      <c r="OWA140" s="3"/>
      <c r="OWB140" s="3"/>
      <c r="OWC140" s="3"/>
      <c r="OWD140" s="3"/>
      <c r="OWE140" s="3"/>
      <c r="OWF140" s="3"/>
      <c r="OWG140" s="3"/>
      <c r="OWH140" s="3"/>
      <c r="OWI140" s="3"/>
      <c r="OWJ140" s="3"/>
      <c r="OWK140" s="3"/>
      <c r="OWL140" s="3"/>
      <c r="OWM140" s="3"/>
      <c r="OWN140" s="3"/>
      <c r="OWO140" s="3"/>
      <c r="OWP140" s="3"/>
      <c r="OWQ140" s="3"/>
      <c r="OWR140" s="3"/>
      <c r="OWS140" s="3"/>
      <c r="OWT140" s="3"/>
      <c r="OWU140" s="3"/>
      <c r="OWV140" s="3"/>
      <c r="OWW140" s="3"/>
      <c r="OWX140" s="3"/>
      <c r="OWY140" s="3"/>
      <c r="OWZ140" s="3"/>
      <c r="OXA140" s="3"/>
      <c r="OXB140" s="3"/>
      <c r="OXC140" s="3"/>
      <c r="OXD140" s="3"/>
      <c r="OXE140" s="3"/>
      <c r="OXF140" s="3"/>
      <c r="OXG140" s="3"/>
      <c r="OXH140" s="3"/>
      <c r="OXI140" s="3"/>
      <c r="OXJ140" s="3"/>
      <c r="OXK140" s="3"/>
      <c r="OXL140" s="3"/>
      <c r="OXM140" s="3"/>
      <c r="OXN140" s="3"/>
      <c r="OXO140" s="3"/>
      <c r="OXP140" s="3"/>
      <c r="OXQ140" s="3"/>
      <c r="OXR140" s="3"/>
      <c r="OXS140" s="3"/>
      <c r="OXT140" s="3"/>
      <c r="OXU140" s="3"/>
      <c r="OXV140" s="3"/>
      <c r="OXW140" s="3"/>
      <c r="OXX140" s="3"/>
      <c r="OXY140" s="3"/>
      <c r="OXZ140" s="3"/>
      <c r="OYA140" s="3"/>
      <c r="OYB140" s="3"/>
      <c r="OYC140" s="3"/>
      <c r="OYD140" s="3"/>
      <c r="OYE140" s="3"/>
      <c r="OYF140" s="3"/>
      <c r="OYG140" s="3"/>
      <c r="OYH140" s="3"/>
      <c r="OYI140" s="3"/>
      <c r="OYJ140" s="3"/>
      <c r="OYK140" s="3"/>
      <c r="OYL140" s="3"/>
      <c r="OYM140" s="3"/>
      <c r="OYN140" s="3"/>
      <c r="OYO140" s="3"/>
      <c r="OYP140" s="3"/>
      <c r="OYQ140" s="3"/>
      <c r="OYR140" s="3"/>
      <c r="OYS140" s="3"/>
      <c r="OYT140" s="3"/>
      <c r="OYU140" s="3"/>
      <c r="OYV140" s="3"/>
      <c r="OYW140" s="3"/>
      <c r="OYX140" s="3"/>
      <c r="OYY140" s="3"/>
      <c r="OYZ140" s="3"/>
      <c r="OZA140" s="3"/>
      <c r="OZB140" s="3"/>
      <c r="OZC140" s="3"/>
      <c r="OZD140" s="3"/>
      <c r="OZE140" s="3"/>
      <c r="OZF140" s="3"/>
      <c r="OZG140" s="3"/>
      <c r="OZH140" s="3"/>
      <c r="OZI140" s="3"/>
      <c r="OZJ140" s="3"/>
      <c r="OZK140" s="3"/>
      <c r="OZL140" s="3"/>
      <c r="OZM140" s="3"/>
      <c r="OZN140" s="3"/>
      <c r="OZO140" s="3"/>
      <c r="OZP140" s="3"/>
      <c r="OZQ140" s="3"/>
      <c r="OZR140" s="3"/>
      <c r="OZS140" s="3"/>
      <c r="OZT140" s="3"/>
      <c r="OZU140" s="3"/>
      <c r="OZV140" s="3"/>
      <c r="OZW140" s="3"/>
      <c r="OZX140" s="3"/>
      <c r="OZY140" s="3"/>
      <c r="OZZ140" s="3"/>
      <c r="PAA140" s="3"/>
      <c r="PAB140" s="3"/>
      <c r="PAC140" s="3"/>
      <c r="PAD140" s="3"/>
      <c r="PAE140" s="3"/>
      <c r="PAF140" s="3"/>
      <c r="PAG140" s="3"/>
      <c r="PAH140" s="3"/>
      <c r="PAI140" s="3"/>
      <c r="PAJ140" s="3"/>
      <c r="PAK140" s="3"/>
      <c r="PAL140" s="3"/>
      <c r="PAM140" s="3"/>
      <c r="PAN140" s="3"/>
      <c r="PAO140" s="3"/>
      <c r="PAP140" s="3"/>
      <c r="PAQ140" s="3"/>
      <c r="PAR140" s="3"/>
      <c r="PAS140" s="3"/>
      <c r="PAT140" s="3"/>
      <c r="PAU140" s="3"/>
      <c r="PAV140" s="3"/>
      <c r="PAW140" s="3"/>
      <c r="PAX140" s="3"/>
      <c r="PAY140" s="3"/>
      <c r="PAZ140" s="3"/>
      <c r="PBA140" s="3"/>
      <c r="PBB140" s="3"/>
      <c r="PBC140" s="3"/>
      <c r="PBD140" s="3"/>
      <c r="PBE140" s="3"/>
      <c r="PBF140" s="3"/>
      <c r="PBG140" s="3"/>
      <c r="PBH140" s="3"/>
      <c r="PBI140" s="3"/>
      <c r="PBJ140" s="3"/>
      <c r="PBK140" s="3"/>
      <c r="PBL140" s="3"/>
      <c r="PBM140" s="3"/>
      <c r="PBN140" s="3"/>
      <c r="PBO140" s="3"/>
      <c r="PBP140" s="3"/>
      <c r="PBQ140" s="3"/>
      <c r="PBR140" s="3"/>
      <c r="PBS140" s="3"/>
      <c r="PBT140" s="3"/>
      <c r="PBU140" s="3"/>
      <c r="PBV140" s="3"/>
      <c r="PBW140" s="3"/>
      <c r="PBX140" s="3"/>
      <c r="PBY140" s="3"/>
      <c r="PBZ140" s="3"/>
      <c r="PCA140" s="3"/>
      <c r="PCB140" s="3"/>
      <c r="PCC140" s="3"/>
      <c r="PCD140" s="3"/>
      <c r="PCE140" s="3"/>
      <c r="PCF140" s="3"/>
      <c r="PCG140" s="3"/>
      <c r="PCH140" s="3"/>
      <c r="PCI140" s="3"/>
      <c r="PCJ140" s="3"/>
      <c r="PCK140" s="3"/>
      <c r="PCL140" s="3"/>
      <c r="PCM140" s="3"/>
      <c r="PCN140" s="3"/>
      <c r="PCO140" s="3"/>
      <c r="PCP140" s="3"/>
      <c r="PCQ140" s="3"/>
      <c r="PCR140" s="3"/>
      <c r="PCS140" s="3"/>
      <c r="PCT140" s="3"/>
      <c r="PCU140" s="3"/>
      <c r="PCV140" s="3"/>
      <c r="PCW140" s="3"/>
      <c r="PCX140" s="3"/>
      <c r="PCY140" s="3"/>
      <c r="PCZ140" s="3"/>
      <c r="PDA140" s="3"/>
      <c r="PDB140" s="3"/>
      <c r="PDC140" s="3"/>
      <c r="PDD140" s="3"/>
      <c r="PDE140" s="3"/>
      <c r="PDF140" s="3"/>
      <c r="PDG140" s="3"/>
      <c r="PDH140" s="3"/>
      <c r="PDI140" s="3"/>
      <c r="PDJ140" s="3"/>
      <c r="PDK140" s="3"/>
      <c r="PDL140" s="3"/>
      <c r="PDM140" s="3"/>
      <c r="PDN140" s="3"/>
      <c r="PDO140" s="3"/>
      <c r="PDP140" s="3"/>
      <c r="PDQ140" s="3"/>
      <c r="PDR140" s="3"/>
      <c r="PDS140" s="3"/>
      <c r="PDT140" s="3"/>
      <c r="PDU140" s="3"/>
      <c r="PDV140" s="3"/>
      <c r="PDW140" s="3"/>
      <c r="PDX140" s="3"/>
      <c r="PDY140" s="3"/>
      <c r="PDZ140" s="3"/>
      <c r="PEA140" s="3"/>
      <c r="PEB140" s="3"/>
      <c r="PEC140" s="3"/>
      <c r="PED140" s="3"/>
      <c r="PEE140" s="3"/>
      <c r="PEF140" s="3"/>
      <c r="PEG140" s="3"/>
      <c r="PEH140" s="3"/>
      <c r="PEI140" s="3"/>
      <c r="PEJ140" s="3"/>
      <c r="PEK140" s="3"/>
      <c r="PEL140" s="3"/>
      <c r="PEM140" s="3"/>
      <c r="PEN140" s="3"/>
      <c r="PEO140" s="3"/>
      <c r="PEP140" s="3"/>
      <c r="PEQ140" s="3"/>
      <c r="PER140" s="3"/>
      <c r="PES140" s="3"/>
      <c r="PET140" s="3"/>
      <c r="PEU140" s="3"/>
      <c r="PEV140" s="3"/>
      <c r="PEW140" s="3"/>
      <c r="PEX140" s="3"/>
      <c r="PEY140" s="3"/>
      <c r="PEZ140" s="3"/>
      <c r="PFA140" s="3"/>
      <c r="PFB140" s="3"/>
      <c r="PFC140" s="3"/>
      <c r="PFD140" s="3"/>
      <c r="PFE140" s="3"/>
      <c r="PFF140" s="3"/>
      <c r="PFG140" s="3"/>
      <c r="PFH140" s="3"/>
      <c r="PFI140" s="3"/>
      <c r="PFJ140" s="3"/>
      <c r="PFK140" s="3"/>
      <c r="PFL140" s="3"/>
      <c r="PFM140" s="3"/>
      <c r="PFN140" s="3"/>
      <c r="PFO140" s="3"/>
      <c r="PFP140" s="3"/>
      <c r="PFQ140" s="3"/>
      <c r="PFR140" s="3"/>
      <c r="PFS140" s="3"/>
      <c r="PFT140" s="3"/>
      <c r="PFU140" s="3"/>
      <c r="PFV140" s="3"/>
      <c r="PFW140" s="3"/>
      <c r="PFX140" s="3"/>
      <c r="PFY140" s="3"/>
      <c r="PFZ140" s="3"/>
      <c r="PGA140" s="3"/>
      <c r="PGB140" s="3"/>
      <c r="PGC140" s="3"/>
      <c r="PGD140" s="3"/>
      <c r="PGE140" s="3"/>
      <c r="PGF140" s="3"/>
      <c r="PGG140" s="3"/>
      <c r="PGH140" s="3"/>
      <c r="PGI140" s="3"/>
      <c r="PGJ140" s="3"/>
      <c r="PGK140" s="3"/>
      <c r="PGL140" s="3"/>
      <c r="PGM140" s="3"/>
      <c r="PGN140" s="3"/>
      <c r="PGO140" s="3"/>
      <c r="PGP140" s="3"/>
      <c r="PGQ140" s="3"/>
      <c r="PGR140" s="3"/>
      <c r="PGS140" s="3"/>
      <c r="PGT140" s="3"/>
      <c r="PGU140" s="3"/>
      <c r="PGV140" s="3"/>
      <c r="PGW140" s="3"/>
      <c r="PGX140" s="3"/>
      <c r="PGY140" s="3"/>
      <c r="PGZ140" s="3"/>
      <c r="PHA140" s="3"/>
      <c r="PHB140" s="3"/>
      <c r="PHC140" s="3"/>
      <c r="PHD140" s="3"/>
      <c r="PHE140" s="3"/>
      <c r="PHF140" s="3"/>
      <c r="PHG140" s="3"/>
      <c r="PHH140" s="3"/>
      <c r="PHI140" s="3"/>
      <c r="PHJ140" s="3"/>
      <c r="PHK140" s="3"/>
      <c r="PHL140" s="3"/>
      <c r="PHM140" s="3"/>
      <c r="PHN140" s="3"/>
      <c r="PHO140" s="3"/>
      <c r="PHP140" s="3"/>
      <c r="PHQ140" s="3"/>
      <c r="PHR140" s="3"/>
      <c r="PHS140" s="3"/>
      <c r="PHT140" s="3"/>
      <c r="PHU140" s="3"/>
      <c r="PHV140" s="3"/>
      <c r="PHW140" s="3"/>
      <c r="PHX140" s="3"/>
      <c r="PHY140" s="3"/>
      <c r="PHZ140" s="3"/>
      <c r="PIA140" s="3"/>
      <c r="PIB140" s="3"/>
      <c r="PIC140" s="3"/>
      <c r="PID140" s="3"/>
      <c r="PIE140" s="3"/>
      <c r="PIF140" s="3"/>
      <c r="PIG140" s="3"/>
      <c r="PIH140" s="3"/>
      <c r="PII140" s="3"/>
      <c r="PIJ140" s="3"/>
      <c r="PIK140" s="3"/>
      <c r="PIL140" s="3"/>
      <c r="PIM140" s="3"/>
      <c r="PIN140" s="3"/>
      <c r="PIO140" s="3"/>
      <c r="PIP140" s="3"/>
      <c r="PIQ140" s="3"/>
      <c r="PIR140" s="3"/>
      <c r="PIS140" s="3"/>
      <c r="PIT140" s="3"/>
      <c r="PIU140" s="3"/>
      <c r="PIV140" s="3"/>
      <c r="PIW140" s="3"/>
      <c r="PIX140" s="3"/>
      <c r="PIY140" s="3"/>
      <c r="PIZ140" s="3"/>
      <c r="PJA140" s="3"/>
      <c r="PJB140" s="3"/>
      <c r="PJC140" s="3"/>
      <c r="PJD140" s="3"/>
      <c r="PJE140" s="3"/>
      <c r="PJF140" s="3"/>
      <c r="PJG140" s="3"/>
      <c r="PJH140" s="3"/>
      <c r="PJI140" s="3"/>
      <c r="PJJ140" s="3"/>
      <c r="PJK140" s="3"/>
      <c r="PJL140" s="3"/>
      <c r="PJM140" s="3"/>
      <c r="PJN140" s="3"/>
      <c r="PJO140" s="3"/>
      <c r="PJP140" s="3"/>
      <c r="PJQ140" s="3"/>
      <c r="PJR140" s="3"/>
      <c r="PJS140" s="3"/>
      <c r="PJT140" s="3"/>
      <c r="PJU140" s="3"/>
      <c r="PJV140" s="3"/>
      <c r="PJW140" s="3"/>
      <c r="PJX140" s="3"/>
      <c r="PJY140" s="3"/>
      <c r="PJZ140" s="3"/>
      <c r="PKA140" s="3"/>
      <c r="PKB140" s="3"/>
      <c r="PKC140" s="3"/>
      <c r="PKD140" s="3"/>
      <c r="PKE140" s="3"/>
      <c r="PKF140" s="3"/>
      <c r="PKG140" s="3"/>
      <c r="PKH140" s="3"/>
      <c r="PKI140" s="3"/>
      <c r="PKJ140" s="3"/>
      <c r="PKK140" s="3"/>
      <c r="PKL140" s="3"/>
      <c r="PKM140" s="3"/>
      <c r="PKN140" s="3"/>
      <c r="PKO140" s="3"/>
      <c r="PKP140" s="3"/>
      <c r="PKQ140" s="3"/>
      <c r="PKR140" s="3"/>
      <c r="PKS140" s="3"/>
      <c r="PKT140" s="3"/>
      <c r="PKU140" s="3"/>
      <c r="PKV140" s="3"/>
      <c r="PKW140" s="3"/>
      <c r="PKX140" s="3"/>
      <c r="PKY140" s="3"/>
      <c r="PKZ140" s="3"/>
      <c r="PLA140" s="3"/>
      <c r="PLB140" s="3"/>
      <c r="PLC140" s="3"/>
      <c r="PLD140" s="3"/>
      <c r="PLE140" s="3"/>
      <c r="PLF140" s="3"/>
      <c r="PLG140" s="3"/>
      <c r="PLH140" s="3"/>
      <c r="PLI140" s="3"/>
      <c r="PLJ140" s="3"/>
      <c r="PLK140" s="3"/>
      <c r="PLL140" s="3"/>
      <c r="PLM140" s="3"/>
      <c r="PLN140" s="3"/>
      <c r="PLO140" s="3"/>
      <c r="PLP140" s="3"/>
      <c r="PLQ140" s="3"/>
      <c r="PLR140" s="3"/>
      <c r="PLS140" s="3"/>
      <c r="PLT140" s="3"/>
      <c r="PLU140" s="3"/>
      <c r="PLV140" s="3"/>
      <c r="PLW140" s="3"/>
      <c r="PLX140" s="3"/>
      <c r="PLY140" s="3"/>
      <c r="PLZ140" s="3"/>
      <c r="PMA140" s="3"/>
      <c r="PMB140" s="3"/>
      <c r="PMC140" s="3"/>
      <c r="PMD140" s="3"/>
      <c r="PME140" s="3"/>
      <c r="PMF140" s="3"/>
      <c r="PMG140" s="3"/>
      <c r="PMH140" s="3"/>
      <c r="PMI140" s="3"/>
      <c r="PMJ140" s="3"/>
      <c r="PMK140" s="3"/>
      <c r="PML140" s="3"/>
      <c r="PMM140" s="3"/>
      <c r="PMN140" s="3"/>
      <c r="PMO140" s="3"/>
      <c r="PMP140" s="3"/>
      <c r="PMQ140" s="3"/>
      <c r="PMR140" s="3"/>
      <c r="PMS140" s="3"/>
      <c r="PMT140" s="3"/>
      <c r="PMU140" s="3"/>
      <c r="PMV140" s="3"/>
      <c r="PMW140" s="3"/>
      <c r="PMX140" s="3"/>
      <c r="PMY140" s="3"/>
      <c r="PMZ140" s="3"/>
      <c r="PNA140" s="3"/>
      <c r="PNB140" s="3"/>
      <c r="PNC140" s="3"/>
      <c r="PND140" s="3"/>
      <c r="PNE140" s="3"/>
      <c r="PNF140" s="3"/>
      <c r="PNG140" s="3"/>
      <c r="PNH140" s="3"/>
      <c r="PNI140" s="3"/>
      <c r="PNJ140" s="3"/>
      <c r="PNK140" s="3"/>
      <c r="PNL140" s="3"/>
      <c r="PNM140" s="3"/>
      <c r="PNN140" s="3"/>
      <c r="PNO140" s="3"/>
      <c r="PNP140" s="3"/>
      <c r="PNQ140" s="3"/>
      <c r="PNR140" s="3"/>
      <c r="PNS140" s="3"/>
      <c r="PNT140" s="3"/>
      <c r="PNU140" s="3"/>
      <c r="PNV140" s="3"/>
      <c r="PNW140" s="3"/>
      <c r="PNX140" s="3"/>
      <c r="PNY140" s="3"/>
      <c r="PNZ140" s="3"/>
      <c r="POA140" s="3"/>
      <c r="POB140" s="3"/>
      <c r="POC140" s="3"/>
      <c r="POD140" s="3"/>
      <c r="POE140" s="3"/>
      <c r="POF140" s="3"/>
      <c r="POG140" s="3"/>
      <c r="POH140" s="3"/>
      <c r="POI140" s="3"/>
      <c r="POJ140" s="3"/>
      <c r="POK140" s="3"/>
      <c r="POL140" s="3"/>
      <c r="POM140" s="3"/>
      <c r="PON140" s="3"/>
      <c r="POO140" s="3"/>
      <c r="POP140" s="3"/>
      <c r="POQ140" s="3"/>
      <c r="POR140" s="3"/>
      <c r="POS140" s="3"/>
      <c r="POT140" s="3"/>
      <c r="POU140" s="3"/>
      <c r="POV140" s="3"/>
      <c r="POW140" s="3"/>
      <c r="POX140" s="3"/>
      <c r="POY140" s="3"/>
      <c r="POZ140" s="3"/>
      <c r="PPA140" s="3"/>
      <c r="PPB140" s="3"/>
      <c r="PPC140" s="3"/>
      <c r="PPD140" s="3"/>
      <c r="PPE140" s="3"/>
      <c r="PPF140" s="3"/>
      <c r="PPG140" s="3"/>
      <c r="PPH140" s="3"/>
      <c r="PPI140" s="3"/>
      <c r="PPJ140" s="3"/>
      <c r="PPK140" s="3"/>
      <c r="PPL140" s="3"/>
      <c r="PPM140" s="3"/>
      <c r="PPN140" s="3"/>
      <c r="PPO140" s="3"/>
      <c r="PPP140" s="3"/>
      <c r="PPQ140" s="3"/>
      <c r="PPR140" s="3"/>
      <c r="PPS140" s="3"/>
      <c r="PPT140" s="3"/>
      <c r="PPU140" s="3"/>
      <c r="PPV140" s="3"/>
      <c r="PPW140" s="3"/>
      <c r="PPX140" s="3"/>
      <c r="PPY140" s="3"/>
      <c r="PPZ140" s="3"/>
      <c r="PQA140" s="3"/>
      <c r="PQB140" s="3"/>
      <c r="PQC140" s="3"/>
      <c r="PQD140" s="3"/>
      <c r="PQE140" s="3"/>
      <c r="PQF140" s="3"/>
      <c r="PQG140" s="3"/>
      <c r="PQH140" s="3"/>
      <c r="PQI140" s="3"/>
      <c r="PQJ140" s="3"/>
      <c r="PQK140" s="3"/>
      <c r="PQL140" s="3"/>
      <c r="PQM140" s="3"/>
      <c r="PQN140" s="3"/>
      <c r="PQO140" s="3"/>
      <c r="PQP140" s="3"/>
      <c r="PQQ140" s="3"/>
      <c r="PQR140" s="3"/>
      <c r="PQS140" s="3"/>
      <c r="PQT140" s="3"/>
      <c r="PQU140" s="3"/>
      <c r="PQV140" s="3"/>
      <c r="PQW140" s="3"/>
      <c r="PQX140" s="3"/>
      <c r="PQY140" s="3"/>
      <c r="PQZ140" s="3"/>
      <c r="PRA140" s="3"/>
      <c r="PRB140" s="3"/>
      <c r="PRC140" s="3"/>
      <c r="PRD140" s="3"/>
      <c r="PRE140" s="3"/>
      <c r="PRF140" s="3"/>
      <c r="PRG140" s="3"/>
      <c r="PRH140" s="3"/>
      <c r="PRI140" s="3"/>
      <c r="PRJ140" s="3"/>
      <c r="PRK140" s="3"/>
      <c r="PRL140" s="3"/>
      <c r="PRM140" s="3"/>
      <c r="PRN140" s="3"/>
      <c r="PRO140" s="3"/>
      <c r="PRP140" s="3"/>
      <c r="PRQ140" s="3"/>
      <c r="PRR140" s="3"/>
      <c r="PRS140" s="3"/>
      <c r="PRT140" s="3"/>
      <c r="PRU140" s="3"/>
      <c r="PRV140" s="3"/>
      <c r="PRW140" s="3"/>
      <c r="PRX140" s="3"/>
      <c r="PRY140" s="3"/>
      <c r="PRZ140" s="3"/>
      <c r="PSA140" s="3"/>
      <c r="PSB140" s="3"/>
      <c r="PSC140" s="3"/>
      <c r="PSD140" s="3"/>
      <c r="PSE140" s="3"/>
      <c r="PSF140" s="3"/>
      <c r="PSG140" s="3"/>
      <c r="PSH140" s="3"/>
      <c r="PSI140" s="3"/>
      <c r="PSJ140" s="3"/>
      <c r="PSK140" s="3"/>
      <c r="PSL140" s="3"/>
      <c r="PSM140" s="3"/>
      <c r="PSN140" s="3"/>
      <c r="PSO140" s="3"/>
      <c r="PSP140" s="3"/>
      <c r="PSQ140" s="3"/>
      <c r="PSR140" s="3"/>
      <c r="PSS140" s="3"/>
      <c r="PST140" s="3"/>
      <c r="PSU140" s="3"/>
      <c r="PSV140" s="3"/>
      <c r="PSW140" s="3"/>
      <c r="PSX140" s="3"/>
      <c r="PSY140" s="3"/>
      <c r="PSZ140" s="3"/>
      <c r="PTA140" s="3"/>
      <c r="PTB140" s="3"/>
      <c r="PTC140" s="3"/>
      <c r="PTD140" s="3"/>
      <c r="PTE140" s="3"/>
      <c r="PTF140" s="3"/>
      <c r="PTG140" s="3"/>
      <c r="PTH140" s="3"/>
      <c r="PTI140" s="3"/>
      <c r="PTJ140" s="3"/>
      <c r="PTK140" s="3"/>
      <c r="PTL140" s="3"/>
      <c r="PTM140" s="3"/>
      <c r="PTN140" s="3"/>
      <c r="PTO140" s="3"/>
      <c r="PTP140" s="3"/>
      <c r="PTQ140" s="3"/>
      <c r="PTR140" s="3"/>
      <c r="PTS140" s="3"/>
      <c r="PTT140" s="3"/>
      <c r="PTU140" s="3"/>
      <c r="PTV140" s="3"/>
      <c r="PTW140" s="3"/>
      <c r="PTX140" s="3"/>
      <c r="PTY140" s="3"/>
      <c r="PTZ140" s="3"/>
      <c r="PUA140" s="3"/>
      <c r="PUB140" s="3"/>
      <c r="PUC140" s="3"/>
      <c r="PUD140" s="3"/>
      <c r="PUE140" s="3"/>
      <c r="PUF140" s="3"/>
      <c r="PUG140" s="3"/>
      <c r="PUH140" s="3"/>
      <c r="PUI140" s="3"/>
      <c r="PUJ140" s="3"/>
      <c r="PUK140" s="3"/>
      <c r="PUL140" s="3"/>
      <c r="PUM140" s="3"/>
      <c r="PUN140" s="3"/>
      <c r="PUO140" s="3"/>
      <c r="PUP140" s="3"/>
      <c r="PUQ140" s="3"/>
      <c r="PUR140" s="3"/>
      <c r="PUS140" s="3"/>
      <c r="PUT140" s="3"/>
      <c r="PUU140" s="3"/>
      <c r="PUV140" s="3"/>
      <c r="PUW140" s="3"/>
      <c r="PUX140" s="3"/>
      <c r="PUY140" s="3"/>
      <c r="PUZ140" s="3"/>
      <c r="PVA140" s="3"/>
      <c r="PVB140" s="3"/>
      <c r="PVC140" s="3"/>
      <c r="PVD140" s="3"/>
      <c r="PVE140" s="3"/>
      <c r="PVF140" s="3"/>
      <c r="PVG140" s="3"/>
      <c r="PVH140" s="3"/>
      <c r="PVI140" s="3"/>
      <c r="PVJ140" s="3"/>
      <c r="PVK140" s="3"/>
      <c r="PVL140" s="3"/>
      <c r="PVM140" s="3"/>
      <c r="PVN140" s="3"/>
      <c r="PVO140" s="3"/>
      <c r="PVP140" s="3"/>
      <c r="PVQ140" s="3"/>
      <c r="PVR140" s="3"/>
      <c r="PVS140" s="3"/>
      <c r="PVT140" s="3"/>
      <c r="PVU140" s="3"/>
      <c r="PVV140" s="3"/>
      <c r="PVW140" s="3"/>
      <c r="PVX140" s="3"/>
      <c r="PVY140" s="3"/>
      <c r="PVZ140" s="3"/>
      <c r="PWA140" s="3"/>
      <c r="PWB140" s="3"/>
      <c r="PWC140" s="3"/>
      <c r="PWD140" s="3"/>
      <c r="PWE140" s="3"/>
      <c r="PWF140" s="3"/>
      <c r="PWG140" s="3"/>
      <c r="PWH140" s="3"/>
      <c r="PWI140" s="3"/>
      <c r="PWJ140" s="3"/>
      <c r="PWK140" s="3"/>
      <c r="PWL140" s="3"/>
      <c r="PWM140" s="3"/>
      <c r="PWN140" s="3"/>
      <c r="PWO140" s="3"/>
      <c r="PWP140" s="3"/>
      <c r="PWQ140" s="3"/>
      <c r="PWR140" s="3"/>
      <c r="PWS140" s="3"/>
      <c r="PWT140" s="3"/>
      <c r="PWU140" s="3"/>
      <c r="PWV140" s="3"/>
      <c r="PWW140" s="3"/>
      <c r="PWX140" s="3"/>
      <c r="PWY140" s="3"/>
      <c r="PWZ140" s="3"/>
      <c r="PXA140" s="3"/>
      <c r="PXB140" s="3"/>
      <c r="PXC140" s="3"/>
      <c r="PXD140" s="3"/>
      <c r="PXE140" s="3"/>
      <c r="PXF140" s="3"/>
      <c r="PXG140" s="3"/>
      <c r="PXH140" s="3"/>
      <c r="PXI140" s="3"/>
      <c r="PXJ140" s="3"/>
      <c r="PXK140" s="3"/>
      <c r="PXL140" s="3"/>
      <c r="PXM140" s="3"/>
      <c r="PXN140" s="3"/>
      <c r="PXO140" s="3"/>
      <c r="PXP140" s="3"/>
      <c r="PXQ140" s="3"/>
      <c r="PXR140" s="3"/>
      <c r="PXS140" s="3"/>
      <c r="PXT140" s="3"/>
      <c r="PXU140" s="3"/>
      <c r="PXV140" s="3"/>
      <c r="PXW140" s="3"/>
      <c r="PXX140" s="3"/>
      <c r="PXY140" s="3"/>
      <c r="PXZ140" s="3"/>
      <c r="PYA140" s="3"/>
      <c r="PYB140" s="3"/>
      <c r="PYC140" s="3"/>
      <c r="PYD140" s="3"/>
      <c r="PYE140" s="3"/>
      <c r="PYF140" s="3"/>
      <c r="PYG140" s="3"/>
      <c r="PYH140" s="3"/>
      <c r="PYI140" s="3"/>
      <c r="PYJ140" s="3"/>
      <c r="PYK140" s="3"/>
      <c r="PYL140" s="3"/>
      <c r="PYM140" s="3"/>
      <c r="PYN140" s="3"/>
      <c r="PYO140" s="3"/>
      <c r="PYP140" s="3"/>
      <c r="PYQ140" s="3"/>
      <c r="PYR140" s="3"/>
      <c r="PYS140" s="3"/>
      <c r="PYT140" s="3"/>
      <c r="PYU140" s="3"/>
      <c r="PYV140" s="3"/>
      <c r="PYW140" s="3"/>
      <c r="PYX140" s="3"/>
      <c r="PYY140" s="3"/>
      <c r="PYZ140" s="3"/>
      <c r="PZA140" s="3"/>
      <c r="PZB140" s="3"/>
      <c r="PZC140" s="3"/>
      <c r="PZD140" s="3"/>
      <c r="PZE140" s="3"/>
      <c r="PZF140" s="3"/>
      <c r="PZG140" s="3"/>
      <c r="PZH140" s="3"/>
      <c r="PZI140" s="3"/>
      <c r="PZJ140" s="3"/>
      <c r="PZK140" s="3"/>
      <c r="PZL140" s="3"/>
      <c r="PZM140" s="3"/>
      <c r="PZN140" s="3"/>
      <c r="PZO140" s="3"/>
      <c r="PZP140" s="3"/>
      <c r="PZQ140" s="3"/>
      <c r="PZR140" s="3"/>
      <c r="PZS140" s="3"/>
      <c r="PZT140" s="3"/>
      <c r="PZU140" s="3"/>
      <c r="PZV140" s="3"/>
      <c r="PZW140" s="3"/>
      <c r="PZX140" s="3"/>
      <c r="PZY140" s="3"/>
      <c r="PZZ140" s="3"/>
      <c r="QAA140" s="3"/>
      <c r="QAB140" s="3"/>
      <c r="QAC140" s="3"/>
      <c r="QAD140" s="3"/>
      <c r="QAE140" s="3"/>
      <c r="QAF140" s="3"/>
      <c r="QAG140" s="3"/>
      <c r="QAH140" s="3"/>
      <c r="QAI140" s="3"/>
      <c r="QAJ140" s="3"/>
      <c r="QAK140" s="3"/>
      <c r="QAL140" s="3"/>
      <c r="QAM140" s="3"/>
      <c r="QAN140" s="3"/>
      <c r="QAO140" s="3"/>
      <c r="QAP140" s="3"/>
      <c r="QAQ140" s="3"/>
      <c r="QAR140" s="3"/>
      <c r="QAS140" s="3"/>
      <c r="QAT140" s="3"/>
      <c r="QAU140" s="3"/>
      <c r="QAV140" s="3"/>
      <c r="QAW140" s="3"/>
      <c r="QAX140" s="3"/>
      <c r="QAY140" s="3"/>
      <c r="QAZ140" s="3"/>
      <c r="QBA140" s="3"/>
      <c r="QBB140" s="3"/>
      <c r="QBC140" s="3"/>
      <c r="QBD140" s="3"/>
      <c r="QBE140" s="3"/>
      <c r="QBF140" s="3"/>
      <c r="QBG140" s="3"/>
      <c r="QBH140" s="3"/>
      <c r="QBI140" s="3"/>
      <c r="QBJ140" s="3"/>
      <c r="QBK140" s="3"/>
      <c r="QBL140" s="3"/>
      <c r="QBM140" s="3"/>
      <c r="QBN140" s="3"/>
      <c r="QBO140" s="3"/>
      <c r="QBP140" s="3"/>
      <c r="QBQ140" s="3"/>
      <c r="QBR140" s="3"/>
      <c r="QBS140" s="3"/>
      <c r="QBT140" s="3"/>
      <c r="QBU140" s="3"/>
      <c r="QBV140" s="3"/>
      <c r="QBW140" s="3"/>
      <c r="QBX140" s="3"/>
      <c r="QBY140" s="3"/>
      <c r="QBZ140" s="3"/>
      <c r="QCA140" s="3"/>
      <c r="QCB140" s="3"/>
      <c r="QCC140" s="3"/>
      <c r="QCD140" s="3"/>
      <c r="QCE140" s="3"/>
      <c r="QCF140" s="3"/>
      <c r="QCG140" s="3"/>
      <c r="QCH140" s="3"/>
      <c r="QCI140" s="3"/>
      <c r="QCJ140" s="3"/>
      <c r="QCK140" s="3"/>
      <c r="QCL140" s="3"/>
      <c r="QCM140" s="3"/>
      <c r="QCN140" s="3"/>
      <c r="QCO140" s="3"/>
      <c r="QCP140" s="3"/>
      <c r="QCQ140" s="3"/>
      <c r="QCR140" s="3"/>
      <c r="QCS140" s="3"/>
      <c r="QCT140" s="3"/>
      <c r="QCU140" s="3"/>
      <c r="QCV140" s="3"/>
      <c r="QCW140" s="3"/>
      <c r="QCX140" s="3"/>
      <c r="QCY140" s="3"/>
      <c r="QCZ140" s="3"/>
      <c r="QDA140" s="3"/>
      <c r="QDB140" s="3"/>
      <c r="QDC140" s="3"/>
      <c r="QDD140" s="3"/>
      <c r="QDE140" s="3"/>
      <c r="QDF140" s="3"/>
      <c r="QDG140" s="3"/>
      <c r="QDH140" s="3"/>
      <c r="QDI140" s="3"/>
      <c r="QDJ140" s="3"/>
      <c r="QDK140" s="3"/>
      <c r="QDL140" s="3"/>
      <c r="QDM140" s="3"/>
      <c r="QDN140" s="3"/>
      <c r="QDO140" s="3"/>
      <c r="QDP140" s="3"/>
      <c r="QDQ140" s="3"/>
      <c r="QDR140" s="3"/>
      <c r="QDS140" s="3"/>
      <c r="QDT140" s="3"/>
      <c r="QDU140" s="3"/>
      <c r="QDV140" s="3"/>
      <c r="QDW140" s="3"/>
      <c r="QDX140" s="3"/>
      <c r="QDY140" s="3"/>
      <c r="QDZ140" s="3"/>
      <c r="QEA140" s="3"/>
      <c r="QEB140" s="3"/>
      <c r="QEC140" s="3"/>
      <c r="QED140" s="3"/>
      <c r="QEE140" s="3"/>
      <c r="QEF140" s="3"/>
      <c r="QEG140" s="3"/>
      <c r="QEH140" s="3"/>
      <c r="QEI140" s="3"/>
      <c r="QEJ140" s="3"/>
      <c r="QEK140" s="3"/>
      <c r="QEL140" s="3"/>
      <c r="QEM140" s="3"/>
      <c r="QEN140" s="3"/>
      <c r="QEO140" s="3"/>
      <c r="QEP140" s="3"/>
      <c r="QEQ140" s="3"/>
      <c r="QER140" s="3"/>
      <c r="QES140" s="3"/>
      <c r="QET140" s="3"/>
      <c r="QEU140" s="3"/>
      <c r="QEV140" s="3"/>
      <c r="QEW140" s="3"/>
      <c r="QEX140" s="3"/>
      <c r="QEY140" s="3"/>
      <c r="QEZ140" s="3"/>
      <c r="QFA140" s="3"/>
      <c r="QFB140" s="3"/>
      <c r="QFC140" s="3"/>
      <c r="QFD140" s="3"/>
      <c r="QFE140" s="3"/>
      <c r="QFF140" s="3"/>
      <c r="QFG140" s="3"/>
      <c r="QFH140" s="3"/>
      <c r="QFI140" s="3"/>
      <c r="QFJ140" s="3"/>
      <c r="QFK140" s="3"/>
      <c r="QFL140" s="3"/>
      <c r="QFM140" s="3"/>
      <c r="QFN140" s="3"/>
      <c r="QFO140" s="3"/>
      <c r="QFP140" s="3"/>
      <c r="QFQ140" s="3"/>
      <c r="QFR140" s="3"/>
      <c r="QFS140" s="3"/>
      <c r="QFT140" s="3"/>
      <c r="QFU140" s="3"/>
      <c r="QFV140" s="3"/>
      <c r="QFW140" s="3"/>
      <c r="QFX140" s="3"/>
      <c r="QFY140" s="3"/>
      <c r="QFZ140" s="3"/>
      <c r="QGA140" s="3"/>
      <c r="QGB140" s="3"/>
      <c r="QGC140" s="3"/>
      <c r="QGD140" s="3"/>
      <c r="QGE140" s="3"/>
      <c r="QGF140" s="3"/>
      <c r="QGG140" s="3"/>
      <c r="QGH140" s="3"/>
      <c r="QGI140" s="3"/>
      <c r="QGJ140" s="3"/>
      <c r="QGK140" s="3"/>
      <c r="QGL140" s="3"/>
      <c r="QGM140" s="3"/>
      <c r="QGN140" s="3"/>
      <c r="QGO140" s="3"/>
      <c r="QGP140" s="3"/>
      <c r="QGQ140" s="3"/>
      <c r="QGR140" s="3"/>
      <c r="QGS140" s="3"/>
      <c r="QGT140" s="3"/>
      <c r="QGU140" s="3"/>
      <c r="QGV140" s="3"/>
      <c r="QGW140" s="3"/>
      <c r="QGX140" s="3"/>
      <c r="QGY140" s="3"/>
      <c r="QGZ140" s="3"/>
      <c r="QHA140" s="3"/>
      <c r="QHB140" s="3"/>
      <c r="QHC140" s="3"/>
      <c r="QHD140" s="3"/>
      <c r="QHE140" s="3"/>
      <c r="QHF140" s="3"/>
      <c r="QHG140" s="3"/>
      <c r="QHH140" s="3"/>
      <c r="QHI140" s="3"/>
      <c r="QHJ140" s="3"/>
      <c r="QHK140" s="3"/>
      <c r="QHL140" s="3"/>
      <c r="QHM140" s="3"/>
      <c r="QHN140" s="3"/>
      <c r="QHO140" s="3"/>
      <c r="QHP140" s="3"/>
      <c r="QHQ140" s="3"/>
      <c r="QHR140" s="3"/>
      <c r="QHS140" s="3"/>
      <c r="QHT140" s="3"/>
      <c r="QHU140" s="3"/>
      <c r="QHV140" s="3"/>
      <c r="QHW140" s="3"/>
      <c r="QHX140" s="3"/>
      <c r="QHY140" s="3"/>
      <c r="QHZ140" s="3"/>
      <c r="QIA140" s="3"/>
      <c r="QIB140" s="3"/>
      <c r="QIC140" s="3"/>
      <c r="QID140" s="3"/>
      <c r="QIE140" s="3"/>
      <c r="QIF140" s="3"/>
      <c r="QIG140" s="3"/>
      <c r="QIH140" s="3"/>
      <c r="QII140" s="3"/>
      <c r="QIJ140" s="3"/>
      <c r="QIK140" s="3"/>
      <c r="QIL140" s="3"/>
      <c r="QIM140" s="3"/>
      <c r="QIN140" s="3"/>
      <c r="QIO140" s="3"/>
      <c r="QIP140" s="3"/>
      <c r="QIQ140" s="3"/>
      <c r="QIR140" s="3"/>
      <c r="QIS140" s="3"/>
      <c r="QIT140" s="3"/>
      <c r="QIU140" s="3"/>
      <c r="QIV140" s="3"/>
      <c r="QIW140" s="3"/>
      <c r="QIX140" s="3"/>
      <c r="QIY140" s="3"/>
      <c r="QIZ140" s="3"/>
      <c r="QJA140" s="3"/>
      <c r="QJB140" s="3"/>
      <c r="QJC140" s="3"/>
      <c r="QJD140" s="3"/>
      <c r="QJE140" s="3"/>
      <c r="QJF140" s="3"/>
      <c r="QJG140" s="3"/>
      <c r="QJH140" s="3"/>
      <c r="QJI140" s="3"/>
      <c r="QJJ140" s="3"/>
      <c r="QJK140" s="3"/>
      <c r="QJL140" s="3"/>
      <c r="QJM140" s="3"/>
      <c r="QJN140" s="3"/>
      <c r="QJO140" s="3"/>
      <c r="QJP140" s="3"/>
      <c r="QJQ140" s="3"/>
      <c r="QJR140" s="3"/>
      <c r="QJS140" s="3"/>
      <c r="QJT140" s="3"/>
      <c r="QJU140" s="3"/>
      <c r="QJV140" s="3"/>
      <c r="QJW140" s="3"/>
      <c r="QJX140" s="3"/>
      <c r="QJY140" s="3"/>
      <c r="QJZ140" s="3"/>
      <c r="QKA140" s="3"/>
      <c r="QKB140" s="3"/>
      <c r="QKC140" s="3"/>
      <c r="QKD140" s="3"/>
      <c r="QKE140" s="3"/>
      <c r="QKF140" s="3"/>
      <c r="QKG140" s="3"/>
      <c r="QKH140" s="3"/>
      <c r="QKI140" s="3"/>
      <c r="QKJ140" s="3"/>
      <c r="QKK140" s="3"/>
      <c r="QKL140" s="3"/>
      <c r="QKM140" s="3"/>
      <c r="QKN140" s="3"/>
      <c r="QKO140" s="3"/>
      <c r="QKP140" s="3"/>
      <c r="QKQ140" s="3"/>
      <c r="QKR140" s="3"/>
      <c r="QKS140" s="3"/>
      <c r="QKT140" s="3"/>
      <c r="QKU140" s="3"/>
      <c r="QKV140" s="3"/>
      <c r="QKW140" s="3"/>
      <c r="QKX140" s="3"/>
      <c r="QKY140" s="3"/>
      <c r="QKZ140" s="3"/>
      <c r="QLA140" s="3"/>
      <c r="QLB140" s="3"/>
      <c r="QLC140" s="3"/>
      <c r="QLD140" s="3"/>
      <c r="QLE140" s="3"/>
      <c r="QLF140" s="3"/>
      <c r="QLG140" s="3"/>
      <c r="QLH140" s="3"/>
      <c r="QLI140" s="3"/>
      <c r="QLJ140" s="3"/>
      <c r="QLK140" s="3"/>
      <c r="QLL140" s="3"/>
      <c r="QLM140" s="3"/>
      <c r="QLN140" s="3"/>
      <c r="QLO140" s="3"/>
      <c r="QLP140" s="3"/>
      <c r="QLQ140" s="3"/>
      <c r="QLR140" s="3"/>
      <c r="QLS140" s="3"/>
      <c r="QLT140" s="3"/>
      <c r="QLU140" s="3"/>
      <c r="QLV140" s="3"/>
      <c r="QLW140" s="3"/>
      <c r="QLX140" s="3"/>
      <c r="QLY140" s="3"/>
      <c r="QLZ140" s="3"/>
      <c r="QMA140" s="3"/>
      <c r="QMB140" s="3"/>
      <c r="QMC140" s="3"/>
      <c r="QMD140" s="3"/>
      <c r="QME140" s="3"/>
      <c r="QMF140" s="3"/>
      <c r="QMG140" s="3"/>
      <c r="QMH140" s="3"/>
      <c r="QMI140" s="3"/>
      <c r="QMJ140" s="3"/>
      <c r="QMK140" s="3"/>
      <c r="QML140" s="3"/>
      <c r="QMM140" s="3"/>
      <c r="QMN140" s="3"/>
      <c r="QMO140" s="3"/>
      <c r="QMP140" s="3"/>
      <c r="QMQ140" s="3"/>
      <c r="QMR140" s="3"/>
      <c r="QMS140" s="3"/>
      <c r="QMT140" s="3"/>
      <c r="QMU140" s="3"/>
      <c r="QMV140" s="3"/>
      <c r="QMW140" s="3"/>
      <c r="QMX140" s="3"/>
      <c r="QMY140" s="3"/>
      <c r="QMZ140" s="3"/>
      <c r="QNA140" s="3"/>
      <c r="QNB140" s="3"/>
      <c r="QNC140" s="3"/>
      <c r="QND140" s="3"/>
      <c r="QNE140" s="3"/>
      <c r="QNF140" s="3"/>
      <c r="QNG140" s="3"/>
      <c r="QNH140" s="3"/>
      <c r="QNI140" s="3"/>
      <c r="QNJ140" s="3"/>
      <c r="QNK140" s="3"/>
      <c r="QNL140" s="3"/>
      <c r="QNM140" s="3"/>
      <c r="QNN140" s="3"/>
      <c r="QNO140" s="3"/>
      <c r="QNP140" s="3"/>
      <c r="QNQ140" s="3"/>
      <c r="QNR140" s="3"/>
      <c r="QNS140" s="3"/>
      <c r="QNT140" s="3"/>
      <c r="QNU140" s="3"/>
      <c r="QNV140" s="3"/>
      <c r="QNW140" s="3"/>
      <c r="QNX140" s="3"/>
      <c r="QNY140" s="3"/>
      <c r="QNZ140" s="3"/>
      <c r="QOA140" s="3"/>
      <c r="QOB140" s="3"/>
      <c r="QOC140" s="3"/>
      <c r="QOD140" s="3"/>
      <c r="QOE140" s="3"/>
      <c r="QOF140" s="3"/>
      <c r="QOG140" s="3"/>
      <c r="QOH140" s="3"/>
      <c r="QOI140" s="3"/>
      <c r="QOJ140" s="3"/>
      <c r="QOK140" s="3"/>
      <c r="QOL140" s="3"/>
      <c r="QOM140" s="3"/>
      <c r="QON140" s="3"/>
      <c r="QOO140" s="3"/>
      <c r="QOP140" s="3"/>
      <c r="QOQ140" s="3"/>
      <c r="QOR140" s="3"/>
      <c r="QOS140" s="3"/>
      <c r="QOT140" s="3"/>
      <c r="QOU140" s="3"/>
      <c r="QOV140" s="3"/>
      <c r="QOW140" s="3"/>
      <c r="QOX140" s="3"/>
      <c r="QOY140" s="3"/>
      <c r="QOZ140" s="3"/>
      <c r="QPA140" s="3"/>
      <c r="QPB140" s="3"/>
      <c r="QPC140" s="3"/>
      <c r="QPD140" s="3"/>
      <c r="QPE140" s="3"/>
      <c r="QPF140" s="3"/>
      <c r="QPG140" s="3"/>
      <c r="QPH140" s="3"/>
      <c r="QPI140" s="3"/>
      <c r="QPJ140" s="3"/>
      <c r="QPK140" s="3"/>
      <c r="QPL140" s="3"/>
      <c r="QPM140" s="3"/>
      <c r="QPN140" s="3"/>
      <c r="QPO140" s="3"/>
      <c r="QPP140" s="3"/>
      <c r="QPQ140" s="3"/>
      <c r="QPR140" s="3"/>
      <c r="QPS140" s="3"/>
      <c r="QPT140" s="3"/>
      <c r="QPU140" s="3"/>
      <c r="QPV140" s="3"/>
      <c r="QPW140" s="3"/>
      <c r="QPX140" s="3"/>
      <c r="QPY140" s="3"/>
      <c r="QPZ140" s="3"/>
      <c r="QQA140" s="3"/>
      <c r="QQB140" s="3"/>
      <c r="QQC140" s="3"/>
      <c r="QQD140" s="3"/>
      <c r="QQE140" s="3"/>
      <c r="QQF140" s="3"/>
      <c r="QQG140" s="3"/>
      <c r="QQH140" s="3"/>
      <c r="QQI140" s="3"/>
      <c r="QQJ140" s="3"/>
      <c r="QQK140" s="3"/>
      <c r="QQL140" s="3"/>
      <c r="QQM140" s="3"/>
      <c r="QQN140" s="3"/>
      <c r="QQO140" s="3"/>
      <c r="QQP140" s="3"/>
      <c r="QQQ140" s="3"/>
      <c r="QQR140" s="3"/>
      <c r="QQS140" s="3"/>
      <c r="QQT140" s="3"/>
      <c r="QQU140" s="3"/>
      <c r="QQV140" s="3"/>
      <c r="QQW140" s="3"/>
      <c r="QQX140" s="3"/>
      <c r="QQY140" s="3"/>
      <c r="QQZ140" s="3"/>
      <c r="QRA140" s="3"/>
      <c r="QRB140" s="3"/>
      <c r="QRC140" s="3"/>
      <c r="QRD140" s="3"/>
      <c r="QRE140" s="3"/>
      <c r="QRF140" s="3"/>
      <c r="QRG140" s="3"/>
      <c r="QRH140" s="3"/>
      <c r="QRI140" s="3"/>
      <c r="QRJ140" s="3"/>
      <c r="QRK140" s="3"/>
      <c r="QRL140" s="3"/>
      <c r="QRM140" s="3"/>
      <c r="QRN140" s="3"/>
      <c r="QRO140" s="3"/>
      <c r="QRP140" s="3"/>
      <c r="QRQ140" s="3"/>
      <c r="QRR140" s="3"/>
      <c r="QRS140" s="3"/>
      <c r="QRT140" s="3"/>
      <c r="QRU140" s="3"/>
      <c r="QRV140" s="3"/>
      <c r="QRW140" s="3"/>
      <c r="QRX140" s="3"/>
      <c r="QRY140" s="3"/>
      <c r="QRZ140" s="3"/>
      <c r="QSA140" s="3"/>
      <c r="QSB140" s="3"/>
      <c r="QSC140" s="3"/>
      <c r="QSD140" s="3"/>
      <c r="QSE140" s="3"/>
      <c r="QSF140" s="3"/>
      <c r="QSG140" s="3"/>
      <c r="QSH140" s="3"/>
      <c r="QSI140" s="3"/>
      <c r="QSJ140" s="3"/>
      <c r="QSK140" s="3"/>
      <c r="QSL140" s="3"/>
      <c r="QSM140" s="3"/>
      <c r="QSN140" s="3"/>
      <c r="QSO140" s="3"/>
      <c r="QSP140" s="3"/>
      <c r="QSQ140" s="3"/>
      <c r="QSR140" s="3"/>
      <c r="QSS140" s="3"/>
      <c r="QST140" s="3"/>
      <c r="QSU140" s="3"/>
      <c r="QSV140" s="3"/>
      <c r="QSW140" s="3"/>
      <c r="QSX140" s="3"/>
      <c r="QSY140" s="3"/>
      <c r="QSZ140" s="3"/>
      <c r="QTA140" s="3"/>
      <c r="QTB140" s="3"/>
      <c r="QTC140" s="3"/>
      <c r="QTD140" s="3"/>
      <c r="QTE140" s="3"/>
      <c r="QTF140" s="3"/>
      <c r="QTG140" s="3"/>
      <c r="QTH140" s="3"/>
      <c r="QTI140" s="3"/>
      <c r="QTJ140" s="3"/>
      <c r="QTK140" s="3"/>
      <c r="QTL140" s="3"/>
      <c r="QTM140" s="3"/>
      <c r="QTN140" s="3"/>
      <c r="QTO140" s="3"/>
      <c r="QTP140" s="3"/>
      <c r="QTQ140" s="3"/>
      <c r="QTR140" s="3"/>
      <c r="QTS140" s="3"/>
      <c r="QTT140" s="3"/>
      <c r="QTU140" s="3"/>
      <c r="QTV140" s="3"/>
      <c r="QTW140" s="3"/>
      <c r="QTX140" s="3"/>
      <c r="QTY140" s="3"/>
      <c r="QTZ140" s="3"/>
      <c r="QUA140" s="3"/>
      <c r="QUB140" s="3"/>
      <c r="QUC140" s="3"/>
      <c r="QUD140" s="3"/>
      <c r="QUE140" s="3"/>
      <c r="QUF140" s="3"/>
      <c r="QUG140" s="3"/>
      <c r="QUH140" s="3"/>
      <c r="QUI140" s="3"/>
      <c r="QUJ140" s="3"/>
      <c r="QUK140" s="3"/>
      <c r="QUL140" s="3"/>
      <c r="QUM140" s="3"/>
      <c r="QUN140" s="3"/>
      <c r="QUO140" s="3"/>
      <c r="QUP140" s="3"/>
      <c r="QUQ140" s="3"/>
      <c r="QUR140" s="3"/>
      <c r="QUS140" s="3"/>
      <c r="QUT140" s="3"/>
      <c r="QUU140" s="3"/>
      <c r="QUV140" s="3"/>
      <c r="QUW140" s="3"/>
      <c r="QUX140" s="3"/>
      <c r="QUY140" s="3"/>
      <c r="QUZ140" s="3"/>
      <c r="QVA140" s="3"/>
      <c r="QVB140" s="3"/>
      <c r="QVC140" s="3"/>
      <c r="QVD140" s="3"/>
      <c r="QVE140" s="3"/>
      <c r="QVF140" s="3"/>
      <c r="QVG140" s="3"/>
      <c r="QVH140" s="3"/>
      <c r="QVI140" s="3"/>
      <c r="QVJ140" s="3"/>
      <c r="QVK140" s="3"/>
      <c r="QVL140" s="3"/>
      <c r="QVM140" s="3"/>
      <c r="QVN140" s="3"/>
      <c r="QVO140" s="3"/>
      <c r="QVP140" s="3"/>
      <c r="QVQ140" s="3"/>
      <c r="QVR140" s="3"/>
      <c r="QVS140" s="3"/>
      <c r="QVT140" s="3"/>
      <c r="QVU140" s="3"/>
      <c r="QVV140" s="3"/>
      <c r="QVW140" s="3"/>
      <c r="QVX140" s="3"/>
      <c r="QVY140" s="3"/>
      <c r="QVZ140" s="3"/>
      <c r="QWA140" s="3"/>
      <c r="QWB140" s="3"/>
      <c r="QWC140" s="3"/>
      <c r="QWD140" s="3"/>
      <c r="QWE140" s="3"/>
      <c r="QWF140" s="3"/>
      <c r="QWG140" s="3"/>
      <c r="QWH140" s="3"/>
      <c r="QWI140" s="3"/>
      <c r="QWJ140" s="3"/>
      <c r="QWK140" s="3"/>
      <c r="QWL140" s="3"/>
      <c r="QWM140" s="3"/>
      <c r="QWN140" s="3"/>
      <c r="QWO140" s="3"/>
      <c r="QWP140" s="3"/>
      <c r="QWQ140" s="3"/>
      <c r="QWR140" s="3"/>
      <c r="QWS140" s="3"/>
      <c r="QWT140" s="3"/>
      <c r="QWU140" s="3"/>
      <c r="QWV140" s="3"/>
      <c r="QWW140" s="3"/>
      <c r="QWX140" s="3"/>
      <c r="QWY140" s="3"/>
      <c r="QWZ140" s="3"/>
      <c r="QXA140" s="3"/>
      <c r="QXB140" s="3"/>
      <c r="QXC140" s="3"/>
      <c r="QXD140" s="3"/>
      <c r="QXE140" s="3"/>
      <c r="QXF140" s="3"/>
      <c r="QXG140" s="3"/>
      <c r="QXH140" s="3"/>
      <c r="QXI140" s="3"/>
      <c r="QXJ140" s="3"/>
      <c r="QXK140" s="3"/>
      <c r="QXL140" s="3"/>
      <c r="QXM140" s="3"/>
      <c r="QXN140" s="3"/>
      <c r="QXO140" s="3"/>
      <c r="QXP140" s="3"/>
      <c r="QXQ140" s="3"/>
      <c r="QXR140" s="3"/>
      <c r="QXS140" s="3"/>
      <c r="QXT140" s="3"/>
      <c r="QXU140" s="3"/>
      <c r="QXV140" s="3"/>
      <c r="QXW140" s="3"/>
      <c r="QXX140" s="3"/>
      <c r="QXY140" s="3"/>
      <c r="QXZ140" s="3"/>
      <c r="QYA140" s="3"/>
      <c r="QYB140" s="3"/>
      <c r="QYC140" s="3"/>
      <c r="QYD140" s="3"/>
      <c r="QYE140" s="3"/>
      <c r="QYF140" s="3"/>
      <c r="QYG140" s="3"/>
      <c r="QYH140" s="3"/>
      <c r="QYI140" s="3"/>
      <c r="QYJ140" s="3"/>
      <c r="QYK140" s="3"/>
      <c r="QYL140" s="3"/>
      <c r="QYM140" s="3"/>
      <c r="QYN140" s="3"/>
      <c r="QYO140" s="3"/>
      <c r="QYP140" s="3"/>
      <c r="QYQ140" s="3"/>
      <c r="QYR140" s="3"/>
      <c r="QYS140" s="3"/>
      <c r="QYT140" s="3"/>
      <c r="QYU140" s="3"/>
      <c r="QYV140" s="3"/>
      <c r="QYW140" s="3"/>
      <c r="QYX140" s="3"/>
      <c r="QYY140" s="3"/>
      <c r="QYZ140" s="3"/>
      <c r="QZA140" s="3"/>
      <c r="QZB140" s="3"/>
      <c r="QZC140" s="3"/>
      <c r="QZD140" s="3"/>
      <c r="QZE140" s="3"/>
      <c r="QZF140" s="3"/>
      <c r="QZG140" s="3"/>
      <c r="QZH140" s="3"/>
      <c r="QZI140" s="3"/>
      <c r="QZJ140" s="3"/>
      <c r="QZK140" s="3"/>
      <c r="QZL140" s="3"/>
      <c r="QZM140" s="3"/>
      <c r="QZN140" s="3"/>
      <c r="QZO140" s="3"/>
      <c r="QZP140" s="3"/>
      <c r="QZQ140" s="3"/>
      <c r="QZR140" s="3"/>
      <c r="QZS140" s="3"/>
      <c r="QZT140" s="3"/>
      <c r="QZU140" s="3"/>
      <c r="QZV140" s="3"/>
      <c r="QZW140" s="3"/>
      <c r="QZX140" s="3"/>
      <c r="QZY140" s="3"/>
      <c r="QZZ140" s="3"/>
      <c r="RAA140" s="3"/>
      <c r="RAB140" s="3"/>
      <c r="RAC140" s="3"/>
      <c r="RAD140" s="3"/>
      <c r="RAE140" s="3"/>
      <c r="RAF140" s="3"/>
      <c r="RAG140" s="3"/>
      <c r="RAH140" s="3"/>
      <c r="RAI140" s="3"/>
      <c r="RAJ140" s="3"/>
      <c r="RAK140" s="3"/>
      <c r="RAL140" s="3"/>
      <c r="RAM140" s="3"/>
      <c r="RAN140" s="3"/>
      <c r="RAO140" s="3"/>
      <c r="RAP140" s="3"/>
      <c r="RAQ140" s="3"/>
      <c r="RAR140" s="3"/>
      <c r="RAS140" s="3"/>
      <c r="RAT140" s="3"/>
      <c r="RAU140" s="3"/>
      <c r="RAV140" s="3"/>
      <c r="RAW140" s="3"/>
      <c r="RAX140" s="3"/>
      <c r="RAY140" s="3"/>
      <c r="RAZ140" s="3"/>
      <c r="RBA140" s="3"/>
      <c r="RBB140" s="3"/>
      <c r="RBC140" s="3"/>
      <c r="RBD140" s="3"/>
      <c r="RBE140" s="3"/>
      <c r="RBF140" s="3"/>
      <c r="RBG140" s="3"/>
      <c r="RBH140" s="3"/>
      <c r="RBI140" s="3"/>
      <c r="RBJ140" s="3"/>
      <c r="RBK140" s="3"/>
      <c r="RBL140" s="3"/>
      <c r="RBM140" s="3"/>
      <c r="RBN140" s="3"/>
      <c r="RBO140" s="3"/>
      <c r="RBP140" s="3"/>
      <c r="RBQ140" s="3"/>
      <c r="RBR140" s="3"/>
      <c r="RBS140" s="3"/>
      <c r="RBT140" s="3"/>
      <c r="RBU140" s="3"/>
      <c r="RBV140" s="3"/>
      <c r="RBW140" s="3"/>
      <c r="RBX140" s="3"/>
      <c r="RBY140" s="3"/>
      <c r="RBZ140" s="3"/>
      <c r="RCA140" s="3"/>
      <c r="RCB140" s="3"/>
      <c r="RCC140" s="3"/>
      <c r="RCD140" s="3"/>
      <c r="RCE140" s="3"/>
      <c r="RCF140" s="3"/>
      <c r="RCG140" s="3"/>
      <c r="RCH140" s="3"/>
      <c r="RCI140" s="3"/>
      <c r="RCJ140" s="3"/>
      <c r="RCK140" s="3"/>
      <c r="RCL140" s="3"/>
      <c r="RCM140" s="3"/>
      <c r="RCN140" s="3"/>
      <c r="RCO140" s="3"/>
      <c r="RCP140" s="3"/>
      <c r="RCQ140" s="3"/>
      <c r="RCR140" s="3"/>
      <c r="RCS140" s="3"/>
      <c r="RCT140" s="3"/>
      <c r="RCU140" s="3"/>
      <c r="RCV140" s="3"/>
      <c r="RCW140" s="3"/>
      <c r="RCX140" s="3"/>
      <c r="RCY140" s="3"/>
      <c r="RCZ140" s="3"/>
      <c r="RDA140" s="3"/>
      <c r="RDB140" s="3"/>
      <c r="RDC140" s="3"/>
      <c r="RDD140" s="3"/>
      <c r="RDE140" s="3"/>
      <c r="RDF140" s="3"/>
      <c r="RDG140" s="3"/>
      <c r="RDH140" s="3"/>
      <c r="RDI140" s="3"/>
      <c r="RDJ140" s="3"/>
      <c r="RDK140" s="3"/>
      <c r="RDL140" s="3"/>
      <c r="RDM140" s="3"/>
      <c r="RDN140" s="3"/>
      <c r="RDO140" s="3"/>
      <c r="RDP140" s="3"/>
      <c r="RDQ140" s="3"/>
      <c r="RDR140" s="3"/>
      <c r="RDS140" s="3"/>
      <c r="RDT140" s="3"/>
      <c r="RDU140" s="3"/>
      <c r="RDV140" s="3"/>
      <c r="RDW140" s="3"/>
      <c r="RDX140" s="3"/>
      <c r="RDY140" s="3"/>
      <c r="RDZ140" s="3"/>
      <c r="REA140" s="3"/>
      <c r="REB140" s="3"/>
      <c r="REC140" s="3"/>
      <c r="RED140" s="3"/>
      <c r="REE140" s="3"/>
      <c r="REF140" s="3"/>
      <c r="REG140" s="3"/>
      <c r="REH140" s="3"/>
      <c r="REI140" s="3"/>
      <c r="REJ140" s="3"/>
      <c r="REK140" s="3"/>
      <c r="REL140" s="3"/>
      <c r="REM140" s="3"/>
      <c r="REN140" s="3"/>
      <c r="REO140" s="3"/>
      <c r="REP140" s="3"/>
      <c r="REQ140" s="3"/>
      <c r="RER140" s="3"/>
      <c r="RES140" s="3"/>
      <c r="RET140" s="3"/>
      <c r="REU140" s="3"/>
      <c r="REV140" s="3"/>
      <c r="REW140" s="3"/>
      <c r="REX140" s="3"/>
      <c r="REY140" s="3"/>
      <c r="REZ140" s="3"/>
      <c r="RFA140" s="3"/>
      <c r="RFB140" s="3"/>
      <c r="RFC140" s="3"/>
      <c r="RFD140" s="3"/>
      <c r="RFE140" s="3"/>
      <c r="RFF140" s="3"/>
      <c r="RFG140" s="3"/>
      <c r="RFH140" s="3"/>
      <c r="RFI140" s="3"/>
      <c r="RFJ140" s="3"/>
      <c r="RFK140" s="3"/>
      <c r="RFL140" s="3"/>
      <c r="RFM140" s="3"/>
      <c r="RFN140" s="3"/>
      <c r="RFO140" s="3"/>
      <c r="RFP140" s="3"/>
      <c r="RFQ140" s="3"/>
      <c r="RFR140" s="3"/>
      <c r="RFS140" s="3"/>
      <c r="RFT140" s="3"/>
      <c r="RFU140" s="3"/>
      <c r="RFV140" s="3"/>
      <c r="RFW140" s="3"/>
      <c r="RFX140" s="3"/>
      <c r="RFY140" s="3"/>
      <c r="RFZ140" s="3"/>
      <c r="RGA140" s="3"/>
      <c r="RGB140" s="3"/>
      <c r="RGC140" s="3"/>
      <c r="RGD140" s="3"/>
      <c r="RGE140" s="3"/>
      <c r="RGF140" s="3"/>
      <c r="RGG140" s="3"/>
      <c r="RGH140" s="3"/>
      <c r="RGI140" s="3"/>
      <c r="RGJ140" s="3"/>
      <c r="RGK140" s="3"/>
      <c r="RGL140" s="3"/>
      <c r="RGM140" s="3"/>
      <c r="RGN140" s="3"/>
      <c r="RGO140" s="3"/>
      <c r="RGP140" s="3"/>
      <c r="RGQ140" s="3"/>
      <c r="RGR140" s="3"/>
      <c r="RGS140" s="3"/>
      <c r="RGT140" s="3"/>
      <c r="RGU140" s="3"/>
      <c r="RGV140" s="3"/>
      <c r="RGW140" s="3"/>
      <c r="RGX140" s="3"/>
      <c r="RGY140" s="3"/>
      <c r="RGZ140" s="3"/>
      <c r="RHA140" s="3"/>
      <c r="RHB140" s="3"/>
      <c r="RHC140" s="3"/>
      <c r="RHD140" s="3"/>
      <c r="RHE140" s="3"/>
      <c r="RHF140" s="3"/>
      <c r="RHG140" s="3"/>
      <c r="RHH140" s="3"/>
      <c r="RHI140" s="3"/>
      <c r="RHJ140" s="3"/>
      <c r="RHK140" s="3"/>
      <c r="RHL140" s="3"/>
      <c r="RHM140" s="3"/>
      <c r="RHN140" s="3"/>
      <c r="RHO140" s="3"/>
      <c r="RHP140" s="3"/>
      <c r="RHQ140" s="3"/>
      <c r="RHR140" s="3"/>
      <c r="RHS140" s="3"/>
      <c r="RHT140" s="3"/>
      <c r="RHU140" s="3"/>
      <c r="RHV140" s="3"/>
      <c r="RHW140" s="3"/>
      <c r="RHX140" s="3"/>
      <c r="RHY140" s="3"/>
      <c r="RHZ140" s="3"/>
      <c r="RIA140" s="3"/>
      <c r="RIB140" s="3"/>
      <c r="RIC140" s="3"/>
      <c r="RID140" s="3"/>
      <c r="RIE140" s="3"/>
      <c r="RIF140" s="3"/>
      <c r="RIG140" s="3"/>
      <c r="RIH140" s="3"/>
      <c r="RII140" s="3"/>
      <c r="RIJ140" s="3"/>
      <c r="RIK140" s="3"/>
      <c r="RIL140" s="3"/>
      <c r="RIM140" s="3"/>
      <c r="RIN140" s="3"/>
      <c r="RIO140" s="3"/>
      <c r="RIP140" s="3"/>
      <c r="RIQ140" s="3"/>
      <c r="RIR140" s="3"/>
      <c r="RIS140" s="3"/>
      <c r="RIT140" s="3"/>
      <c r="RIU140" s="3"/>
      <c r="RIV140" s="3"/>
      <c r="RIW140" s="3"/>
      <c r="RIX140" s="3"/>
      <c r="RIY140" s="3"/>
      <c r="RIZ140" s="3"/>
      <c r="RJA140" s="3"/>
      <c r="RJB140" s="3"/>
      <c r="RJC140" s="3"/>
      <c r="RJD140" s="3"/>
      <c r="RJE140" s="3"/>
      <c r="RJF140" s="3"/>
      <c r="RJG140" s="3"/>
      <c r="RJH140" s="3"/>
      <c r="RJI140" s="3"/>
      <c r="RJJ140" s="3"/>
      <c r="RJK140" s="3"/>
      <c r="RJL140" s="3"/>
      <c r="RJM140" s="3"/>
      <c r="RJN140" s="3"/>
      <c r="RJO140" s="3"/>
      <c r="RJP140" s="3"/>
      <c r="RJQ140" s="3"/>
      <c r="RJR140" s="3"/>
      <c r="RJS140" s="3"/>
      <c r="RJT140" s="3"/>
      <c r="RJU140" s="3"/>
      <c r="RJV140" s="3"/>
      <c r="RJW140" s="3"/>
      <c r="RJX140" s="3"/>
      <c r="RJY140" s="3"/>
      <c r="RJZ140" s="3"/>
      <c r="RKA140" s="3"/>
      <c r="RKB140" s="3"/>
      <c r="RKC140" s="3"/>
      <c r="RKD140" s="3"/>
      <c r="RKE140" s="3"/>
      <c r="RKF140" s="3"/>
      <c r="RKG140" s="3"/>
      <c r="RKH140" s="3"/>
      <c r="RKI140" s="3"/>
      <c r="RKJ140" s="3"/>
      <c r="RKK140" s="3"/>
      <c r="RKL140" s="3"/>
      <c r="RKM140" s="3"/>
      <c r="RKN140" s="3"/>
      <c r="RKO140" s="3"/>
      <c r="RKP140" s="3"/>
      <c r="RKQ140" s="3"/>
      <c r="RKR140" s="3"/>
      <c r="RKS140" s="3"/>
      <c r="RKT140" s="3"/>
      <c r="RKU140" s="3"/>
      <c r="RKV140" s="3"/>
      <c r="RKW140" s="3"/>
      <c r="RKX140" s="3"/>
      <c r="RKY140" s="3"/>
      <c r="RKZ140" s="3"/>
      <c r="RLA140" s="3"/>
      <c r="RLB140" s="3"/>
      <c r="RLC140" s="3"/>
      <c r="RLD140" s="3"/>
      <c r="RLE140" s="3"/>
      <c r="RLF140" s="3"/>
      <c r="RLG140" s="3"/>
      <c r="RLH140" s="3"/>
      <c r="RLI140" s="3"/>
      <c r="RLJ140" s="3"/>
      <c r="RLK140" s="3"/>
      <c r="RLL140" s="3"/>
      <c r="RLM140" s="3"/>
      <c r="RLN140" s="3"/>
      <c r="RLO140" s="3"/>
      <c r="RLP140" s="3"/>
      <c r="RLQ140" s="3"/>
      <c r="RLR140" s="3"/>
      <c r="RLS140" s="3"/>
      <c r="RLT140" s="3"/>
      <c r="RLU140" s="3"/>
      <c r="RLV140" s="3"/>
      <c r="RLW140" s="3"/>
      <c r="RLX140" s="3"/>
      <c r="RLY140" s="3"/>
      <c r="RLZ140" s="3"/>
      <c r="RMA140" s="3"/>
      <c r="RMB140" s="3"/>
      <c r="RMC140" s="3"/>
      <c r="RMD140" s="3"/>
      <c r="RME140" s="3"/>
      <c r="RMF140" s="3"/>
      <c r="RMG140" s="3"/>
      <c r="RMH140" s="3"/>
      <c r="RMI140" s="3"/>
      <c r="RMJ140" s="3"/>
      <c r="RMK140" s="3"/>
      <c r="RML140" s="3"/>
      <c r="RMM140" s="3"/>
      <c r="RMN140" s="3"/>
      <c r="RMO140" s="3"/>
      <c r="RMP140" s="3"/>
      <c r="RMQ140" s="3"/>
      <c r="RMR140" s="3"/>
      <c r="RMS140" s="3"/>
      <c r="RMT140" s="3"/>
      <c r="RMU140" s="3"/>
      <c r="RMV140" s="3"/>
      <c r="RMW140" s="3"/>
      <c r="RMX140" s="3"/>
      <c r="RMY140" s="3"/>
      <c r="RMZ140" s="3"/>
      <c r="RNA140" s="3"/>
      <c r="RNB140" s="3"/>
      <c r="RNC140" s="3"/>
      <c r="RND140" s="3"/>
      <c r="RNE140" s="3"/>
      <c r="RNF140" s="3"/>
      <c r="RNG140" s="3"/>
      <c r="RNH140" s="3"/>
      <c r="RNI140" s="3"/>
      <c r="RNJ140" s="3"/>
      <c r="RNK140" s="3"/>
      <c r="RNL140" s="3"/>
      <c r="RNM140" s="3"/>
      <c r="RNN140" s="3"/>
      <c r="RNO140" s="3"/>
      <c r="RNP140" s="3"/>
      <c r="RNQ140" s="3"/>
      <c r="RNR140" s="3"/>
      <c r="RNS140" s="3"/>
      <c r="RNT140" s="3"/>
      <c r="RNU140" s="3"/>
      <c r="RNV140" s="3"/>
      <c r="RNW140" s="3"/>
      <c r="RNX140" s="3"/>
      <c r="RNY140" s="3"/>
      <c r="RNZ140" s="3"/>
      <c r="ROA140" s="3"/>
      <c r="ROB140" s="3"/>
      <c r="ROC140" s="3"/>
      <c r="ROD140" s="3"/>
      <c r="ROE140" s="3"/>
      <c r="ROF140" s="3"/>
      <c r="ROG140" s="3"/>
      <c r="ROH140" s="3"/>
      <c r="ROI140" s="3"/>
      <c r="ROJ140" s="3"/>
      <c r="ROK140" s="3"/>
      <c r="ROL140" s="3"/>
      <c r="ROM140" s="3"/>
      <c r="RON140" s="3"/>
      <c r="ROO140" s="3"/>
      <c r="ROP140" s="3"/>
      <c r="ROQ140" s="3"/>
      <c r="ROR140" s="3"/>
      <c r="ROS140" s="3"/>
      <c r="ROT140" s="3"/>
      <c r="ROU140" s="3"/>
      <c r="ROV140" s="3"/>
      <c r="ROW140" s="3"/>
      <c r="ROX140" s="3"/>
      <c r="ROY140" s="3"/>
      <c r="ROZ140" s="3"/>
      <c r="RPA140" s="3"/>
      <c r="RPB140" s="3"/>
      <c r="RPC140" s="3"/>
      <c r="RPD140" s="3"/>
      <c r="RPE140" s="3"/>
      <c r="RPF140" s="3"/>
      <c r="RPG140" s="3"/>
      <c r="RPH140" s="3"/>
      <c r="RPI140" s="3"/>
      <c r="RPJ140" s="3"/>
      <c r="RPK140" s="3"/>
      <c r="RPL140" s="3"/>
      <c r="RPM140" s="3"/>
      <c r="RPN140" s="3"/>
      <c r="RPO140" s="3"/>
      <c r="RPP140" s="3"/>
      <c r="RPQ140" s="3"/>
      <c r="RPR140" s="3"/>
      <c r="RPS140" s="3"/>
      <c r="RPT140" s="3"/>
      <c r="RPU140" s="3"/>
      <c r="RPV140" s="3"/>
      <c r="RPW140" s="3"/>
      <c r="RPX140" s="3"/>
      <c r="RPY140" s="3"/>
      <c r="RPZ140" s="3"/>
      <c r="RQA140" s="3"/>
      <c r="RQB140" s="3"/>
      <c r="RQC140" s="3"/>
      <c r="RQD140" s="3"/>
      <c r="RQE140" s="3"/>
      <c r="RQF140" s="3"/>
      <c r="RQG140" s="3"/>
      <c r="RQH140" s="3"/>
      <c r="RQI140" s="3"/>
      <c r="RQJ140" s="3"/>
      <c r="RQK140" s="3"/>
      <c r="RQL140" s="3"/>
      <c r="RQM140" s="3"/>
      <c r="RQN140" s="3"/>
      <c r="RQO140" s="3"/>
      <c r="RQP140" s="3"/>
      <c r="RQQ140" s="3"/>
      <c r="RQR140" s="3"/>
      <c r="RQS140" s="3"/>
      <c r="RQT140" s="3"/>
      <c r="RQU140" s="3"/>
      <c r="RQV140" s="3"/>
      <c r="RQW140" s="3"/>
      <c r="RQX140" s="3"/>
      <c r="RQY140" s="3"/>
      <c r="RQZ140" s="3"/>
      <c r="RRA140" s="3"/>
      <c r="RRB140" s="3"/>
      <c r="RRC140" s="3"/>
      <c r="RRD140" s="3"/>
      <c r="RRE140" s="3"/>
      <c r="RRF140" s="3"/>
      <c r="RRG140" s="3"/>
      <c r="RRH140" s="3"/>
      <c r="RRI140" s="3"/>
      <c r="RRJ140" s="3"/>
      <c r="RRK140" s="3"/>
      <c r="RRL140" s="3"/>
      <c r="RRM140" s="3"/>
      <c r="RRN140" s="3"/>
      <c r="RRO140" s="3"/>
      <c r="RRP140" s="3"/>
      <c r="RRQ140" s="3"/>
      <c r="RRR140" s="3"/>
      <c r="RRS140" s="3"/>
      <c r="RRT140" s="3"/>
      <c r="RRU140" s="3"/>
      <c r="RRV140" s="3"/>
      <c r="RRW140" s="3"/>
      <c r="RRX140" s="3"/>
      <c r="RRY140" s="3"/>
      <c r="RRZ140" s="3"/>
      <c r="RSA140" s="3"/>
      <c r="RSB140" s="3"/>
      <c r="RSC140" s="3"/>
      <c r="RSD140" s="3"/>
      <c r="RSE140" s="3"/>
      <c r="RSF140" s="3"/>
      <c r="RSG140" s="3"/>
      <c r="RSH140" s="3"/>
      <c r="RSI140" s="3"/>
      <c r="RSJ140" s="3"/>
      <c r="RSK140" s="3"/>
      <c r="RSL140" s="3"/>
      <c r="RSM140" s="3"/>
      <c r="RSN140" s="3"/>
      <c r="RSO140" s="3"/>
      <c r="RSP140" s="3"/>
      <c r="RSQ140" s="3"/>
      <c r="RSR140" s="3"/>
      <c r="RSS140" s="3"/>
      <c r="RST140" s="3"/>
      <c r="RSU140" s="3"/>
      <c r="RSV140" s="3"/>
      <c r="RSW140" s="3"/>
      <c r="RSX140" s="3"/>
      <c r="RSY140" s="3"/>
      <c r="RSZ140" s="3"/>
      <c r="RTA140" s="3"/>
      <c r="RTB140" s="3"/>
      <c r="RTC140" s="3"/>
      <c r="RTD140" s="3"/>
      <c r="RTE140" s="3"/>
      <c r="RTF140" s="3"/>
      <c r="RTG140" s="3"/>
      <c r="RTH140" s="3"/>
      <c r="RTI140" s="3"/>
      <c r="RTJ140" s="3"/>
      <c r="RTK140" s="3"/>
      <c r="RTL140" s="3"/>
      <c r="RTM140" s="3"/>
      <c r="RTN140" s="3"/>
      <c r="RTO140" s="3"/>
      <c r="RTP140" s="3"/>
      <c r="RTQ140" s="3"/>
      <c r="RTR140" s="3"/>
      <c r="RTS140" s="3"/>
      <c r="RTT140" s="3"/>
      <c r="RTU140" s="3"/>
      <c r="RTV140" s="3"/>
      <c r="RTW140" s="3"/>
      <c r="RTX140" s="3"/>
      <c r="RTY140" s="3"/>
      <c r="RTZ140" s="3"/>
      <c r="RUA140" s="3"/>
      <c r="RUB140" s="3"/>
      <c r="RUC140" s="3"/>
      <c r="RUD140" s="3"/>
      <c r="RUE140" s="3"/>
      <c r="RUF140" s="3"/>
      <c r="RUG140" s="3"/>
      <c r="RUH140" s="3"/>
      <c r="RUI140" s="3"/>
      <c r="RUJ140" s="3"/>
      <c r="RUK140" s="3"/>
      <c r="RUL140" s="3"/>
      <c r="RUM140" s="3"/>
      <c r="RUN140" s="3"/>
      <c r="RUO140" s="3"/>
      <c r="RUP140" s="3"/>
      <c r="RUQ140" s="3"/>
      <c r="RUR140" s="3"/>
      <c r="RUS140" s="3"/>
      <c r="RUT140" s="3"/>
      <c r="RUU140" s="3"/>
      <c r="RUV140" s="3"/>
      <c r="RUW140" s="3"/>
      <c r="RUX140" s="3"/>
      <c r="RUY140" s="3"/>
      <c r="RUZ140" s="3"/>
      <c r="RVA140" s="3"/>
      <c r="RVB140" s="3"/>
      <c r="RVC140" s="3"/>
      <c r="RVD140" s="3"/>
      <c r="RVE140" s="3"/>
      <c r="RVF140" s="3"/>
      <c r="RVG140" s="3"/>
      <c r="RVH140" s="3"/>
      <c r="RVI140" s="3"/>
      <c r="RVJ140" s="3"/>
      <c r="RVK140" s="3"/>
      <c r="RVL140" s="3"/>
      <c r="RVM140" s="3"/>
      <c r="RVN140" s="3"/>
      <c r="RVO140" s="3"/>
      <c r="RVP140" s="3"/>
      <c r="RVQ140" s="3"/>
      <c r="RVR140" s="3"/>
      <c r="RVS140" s="3"/>
      <c r="RVT140" s="3"/>
      <c r="RVU140" s="3"/>
      <c r="RVV140" s="3"/>
      <c r="RVW140" s="3"/>
      <c r="RVX140" s="3"/>
      <c r="RVY140" s="3"/>
      <c r="RVZ140" s="3"/>
      <c r="RWA140" s="3"/>
      <c r="RWB140" s="3"/>
      <c r="RWC140" s="3"/>
      <c r="RWD140" s="3"/>
      <c r="RWE140" s="3"/>
      <c r="RWF140" s="3"/>
      <c r="RWG140" s="3"/>
      <c r="RWH140" s="3"/>
      <c r="RWI140" s="3"/>
      <c r="RWJ140" s="3"/>
      <c r="RWK140" s="3"/>
      <c r="RWL140" s="3"/>
      <c r="RWM140" s="3"/>
      <c r="RWN140" s="3"/>
      <c r="RWO140" s="3"/>
      <c r="RWP140" s="3"/>
      <c r="RWQ140" s="3"/>
      <c r="RWR140" s="3"/>
      <c r="RWS140" s="3"/>
      <c r="RWT140" s="3"/>
      <c r="RWU140" s="3"/>
      <c r="RWV140" s="3"/>
      <c r="RWW140" s="3"/>
      <c r="RWX140" s="3"/>
      <c r="RWY140" s="3"/>
      <c r="RWZ140" s="3"/>
      <c r="RXA140" s="3"/>
      <c r="RXB140" s="3"/>
      <c r="RXC140" s="3"/>
      <c r="RXD140" s="3"/>
      <c r="RXE140" s="3"/>
      <c r="RXF140" s="3"/>
      <c r="RXG140" s="3"/>
      <c r="RXH140" s="3"/>
      <c r="RXI140" s="3"/>
      <c r="RXJ140" s="3"/>
      <c r="RXK140" s="3"/>
      <c r="RXL140" s="3"/>
      <c r="RXM140" s="3"/>
      <c r="RXN140" s="3"/>
      <c r="RXO140" s="3"/>
      <c r="RXP140" s="3"/>
      <c r="RXQ140" s="3"/>
      <c r="RXR140" s="3"/>
      <c r="RXS140" s="3"/>
      <c r="RXT140" s="3"/>
      <c r="RXU140" s="3"/>
      <c r="RXV140" s="3"/>
      <c r="RXW140" s="3"/>
      <c r="RXX140" s="3"/>
      <c r="RXY140" s="3"/>
      <c r="RXZ140" s="3"/>
      <c r="RYA140" s="3"/>
      <c r="RYB140" s="3"/>
      <c r="RYC140" s="3"/>
      <c r="RYD140" s="3"/>
      <c r="RYE140" s="3"/>
      <c r="RYF140" s="3"/>
      <c r="RYG140" s="3"/>
      <c r="RYH140" s="3"/>
      <c r="RYI140" s="3"/>
      <c r="RYJ140" s="3"/>
      <c r="RYK140" s="3"/>
      <c r="RYL140" s="3"/>
      <c r="RYM140" s="3"/>
      <c r="RYN140" s="3"/>
      <c r="RYO140" s="3"/>
      <c r="RYP140" s="3"/>
      <c r="RYQ140" s="3"/>
      <c r="RYR140" s="3"/>
      <c r="RYS140" s="3"/>
      <c r="RYT140" s="3"/>
      <c r="RYU140" s="3"/>
      <c r="RYV140" s="3"/>
      <c r="RYW140" s="3"/>
      <c r="RYX140" s="3"/>
      <c r="RYY140" s="3"/>
      <c r="RYZ140" s="3"/>
      <c r="RZA140" s="3"/>
      <c r="RZB140" s="3"/>
      <c r="RZC140" s="3"/>
      <c r="RZD140" s="3"/>
      <c r="RZE140" s="3"/>
      <c r="RZF140" s="3"/>
      <c r="RZG140" s="3"/>
      <c r="RZH140" s="3"/>
      <c r="RZI140" s="3"/>
      <c r="RZJ140" s="3"/>
      <c r="RZK140" s="3"/>
      <c r="RZL140" s="3"/>
      <c r="RZM140" s="3"/>
      <c r="RZN140" s="3"/>
      <c r="RZO140" s="3"/>
      <c r="RZP140" s="3"/>
      <c r="RZQ140" s="3"/>
      <c r="RZR140" s="3"/>
      <c r="RZS140" s="3"/>
      <c r="RZT140" s="3"/>
      <c r="RZU140" s="3"/>
      <c r="RZV140" s="3"/>
      <c r="RZW140" s="3"/>
      <c r="RZX140" s="3"/>
      <c r="RZY140" s="3"/>
      <c r="RZZ140" s="3"/>
      <c r="SAA140" s="3"/>
      <c r="SAB140" s="3"/>
      <c r="SAC140" s="3"/>
      <c r="SAD140" s="3"/>
      <c r="SAE140" s="3"/>
      <c r="SAF140" s="3"/>
      <c r="SAG140" s="3"/>
      <c r="SAH140" s="3"/>
      <c r="SAI140" s="3"/>
      <c r="SAJ140" s="3"/>
      <c r="SAK140" s="3"/>
      <c r="SAL140" s="3"/>
      <c r="SAM140" s="3"/>
      <c r="SAN140" s="3"/>
      <c r="SAO140" s="3"/>
      <c r="SAP140" s="3"/>
      <c r="SAQ140" s="3"/>
      <c r="SAR140" s="3"/>
      <c r="SAS140" s="3"/>
      <c r="SAT140" s="3"/>
      <c r="SAU140" s="3"/>
      <c r="SAV140" s="3"/>
      <c r="SAW140" s="3"/>
      <c r="SAX140" s="3"/>
      <c r="SAY140" s="3"/>
      <c r="SAZ140" s="3"/>
      <c r="SBA140" s="3"/>
      <c r="SBB140" s="3"/>
      <c r="SBC140" s="3"/>
      <c r="SBD140" s="3"/>
      <c r="SBE140" s="3"/>
      <c r="SBF140" s="3"/>
      <c r="SBG140" s="3"/>
      <c r="SBH140" s="3"/>
      <c r="SBI140" s="3"/>
      <c r="SBJ140" s="3"/>
      <c r="SBK140" s="3"/>
      <c r="SBL140" s="3"/>
      <c r="SBM140" s="3"/>
      <c r="SBN140" s="3"/>
      <c r="SBO140" s="3"/>
      <c r="SBP140" s="3"/>
      <c r="SBQ140" s="3"/>
      <c r="SBR140" s="3"/>
      <c r="SBS140" s="3"/>
      <c r="SBT140" s="3"/>
      <c r="SBU140" s="3"/>
      <c r="SBV140" s="3"/>
      <c r="SBW140" s="3"/>
      <c r="SBX140" s="3"/>
      <c r="SBY140" s="3"/>
      <c r="SBZ140" s="3"/>
      <c r="SCA140" s="3"/>
      <c r="SCB140" s="3"/>
      <c r="SCC140" s="3"/>
      <c r="SCD140" s="3"/>
      <c r="SCE140" s="3"/>
      <c r="SCF140" s="3"/>
      <c r="SCG140" s="3"/>
      <c r="SCH140" s="3"/>
      <c r="SCI140" s="3"/>
      <c r="SCJ140" s="3"/>
      <c r="SCK140" s="3"/>
      <c r="SCL140" s="3"/>
      <c r="SCM140" s="3"/>
      <c r="SCN140" s="3"/>
      <c r="SCO140" s="3"/>
      <c r="SCP140" s="3"/>
      <c r="SCQ140" s="3"/>
      <c r="SCR140" s="3"/>
      <c r="SCS140" s="3"/>
      <c r="SCT140" s="3"/>
      <c r="SCU140" s="3"/>
      <c r="SCV140" s="3"/>
      <c r="SCW140" s="3"/>
      <c r="SCX140" s="3"/>
      <c r="SCY140" s="3"/>
      <c r="SCZ140" s="3"/>
      <c r="SDA140" s="3"/>
      <c r="SDB140" s="3"/>
      <c r="SDC140" s="3"/>
      <c r="SDD140" s="3"/>
      <c r="SDE140" s="3"/>
      <c r="SDF140" s="3"/>
      <c r="SDG140" s="3"/>
      <c r="SDH140" s="3"/>
      <c r="SDI140" s="3"/>
      <c r="SDJ140" s="3"/>
      <c r="SDK140" s="3"/>
      <c r="SDL140" s="3"/>
      <c r="SDM140" s="3"/>
      <c r="SDN140" s="3"/>
      <c r="SDO140" s="3"/>
      <c r="SDP140" s="3"/>
      <c r="SDQ140" s="3"/>
      <c r="SDR140" s="3"/>
      <c r="SDS140" s="3"/>
      <c r="SDT140" s="3"/>
      <c r="SDU140" s="3"/>
      <c r="SDV140" s="3"/>
      <c r="SDW140" s="3"/>
      <c r="SDX140" s="3"/>
      <c r="SDY140" s="3"/>
      <c r="SDZ140" s="3"/>
      <c r="SEA140" s="3"/>
      <c r="SEB140" s="3"/>
      <c r="SEC140" s="3"/>
      <c r="SED140" s="3"/>
      <c r="SEE140" s="3"/>
      <c r="SEF140" s="3"/>
      <c r="SEG140" s="3"/>
      <c r="SEH140" s="3"/>
      <c r="SEI140" s="3"/>
      <c r="SEJ140" s="3"/>
      <c r="SEK140" s="3"/>
      <c r="SEL140" s="3"/>
      <c r="SEM140" s="3"/>
      <c r="SEN140" s="3"/>
      <c r="SEO140" s="3"/>
      <c r="SEP140" s="3"/>
      <c r="SEQ140" s="3"/>
      <c r="SER140" s="3"/>
      <c r="SES140" s="3"/>
      <c r="SET140" s="3"/>
      <c r="SEU140" s="3"/>
      <c r="SEV140" s="3"/>
      <c r="SEW140" s="3"/>
      <c r="SEX140" s="3"/>
      <c r="SEY140" s="3"/>
      <c r="SEZ140" s="3"/>
      <c r="SFA140" s="3"/>
      <c r="SFB140" s="3"/>
      <c r="SFC140" s="3"/>
      <c r="SFD140" s="3"/>
      <c r="SFE140" s="3"/>
      <c r="SFF140" s="3"/>
      <c r="SFG140" s="3"/>
      <c r="SFH140" s="3"/>
      <c r="SFI140" s="3"/>
      <c r="SFJ140" s="3"/>
      <c r="SFK140" s="3"/>
      <c r="SFL140" s="3"/>
      <c r="SFM140" s="3"/>
      <c r="SFN140" s="3"/>
      <c r="SFO140" s="3"/>
      <c r="SFP140" s="3"/>
      <c r="SFQ140" s="3"/>
      <c r="SFR140" s="3"/>
      <c r="SFS140" s="3"/>
      <c r="SFT140" s="3"/>
      <c r="SFU140" s="3"/>
      <c r="SFV140" s="3"/>
      <c r="SFW140" s="3"/>
      <c r="SFX140" s="3"/>
      <c r="SFY140" s="3"/>
      <c r="SFZ140" s="3"/>
      <c r="SGA140" s="3"/>
      <c r="SGB140" s="3"/>
      <c r="SGC140" s="3"/>
      <c r="SGD140" s="3"/>
      <c r="SGE140" s="3"/>
      <c r="SGF140" s="3"/>
      <c r="SGG140" s="3"/>
      <c r="SGH140" s="3"/>
      <c r="SGI140" s="3"/>
      <c r="SGJ140" s="3"/>
      <c r="SGK140" s="3"/>
      <c r="SGL140" s="3"/>
      <c r="SGM140" s="3"/>
      <c r="SGN140" s="3"/>
      <c r="SGO140" s="3"/>
      <c r="SGP140" s="3"/>
      <c r="SGQ140" s="3"/>
      <c r="SGR140" s="3"/>
      <c r="SGS140" s="3"/>
      <c r="SGT140" s="3"/>
      <c r="SGU140" s="3"/>
      <c r="SGV140" s="3"/>
      <c r="SGW140" s="3"/>
      <c r="SGX140" s="3"/>
      <c r="SGY140" s="3"/>
      <c r="SGZ140" s="3"/>
      <c r="SHA140" s="3"/>
      <c r="SHB140" s="3"/>
      <c r="SHC140" s="3"/>
      <c r="SHD140" s="3"/>
      <c r="SHE140" s="3"/>
      <c r="SHF140" s="3"/>
      <c r="SHG140" s="3"/>
      <c r="SHH140" s="3"/>
      <c r="SHI140" s="3"/>
      <c r="SHJ140" s="3"/>
      <c r="SHK140" s="3"/>
      <c r="SHL140" s="3"/>
      <c r="SHM140" s="3"/>
      <c r="SHN140" s="3"/>
      <c r="SHO140" s="3"/>
      <c r="SHP140" s="3"/>
      <c r="SHQ140" s="3"/>
      <c r="SHR140" s="3"/>
      <c r="SHS140" s="3"/>
      <c r="SHT140" s="3"/>
      <c r="SHU140" s="3"/>
      <c r="SHV140" s="3"/>
      <c r="SHW140" s="3"/>
      <c r="SHX140" s="3"/>
      <c r="SHY140" s="3"/>
      <c r="SHZ140" s="3"/>
      <c r="SIA140" s="3"/>
      <c r="SIB140" s="3"/>
      <c r="SIC140" s="3"/>
      <c r="SID140" s="3"/>
      <c r="SIE140" s="3"/>
      <c r="SIF140" s="3"/>
      <c r="SIG140" s="3"/>
      <c r="SIH140" s="3"/>
      <c r="SII140" s="3"/>
      <c r="SIJ140" s="3"/>
      <c r="SIK140" s="3"/>
      <c r="SIL140" s="3"/>
      <c r="SIM140" s="3"/>
      <c r="SIN140" s="3"/>
      <c r="SIO140" s="3"/>
      <c r="SIP140" s="3"/>
      <c r="SIQ140" s="3"/>
      <c r="SIR140" s="3"/>
      <c r="SIS140" s="3"/>
      <c r="SIT140" s="3"/>
      <c r="SIU140" s="3"/>
      <c r="SIV140" s="3"/>
      <c r="SIW140" s="3"/>
      <c r="SIX140" s="3"/>
      <c r="SIY140" s="3"/>
      <c r="SIZ140" s="3"/>
      <c r="SJA140" s="3"/>
      <c r="SJB140" s="3"/>
      <c r="SJC140" s="3"/>
      <c r="SJD140" s="3"/>
      <c r="SJE140" s="3"/>
      <c r="SJF140" s="3"/>
      <c r="SJG140" s="3"/>
      <c r="SJH140" s="3"/>
      <c r="SJI140" s="3"/>
      <c r="SJJ140" s="3"/>
      <c r="SJK140" s="3"/>
      <c r="SJL140" s="3"/>
      <c r="SJM140" s="3"/>
      <c r="SJN140" s="3"/>
      <c r="SJO140" s="3"/>
      <c r="SJP140" s="3"/>
      <c r="SJQ140" s="3"/>
      <c r="SJR140" s="3"/>
      <c r="SJS140" s="3"/>
      <c r="SJT140" s="3"/>
      <c r="SJU140" s="3"/>
      <c r="SJV140" s="3"/>
      <c r="SJW140" s="3"/>
      <c r="SJX140" s="3"/>
      <c r="SJY140" s="3"/>
      <c r="SJZ140" s="3"/>
      <c r="SKA140" s="3"/>
      <c r="SKB140" s="3"/>
      <c r="SKC140" s="3"/>
      <c r="SKD140" s="3"/>
      <c r="SKE140" s="3"/>
      <c r="SKF140" s="3"/>
      <c r="SKG140" s="3"/>
      <c r="SKH140" s="3"/>
      <c r="SKI140" s="3"/>
      <c r="SKJ140" s="3"/>
      <c r="SKK140" s="3"/>
      <c r="SKL140" s="3"/>
      <c r="SKM140" s="3"/>
      <c r="SKN140" s="3"/>
      <c r="SKO140" s="3"/>
      <c r="SKP140" s="3"/>
      <c r="SKQ140" s="3"/>
      <c r="SKR140" s="3"/>
      <c r="SKS140" s="3"/>
      <c r="SKT140" s="3"/>
      <c r="SKU140" s="3"/>
      <c r="SKV140" s="3"/>
      <c r="SKW140" s="3"/>
      <c r="SKX140" s="3"/>
      <c r="SKY140" s="3"/>
      <c r="SKZ140" s="3"/>
      <c r="SLA140" s="3"/>
      <c r="SLB140" s="3"/>
      <c r="SLC140" s="3"/>
      <c r="SLD140" s="3"/>
      <c r="SLE140" s="3"/>
      <c r="SLF140" s="3"/>
      <c r="SLG140" s="3"/>
      <c r="SLH140" s="3"/>
      <c r="SLI140" s="3"/>
      <c r="SLJ140" s="3"/>
      <c r="SLK140" s="3"/>
      <c r="SLL140" s="3"/>
      <c r="SLM140" s="3"/>
      <c r="SLN140" s="3"/>
      <c r="SLO140" s="3"/>
      <c r="SLP140" s="3"/>
      <c r="SLQ140" s="3"/>
      <c r="SLR140" s="3"/>
      <c r="SLS140" s="3"/>
      <c r="SLT140" s="3"/>
      <c r="SLU140" s="3"/>
      <c r="SLV140" s="3"/>
      <c r="SLW140" s="3"/>
      <c r="SLX140" s="3"/>
      <c r="SLY140" s="3"/>
      <c r="SLZ140" s="3"/>
      <c r="SMA140" s="3"/>
      <c r="SMB140" s="3"/>
      <c r="SMC140" s="3"/>
      <c r="SMD140" s="3"/>
      <c r="SME140" s="3"/>
      <c r="SMF140" s="3"/>
      <c r="SMG140" s="3"/>
      <c r="SMH140" s="3"/>
      <c r="SMI140" s="3"/>
      <c r="SMJ140" s="3"/>
      <c r="SMK140" s="3"/>
      <c r="SML140" s="3"/>
      <c r="SMM140" s="3"/>
      <c r="SMN140" s="3"/>
      <c r="SMO140" s="3"/>
      <c r="SMP140" s="3"/>
      <c r="SMQ140" s="3"/>
      <c r="SMR140" s="3"/>
      <c r="SMS140" s="3"/>
      <c r="SMT140" s="3"/>
      <c r="SMU140" s="3"/>
      <c r="SMV140" s="3"/>
      <c r="SMW140" s="3"/>
      <c r="SMX140" s="3"/>
      <c r="SMY140" s="3"/>
      <c r="SMZ140" s="3"/>
      <c r="SNA140" s="3"/>
      <c r="SNB140" s="3"/>
      <c r="SNC140" s="3"/>
      <c r="SND140" s="3"/>
      <c r="SNE140" s="3"/>
      <c r="SNF140" s="3"/>
      <c r="SNG140" s="3"/>
      <c r="SNH140" s="3"/>
      <c r="SNI140" s="3"/>
      <c r="SNJ140" s="3"/>
      <c r="SNK140" s="3"/>
      <c r="SNL140" s="3"/>
      <c r="SNM140" s="3"/>
      <c r="SNN140" s="3"/>
      <c r="SNO140" s="3"/>
      <c r="SNP140" s="3"/>
      <c r="SNQ140" s="3"/>
      <c r="SNR140" s="3"/>
      <c r="SNS140" s="3"/>
      <c r="SNT140" s="3"/>
      <c r="SNU140" s="3"/>
      <c r="SNV140" s="3"/>
      <c r="SNW140" s="3"/>
      <c r="SNX140" s="3"/>
      <c r="SNY140" s="3"/>
      <c r="SNZ140" s="3"/>
      <c r="SOA140" s="3"/>
      <c r="SOB140" s="3"/>
      <c r="SOC140" s="3"/>
      <c r="SOD140" s="3"/>
      <c r="SOE140" s="3"/>
      <c r="SOF140" s="3"/>
      <c r="SOG140" s="3"/>
      <c r="SOH140" s="3"/>
      <c r="SOI140" s="3"/>
      <c r="SOJ140" s="3"/>
      <c r="SOK140" s="3"/>
      <c r="SOL140" s="3"/>
      <c r="SOM140" s="3"/>
      <c r="SON140" s="3"/>
      <c r="SOO140" s="3"/>
      <c r="SOP140" s="3"/>
      <c r="SOQ140" s="3"/>
      <c r="SOR140" s="3"/>
      <c r="SOS140" s="3"/>
      <c r="SOT140" s="3"/>
      <c r="SOU140" s="3"/>
      <c r="SOV140" s="3"/>
      <c r="SOW140" s="3"/>
      <c r="SOX140" s="3"/>
      <c r="SOY140" s="3"/>
      <c r="SOZ140" s="3"/>
      <c r="SPA140" s="3"/>
      <c r="SPB140" s="3"/>
      <c r="SPC140" s="3"/>
      <c r="SPD140" s="3"/>
      <c r="SPE140" s="3"/>
      <c r="SPF140" s="3"/>
      <c r="SPG140" s="3"/>
      <c r="SPH140" s="3"/>
      <c r="SPI140" s="3"/>
      <c r="SPJ140" s="3"/>
      <c r="SPK140" s="3"/>
      <c r="SPL140" s="3"/>
      <c r="SPM140" s="3"/>
      <c r="SPN140" s="3"/>
      <c r="SPO140" s="3"/>
      <c r="SPP140" s="3"/>
      <c r="SPQ140" s="3"/>
      <c r="SPR140" s="3"/>
      <c r="SPS140" s="3"/>
      <c r="SPT140" s="3"/>
      <c r="SPU140" s="3"/>
      <c r="SPV140" s="3"/>
      <c r="SPW140" s="3"/>
      <c r="SPX140" s="3"/>
      <c r="SPY140" s="3"/>
      <c r="SPZ140" s="3"/>
      <c r="SQA140" s="3"/>
      <c r="SQB140" s="3"/>
      <c r="SQC140" s="3"/>
      <c r="SQD140" s="3"/>
      <c r="SQE140" s="3"/>
      <c r="SQF140" s="3"/>
      <c r="SQG140" s="3"/>
      <c r="SQH140" s="3"/>
      <c r="SQI140" s="3"/>
      <c r="SQJ140" s="3"/>
      <c r="SQK140" s="3"/>
      <c r="SQL140" s="3"/>
      <c r="SQM140" s="3"/>
      <c r="SQN140" s="3"/>
      <c r="SQO140" s="3"/>
      <c r="SQP140" s="3"/>
      <c r="SQQ140" s="3"/>
      <c r="SQR140" s="3"/>
      <c r="SQS140" s="3"/>
      <c r="SQT140" s="3"/>
      <c r="SQU140" s="3"/>
      <c r="SQV140" s="3"/>
      <c r="SQW140" s="3"/>
      <c r="SQX140" s="3"/>
      <c r="SQY140" s="3"/>
      <c r="SQZ140" s="3"/>
      <c r="SRA140" s="3"/>
      <c r="SRB140" s="3"/>
      <c r="SRC140" s="3"/>
      <c r="SRD140" s="3"/>
      <c r="SRE140" s="3"/>
      <c r="SRF140" s="3"/>
      <c r="SRG140" s="3"/>
      <c r="SRH140" s="3"/>
      <c r="SRI140" s="3"/>
      <c r="SRJ140" s="3"/>
      <c r="SRK140" s="3"/>
      <c r="SRL140" s="3"/>
      <c r="SRM140" s="3"/>
      <c r="SRN140" s="3"/>
      <c r="SRO140" s="3"/>
      <c r="SRP140" s="3"/>
      <c r="SRQ140" s="3"/>
      <c r="SRR140" s="3"/>
      <c r="SRS140" s="3"/>
      <c r="SRT140" s="3"/>
      <c r="SRU140" s="3"/>
      <c r="SRV140" s="3"/>
      <c r="SRW140" s="3"/>
      <c r="SRX140" s="3"/>
      <c r="SRY140" s="3"/>
      <c r="SRZ140" s="3"/>
      <c r="SSA140" s="3"/>
      <c r="SSB140" s="3"/>
      <c r="SSC140" s="3"/>
      <c r="SSD140" s="3"/>
      <c r="SSE140" s="3"/>
      <c r="SSF140" s="3"/>
      <c r="SSG140" s="3"/>
      <c r="SSH140" s="3"/>
      <c r="SSI140" s="3"/>
      <c r="SSJ140" s="3"/>
      <c r="SSK140" s="3"/>
      <c r="SSL140" s="3"/>
      <c r="SSM140" s="3"/>
      <c r="SSN140" s="3"/>
      <c r="SSO140" s="3"/>
      <c r="SSP140" s="3"/>
      <c r="SSQ140" s="3"/>
      <c r="SSR140" s="3"/>
      <c r="SSS140" s="3"/>
      <c r="SST140" s="3"/>
      <c r="SSU140" s="3"/>
      <c r="SSV140" s="3"/>
      <c r="SSW140" s="3"/>
      <c r="SSX140" s="3"/>
      <c r="SSY140" s="3"/>
      <c r="SSZ140" s="3"/>
      <c r="STA140" s="3"/>
      <c r="STB140" s="3"/>
      <c r="STC140" s="3"/>
      <c r="STD140" s="3"/>
      <c r="STE140" s="3"/>
      <c r="STF140" s="3"/>
      <c r="STG140" s="3"/>
      <c r="STH140" s="3"/>
      <c r="STI140" s="3"/>
      <c r="STJ140" s="3"/>
      <c r="STK140" s="3"/>
      <c r="STL140" s="3"/>
      <c r="STM140" s="3"/>
      <c r="STN140" s="3"/>
      <c r="STO140" s="3"/>
      <c r="STP140" s="3"/>
      <c r="STQ140" s="3"/>
      <c r="STR140" s="3"/>
      <c r="STS140" s="3"/>
      <c r="STT140" s="3"/>
      <c r="STU140" s="3"/>
      <c r="STV140" s="3"/>
      <c r="STW140" s="3"/>
      <c r="STX140" s="3"/>
      <c r="STY140" s="3"/>
      <c r="STZ140" s="3"/>
      <c r="SUA140" s="3"/>
      <c r="SUB140" s="3"/>
      <c r="SUC140" s="3"/>
      <c r="SUD140" s="3"/>
      <c r="SUE140" s="3"/>
      <c r="SUF140" s="3"/>
      <c r="SUG140" s="3"/>
      <c r="SUH140" s="3"/>
      <c r="SUI140" s="3"/>
      <c r="SUJ140" s="3"/>
      <c r="SUK140" s="3"/>
      <c r="SUL140" s="3"/>
      <c r="SUM140" s="3"/>
      <c r="SUN140" s="3"/>
      <c r="SUO140" s="3"/>
      <c r="SUP140" s="3"/>
      <c r="SUQ140" s="3"/>
      <c r="SUR140" s="3"/>
      <c r="SUS140" s="3"/>
      <c r="SUT140" s="3"/>
      <c r="SUU140" s="3"/>
      <c r="SUV140" s="3"/>
      <c r="SUW140" s="3"/>
      <c r="SUX140" s="3"/>
      <c r="SUY140" s="3"/>
      <c r="SUZ140" s="3"/>
      <c r="SVA140" s="3"/>
      <c r="SVB140" s="3"/>
      <c r="SVC140" s="3"/>
      <c r="SVD140" s="3"/>
      <c r="SVE140" s="3"/>
      <c r="SVF140" s="3"/>
      <c r="SVG140" s="3"/>
      <c r="SVH140" s="3"/>
      <c r="SVI140" s="3"/>
      <c r="SVJ140" s="3"/>
      <c r="SVK140" s="3"/>
      <c r="SVL140" s="3"/>
      <c r="SVM140" s="3"/>
      <c r="SVN140" s="3"/>
      <c r="SVO140" s="3"/>
      <c r="SVP140" s="3"/>
      <c r="SVQ140" s="3"/>
      <c r="SVR140" s="3"/>
      <c r="SVS140" s="3"/>
      <c r="SVT140" s="3"/>
      <c r="SVU140" s="3"/>
      <c r="SVV140" s="3"/>
      <c r="SVW140" s="3"/>
      <c r="SVX140" s="3"/>
      <c r="SVY140" s="3"/>
      <c r="SVZ140" s="3"/>
      <c r="SWA140" s="3"/>
      <c r="SWB140" s="3"/>
      <c r="SWC140" s="3"/>
      <c r="SWD140" s="3"/>
      <c r="SWE140" s="3"/>
      <c r="SWF140" s="3"/>
      <c r="SWG140" s="3"/>
      <c r="SWH140" s="3"/>
      <c r="SWI140" s="3"/>
      <c r="SWJ140" s="3"/>
      <c r="SWK140" s="3"/>
      <c r="SWL140" s="3"/>
      <c r="SWM140" s="3"/>
      <c r="SWN140" s="3"/>
      <c r="SWO140" s="3"/>
      <c r="SWP140" s="3"/>
      <c r="SWQ140" s="3"/>
      <c r="SWR140" s="3"/>
      <c r="SWS140" s="3"/>
      <c r="SWT140" s="3"/>
      <c r="SWU140" s="3"/>
      <c r="SWV140" s="3"/>
      <c r="SWW140" s="3"/>
      <c r="SWX140" s="3"/>
      <c r="SWY140" s="3"/>
      <c r="SWZ140" s="3"/>
      <c r="SXA140" s="3"/>
      <c r="SXB140" s="3"/>
      <c r="SXC140" s="3"/>
      <c r="SXD140" s="3"/>
      <c r="SXE140" s="3"/>
      <c r="SXF140" s="3"/>
      <c r="SXG140" s="3"/>
      <c r="SXH140" s="3"/>
      <c r="SXI140" s="3"/>
      <c r="SXJ140" s="3"/>
      <c r="SXK140" s="3"/>
      <c r="SXL140" s="3"/>
      <c r="SXM140" s="3"/>
      <c r="SXN140" s="3"/>
      <c r="SXO140" s="3"/>
      <c r="SXP140" s="3"/>
      <c r="SXQ140" s="3"/>
      <c r="SXR140" s="3"/>
      <c r="SXS140" s="3"/>
      <c r="SXT140" s="3"/>
      <c r="SXU140" s="3"/>
      <c r="SXV140" s="3"/>
      <c r="SXW140" s="3"/>
      <c r="SXX140" s="3"/>
      <c r="SXY140" s="3"/>
      <c r="SXZ140" s="3"/>
      <c r="SYA140" s="3"/>
      <c r="SYB140" s="3"/>
      <c r="SYC140" s="3"/>
      <c r="SYD140" s="3"/>
      <c r="SYE140" s="3"/>
      <c r="SYF140" s="3"/>
      <c r="SYG140" s="3"/>
      <c r="SYH140" s="3"/>
      <c r="SYI140" s="3"/>
      <c r="SYJ140" s="3"/>
      <c r="SYK140" s="3"/>
      <c r="SYL140" s="3"/>
      <c r="SYM140" s="3"/>
      <c r="SYN140" s="3"/>
      <c r="SYO140" s="3"/>
      <c r="SYP140" s="3"/>
      <c r="SYQ140" s="3"/>
      <c r="SYR140" s="3"/>
      <c r="SYS140" s="3"/>
      <c r="SYT140" s="3"/>
      <c r="SYU140" s="3"/>
      <c r="SYV140" s="3"/>
      <c r="SYW140" s="3"/>
      <c r="SYX140" s="3"/>
      <c r="SYY140" s="3"/>
      <c r="SYZ140" s="3"/>
      <c r="SZA140" s="3"/>
      <c r="SZB140" s="3"/>
      <c r="SZC140" s="3"/>
      <c r="SZD140" s="3"/>
      <c r="SZE140" s="3"/>
      <c r="SZF140" s="3"/>
      <c r="SZG140" s="3"/>
      <c r="SZH140" s="3"/>
      <c r="SZI140" s="3"/>
      <c r="SZJ140" s="3"/>
      <c r="SZK140" s="3"/>
      <c r="SZL140" s="3"/>
      <c r="SZM140" s="3"/>
      <c r="SZN140" s="3"/>
      <c r="SZO140" s="3"/>
      <c r="SZP140" s="3"/>
      <c r="SZQ140" s="3"/>
      <c r="SZR140" s="3"/>
      <c r="SZS140" s="3"/>
      <c r="SZT140" s="3"/>
      <c r="SZU140" s="3"/>
      <c r="SZV140" s="3"/>
      <c r="SZW140" s="3"/>
      <c r="SZX140" s="3"/>
      <c r="SZY140" s="3"/>
      <c r="SZZ140" s="3"/>
      <c r="TAA140" s="3"/>
      <c r="TAB140" s="3"/>
      <c r="TAC140" s="3"/>
      <c r="TAD140" s="3"/>
      <c r="TAE140" s="3"/>
      <c r="TAF140" s="3"/>
      <c r="TAG140" s="3"/>
      <c r="TAH140" s="3"/>
      <c r="TAI140" s="3"/>
      <c r="TAJ140" s="3"/>
      <c r="TAK140" s="3"/>
      <c r="TAL140" s="3"/>
      <c r="TAM140" s="3"/>
      <c r="TAN140" s="3"/>
      <c r="TAO140" s="3"/>
      <c r="TAP140" s="3"/>
      <c r="TAQ140" s="3"/>
      <c r="TAR140" s="3"/>
      <c r="TAS140" s="3"/>
      <c r="TAT140" s="3"/>
      <c r="TAU140" s="3"/>
      <c r="TAV140" s="3"/>
      <c r="TAW140" s="3"/>
      <c r="TAX140" s="3"/>
      <c r="TAY140" s="3"/>
      <c r="TAZ140" s="3"/>
      <c r="TBA140" s="3"/>
      <c r="TBB140" s="3"/>
      <c r="TBC140" s="3"/>
      <c r="TBD140" s="3"/>
      <c r="TBE140" s="3"/>
      <c r="TBF140" s="3"/>
      <c r="TBG140" s="3"/>
      <c r="TBH140" s="3"/>
      <c r="TBI140" s="3"/>
      <c r="TBJ140" s="3"/>
      <c r="TBK140" s="3"/>
      <c r="TBL140" s="3"/>
      <c r="TBM140" s="3"/>
      <c r="TBN140" s="3"/>
      <c r="TBO140" s="3"/>
      <c r="TBP140" s="3"/>
      <c r="TBQ140" s="3"/>
      <c r="TBR140" s="3"/>
      <c r="TBS140" s="3"/>
      <c r="TBT140" s="3"/>
      <c r="TBU140" s="3"/>
      <c r="TBV140" s="3"/>
      <c r="TBW140" s="3"/>
      <c r="TBX140" s="3"/>
      <c r="TBY140" s="3"/>
      <c r="TBZ140" s="3"/>
      <c r="TCA140" s="3"/>
      <c r="TCB140" s="3"/>
      <c r="TCC140" s="3"/>
      <c r="TCD140" s="3"/>
      <c r="TCE140" s="3"/>
      <c r="TCF140" s="3"/>
      <c r="TCG140" s="3"/>
      <c r="TCH140" s="3"/>
      <c r="TCI140" s="3"/>
      <c r="TCJ140" s="3"/>
      <c r="TCK140" s="3"/>
      <c r="TCL140" s="3"/>
      <c r="TCM140" s="3"/>
      <c r="TCN140" s="3"/>
      <c r="TCO140" s="3"/>
      <c r="TCP140" s="3"/>
      <c r="TCQ140" s="3"/>
      <c r="TCR140" s="3"/>
      <c r="TCS140" s="3"/>
      <c r="TCT140" s="3"/>
      <c r="TCU140" s="3"/>
      <c r="TCV140" s="3"/>
      <c r="TCW140" s="3"/>
      <c r="TCX140" s="3"/>
      <c r="TCY140" s="3"/>
      <c r="TCZ140" s="3"/>
      <c r="TDA140" s="3"/>
      <c r="TDB140" s="3"/>
      <c r="TDC140" s="3"/>
      <c r="TDD140" s="3"/>
      <c r="TDE140" s="3"/>
      <c r="TDF140" s="3"/>
      <c r="TDG140" s="3"/>
      <c r="TDH140" s="3"/>
      <c r="TDI140" s="3"/>
      <c r="TDJ140" s="3"/>
      <c r="TDK140" s="3"/>
      <c r="TDL140" s="3"/>
      <c r="TDM140" s="3"/>
      <c r="TDN140" s="3"/>
      <c r="TDO140" s="3"/>
      <c r="TDP140" s="3"/>
      <c r="TDQ140" s="3"/>
      <c r="TDR140" s="3"/>
      <c r="TDS140" s="3"/>
      <c r="TDT140" s="3"/>
      <c r="TDU140" s="3"/>
      <c r="TDV140" s="3"/>
      <c r="TDW140" s="3"/>
      <c r="TDX140" s="3"/>
      <c r="TDY140" s="3"/>
      <c r="TDZ140" s="3"/>
      <c r="TEA140" s="3"/>
      <c r="TEB140" s="3"/>
      <c r="TEC140" s="3"/>
      <c r="TED140" s="3"/>
      <c r="TEE140" s="3"/>
      <c r="TEF140" s="3"/>
      <c r="TEG140" s="3"/>
      <c r="TEH140" s="3"/>
      <c r="TEI140" s="3"/>
      <c r="TEJ140" s="3"/>
      <c r="TEK140" s="3"/>
      <c r="TEL140" s="3"/>
      <c r="TEM140" s="3"/>
      <c r="TEN140" s="3"/>
      <c r="TEO140" s="3"/>
      <c r="TEP140" s="3"/>
      <c r="TEQ140" s="3"/>
      <c r="TER140" s="3"/>
      <c r="TES140" s="3"/>
      <c r="TET140" s="3"/>
      <c r="TEU140" s="3"/>
      <c r="TEV140" s="3"/>
      <c r="TEW140" s="3"/>
      <c r="TEX140" s="3"/>
      <c r="TEY140" s="3"/>
      <c r="TEZ140" s="3"/>
      <c r="TFA140" s="3"/>
      <c r="TFB140" s="3"/>
      <c r="TFC140" s="3"/>
      <c r="TFD140" s="3"/>
      <c r="TFE140" s="3"/>
      <c r="TFF140" s="3"/>
      <c r="TFG140" s="3"/>
      <c r="TFH140" s="3"/>
      <c r="TFI140" s="3"/>
      <c r="TFJ140" s="3"/>
      <c r="TFK140" s="3"/>
      <c r="TFL140" s="3"/>
      <c r="TFM140" s="3"/>
      <c r="TFN140" s="3"/>
      <c r="TFO140" s="3"/>
      <c r="TFP140" s="3"/>
      <c r="TFQ140" s="3"/>
      <c r="TFR140" s="3"/>
      <c r="TFS140" s="3"/>
      <c r="TFT140" s="3"/>
      <c r="TFU140" s="3"/>
      <c r="TFV140" s="3"/>
      <c r="TFW140" s="3"/>
      <c r="TFX140" s="3"/>
      <c r="TFY140" s="3"/>
      <c r="TFZ140" s="3"/>
      <c r="TGA140" s="3"/>
      <c r="TGB140" s="3"/>
      <c r="TGC140" s="3"/>
      <c r="TGD140" s="3"/>
      <c r="TGE140" s="3"/>
      <c r="TGF140" s="3"/>
      <c r="TGG140" s="3"/>
      <c r="TGH140" s="3"/>
      <c r="TGI140" s="3"/>
      <c r="TGJ140" s="3"/>
      <c r="TGK140" s="3"/>
      <c r="TGL140" s="3"/>
      <c r="TGM140" s="3"/>
      <c r="TGN140" s="3"/>
      <c r="TGO140" s="3"/>
      <c r="TGP140" s="3"/>
      <c r="TGQ140" s="3"/>
      <c r="TGR140" s="3"/>
      <c r="TGS140" s="3"/>
      <c r="TGT140" s="3"/>
      <c r="TGU140" s="3"/>
      <c r="TGV140" s="3"/>
      <c r="TGW140" s="3"/>
      <c r="TGX140" s="3"/>
      <c r="TGY140" s="3"/>
      <c r="TGZ140" s="3"/>
      <c r="THA140" s="3"/>
      <c r="THB140" s="3"/>
      <c r="THC140" s="3"/>
      <c r="THD140" s="3"/>
      <c r="THE140" s="3"/>
      <c r="THF140" s="3"/>
      <c r="THG140" s="3"/>
      <c r="THH140" s="3"/>
      <c r="THI140" s="3"/>
      <c r="THJ140" s="3"/>
      <c r="THK140" s="3"/>
      <c r="THL140" s="3"/>
      <c r="THM140" s="3"/>
      <c r="THN140" s="3"/>
      <c r="THO140" s="3"/>
      <c r="THP140" s="3"/>
      <c r="THQ140" s="3"/>
      <c r="THR140" s="3"/>
      <c r="THS140" s="3"/>
      <c r="THT140" s="3"/>
      <c r="THU140" s="3"/>
      <c r="THV140" s="3"/>
      <c r="THW140" s="3"/>
      <c r="THX140" s="3"/>
      <c r="THY140" s="3"/>
      <c r="THZ140" s="3"/>
      <c r="TIA140" s="3"/>
      <c r="TIB140" s="3"/>
      <c r="TIC140" s="3"/>
      <c r="TID140" s="3"/>
      <c r="TIE140" s="3"/>
      <c r="TIF140" s="3"/>
      <c r="TIG140" s="3"/>
      <c r="TIH140" s="3"/>
      <c r="TII140" s="3"/>
      <c r="TIJ140" s="3"/>
      <c r="TIK140" s="3"/>
      <c r="TIL140" s="3"/>
      <c r="TIM140" s="3"/>
      <c r="TIN140" s="3"/>
      <c r="TIO140" s="3"/>
      <c r="TIP140" s="3"/>
      <c r="TIQ140" s="3"/>
      <c r="TIR140" s="3"/>
      <c r="TIS140" s="3"/>
      <c r="TIT140" s="3"/>
      <c r="TIU140" s="3"/>
      <c r="TIV140" s="3"/>
      <c r="TIW140" s="3"/>
      <c r="TIX140" s="3"/>
      <c r="TIY140" s="3"/>
      <c r="TIZ140" s="3"/>
      <c r="TJA140" s="3"/>
      <c r="TJB140" s="3"/>
      <c r="TJC140" s="3"/>
      <c r="TJD140" s="3"/>
      <c r="TJE140" s="3"/>
      <c r="TJF140" s="3"/>
      <c r="TJG140" s="3"/>
      <c r="TJH140" s="3"/>
      <c r="TJI140" s="3"/>
      <c r="TJJ140" s="3"/>
      <c r="TJK140" s="3"/>
      <c r="TJL140" s="3"/>
      <c r="TJM140" s="3"/>
      <c r="TJN140" s="3"/>
      <c r="TJO140" s="3"/>
      <c r="TJP140" s="3"/>
      <c r="TJQ140" s="3"/>
      <c r="TJR140" s="3"/>
      <c r="TJS140" s="3"/>
      <c r="TJT140" s="3"/>
      <c r="TJU140" s="3"/>
      <c r="TJV140" s="3"/>
      <c r="TJW140" s="3"/>
      <c r="TJX140" s="3"/>
      <c r="TJY140" s="3"/>
      <c r="TJZ140" s="3"/>
      <c r="TKA140" s="3"/>
      <c r="TKB140" s="3"/>
      <c r="TKC140" s="3"/>
      <c r="TKD140" s="3"/>
      <c r="TKE140" s="3"/>
      <c r="TKF140" s="3"/>
      <c r="TKG140" s="3"/>
      <c r="TKH140" s="3"/>
      <c r="TKI140" s="3"/>
      <c r="TKJ140" s="3"/>
      <c r="TKK140" s="3"/>
      <c r="TKL140" s="3"/>
      <c r="TKM140" s="3"/>
      <c r="TKN140" s="3"/>
      <c r="TKO140" s="3"/>
      <c r="TKP140" s="3"/>
      <c r="TKQ140" s="3"/>
      <c r="TKR140" s="3"/>
      <c r="TKS140" s="3"/>
      <c r="TKT140" s="3"/>
      <c r="TKU140" s="3"/>
      <c r="TKV140" s="3"/>
      <c r="TKW140" s="3"/>
      <c r="TKX140" s="3"/>
      <c r="TKY140" s="3"/>
      <c r="TKZ140" s="3"/>
      <c r="TLA140" s="3"/>
      <c r="TLB140" s="3"/>
      <c r="TLC140" s="3"/>
      <c r="TLD140" s="3"/>
      <c r="TLE140" s="3"/>
      <c r="TLF140" s="3"/>
      <c r="TLG140" s="3"/>
      <c r="TLH140" s="3"/>
      <c r="TLI140" s="3"/>
      <c r="TLJ140" s="3"/>
      <c r="TLK140" s="3"/>
      <c r="TLL140" s="3"/>
      <c r="TLM140" s="3"/>
      <c r="TLN140" s="3"/>
      <c r="TLO140" s="3"/>
      <c r="TLP140" s="3"/>
      <c r="TLQ140" s="3"/>
      <c r="TLR140" s="3"/>
      <c r="TLS140" s="3"/>
      <c r="TLT140" s="3"/>
      <c r="TLU140" s="3"/>
      <c r="TLV140" s="3"/>
      <c r="TLW140" s="3"/>
      <c r="TLX140" s="3"/>
      <c r="TLY140" s="3"/>
      <c r="TLZ140" s="3"/>
      <c r="TMA140" s="3"/>
      <c r="TMB140" s="3"/>
      <c r="TMC140" s="3"/>
      <c r="TMD140" s="3"/>
      <c r="TME140" s="3"/>
      <c r="TMF140" s="3"/>
      <c r="TMG140" s="3"/>
      <c r="TMH140" s="3"/>
      <c r="TMI140" s="3"/>
      <c r="TMJ140" s="3"/>
      <c r="TMK140" s="3"/>
      <c r="TML140" s="3"/>
      <c r="TMM140" s="3"/>
      <c r="TMN140" s="3"/>
      <c r="TMO140" s="3"/>
      <c r="TMP140" s="3"/>
      <c r="TMQ140" s="3"/>
      <c r="TMR140" s="3"/>
      <c r="TMS140" s="3"/>
      <c r="TMT140" s="3"/>
      <c r="TMU140" s="3"/>
      <c r="TMV140" s="3"/>
      <c r="TMW140" s="3"/>
      <c r="TMX140" s="3"/>
      <c r="TMY140" s="3"/>
      <c r="TMZ140" s="3"/>
      <c r="TNA140" s="3"/>
      <c r="TNB140" s="3"/>
      <c r="TNC140" s="3"/>
      <c r="TND140" s="3"/>
      <c r="TNE140" s="3"/>
      <c r="TNF140" s="3"/>
      <c r="TNG140" s="3"/>
      <c r="TNH140" s="3"/>
      <c r="TNI140" s="3"/>
      <c r="TNJ140" s="3"/>
      <c r="TNK140" s="3"/>
      <c r="TNL140" s="3"/>
      <c r="TNM140" s="3"/>
      <c r="TNN140" s="3"/>
      <c r="TNO140" s="3"/>
      <c r="TNP140" s="3"/>
      <c r="TNQ140" s="3"/>
      <c r="TNR140" s="3"/>
      <c r="TNS140" s="3"/>
      <c r="TNT140" s="3"/>
      <c r="TNU140" s="3"/>
      <c r="TNV140" s="3"/>
      <c r="TNW140" s="3"/>
      <c r="TNX140" s="3"/>
      <c r="TNY140" s="3"/>
      <c r="TNZ140" s="3"/>
      <c r="TOA140" s="3"/>
      <c r="TOB140" s="3"/>
      <c r="TOC140" s="3"/>
      <c r="TOD140" s="3"/>
      <c r="TOE140" s="3"/>
      <c r="TOF140" s="3"/>
      <c r="TOG140" s="3"/>
      <c r="TOH140" s="3"/>
      <c r="TOI140" s="3"/>
      <c r="TOJ140" s="3"/>
      <c r="TOK140" s="3"/>
      <c r="TOL140" s="3"/>
      <c r="TOM140" s="3"/>
      <c r="TON140" s="3"/>
      <c r="TOO140" s="3"/>
      <c r="TOP140" s="3"/>
      <c r="TOQ140" s="3"/>
      <c r="TOR140" s="3"/>
      <c r="TOS140" s="3"/>
      <c r="TOT140" s="3"/>
      <c r="TOU140" s="3"/>
      <c r="TOV140" s="3"/>
      <c r="TOW140" s="3"/>
      <c r="TOX140" s="3"/>
      <c r="TOY140" s="3"/>
      <c r="TOZ140" s="3"/>
      <c r="TPA140" s="3"/>
      <c r="TPB140" s="3"/>
      <c r="TPC140" s="3"/>
      <c r="TPD140" s="3"/>
      <c r="TPE140" s="3"/>
      <c r="TPF140" s="3"/>
      <c r="TPG140" s="3"/>
      <c r="TPH140" s="3"/>
      <c r="TPI140" s="3"/>
      <c r="TPJ140" s="3"/>
      <c r="TPK140" s="3"/>
      <c r="TPL140" s="3"/>
      <c r="TPM140" s="3"/>
      <c r="TPN140" s="3"/>
      <c r="TPO140" s="3"/>
      <c r="TPP140" s="3"/>
      <c r="TPQ140" s="3"/>
      <c r="TPR140" s="3"/>
      <c r="TPS140" s="3"/>
      <c r="TPT140" s="3"/>
      <c r="TPU140" s="3"/>
      <c r="TPV140" s="3"/>
      <c r="TPW140" s="3"/>
      <c r="TPX140" s="3"/>
      <c r="TPY140" s="3"/>
      <c r="TPZ140" s="3"/>
      <c r="TQA140" s="3"/>
      <c r="TQB140" s="3"/>
      <c r="TQC140" s="3"/>
      <c r="TQD140" s="3"/>
      <c r="TQE140" s="3"/>
      <c r="TQF140" s="3"/>
      <c r="TQG140" s="3"/>
      <c r="TQH140" s="3"/>
      <c r="TQI140" s="3"/>
      <c r="TQJ140" s="3"/>
      <c r="TQK140" s="3"/>
      <c r="TQL140" s="3"/>
      <c r="TQM140" s="3"/>
      <c r="TQN140" s="3"/>
      <c r="TQO140" s="3"/>
      <c r="TQP140" s="3"/>
      <c r="TQQ140" s="3"/>
      <c r="TQR140" s="3"/>
      <c r="TQS140" s="3"/>
      <c r="TQT140" s="3"/>
      <c r="TQU140" s="3"/>
      <c r="TQV140" s="3"/>
      <c r="TQW140" s="3"/>
      <c r="TQX140" s="3"/>
      <c r="TQY140" s="3"/>
      <c r="TQZ140" s="3"/>
      <c r="TRA140" s="3"/>
      <c r="TRB140" s="3"/>
      <c r="TRC140" s="3"/>
      <c r="TRD140" s="3"/>
      <c r="TRE140" s="3"/>
      <c r="TRF140" s="3"/>
      <c r="TRG140" s="3"/>
      <c r="TRH140" s="3"/>
      <c r="TRI140" s="3"/>
      <c r="TRJ140" s="3"/>
      <c r="TRK140" s="3"/>
      <c r="TRL140" s="3"/>
      <c r="TRM140" s="3"/>
      <c r="TRN140" s="3"/>
      <c r="TRO140" s="3"/>
      <c r="TRP140" s="3"/>
      <c r="TRQ140" s="3"/>
      <c r="TRR140" s="3"/>
      <c r="TRS140" s="3"/>
      <c r="TRT140" s="3"/>
      <c r="TRU140" s="3"/>
      <c r="TRV140" s="3"/>
      <c r="TRW140" s="3"/>
      <c r="TRX140" s="3"/>
      <c r="TRY140" s="3"/>
      <c r="TRZ140" s="3"/>
      <c r="TSA140" s="3"/>
      <c r="TSB140" s="3"/>
      <c r="TSC140" s="3"/>
      <c r="TSD140" s="3"/>
      <c r="TSE140" s="3"/>
      <c r="TSF140" s="3"/>
      <c r="TSG140" s="3"/>
      <c r="TSH140" s="3"/>
      <c r="TSI140" s="3"/>
      <c r="TSJ140" s="3"/>
      <c r="TSK140" s="3"/>
      <c r="TSL140" s="3"/>
      <c r="TSM140" s="3"/>
      <c r="TSN140" s="3"/>
      <c r="TSO140" s="3"/>
      <c r="TSP140" s="3"/>
      <c r="TSQ140" s="3"/>
      <c r="TSR140" s="3"/>
      <c r="TSS140" s="3"/>
      <c r="TST140" s="3"/>
      <c r="TSU140" s="3"/>
      <c r="TSV140" s="3"/>
      <c r="TSW140" s="3"/>
      <c r="TSX140" s="3"/>
      <c r="TSY140" s="3"/>
      <c r="TSZ140" s="3"/>
      <c r="TTA140" s="3"/>
      <c r="TTB140" s="3"/>
      <c r="TTC140" s="3"/>
      <c r="TTD140" s="3"/>
      <c r="TTE140" s="3"/>
      <c r="TTF140" s="3"/>
      <c r="TTG140" s="3"/>
      <c r="TTH140" s="3"/>
      <c r="TTI140" s="3"/>
      <c r="TTJ140" s="3"/>
      <c r="TTK140" s="3"/>
      <c r="TTL140" s="3"/>
      <c r="TTM140" s="3"/>
      <c r="TTN140" s="3"/>
      <c r="TTO140" s="3"/>
      <c r="TTP140" s="3"/>
      <c r="TTQ140" s="3"/>
      <c r="TTR140" s="3"/>
      <c r="TTS140" s="3"/>
      <c r="TTT140" s="3"/>
      <c r="TTU140" s="3"/>
      <c r="TTV140" s="3"/>
      <c r="TTW140" s="3"/>
      <c r="TTX140" s="3"/>
      <c r="TTY140" s="3"/>
      <c r="TTZ140" s="3"/>
      <c r="TUA140" s="3"/>
      <c r="TUB140" s="3"/>
      <c r="TUC140" s="3"/>
      <c r="TUD140" s="3"/>
      <c r="TUE140" s="3"/>
      <c r="TUF140" s="3"/>
      <c r="TUG140" s="3"/>
      <c r="TUH140" s="3"/>
      <c r="TUI140" s="3"/>
      <c r="TUJ140" s="3"/>
      <c r="TUK140" s="3"/>
      <c r="TUL140" s="3"/>
      <c r="TUM140" s="3"/>
      <c r="TUN140" s="3"/>
      <c r="TUO140" s="3"/>
      <c r="TUP140" s="3"/>
      <c r="TUQ140" s="3"/>
      <c r="TUR140" s="3"/>
      <c r="TUS140" s="3"/>
      <c r="TUT140" s="3"/>
      <c r="TUU140" s="3"/>
      <c r="TUV140" s="3"/>
      <c r="TUW140" s="3"/>
      <c r="TUX140" s="3"/>
      <c r="TUY140" s="3"/>
      <c r="TUZ140" s="3"/>
      <c r="TVA140" s="3"/>
      <c r="TVB140" s="3"/>
      <c r="TVC140" s="3"/>
      <c r="TVD140" s="3"/>
      <c r="TVE140" s="3"/>
      <c r="TVF140" s="3"/>
      <c r="TVG140" s="3"/>
      <c r="TVH140" s="3"/>
      <c r="TVI140" s="3"/>
      <c r="TVJ140" s="3"/>
      <c r="TVK140" s="3"/>
      <c r="TVL140" s="3"/>
      <c r="TVM140" s="3"/>
      <c r="TVN140" s="3"/>
      <c r="TVO140" s="3"/>
      <c r="TVP140" s="3"/>
      <c r="TVQ140" s="3"/>
      <c r="TVR140" s="3"/>
      <c r="TVS140" s="3"/>
      <c r="TVT140" s="3"/>
      <c r="TVU140" s="3"/>
      <c r="TVV140" s="3"/>
      <c r="TVW140" s="3"/>
      <c r="TVX140" s="3"/>
      <c r="TVY140" s="3"/>
      <c r="TVZ140" s="3"/>
      <c r="TWA140" s="3"/>
      <c r="TWB140" s="3"/>
      <c r="TWC140" s="3"/>
      <c r="TWD140" s="3"/>
      <c r="TWE140" s="3"/>
      <c r="TWF140" s="3"/>
      <c r="TWG140" s="3"/>
      <c r="TWH140" s="3"/>
      <c r="TWI140" s="3"/>
      <c r="TWJ140" s="3"/>
      <c r="TWK140" s="3"/>
      <c r="TWL140" s="3"/>
      <c r="TWM140" s="3"/>
      <c r="TWN140" s="3"/>
      <c r="TWO140" s="3"/>
      <c r="TWP140" s="3"/>
      <c r="TWQ140" s="3"/>
      <c r="TWR140" s="3"/>
      <c r="TWS140" s="3"/>
      <c r="TWT140" s="3"/>
      <c r="TWU140" s="3"/>
      <c r="TWV140" s="3"/>
      <c r="TWW140" s="3"/>
      <c r="TWX140" s="3"/>
      <c r="TWY140" s="3"/>
      <c r="TWZ140" s="3"/>
      <c r="TXA140" s="3"/>
      <c r="TXB140" s="3"/>
      <c r="TXC140" s="3"/>
      <c r="TXD140" s="3"/>
      <c r="TXE140" s="3"/>
      <c r="TXF140" s="3"/>
      <c r="TXG140" s="3"/>
      <c r="TXH140" s="3"/>
      <c r="TXI140" s="3"/>
      <c r="TXJ140" s="3"/>
      <c r="TXK140" s="3"/>
      <c r="TXL140" s="3"/>
      <c r="TXM140" s="3"/>
      <c r="TXN140" s="3"/>
      <c r="TXO140" s="3"/>
      <c r="TXP140" s="3"/>
      <c r="TXQ140" s="3"/>
      <c r="TXR140" s="3"/>
      <c r="TXS140" s="3"/>
      <c r="TXT140" s="3"/>
      <c r="TXU140" s="3"/>
      <c r="TXV140" s="3"/>
      <c r="TXW140" s="3"/>
      <c r="TXX140" s="3"/>
      <c r="TXY140" s="3"/>
      <c r="TXZ140" s="3"/>
      <c r="TYA140" s="3"/>
      <c r="TYB140" s="3"/>
      <c r="TYC140" s="3"/>
      <c r="TYD140" s="3"/>
      <c r="TYE140" s="3"/>
      <c r="TYF140" s="3"/>
      <c r="TYG140" s="3"/>
      <c r="TYH140" s="3"/>
      <c r="TYI140" s="3"/>
      <c r="TYJ140" s="3"/>
      <c r="TYK140" s="3"/>
      <c r="TYL140" s="3"/>
      <c r="TYM140" s="3"/>
      <c r="TYN140" s="3"/>
      <c r="TYO140" s="3"/>
      <c r="TYP140" s="3"/>
      <c r="TYQ140" s="3"/>
      <c r="TYR140" s="3"/>
      <c r="TYS140" s="3"/>
      <c r="TYT140" s="3"/>
      <c r="TYU140" s="3"/>
      <c r="TYV140" s="3"/>
      <c r="TYW140" s="3"/>
      <c r="TYX140" s="3"/>
      <c r="TYY140" s="3"/>
      <c r="TYZ140" s="3"/>
      <c r="TZA140" s="3"/>
      <c r="TZB140" s="3"/>
      <c r="TZC140" s="3"/>
      <c r="TZD140" s="3"/>
      <c r="TZE140" s="3"/>
      <c r="TZF140" s="3"/>
      <c r="TZG140" s="3"/>
      <c r="TZH140" s="3"/>
      <c r="TZI140" s="3"/>
      <c r="TZJ140" s="3"/>
      <c r="TZK140" s="3"/>
      <c r="TZL140" s="3"/>
      <c r="TZM140" s="3"/>
      <c r="TZN140" s="3"/>
      <c r="TZO140" s="3"/>
      <c r="TZP140" s="3"/>
      <c r="TZQ140" s="3"/>
      <c r="TZR140" s="3"/>
      <c r="TZS140" s="3"/>
      <c r="TZT140" s="3"/>
      <c r="TZU140" s="3"/>
      <c r="TZV140" s="3"/>
      <c r="TZW140" s="3"/>
      <c r="TZX140" s="3"/>
      <c r="TZY140" s="3"/>
      <c r="TZZ140" s="3"/>
      <c r="UAA140" s="3"/>
      <c r="UAB140" s="3"/>
      <c r="UAC140" s="3"/>
      <c r="UAD140" s="3"/>
      <c r="UAE140" s="3"/>
      <c r="UAF140" s="3"/>
      <c r="UAG140" s="3"/>
      <c r="UAH140" s="3"/>
      <c r="UAI140" s="3"/>
      <c r="UAJ140" s="3"/>
      <c r="UAK140" s="3"/>
      <c r="UAL140" s="3"/>
      <c r="UAM140" s="3"/>
      <c r="UAN140" s="3"/>
      <c r="UAO140" s="3"/>
      <c r="UAP140" s="3"/>
      <c r="UAQ140" s="3"/>
      <c r="UAR140" s="3"/>
      <c r="UAS140" s="3"/>
      <c r="UAT140" s="3"/>
      <c r="UAU140" s="3"/>
      <c r="UAV140" s="3"/>
      <c r="UAW140" s="3"/>
      <c r="UAX140" s="3"/>
      <c r="UAY140" s="3"/>
      <c r="UAZ140" s="3"/>
      <c r="UBA140" s="3"/>
      <c r="UBB140" s="3"/>
      <c r="UBC140" s="3"/>
      <c r="UBD140" s="3"/>
      <c r="UBE140" s="3"/>
      <c r="UBF140" s="3"/>
      <c r="UBG140" s="3"/>
      <c r="UBH140" s="3"/>
      <c r="UBI140" s="3"/>
      <c r="UBJ140" s="3"/>
      <c r="UBK140" s="3"/>
      <c r="UBL140" s="3"/>
      <c r="UBM140" s="3"/>
      <c r="UBN140" s="3"/>
      <c r="UBO140" s="3"/>
      <c r="UBP140" s="3"/>
      <c r="UBQ140" s="3"/>
      <c r="UBR140" s="3"/>
      <c r="UBS140" s="3"/>
      <c r="UBT140" s="3"/>
      <c r="UBU140" s="3"/>
      <c r="UBV140" s="3"/>
      <c r="UBW140" s="3"/>
      <c r="UBX140" s="3"/>
      <c r="UBY140" s="3"/>
      <c r="UBZ140" s="3"/>
      <c r="UCA140" s="3"/>
      <c r="UCB140" s="3"/>
      <c r="UCC140" s="3"/>
      <c r="UCD140" s="3"/>
      <c r="UCE140" s="3"/>
      <c r="UCF140" s="3"/>
      <c r="UCG140" s="3"/>
      <c r="UCH140" s="3"/>
      <c r="UCI140" s="3"/>
      <c r="UCJ140" s="3"/>
      <c r="UCK140" s="3"/>
      <c r="UCL140" s="3"/>
      <c r="UCM140" s="3"/>
      <c r="UCN140" s="3"/>
      <c r="UCO140" s="3"/>
      <c r="UCP140" s="3"/>
      <c r="UCQ140" s="3"/>
      <c r="UCR140" s="3"/>
      <c r="UCS140" s="3"/>
      <c r="UCT140" s="3"/>
      <c r="UCU140" s="3"/>
      <c r="UCV140" s="3"/>
      <c r="UCW140" s="3"/>
      <c r="UCX140" s="3"/>
      <c r="UCY140" s="3"/>
      <c r="UCZ140" s="3"/>
      <c r="UDA140" s="3"/>
      <c r="UDB140" s="3"/>
      <c r="UDC140" s="3"/>
      <c r="UDD140" s="3"/>
      <c r="UDE140" s="3"/>
      <c r="UDF140" s="3"/>
      <c r="UDG140" s="3"/>
      <c r="UDH140" s="3"/>
      <c r="UDI140" s="3"/>
      <c r="UDJ140" s="3"/>
      <c r="UDK140" s="3"/>
      <c r="UDL140" s="3"/>
      <c r="UDM140" s="3"/>
      <c r="UDN140" s="3"/>
      <c r="UDO140" s="3"/>
      <c r="UDP140" s="3"/>
      <c r="UDQ140" s="3"/>
      <c r="UDR140" s="3"/>
      <c r="UDS140" s="3"/>
      <c r="UDT140" s="3"/>
      <c r="UDU140" s="3"/>
      <c r="UDV140" s="3"/>
      <c r="UDW140" s="3"/>
      <c r="UDX140" s="3"/>
      <c r="UDY140" s="3"/>
      <c r="UDZ140" s="3"/>
      <c r="UEA140" s="3"/>
      <c r="UEB140" s="3"/>
      <c r="UEC140" s="3"/>
      <c r="UED140" s="3"/>
      <c r="UEE140" s="3"/>
      <c r="UEF140" s="3"/>
      <c r="UEG140" s="3"/>
      <c r="UEH140" s="3"/>
      <c r="UEI140" s="3"/>
      <c r="UEJ140" s="3"/>
      <c r="UEK140" s="3"/>
      <c r="UEL140" s="3"/>
      <c r="UEM140" s="3"/>
      <c r="UEN140" s="3"/>
      <c r="UEO140" s="3"/>
      <c r="UEP140" s="3"/>
      <c r="UEQ140" s="3"/>
      <c r="UER140" s="3"/>
      <c r="UES140" s="3"/>
      <c r="UET140" s="3"/>
      <c r="UEU140" s="3"/>
      <c r="UEV140" s="3"/>
      <c r="UEW140" s="3"/>
      <c r="UEX140" s="3"/>
      <c r="UEY140" s="3"/>
      <c r="UEZ140" s="3"/>
      <c r="UFA140" s="3"/>
      <c r="UFB140" s="3"/>
      <c r="UFC140" s="3"/>
      <c r="UFD140" s="3"/>
      <c r="UFE140" s="3"/>
      <c r="UFF140" s="3"/>
      <c r="UFG140" s="3"/>
      <c r="UFH140" s="3"/>
      <c r="UFI140" s="3"/>
      <c r="UFJ140" s="3"/>
      <c r="UFK140" s="3"/>
      <c r="UFL140" s="3"/>
      <c r="UFM140" s="3"/>
      <c r="UFN140" s="3"/>
      <c r="UFO140" s="3"/>
      <c r="UFP140" s="3"/>
      <c r="UFQ140" s="3"/>
      <c r="UFR140" s="3"/>
      <c r="UFS140" s="3"/>
      <c r="UFT140" s="3"/>
      <c r="UFU140" s="3"/>
      <c r="UFV140" s="3"/>
      <c r="UFW140" s="3"/>
      <c r="UFX140" s="3"/>
      <c r="UFY140" s="3"/>
      <c r="UFZ140" s="3"/>
      <c r="UGA140" s="3"/>
      <c r="UGB140" s="3"/>
      <c r="UGC140" s="3"/>
      <c r="UGD140" s="3"/>
      <c r="UGE140" s="3"/>
      <c r="UGF140" s="3"/>
      <c r="UGG140" s="3"/>
      <c r="UGH140" s="3"/>
      <c r="UGI140" s="3"/>
      <c r="UGJ140" s="3"/>
      <c r="UGK140" s="3"/>
      <c r="UGL140" s="3"/>
      <c r="UGM140" s="3"/>
      <c r="UGN140" s="3"/>
      <c r="UGO140" s="3"/>
      <c r="UGP140" s="3"/>
      <c r="UGQ140" s="3"/>
      <c r="UGR140" s="3"/>
      <c r="UGS140" s="3"/>
      <c r="UGT140" s="3"/>
      <c r="UGU140" s="3"/>
      <c r="UGV140" s="3"/>
      <c r="UGW140" s="3"/>
      <c r="UGX140" s="3"/>
      <c r="UGY140" s="3"/>
      <c r="UGZ140" s="3"/>
      <c r="UHA140" s="3"/>
      <c r="UHB140" s="3"/>
      <c r="UHC140" s="3"/>
      <c r="UHD140" s="3"/>
      <c r="UHE140" s="3"/>
      <c r="UHF140" s="3"/>
      <c r="UHG140" s="3"/>
      <c r="UHH140" s="3"/>
      <c r="UHI140" s="3"/>
      <c r="UHJ140" s="3"/>
      <c r="UHK140" s="3"/>
      <c r="UHL140" s="3"/>
      <c r="UHM140" s="3"/>
      <c r="UHN140" s="3"/>
      <c r="UHO140" s="3"/>
      <c r="UHP140" s="3"/>
      <c r="UHQ140" s="3"/>
      <c r="UHR140" s="3"/>
      <c r="UHS140" s="3"/>
      <c r="UHT140" s="3"/>
      <c r="UHU140" s="3"/>
      <c r="UHV140" s="3"/>
      <c r="UHW140" s="3"/>
      <c r="UHX140" s="3"/>
      <c r="UHY140" s="3"/>
      <c r="UHZ140" s="3"/>
      <c r="UIA140" s="3"/>
      <c r="UIB140" s="3"/>
      <c r="UIC140" s="3"/>
      <c r="UID140" s="3"/>
      <c r="UIE140" s="3"/>
      <c r="UIF140" s="3"/>
      <c r="UIG140" s="3"/>
      <c r="UIH140" s="3"/>
      <c r="UII140" s="3"/>
      <c r="UIJ140" s="3"/>
      <c r="UIK140" s="3"/>
      <c r="UIL140" s="3"/>
      <c r="UIM140" s="3"/>
      <c r="UIN140" s="3"/>
      <c r="UIO140" s="3"/>
      <c r="UIP140" s="3"/>
      <c r="UIQ140" s="3"/>
      <c r="UIR140" s="3"/>
      <c r="UIS140" s="3"/>
      <c r="UIT140" s="3"/>
      <c r="UIU140" s="3"/>
      <c r="UIV140" s="3"/>
      <c r="UIW140" s="3"/>
      <c r="UIX140" s="3"/>
      <c r="UIY140" s="3"/>
      <c r="UIZ140" s="3"/>
      <c r="UJA140" s="3"/>
      <c r="UJB140" s="3"/>
      <c r="UJC140" s="3"/>
      <c r="UJD140" s="3"/>
      <c r="UJE140" s="3"/>
      <c r="UJF140" s="3"/>
      <c r="UJG140" s="3"/>
      <c r="UJH140" s="3"/>
      <c r="UJI140" s="3"/>
      <c r="UJJ140" s="3"/>
      <c r="UJK140" s="3"/>
      <c r="UJL140" s="3"/>
      <c r="UJM140" s="3"/>
      <c r="UJN140" s="3"/>
      <c r="UJO140" s="3"/>
      <c r="UJP140" s="3"/>
      <c r="UJQ140" s="3"/>
      <c r="UJR140" s="3"/>
      <c r="UJS140" s="3"/>
      <c r="UJT140" s="3"/>
      <c r="UJU140" s="3"/>
      <c r="UJV140" s="3"/>
      <c r="UJW140" s="3"/>
      <c r="UJX140" s="3"/>
      <c r="UJY140" s="3"/>
      <c r="UJZ140" s="3"/>
      <c r="UKA140" s="3"/>
      <c r="UKB140" s="3"/>
      <c r="UKC140" s="3"/>
      <c r="UKD140" s="3"/>
      <c r="UKE140" s="3"/>
      <c r="UKF140" s="3"/>
      <c r="UKG140" s="3"/>
      <c r="UKH140" s="3"/>
      <c r="UKI140" s="3"/>
      <c r="UKJ140" s="3"/>
      <c r="UKK140" s="3"/>
      <c r="UKL140" s="3"/>
      <c r="UKM140" s="3"/>
      <c r="UKN140" s="3"/>
      <c r="UKO140" s="3"/>
      <c r="UKP140" s="3"/>
      <c r="UKQ140" s="3"/>
      <c r="UKR140" s="3"/>
      <c r="UKS140" s="3"/>
      <c r="UKT140" s="3"/>
      <c r="UKU140" s="3"/>
      <c r="UKV140" s="3"/>
      <c r="UKW140" s="3"/>
      <c r="UKX140" s="3"/>
      <c r="UKY140" s="3"/>
      <c r="UKZ140" s="3"/>
      <c r="ULA140" s="3"/>
      <c r="ULB140" s="3"/>
      <c r="ULC140" s="3"/>
      <c r="ULD140" s="3"/>
      <c r="ULE140" s="3"/>
      <c r="ULF140" s="3"/>
      <c r="ULG140" s="3"/>
      <c r="ULH140" s="3"/>
      <c r="ULI140" s="3"/>
      <c r="ULJ140" s="3"/>
      <c r="ULK140" s="3"/>
      <c r="ULL140" s="3"/>
      <c r="ULM140" s="3"/>
      <c r="ULN140" s="3"/>
      <c r="ULO140" s="3"/>
      <c r="ULP140" s="3"/>
      <c r="ULQ140" s="3"/>
      <c r="ULR140" s="3"/>
      <c r="ULS140" s="3"/>
      <c r="ULT140" s="3"/>
      <c r="ULU140" s="3"/>
      <c r="ULV140" s="3"/>
      <c r="ULW140" s="3"/>
      <c r="ULX140" s="3"/>
      <c r="ULY140" s="3"/>
      <c r="ULZ140" s="3"/>
      <c r="UMA140" s="3"/>
      <c r="UMB140" s="3"/>
      <c r="UMC140" s="3"/>
      <c r="UMD140" s="3"/>
      <c r="UME140" s="3"/>
      <c r="UMF140" s="3"/>
      <c r="UMG140" s="3"/>
      <c r="UMH140" s="3"/>
      <c r="UMI140" s="3"/>
      <c r="UMJ140" s="3"/>
      <c r="UMK140" s="3"/>
      <c r="UML140" s="3"/>
      <c r="UMM140" s="3"/>
      <c r="UMN140" s="3"/>
      <c r="UMO140" s="3"/>
      <c r="UMP140" s="3"/>
      <c r="UMQ140" s="3"/>
      <c r="UMR140" s="3"/>
      <c r="UMS140" s="3"/>
      <c r="UMT140" s="3"/>
      <c r="UMU140" s="3"/>
      <c r="UMV140" s="3"/>
      <c r="UMW140" s="3"/>
      <c r="UMX140" s="3"/>
      <c r="UMY140" s="3"/>
      <c r="UMZ140" s="3"/>
      <c r="UNA140" s="3"/>
      <c r="UNB140" s="3"/>
      <c r="UNC140" s="3"/>
      <c r="UND140" s="3"/>
      <c r="UNE140" s="3"/>
      <c r="UNF140" s="3"/>
      <c r="UNG140" s="3"/>
      <c r="UNH140" s="3"/>
      <c r="UNI140" s="3"/>
      <c r="UNJ140" s="3"/>
      <c r="UNK140" s="3"/>
      <c r="UNL140" s="3"/>
      <c r="UNM140" s="3"/>
      <c r="UNN140" s="3"/>
      <c r="UNO140" s="3"/>
      <c r="UNP140" s="3"/>
      <c r="UNQ140" s="3"/>
      <c r="UNR140" s="3"/>
      <c r="UNS140" s="3"/>
      <c r="UNT140" s="3"/>
      <c r="UNU140" s="3"/>
      <c r="UNV140" s="3"/>
      <c r="UNW140" s="3"/>
      <c r="UNX140" s="3"/>
      <c r="UNY140" s="3"/>
      <c r="UNZ140" s="3"/>
      <c r="UOA140" s="3"/>
      <c r="UOB140" s="3"/>
      <c r="UOC140" s="3"/>
      <c r="UOD140" s="3"/>
      <c r="UOE140" s="3"/>
      <c r="UOF140" s="3"/>
      <c r="UOG140" s="3"/>
      <c r="UOH140" s="3"/>
      <c r="UOI140" s="3"/>
      <c r="UOJ140" s="3"/>
      <c r="UOK140" s="3"/>
      <c r="UOL140" s="3"/>
      <c r="UOM140" s="3"/>
      <c r="UON140" s="3"/>
      <c r="UOO140" s="3"/>
      <c r="UOP140" s="3"/>
      <c r="UOQ140" s="3"/>
      <c r="UOR140" s="3"/>
      <c r="UOS140" s="3"/>
      <c r="UOT140" s="3"/>
      <c r="UOU140" s="3"/>
      <c r="UOV140" s="3"/>
      <c r="UOW140" s="3"/>
      <c r="UOX140" s="3"/>
      <c r="UOY140" s="3"/>
      <c r="UOZ140" s="3"/>
      <c r="UPA140" s="3"/>
      <c r="UPB140" s="3"/>
      <c r="UPC140" s="3"/>
      <c r="UPD140" s="3"/>
      <c r="UPE140" s="3"/>
      <c r="UPF140" s="3"/>
      <c r="UPG140" s="3"/>
      <c r="UPH140" s="3"/>
      <c r="UPI140" s="3"/>
      <c r="UPJ140" s="3"/>
      <c r="UPK140" s="3"/>
      <c r="UPL140" s="3"/>
      <c r="UPM140" s="3"/>
      <c r="UPN140" s="3"/>
      <c r="UPO140" s="3"/>
      <c r="UPP140" s="3"/>
      <c r="UPQ140" s="3"/>
      <c r="UPR140" s="3"/>
      <c r="UPS140" s="3"/>
      <c r="UPT140" s="3"/>
      <c r="UPU140" s="3"/>
      <c r="UPV140" s="3"/>
      <c r="UPW140" s="3"/>
      <c r="UPX140" s="3"/>
      <c r="UPY140" s="3"/>
      <c r="UPZ140" s="3"/>
      <c r="UQA140" s="3"/>
      <c r="UQB140" s="3"/>
      <c r="UQC140" s="3"/>
      <c r="UQD140" s="3"/>
      <c r="UQE140" s="3"/>
      <c r="UQF140" s="3"/>
      <c r="UQG140" s="3"/>
      <c r="UQH140" s="3"/>
      <c r="UQI140" s="3"/>
      <c r="UQJ140" s="3"/>
      <c r="UQK140" s="3"/>
      <c r="UQL140" s="3"/>
      <c r="UQM140" s="3"/>
      <c r="UQN140" s="3"/>
      <c r="UQO140" s="3"/>
      <c r="UQP140" s="3"/>
      <c r="UQQ140" s="3"/>
      <c r="UQR140" s="3"/>
      <c r="UQS140" s="3"/>
      <c r="UQT140" s="3"/>
      <c r="UQU140" s="3"/>
      <c r="UQV140" s="3"/>
      <c r="UQW140" s="3"/>
      <c r="UQX140" s="3"/>
      <c r="UQY140" s="3"/>
      <c r="UQZ140" s="3"/>
      <c r="URA140" s="3"/>
      <c r="URB140" s="3"/>
      <c r="URC140" s="3"/>
      <c r="URD140" s="3"/>
      <c r="URE140" s="3"/>
      <c r="URF140" s="3"/>
      <c r="URG140" s="3"/>
      <c r="URH140" s="3"/>
      <c r="URI140" s="3"/>
      <c r="URJ140" s="3"/>
      <c r="URK140" s="3"/>
      <c r="URL140" s="3"/>
      <c r="URM140" s="3"/>
      <c r="URN140" s="3"/>
      <c r="URO140" s="3"/>
      <c r="URP140" s="3"/>
      <c r="URQ140" s="3"/>
      <c r="URR140" s="3"/>
      <c r="URS140" s="3"/>
      <c r="URT140" s="3"/>
      <c r="URU140" s="3"/>
      <c r="URV140" s="3"/>
      <c r="URW140" s="3"/>
      <c r="URX140" s="3"/>
      <c r="URY140" s="3"/>
      <c r="URZ140" s="3"/>
      <c r="USA140" s="3"/>
      <c r="USB140" s="3"/>
      <c r="USC140" s="3"/>
      <c r="USD140" s="3"/>
      <c r="USE140" s="3"/>
      <c r="USF140" s="3"/>
      <c r="USG140" s="3"/>
      <c r="USH140" s="3"/>
      <c r="USI140" s="3"/>
      <c r="USJ140" s="3"/>
      <c r="USK140" s="3"/>
      <c r="USL140" s="3"/>
      <c r="USM140" s="3"/>
      <c r="USN140" s="3"/>
      <c r="USO140" s="3"/>
      <c r="USP140" s="3"/>
      <c r="USQ140" s="3"/>
      <c r="USR140" s="3"/>
      <c r="USS140" s="3"/>
      <c r="UST140" s="3"/>
      <c r="USU140" s="3"/>
      <c r="USV140" s="3"/>
      <c r="USW140" s="3"/>
      <c r="USX140" s="3"/>
      <c r="USY140" s="3"/>
      <c r="USZ140" s="3"/>
      <c r="UTA140" s="3"/>
      <c r="UTB140" s="3"/>
      <c r="UTC140" s="3"/>
      <c r="UTD140" s="3"/>
      <c r="UTE140" s="3"/>
      <c r="UTF140" s="3"/>
      <c r="UTG140" s="3"/>
      <c r="UTH140" s="3"/>
      <c r="UTI140" s="3"/>
      <c r="UTJ140" s="3"/>
      <c r="UTK140" s="3"/>
      <c r="UTL140" s="3"/>
      <c r="UTM140" s="3"/>
      <c r="UTN140" s="3"/>
      <c r="UTO140" s="3"/>
      <c r="UTP140" s="3"/>
      <c r="UTQ140" s="3"/>
      <c r="UTR140" s="3"/>
      <c r="UTS140" s="3"/>
      <c r="UTT140" s="3"/>
      <c r="UTU140" s="3"/>
      <c r="UTV140" s="3"/>
      <c r="UTW140" s="3"/>
      <c r="UTX140" s="3"/>
      <c r="UTY140" s="3"/>
      <c r="UTZ140" s="3"/>
      <c r="UUA140" s="3"/>
      <c r="UUB140" s="3"/>
      <c r="UUC140" s="3"/>
      <c r="UUD140" s="3"/>
      <c r="UUE140" s="3"/>
      <c r="UUF140" s="3"/>
      <c r="UUG140" s="3"/>
      <c r="UUH140" s="3"/>
      <c r="UUI140" s="3"/>
      <c r="UUJ140" s="3"/>
      <c r="UUK140" s="3"/>
      <c r="UUL140" s="3"/>
      <c r="UUM140" s="3"/>
      <c r="UUN140" s="3"/>
      <c r="UUO140" s="3"/>
      <c r="UUP140" s="3"/>
      <c r="UUQ140" s="3"/>
      <c r="UUR140" s="3"/>
      <c r="UUS140" s="3"/>
      <c r="UUT140" s="3"/>
      <c r="UUU140" s="3"/>
      <c r="UUV140" s="3"/>
      <c r="UUW140" s="3"/>
      <c r="UUX140" s="3"/>
      <c r="UUY140" s="3"/>
      <c r="UUZ140" s="3"/>
      <c r="UVA140" s="3"/>
      <c r="UVB140" s="3"/>
      <c r="UVC140" s="3"/>
      <c r="UVD140" s="3"/>
      <c r="UVE140" s="3"/>
      <c r="UVF140" s="3"/>
      <c r="UVG140" s="3"/>
      <c r="UVH140" s="3"/>
      <c r="UVI140" s="3"/>
      <c r="UVJ140" s="3"/>
      <c r="UVK140" s="3"/>
      <c r="UVL140" s="3"/>
      <c r="UVM140" s="3"/>
      <c r="UVN140" s="3"/>
      <c r="UVO140" s="3"/>
      <c r="UVP140" s="3"/>
      <c r="UVQ140" s="3"/>
      <c r="UVR140" s="3"/>
      <c r="UVS140" s="3"/>
      <c r="UVT140" s="3"/>
      <c r="UVU140" s="3"/>
      <c r="UVV140" s="3"/>
      <c r="UVW140" s="3"/>
      <c r="UVX140" s="3"/>
      <c r="UVY140" s="3"/>
      <c r="UVZ140" s="3"/>
      <c r="UWA140" s="3"/>
      <c r="UWB140" s="3"/>
      <c r="UWC140" s="3"/>
      <c r="UWD140" s="3"/>
      <c r="UWE140" s="3"/>
      <c r="UWF140" s="3"/>
      <c r="UWG140" s="3"/>
      <c r="UWH140" s="3"/>
      <c r="UWI140" s="3"/>
      <c r="UWJ140" s="3"/>
      <c r="UWK140" s="3"/>
      <c r="UWL140" s="3"/>
      <c r="UWM140" s="3"/>
      <c r="UWN140" s="3"/>
      <c r="UWO140" s="3"/>
      <c r="UWP140" s="3"/>
      <c r="UWQ140" s="3"/>
      <c r="UWR140" s="3"/>
      <c r="UWS140" s="3"/>
      <c r="UWT140" s="3"/>
      <c r="UWU140" s="3"/>
      <c r="UWV140" s="3"/>
      <c r="UWW140" s="3"/>
      <c r="UWX140" s="3"/>
      <c r="UWY140" s="3"/>
      <c r="UWZ140" s="3"/>
      <c r="UXA140" s="3"/>
      <c r="UXB140" s="3"/>
      <c r="UXC140" s="3"/>
      <c r="UXD140" s="3"/>
      <c r="UXE140" s="3"/>
      <c r="UXF140" s="3"/>
      <c r="UXG140" s="3"/>
      <c r="UXH140" s="3"/>
      <c r="UXI140" s="3"/>
      <c r="UXJ140" s="3"/>
      <c r="UXK140" s="3"/>
      <c r="UXL140" s="3"/>
      <c r="UXM140" s="3"/>
      <c r="UXN140" s="3"/>
      <c r="UXO140" s="3"/>
      <c r="UXP140" s="3"/>
      <c r="UXQ140" s="3"/>
      <c r="UXR140" s="3"/>
      <c r="UXS140" s="3"/>
      <c r="UXT140" s="3"/>
      <c r="UXU140" s="3"/>
      <c r="UXV140" s="3"/>
      <c r="UXW140" s="3"/>
      <c r="UXX140" s="3"/>
      <c r="UXY140" s="3"/>
      <c r="UXZ140" s="3"/>
      <c r="UYA140" s="3"/>
      <c r="UYB140" s="3"/>
      <c r="UYC140" s="3"/>
      <c r="UYD140" s="3"/>
      <c r="UYE140" s="3"/>
      <c r="UYF140" s="3"/>
      <c r="UYG140" s="3"/>
      <c r="UYH140" s="3"/>
      <c r="UYI140" s="3"/>
      <c r="UYJ140" s="3"/>
      <c r="UYK140" s="3"/>
      <c r="UYL140" s="3"/>
      <c r="UYM140" s="3"/>
      <c r="UYN140" s="3"/>
      <c r="UYO140" s="3"/>
      <c r="UYP140" s="3"/>
      <c r="UYQ140" s="3"/>
      <c r="UYR140" s="3"/>
      <c r="UYS140" s="3"/>
      <c r="UYT140" s="3"/>
      <c r="UYU140" s="3"/>
      <c r="UYV140" s="3"/>
      <c r="UYW140" s="3"/>
      <c r="UYX140" s="3"/>
      <c r="UYY140" s="3"/>
      <c r="UYZ140" s="3"/>
      <c r="UZA140" s="3"/>
      <c r="UZB140" s="3"/>
      <c r="UZC140" s="3"/>
      <c r="UZD140" s="3"/>
      <c r="UZE140" s="3"/>
      <c r="UZF140" s="3"/>
      <c r="UZG140" s="3"/>
      <c r="UZH140" s="3"/>
      <c r="UZI140" s="3"/>
      <c r="UZJ140" s="3"/>
      <c r="UZK140" s="3"/>
      <c r="UZL140" s="3"/>
      <c r="UZM140" s="3"/>
      <c r="UZN140" s="3"/>
      <c r="UZO140" s="3"/>
      <c r="UZP140" s="3"/>
      <c r="UZQ140" s="3"/>
      <c r="UZR140" s="3"/>
      <c r="UZS140" s="3"/>
      <c r="UZT140" s="3"/>
      <c r="UZU140" s="3"/>
      <c r="UZV140" s="3"/>
      <c r="UZW140" s="3"/>
      <c r="UZX140" s="3"/>
      <c r="UZY140" s="3"/>
      <c r="UZZ140" s="3"/>
      <c r="VAA140" s="3"/>
      <c r="VAB140" s="3"/>
      <c r="VAC140" s="3"/>
      <c r="VAD140" s="3"/>
      <c r="VAE140" s="3"/>
      <c r="VAF140" s="3"/>
      <c r="VAG140" s="3"/>
      <c r="VAH140" s="3"/>
      <c r="VAI140" s="3"/>
      <c r="VAJ140" s="3"/>
      <c r="VAK140" s="3"/>
      <c r="VAL140" s="3"/>
      <c r="VAM140" s="3"/>
      <c r="VAN140" s="3"/>
      <c r="VAO140" s="3"/>
      <c r="VAP140" s="3"/>
      <c r="VAQ140" s="3"/>
      <c r="VAR140" s="3"/>
      <c r="VAS140" s="3"/>
      <c r="VAT140" s="3"/>
      <c r="VAU140" s="3"/>
      <c r="VAV140" s="3"/>
      <c r="VAW140" s="3"/>
      <c r="VAX140" s="3"/>
      <c r="VAY140" s="3"/>
      <c r="VAZ140" s="3"/>
      <c r="VBA140" s="3"/>
      <c r="VBB140" s="3"/>
      <c r="VBC140" s="3"/>
      <c r="VBD140" s="3"/>
      <c r="VBE140" s="3"/>
      <c r="VBF140" s="3"/>
      <c r="VBG140" s="3"/>
      <c r="VBH140" s="3"/>
      <c r="VBI140" s="3"/>
      <c r="VBJ140" s="3"/>
      <c r="VBK140" s="3"/>
      <c r="VBL140" s="3"/>
      <c r="VBM140" s="3"/>
      <c r="VBN140" s="3"/>
      <c r="VBO140" s="3"/>
      <c r="VBP140" s="3"/>
      <c r="VBQ140" s="3"/>
      <c r="VBR140" s="3"/>
      <c r="VBS140" s="3"/>
      <c r="VBT140" s="3"/>
      <c r="VBU140" s="3"/>
      <c r="VBV140" s="3"/>
      <c r="VBW140" s="3"/>
      <c r="VBX140" s="3"/>
      <c r="VBY140" s="3"/>
      <c r="VBZ140" s="3"/>
      <c r="VCA140" s="3"/>
      <c r="VCB140" s="3"/>
      <c r="VCC140" s="3"/>
      <c r="VCD140" s="3"/>
      <c r="VCE140" s="3"/>
      <c r="VCF140" s="3"/>
      <c r="VCG140" s="3"/>
      <c r="VCH140" s="3"/>
      <c r="VCI140" s="3"/>
      <c r="VCJ140" s="3"/>
      <c r="VCK140" s="3"/>
      <c r="VCL140" s="3"/>
      <c r="VCM140" s="3"/>
      <c r="VCN140" s="3"/>
      <c r="VCO140" s="3"/>
      <c r="VCP140" s="3"/>
      <c r="VCQ140" s="3"/>
      <c r="VCR140" s="3"/>
      <c r="VCS140" s="3"/>
      <c r="VCT140" s="3"/>
      <c r="VCU140" s="3"/>
      <c r="VCV140" s="3"/>
      <c r="VCW140" s="3"/>
      <c r="VCX140" s="3"/>
      <c r="VCY140" s="3"/>
      <c r="VCZ140" s="3"/>
      <c r="VDA140" s="3"/>
      <c r="VDB140" s="3"/>
      <c r="VDC140" s="3"/>
      <c r="VDD140" s="3"/>
      <c r="VDE140" s="3"/>
      <c r="VDF140" s="3"/>
      <c r="VDG140" s="3"/>
      <c r="VDH140" s="3"/>
      <c r="VDI140" s="3"/>
      <c r="VDJ140" s="3"/>
      <c r="VDK140" s="3"/>
      <c r="VDL140" s="3"/>
      <c r="VDM140" s="3"/>
      <c r="VDN140" s="3"/>
      <c r="VDO140" s="3"/>
      <c r="VDP140" s="3"/>
      <c r="VDQ140" s="3"/>
      <c r="VDR140" s="3"/>
      <c r="VDS140" s="3"/>
      <c r="VDT140" s="3"/>
      <c r="VDU140" s="3"/>
      <c r="VDV140" s="3"/>
      <c r="VDW140" s="3"/>
      <c r="VDX140" s="3"/>
      <c r="VDY140" s="3"/>
      <c r="VDZ140" s="3"/>
      <c r="VEA140" s="3"/>
      <c r="VEB140" s="3"/>
      <c r="VEC140" s="3"/>
      <c r="VED140" s="3"/>
      <c r="VEE140" s="3"/>
      <c r="VEF140" s="3"/>
      <c r="VEG140" s="3"/>
      <c r="VEH140" s="3"/>
      <c r="VEI140" s="3"/>
      <c r="VEJ140" s="3"/>
      <c r="VEK140" s="3"/>
      <c r="VEL140" s="3"/>
      <c r="VEM140" s="3"/>
      <c r="VEN140" s="3"/>
      <c r="VEO140" s="3"/>
      <c r="VEP140" s="3"/>
      <c r="VEQ140" s="3"/>
      <c r="VER140" s="3"/>
      <c r="VES140" s="3"/>
      <c r="VET140" s="3"/>
      <c r="VEU140" s="3"/>
      <c r="VEV140" s="3"/>
      <c r="VEW140" s="3"/>
      <c r="VEX140" s="3"/>
      <c r="VEY140" s="3"/>
      <c r="VEZ140" s="3"/>
      <c r="VFA140" s="3"/>
      <c r="VFB140" s="3"/>
      <c r="VFC140" s="3"/>
      <c r="VFD140" s="3"/>
      <c r="VFE140" s="3"/>
      <c r="VFF140" s="3"/>
      <c r="VFG140" s="3"/>
      <c r="VFH140" s="3"/>
      <c r="VFI140" s="3"/>
      <c r="VFJ140" s="3"/>
      <c r="VFK140" s="3"/>
      <c r="VFL140" s="3"/>
      <c r="VFM140" s="3"/>
      <c r="VFN140" s="3"/>
      <c r="VFO140" s="3"/>
      <c r="VFP140" s="3"/>
      <c r="VFQ140" s="3"/>
      <c r="VFR140" s="3"/>
      <c r="VFS140" s="3"/>
      <c r="VFT140" s="3"/>
      <c r="VFU140" s="3"/>
      <c r="VFV140" s="3"/>
      <c r="VFW140" s="3"/>
      <c r="VFX140" s="3"/>
      <c r="VFY140" s="3"/>
      <c r="VFZ140" s="3"/>
      <c r="VGA140" s="3"/>
      <c r="VGB140" s="3"/>
      <c r="VGC140" s="3"/>
      <c r="VGD140" s="3"/>
      <c r="VGE140" s="3"/>
      <c r="VGF140" s="3"/>
      <c r="VGG140" s="3"/>
      <c r="VGH140" s="3"/>
      <c r="VGI140" s="3"/>
      <c r="VGJ140" s="3"/>
      <c r="VGK140" s="3"/>
      <c r="VGL140" s="3"/>
      <c r="VGM140" s="3"/>
      <c r="VGN140" s="3"/>
      <c r="VGO140" s="3"/>
      <c r="VGP140" s="3"/>
      <c r="VGQ140" s="3"/>
      <c r="VGR140" s="3"/>
      <c r="VGS140" s="3"/>
      <c r="VGT140" s="3"/>
      <c r="VGU140" s="3"/>
      <c r="VGV140" s="3"/>
      <c r="VGW140" s="3"/>
      <c r="VGX140" s="3"/>
      <c r="VGY140" s="3"/>
      <c r="VGZ140" s="3"/>
      <c r="VHA140" s="3"/>
      <c r="VHB140" s="3"/>
      <c r="VHC140" s="3"/>
      <c r="VHD140" s="3"/>
      <c r="VHE140" s="3"/>
      <c r="VHF140" s="3"/>
      <c r="VHG140" s="3"/>
      <c r="VHH140" s="3"/>
      <c r="VHI140" s="3"/>
      <c r="VHJ140" s="3"/>
      <c r="VHK140" s="3"/>
      <c r="VHL140" s="3"/>
      <c r="VHM140" s="3"/>
      <c r="VHN140" s="3"/>
      <c r="VHO140" s="3"/>
      <c r="VHP140" s="3"/>
      <c r="VHQ140" s="3"/>
      <c r="VHR140" s="3"/>
      <c r="VHS140" s="3"/>
      <c r="VHT140" s="3"/>
      <c r="VHU140" s="3"/>
      <c r="VHV140" s="3"/>
      <c r="VHW140" s="3"/>
      <c r="VHX140" s="3"/>
      <c r="VHY140" s="3"/>
      <c r="VHZ140" s="3"/>
      <c r="VIA140" s="3"/>
      <c r="VIB140" s="3"/>
      <c r="VIC140" s="3"/>
      <c r="VID140" s="3"/>
      <c r="VIE140" s="3"/>
      <c r="VIF140" s="3"/>
      <c r="VIG140" s="3"/>
      <c r="VIH140" s="3"/>
      <c r="VII140" s="3"/>
      <c r="VIJ140" s="3"/>
      <c r="VIK140" s="3"/>
      <c r="VIL140" s="3"/>
      <c r="VIM140" s="3"/>
      <c r="VIN140" s="3"/>
      <c r="VIO140" s="3"/>
      <c r="VIP140" s="3"/>
      <c r="VIQ140" s="3"/>
      <c r="VIR140" s="3"/>
      <c r="VIS140" s="3"/>
      <c r="VIT140" s="3"/>
      <c r="VIU140" s="3"/>
      <c r="VIV140" s="3"/>
      <c r="VIW140" s="3"/>
      <c r="VIX140" s="3"/>
      <c r="VIY140" s="3"/>
      <c r="VIZ140" s="3"/>
      <c r="VJA140" s="3"/>
      <c r="VJB140" s="3"/>
      <c r="VJC140" s="3"/>
      <c r="VJD140" s="3"/>
      <c r="VJE140" s="3"/>
      <c r="VJF140" s="3"/>
      <c r="VJG140" s="3"/>
      <c r="VJH140" s="3"/>
      <c r="VJI140" s="3"/>
      <c r="VJJ140" s="3"/>
      <c r="VJK140" s="3"/>
      <c r="VJL140" s="3"/>
      <c r="VJM140" s="3"/>
      <c r="VJN140" s="3"/>
      <c r="VJO140" s="3"/>
      <c r="VJP140" s="3"/>
      <c r="VJQ140" s="3"/>
      <c r="VJR140" s="3"/>
      <c r="VJS140" s="3"/>
      <c r="VJT140" s="3"/>
      <c r="VJU140" s="3"/>
      <c r="VJV140" s="3"/>
      <c r="VJW140" s="3"/>
      <c r="VJX140" s="3"/>
      <c r="VJY140" s="3"/>
      <c r="VJZ140" s="3"/>
      <c r="VKA140" s="3"/>
      <c r="VKB140" s="3"/>
      <c r="VKC140" s="3"/>
      <c r="VKD140" s="3"/>
      <c r="VKE140" s="3"/>
      <c r="VKF140" s="3"/>
      <c r="VKG140" s="3"/>
      <c r="VKH140" s="3"/>
      <c r="VKI140" s="3"/>
      <c r="VKJ140" s="3"/>
      <c r="VKK140" s="3"/>
      <c r="VKL140" s="3"/>
      <c r="VKM140" s="3"/>
      <c r="VKN140" s="3"/>
      <c r="VKO140" s="3"/>
      <c r="VKP140" s="3"/>
      <c r="VKQ140" s="3"/>
      <c r="VKR140" s="3"/>
      <c r="VKS140" s="3"/>
      <c r="VKT140" s="3"/>
      <c r="VKU140" s="3"/>
      <c r="VKV140" s="3"/>
      <c r="VKW140" s="3"/>
      <c r="VKX140" s="3"/>
      <c r="VKY140" s="3"/>
      <c r="VKZ140" s="3"/>
      <c r="VLA140" s="3"/>
      <c r="VLB140" s="3"/>
      <c r="VLC140" s="3"/>
      <c r="VLD140" s="3"/>
      <c r="VLE140" s="3"/>
      <c r="VLF140" s="3"/>
      <c r="VLG140" s="3"/>
      <c r="VLH140" s="3"/>
      <c r="VLI140" s="3"/>
      <c r="VLJ140" s="3"/>
      <c r="VLK140" s="3"/>
      <c r="VLL140" s="3"/>
      <c r="VLM140" s="3"/>
      <c r="VLN140" s="3"/>
      <c r="VLO140" s="3"/>
      <c r="VLP140" s="3"/>
      <c r="VLQ140" s="3"/>
      <c r="VLR140" s="3"/>
      <c r="VLS140" s="3"/>
      <c r="VLT140" s="3"/>
      <c r="VLU140" s="3"/>
      <c r="VLV140" s="3"/>
      <c r="VLW140" s="3"/>
      <c r="VLX140" s="3"/>
      <c r="VLY140" s="3"/>
      <c r="VLZ140" s="3"/>
      <c r="VMA140" s="3"/>
      <c r="VMB140" s="3"/>
      <c r="VMC140" s="3"/>
      <c r="VMD140" s="3"/>
      <c r="VME140" s="3"/>
      <c r="VMF140" s="3"/>
      <c r="VMG140" s="3"/>
      <c r="VMH140" s="3"/>
      <c r="VMI140" s="3"/>
      <c r="VMJ140" s="3"/>
      <c r="VMK140" s="3"/>
      <c r="VML140" s="3"/>
      <c r="VMM140" s="3"/>
      <c r="VMN140" s="3"/>
      <c r="VMO140" s="3"/>
      <c r="VMP140" s="3"/>
      <c r="VMQ140" s="3"/>
      <c r="VMR140" s="3"/>
      <c r="VMS140" s="3"/>
      <c r="VMT140" s="3"/>
      <c r="VMU140" s="3"/>
      <c r="VMV140" s="3"/>
      <c r="VMW140" s="3"/>
      <c r="VMX140" s="3"/>
      <c r="VMY140" s="3"/>
      <c r="VMZ140" s="3"/>
      <c r="VNA140" s="3"/>
      <c r="VNB140" s="3"/>
      <c r="VNC140" s="3"/>
      <c r="VND140" s="3"/>
      <c r="VNE140" s="3"/>
      <c r="VNF140" s="3"/>
      <c r="VNG140" s="3"/>
      <c r="VNH140" s="3"/>
      <c r="VNI140" s="3"/>
      <c r="VNJ140" s="3"/>
      <c r="VNK140" s="3"/>
      <c r="VNL140" s="3"/>
      <c r="VNM140" s="3"/>
      <c r="VNN140" s="3"/>
      <c r="VNO140" s="3"/>
      <c r="VNP140" s="3"/>
      <c r="VNQ140" s="3"/>
      <c r="VNR140" s="3"/>
      <c r="VNS140" s="3"/>
      <c r="VNT140" s="3"/>
      <c r="VNU140" s="3"/>
      <c r="VNV140" s="3"/>
      <c r="VNW140" s="3"/>
      <c r="VNX140" s="3"/>
      <c r="VNY140" s="3"/>
      <c r="VNZ140" s="3"/>
      <c r="VOA140" s="3"/>
      <c r="VOB140" s="3"/>
      <c r="VOC140" s="3"/>
      <c r="VOD140" s="3"/>
      <c r="VOE140" s="3"/>
      <c r="VOF140" s="3"/>
      <c r="VOG140" s="3"/>
      <c r="VOH140" s="3"/>
      <c r="VOI140" s="3"/>
      <c r="VOJ140" s="3"/>
      <c r="VOK140" s="3"/>
      <c r="VOL140" s="3"/>
      <c r="VOM140" s="3"/>
      <c r="VON140" s="3"/>
      <c r="VOO140" s="3"/>
      <c r="VOP140" s="3"/>
      <c r="VOQ140" s="3"/>
      <c r="VOR140" s="3"/>
      <c r="VOS140" s="3"/>
      <c r="VOT140" s="3"/>
      <c r="VOU140" s="3"/>
      <c r="VOV140" s="3"/>
      <c r="VOW140" s="3"/>
      <c r="VOX140" s="3"/>
      <c r="VOY140" s="3"/>
      <c r="VOZ140" s="3"/>
      <c r="VPA140" s="3"/>
      <c r="VPB140" s="3"/>
      <c r="VPC140" s="3"/>
      <c r="VPD140" s="3"/>
      <c r="VPE140" s="3"/>
      <c r="VPF140" s="3"/>
      <c r="VPG140" s="3"/>
      <c r="VPH140" s="3"/>
      <c r="VPI140" s="3"/>
      <c r="VPJ140" s="3"/>
      <c r="VPK140" s="3"/>
      <c r="VPL140" s="3"/>
      <c r="VPM140" s="3"/>
      <c r="VPN140" s="3"/>
      <c r="VPO140" s="3"/>
      <c r="VPP140" s="3"/>
      <c r="VPQ140" s="3"/>
      <c r="VPR140" s="3"/>
      <c r="VPS140" s="3"/>
      <c r="VPT140" s="3"/>
      <c r="VPU140" s="3"/>
      <c r="VPV140" s="3"/>
      <c r="VPW140" s="3"/>
      <c r="VPX140" s="3"/>
      <c r="VPY140" s="3"/>
      <c r="VPZ140" s="3"/>
      <c r="VQA140" s="3"/>
      <c r="VQB140" s="3"/>
      <c r="VQC140" s="3"/>
      <c r="VQD140" s="3"/>
      <c r="VQE140" s="3"/>
      <c r="VQF140" s="3"/>
      <c r="VQG140" s="3"/>
      <c r="VQH140" s="3"/>
      <c r="VQI140" s="3"/>
      <c r="VQJ140" s="3"/>
      <c r="VQK140" s="3"/>
      <c r="VQL140" s="3"/>
      <c r="VQM140" s="3"/>
      <c r="VQN140" s="3"/>
      <c r="VQO140" s="3"/>
      <c r="VQP140" s="3"/>
      <c r="VQQ140" s="3"/>
      <c r="VQR140" s="3"/>
      <c r="VQS140" s="3"/>
      <c r="VQT140" s="3"/>
      <c r="VQU140" s="3"/>
      <c r="VQV140" s="3"/>
      <c r="VQW140" s="3"/>
      <c r="VQX140" s="3"/>
      <c r="VQY140" s="3"/>
      <c r="VQZ140" s="3"/>
      <c r="VRA140" s="3"/>
      <c r="VRB140" s="3"/>
      <c r="VRC140" s="3"/>
      <c r="VRD140" s="3"/>
      <c r="VRE140" s="3"/>
      <c r="VRF140" s="3"/>
      <c r="VRG140" s="3"/>
      <c r="VRH140" s="3"/>
      <c r="VRI140" s="3"/>
      <c r="VRJ140" s="3"/>
      <c r="VRK140" s="3"/>
      <c r="VRL140" s="3"/>
      <c r="VRM140" s="3"/>
      <c r="VRN140" s="3"/>
      <c r="VRO140" s="3"/>
      <c r="VRP140" s="3"/>
      <c r="VRQ140" s="3"/>
      <c r="VRR140" s="3"/>
      <c r="VRS140" s="3"/>
      <c r="VRT140" s="3"/>
      <c r="VRU140" s="3"/>
      <c r="VRV140" s="3"/>
      <c r="VRW140" s="3"/>
      <c r="VRX140" s="3"/>
      <c r="VRY140" s="3"/>
      <c r="VRZ140" s="3"/>
      <c r="VSA140" s="3"/>
      <c r="VSB140" s="3"/>
      <c r="VSC140" s="3"/>
      <c r="VSD140" s="3"/>
      <c r="VSE140" s="3"/>
      <c r="VSF140" s="3"/>
      <c r="VSG140" s="3"/>
      <c r="VSH140" s="3"/>
      <c r="VSI140" s="3"/>
      <c r="VSJ140" s="3"/>
      <c r="VSK140" s="3"/>
      <c r="VSL140" s="3"/>
      <c r="VSM140" s="3"/>
      <c r="VSN140" s="3"/>
      <c r="VSO140" s="3"/>
      <c r="VSP140" s="3"/>
      <c r="VSQ140" s="3"/>
      <c r="VSR140" s="3"/>
      <c r="VSS140" s="3"/>
      <c r="VST140" s="3"/>
      <c r="VSU140" s="3"/>
      <c r="VSV140" s="3"/>
      <c r="VSW140" s="3"/>
      <c r="VSX140" s="3"/>
      <c r="VSY140" s="3"/>
      <c r="VSZ140" s="3"/>
      <c r="VTA140" s="3"/>
      <c r="VTB140" s="3"/>
      <c r="VTC140" s="3"/>
      <c r="VTD140" s="3"/>
      <c r="VTE140" s="3"/>
      <c r="VTF140" s="3"/>
      <c r="VTG140" s="3"/>
      <c r="VTH140" s="3"/>
      <c r="VTI140" s="3"/>
      <c r="VTJ140" s="3"/>
      <c r="VTK140" s="3"/>
      <c r="VTL140" s="3"/>
      <c r="VTM140" s="3"/>
      <c r="VTN140" s="3"/>
      <c r="VTO140" s="3"/>
      <c r="VTP140" s="3"/>
      <c r="VTQ140" s="3"/>
      <c r="VTR140" s="3"/>
      <c r="VTS140" s="3"/>
      <c r="VTT140" s="3"/>
      <c r="VTU140" s="3"/>
      <c r="VTV140" s="3"/>
      <c r="VTW140" s="3"/>
      <c r="VTX140" s="3"/>
      <c r="VTY140" s="3"/>
      <c r="VTZ140" s="3"/>
      <c r="VUA140" s="3"/>
      <c r="VUB140" s="3"/>
      <c r="VUC140" s="3"/>
      <c r="VUD140" s="3"/>
      <c r="VUE140" s="3"/>
      <c r="VUF140" s="3"/>
      <c r="VUG140" s="3"/>
      <c r="VUH140" s="3"/>
      <c r="VUI140" s="3"/>
      <c r="VUJ140" s="3"/>
      <c r="VUK140" s="3"/>
      <c r="VUL140" s="3"/>
      <c r="VUM140" s="3"/>
      <c r="VUN140" s="3"/>
      <c r="VUO140" s="3"/>
      <c r="VUP140" s="3"/>
      <c r="VUQ140" s="3"/>
      <c r="VUR140" s="3"/>
      <c r="VUS140" s="3"/>
      <c r="VUT140" s="3"/>
      <c r="VUU140" s="3"/>
      <c r="VUV140" s="3"/>
      <c r="VUW140" s="3"/>
      <c r="VUX140" s="3"/>
      <c r="VUY140" s="3"/>
      <c r="VUZ140" s="3"/>
      <c r="VVA140" s="3"/>
      <c r="VVB140" s="3"/>
      <c r="VVC140" s="3"/>
      <c r="VVD140" s="3"/>
      <c r="VVE140" s="3"/>
      <c r="VVF140" s="3"/>
      <c r="VVG140" s="3"/>
      <c r="VVH140" s="3"/>
      <c r="VVI140" s="3"/>
      <c r="VVJ140" s="3"/>
      <c r="VVK140" s="3"/>
      <c r="VVL140" s="3"/>
      <c r="VVM140" s="3"/>
      <c r="VVN140" s="3"/>
      <c r="VVO140" s="3"/>
      <c r="VVP140" s="3"/>
      <c r="VVQ140" s="3"/>
      <c r="VVR140" s="3"/>
      <c r="VVS140" s="3"/>
      <c r="VVT140" s="3"/>
      <c r="VVU140" s="3"/>
      <c r="VVV140" s="3"/>
      <c r="VVW140" s="3"/>
      <c r="VVX140" s="3"/>
      <c r="VVY140" s="3"/>
      <c r="VVZ140" s="3"/>
      <c r="VWA140" s="3"/>
      <c r="VWB140" s="3"/>
      <c r="VWC140" s="3"/>
      <c r="VWD140" s="3"/>
      <c r="VWE140" s="3"/>
      <c r="VWF140" s="3"/>
      <c r="VWG140" s="3"/>
      <c r="VWH140" s="3"/>
      <c r="VWI140" s="3"/>
      <c r="VWJ140" s="3"/>
      <c r="VWK140" s="3"/>
      <c r="VWL140" s="3"/>
      <c r="VWM140" s="3"/>
      <c r="VWN140" s="3"/>
      <c r="VWO140" s="3"/>
      <c r="VWP140" s="3"/>
      <c r="VWQ140" s="3"/>
      <c r="VWR140" s="3"/>
      <c r="VWS140" s="3"/>
      <c r="VWT140" s="3"/>
      <c r="VWU140" s="3"/>
      <c r="VWV140" s="3"/>
      <c r="VWW140" s="3"/>
      <c r="VWX140" s="3"/>
      <c r="VWY140" s="3"/>
      <c r="VWZ140" s="3"/>
      <c r="VXA140" s="3"/>
      <c r="VXB140" s="3"/>
      <c r="VXC140" s="3"/>
      <c r="VXD140" s="3"/>
      <c r="VXE140" s="3"/>
      <c r="VXF140" s="3"/>
      <c r="VXG140" s="3"/>
      <c r="VXH140" s="3"/>
      <c r="VXI140" s="3"/>
      <c r="VXJ140" s="3"/>
      <c r="VXK140" s="3"/>
      <c r="VXL140" s="3"/>
      <c r="VXM140" s="3"/>
      <c r="VXN140" s="3"/>
      <c r="VXO140" s="3"/>
      <c r="VXP140" s="3"/>
      <c r="VXQ140" s="3"/>
      <c r="VXR140" s="3"/>
      <c r="VXS140" s="3"/>
      <c r="VXT140" s="3"/>
      <c r="VXU140" s="3"/>
      <c r="VXV140" s="3"/>
      <c r="VXW140" s="3"/>
      <c r="VXX140" s="3"/>
      <c r="VXY140" s="3"/>
      <c r="VXZ140" s="3"/>
      <c r="VYA140" s="3"/>
      <c r="VYB140" s="3"/>
      <c r="VYC140" s="3"/>
      <c r="VYD140" s="3"/>
      <c r="VYE140" s="3"/>
      <c r="VYF140" s="3"/>
      <c r="VYG140" s="3"/>
      <c r="VYH140" s="3"/>
      <c r="VYI140" s="3"/>
      <c r="VYJ140" s="3"/>
      <c r="VYK140" s="3"/>
      <c r="VYL140" s="3"/>
      <c r="VYM140" s="3"/>
      <c r="VYN140" s="3"/>
      <c r="VYO140" s="3"/>
      <c r="VYP140" s="3"/>
      <c r="VYQ140" s="3"/>
      <c r="VYR140" s="3"/>
      <c r="VYS140" s="3"/>
      <c r="VYT140" s="3"/>
      <c r="VYU140" s="3"/>
      <c r="VYV140" s="3"/>
      <c r="VYW140" s="3"/>
      <c r="VYX140" s="3"/>
      <c r="VYY140" s="3"/>
      <c r="VYZ140" s="3"/>
      <c r="VZA140" s="3"/>
      <c r="VZB140" s="3"/>
      <c r="VZC140" s="3"/>
      <c r="VZD140" s="3"/>
      <c r="VZE140" s="3"/>
      <c r="VZF140" s="3"/>
      <c r="VZG140" s="3"/>
      <c r="VZH140" s="3"/>
      <c r="VZI140" s="3"/>
      <c r="VZJ140" s="3"/>
      <c r="VZK140" s="3"/>
      <c r="VZL140" s="3"/>
      <c r="VZM140" s="3"/>
      <c r="VZN140" s="3"/>
      <c r="VZO140" s="3"/>
      <c r="VZP140" s="3"/>
      <c r="VZQ140" s="3"/>
      <c r="VZR140" s="3"/>
      <c r="VZS140" s="3"/>
      <c r="VZT140" s="3"/>
      <c r="VZU140" s="3"/>
      <c r="VZV140" s="3"/>
      <c r="VZW140" s="3"/>
      <c r="VZX140" s="3"/>
      <c r="VZY140" s="3"/>
      <c r="VZZ140" s="3"/>
      <c r="WAA140" s="3"/>
      <c r="WAB140" s="3"/>
      <c r="WAC140" s="3"/>
      <c r="WAD140" s="3"/>
      <c r="WAE140" s="3"/>
      <c r="WAF140" s="3"/>
      <c r="WAG140" s="3"/>
      <c r="WAH140" s="3"/>
      <c r="WAI140" s="3"/>
      <c r="WAJ140" s="3"/>
      <c r="WAK140" s="3"/>
      <c r="WAL140" s="3"/>
      <c r="WAM140" s="3"/>
      <c r="WAN140" s="3"/>
      <c r="WAO140" s="3"/>
      <c r="WAP140" s="3"/>
      <c r="WAQ140" s="3"/>
      <c r="WAR140" s="3"/>
      <c r="WAS140" s="3"/>
      <c r="WAT140" s="3"/>
      <c r="WAU140" s="3"/>
      <c r="WAV140" s="3"/>
      <c r="WAW140" s="3"/>
      <c r="WAX140" s="3"/>
      <c r="WAY140" s="3"/>
      <c r="WAZ140" s="3"/>
      <c r="WBA140" s="3"/>
      <c r="WBB140" s="3"/>
      <c r="WBC140" s="3"/>
      <c r="WBD140" s="3"/>
      <c r="WBE140" s="3"/>
      <c r="WBF140" s="3"/>
      <c r="WBG140" s="3"/>
      <c r="WBH140" s="3"/>
      <c r="WBI140" s="3"/>
      <c r="WBJ140" s="3"/>
      <c r="WBK140" s="3"/>
      <c r="WBL140" s="3"/>
      <c r="WBM140" s="3"/>
      <c r="WBN140" s="3"/>
      <c r="WBO140" s="3"/>
      <c r="WBP140" s="3"/>
      <c r="WBQ140" s="3"/>
      <c r="WBR140" s="3"/>
      <c r="WBS140" s="3"/>
      <c r="WBT140" s="3"/>
      <c r="WBU140" s="3"/>
      <c r="WBV140" s="3"/>
      <c r="WBW140" s="3"/>
      <c r="WBX140" s="3"/>
      <c r="WBY140" s="3"/>
      <c r="WBZ140" s="3"/>
      <c r="WCA140" s="3"/>
      <c r="WCB140" s="3"/>
      <c r="WCC140" s="3"/>
      <c r="WCD140" s="3"/>
      <c r="WCE140" s="3"/>
      <c r="WCF140" s="3"/>
      <c r="WCG140" s="3"/>
      <c r="WCH140" s="3"/>
      <c r="WCI140" s="3"/>
      <c r="WCJ140" s="3"/>
      <c r="WCK140" s="3"/>
      <c r="WCL140" s="3"/>
      <c r="WCM140" s="3"/>
      <c r="WCN140" s="3"/>
      <c r="WCO140" s="3"/>
      <c r="WCP140" s="3"/>
      <c r="WCQ140" s="3"/>
      <c r="WCR140" s="3"/>
      <c r="WCS140" s="3"/>
      <c r="WCT140" s="3"/>
      <c r="WCU140" s="3"/>
      <c r="WCV140" s="3"/>
      <c r="WCW140" s="3"/>
      <c r="WCX140" s="3"/>
      <c r="WCY140" s="3"/>
      <c r="WCZ140" s="3"/>
      <c r="WDA140" s="3"/>
      <c r="WDB140" s="3"/>
      <c r="WDC140" s="3"/>
      <c r="WDD140" s="3"/>
      <c r="WDE140" s="3"/>
      <c r="WDF140" s="3"/>
      <c r="WDG140" s="3"/>
      <c r="WDH140" s="3"/>
      <c r="WDI140" s="3"/>
      <c r="WDJ140" s="3"/>
      <c r="WDK140" s="3"/>
      <c r="WDL140" s="3"/>
      <c r="WDM140" s="3"/>
      <c r="WDN140" s="3"/>
      <c r="WDO140" s="3"/>
      <c r="WDP140" s="3"/>
      <c r="WDQ140" s="3"/>
      <c r="WDR140" s="3"/>
      <c r="WDS140" s="3"/>
      <c r="WDT140" s="3"/>
      <c r="WDU140" s="3"/>
      <c r="WDV140" s="3"/>
      <c r="WDW140" s="3"/>
      <c r="WDX140" s="3"/>
      <c r="WDY140" s="3"/>
      <c r="WDZ140" s="3"/>
      <c r="WEA140" s="3"/>
      <c r="WEB140" s="3"/>
      <c r="WEC140" s="3"/>
      <c r="WED140" s="3"/>
      <c r="WEE140" s="3"/>
      <c r="WEF140" s="3"/>
      <c r="WEG140" s="3"/>
      <c r="WEH140" s="3"/>
      <c r="WEI140" s="3"/>
      <c r="WEJ140" s="3"/>
      <c r="WEK140" s="3"/>
      <c r="WEL140" s="3"/>
      <c r="WEM140" s="3"/>
      <c r="WEN140" s="3"/>
      <c r="WEO140" s="3"/>
      <c r="WEP140" s="3"/>
      <c r="WEQ140" s="3"/>
      <c r="WER140" s="3"/>
      <c r="WES140" s="3"/>
      <c r="WET140" s="3"/>
      <c r="WEU140" s="3"/>
      <c r="WEV140" s="3"/>
      <c r="WEW140" s="3"/>
      <c r="WEX140" s="3"/>
      <c r="WEY140" s="3"/>
      <c r="WEZ140" s="3"/>
      <c r="WFA140" s="3"/>
      <c r="WFB140" s="3"/>
      <c r="WFC140" s="3"/>
      <c r="WFD140" s="3"/>
      <c r="WFE140" s="3"/>
      <c r="WFF140" s="3"/>
      <c r="WFG140" s="3"/>
      <c r="WFH140" s="3"/>
      <c r="WFI140" s="3"/>
      <c r="WFJ140" s="3"/>
      <c r="WFK140" s="3"/>
      <c r="WFL140" s="3"/>
      <c r="WFM140" s="3"/>
      <c r="WFN140" s="3"/>
      <c r="WFO140" s="3"/>
      <c r="WFP140" s="3"/>
      <c r="WFQ140" s="3"/>
      <c r="WFR140" s="3"/>
      <c r="WFS140" s="3"/>
      <c r="WFT140" s="3"/>
      <c r="WFU140" s="3"/>
      <c r="WFV140" s="3"/>
      <c r="WFW140" s="3"/>
      <c r="WFX140" s="3"/>
      <c r="WFY140" s="3"/>
      <c r="WFZ140" s="3"/>
      <c r="WGA140" s="3"/>
      <c r="WGB140" s="3"/>
      <c r="WGC140" s="3"/>
      <c r="WGD140" s="3"/>
      <c r="WGE140" s="3"/>
      <c r="WGF140" s="3"/>
      <c r="WGG140" s="3"/>
      <c r="WGH140" s="3"/>
      <c r="WGI140" s="3"/>
      <c r="WGJ140" s="3"/>
      <c r="WGK140" s="3"/>
      <c r="WGL140" s="3"/>
      <c r="WGM140" s="3"/>
      <c r="WGN140" s="3"/>
      <c r="WGO140" s="3"/>
      <c r="WGP140" s="3"/>
      <c r="WGQ140" s="3"/>
      <c r="WGR140" s="3"/>
      <c r="WGS140" s="3"/>
      <c r="WGT140" s="3"/>
      <c r="WGU140" s="3"/>
      <c r="WGV140" s="3"/>
      <c r="WGW140" s="3"/>
      <c r="WGX140" s="3"/>
      <c r="WGY140" s="3"/>
      <c r="WGZ140" s="3"/>
      <c r="WHA140" s="3"/>
      <c r="WHB140" s="3"/>
      <c r="WHC140" s="3"/>
      <c r="WHD140" s="3"/>
      <c r="WHE140" s="3"/>
      <c r="WHF140" s="3"/>
      <c r="WHG140" s="3"/>
      <c r="WHH140" s="3"/>
      <c r="WHI140" s="3"/>
      <c r="WHJ140" s="3"/>
      <c r="WHK140" s="3"/>
      <c r="WHL140" s="3"/>
      <c r="WHM140" s="3"/>
      <c r="WHN140" s="3"/>
      <c r="WHO140" s="3"/>
      <c r="WHP140" s="3"/>
      <c r="WHQ140" s="3"/>
      <c r="WHR140" s="3"/>
      <c r="WHS140" s="3"/>
      <c r="WHT140" s="3"/>
      <c r="WHU140" s="3"/>
      <c r="WHV140" s="3"/>
      <c r="WHW140" s="3"/>
      <c r="WHX140" s="3"/>
      <c r="WHY140" s="3"/>
      <c r="WHZ140" s="3"/>
      <c r="WIA140" s="3"/>
      <c r="WIB140" s="3"/>
      <c r="WIC140" s="3"/>
      <c r="WID140" s="3"/>
      <c r="WIE140" s="3"/>
      <c r="WIF140" s="3"/>
      <c r="WIG140" s="3"/>
      <c r="WIH140" s="3"/>
      <c r="WII140" s="3"/>
      <c r="WIJ140" s="3"/>
      <c r="WIK140" s="3"/>
      <c r="WIL140" s="3"/>
      <c r="WIM140" s="3"/>
      <c r="WIN140" s="3"/>
      <c r="WIO140" s="3"/>
      <c r="WIP140" s="3"/>
      <c r="WIQ140" s="3"/>
      <c r="WIR140" s="3"/>
      <c r="WIS140" s="3"/>
      <c r="WIT140" s="3"/>
      <c r="WIU140" s="3"/>
      <c r="WIV140" s="3"/>
      <c r="WIW140" s="3"/>
      <c r="WIX140" s="3"/>
      <c r="WIY140" s="3"/>
      <c r="WIZ140" s="3"/>
      <c r="WJA140" s="3"/>
      <c r="WJB140" s="3"/>
      <c r="WJC140" s="3"/>
      <c r="WJD140" s="3"/>
      <c r="WJE140" s="3"/>
      <c r="WJF140" s="3"/>
      <c r="WJG140" s="3"/>
      <c r="WJH140" s="3"/>
      <c r="WJI140" s="3"/>
      <c r="WJJ140" s="3"/>
      <c r="WJK140" s="3"/>
      <c r="WJL140" s="3"/>
      <c r="WJM140" s="3"/>
      <c r="WJN140" s="3"/>
      <c r="WJO140" s="3"/>
      <c r="WJP140" s="3"/>
      <c r="WJQ140" s="3"/>
      <c r="WJR140" s="3"/>
      <c r="WJS140" s="3"/>
      <c r="WJT140" s="3"/>
      <c r="WJU140" s="3"/>
      <c r="WJV140" s="3"/>
      <c r="WJW140" s="3"/>
      <c r="WJX140" s="3"/>
      <c r="WJY140" s="3"/>
      <c r="WJZ140" s="3"/>
      <c r="WKA140" s="3"/>
      <c r="WKB140" s="3"/>
      <c r="WKC140" s="3"/>
      <c r="WKD140" s="3"/>
      <c r="WKE140" s="3"/>
      <c r="WKF140" s="3"/>
      <c r="WKG140" s="3"/>
      <c r="WKH140" s="3"/>
      <c r="WKI140" s="3"/>
      <c r="WKJ140" s="3"/>
      <c r="WKK140" s="3"/>
      <c r="WKL140" s="3"/>
      <c r="WKM140" s="3"/>
      <c r="WKN140" s="3"/>
      <c r="WKO140" s="3"/>
      <c r="WKP140" s="3"/>
      <c r="WKQ140" s="3"/>
      <c r="WKR140" s="3"/>
      <c r="WKS140" s="3"/>
      <c r="WKT140" s="3"/>
      <c r="WKU140" s="3"/>
      <c r="WKV140" s="3"/>
      <c r="WKW140" s="3"/>
      <c r="WKX140" s="3"/>
      <c r="WKY140" s="3"/>
      <c r="WKZ140" s="3"/>
      <c r="WLA140" s="3"/>
      <c r="WLB140" s="3"/>
      <c r="WLC140" s="3"/>
      <c r="WLD140" s="3"/>
      <c r="WLE140" s="3"/>
      <c r="WLF140" s="3"/>
      <c r="WLG140" s="3"/>
      <c r="WLH140" s="3"/>
      <c r="WLI140" s="3"/>
      <c r="WLJ140" s="3"/>
      <c r="WLK140" s="3"/>
      <c r="WLL140" s="3"/>
      <c r="WLM140" s="3"/>
      <c r="WLN140" s="3"/>
      <c r="WLO140" s="3"/>
      <c r="WLP140" s="3"/>
      <c r="WLQ140" s="3"/>
      <c r="WLR140" s="3"/>
      <c r="WLS140" s="3"/>
      <c r="WLT140" s="3"/>
      <c r="WLU140" s="3"/>
      <c r="WLV140" s="3"/>
      <c r="WLW140" s="3"/>
      <c r="WLX140" s="3"/>
      <c r="WLY140" s="3"/>
      <c r="WLZ140" s="3"/>
      <c r="WMA140" s="3"/>
      <c r="WMB140" s="3"/>
      <c r="WMC140" s="3"/>
      <c r="WMD140" s="3"/>
      <c r="WME140" s="3"/>
      <c r="WMF140" s="3"/>
      <c r="WMG140" s="3"/>
      <c r="WMH140" s="3"/>
      <c r="WMI140" s="3"/>
      <c r="WMJ140" s="3"/>
      <c r="WMK140" s="3"/>
      <c r="WML140" s="3"/>
      <c r="WMM140" s="3"/>
      <c r="WMN140" s="3"/>
      <c r="WMO140" s="3"/>
      <c r="WMP140" s="3"/>
      <c r="WMQ140" s="3"/>
      <c r="WMR140" s="3"/>
      <c r="WMS140" s="3"/>
      <c r="WMT140" s="3"/>
      <c r="WMU140" s="3"/>
      <c r="WMV140" s="3"/>
      <c r="WMW140" s="3"/>
      <c r="WMX140" s="3"/>
      <c r="WMY140" s="3"/>
      <c r="WMZ140" s="3"/>
      <c r="WNA140" s="3"/>
      <c r="WNB140" s="3"/>
      <c r="WNC140" s="3"/>
      <c r="WND140" s="3"/>
      <c r="WNE140" s="3"/>
      <c r="WNF140" s="3"/>
      <c r="WNG140" s="3"/>
      <c r="WNH140" s="3"/>
      <c r="WNI140" s="3"/>
      <c r="WNJ140" s="3"/>
      <c r="WNK140" s="3"/>
      <c r="WNL140" s="3"/>
      <c r="WNM140" s="3"/>
      <c r="WNN140" s="3"/>
      <c r="WNO140" s="3"/>
      <c r="WNP140" s="3"/>
      <c r="WNQ140" s="3"/>
      <c r="WNR140" s="3"/>
      <c r="WNS140" s="3"/>
      <c r="WNT140" s="3"/>
      <c r="WNU140" s="3"/>
      <c r="WNV140" s="3"/>
      <c r="WNW140" s="3"/>
      <c r="WNX140" s="3"/>
      <c r="WNY140" s="3"/>
      <c r="WNZ140" s="3"/>
      <c r="WOA140" s="3"/>
      <c r="WOB140" s="3"/>
      <c r="WOC140" s="3"/>
      <c r="WOD140" s="3"/>
      <c r="WOE140" s="3"/>
      <c r="WOF140" s="3"/>
      <c r="WOG140" s="3"/>
      <c r="WOH140" s="3"/>
      <c r="WOI140" s="3"/>
      <c r="WOJ140" s="3"/>
      <c r="WOK140" s="3"/>
      <c r="WOL140" s="3"/>
      <c r="WOM140" s="3"/>
      <c r="WON140" s="3"/>
      <c r="WOO140" s="3"/>
      <c r="WOP140" s="3"/>
      <c r="WOQ140" s="3"/>
      <c r="WOR140" s="3"/>
      <c r="WOS140" s="3"/>
      <c r="WOT140" s="3"/>
      <c r="WOU140" s="3"/>
      <c r="WOV140" s="3"/>
      <c r="WOW140" s="3"/>
      <c r="WOX140" s="3"/>
      <c r="WOY140" s="3"/>
      <c r="WOZ140" s="3"/>
      <c r="WPA140" s="3"/>
      <c r="WPB140" s="3"/>
      <c r="WPC140" s="3"/>
      <c r="WPD140" s="3"/>
      <c r="WPE140" s="3"/>
      <c r="WPF140" s="3"/>
      <c r="WPG140" s="3"/>
      <c r="WPH140" s="3"/>
      <c r="WPI140" s="3"/>
      <c r="WPJ140" s="3"/>
      <c r="WPK140" s="3"/>
      <c r="WPL140" s="3"/>
      <c r="WPM140" s="3"/>
      <c r="WPN140" s="3"/>
      <c r="WPO140" s="3"/>
      <c r="WPP140" s="3"/>
      <c r="WPQ140" s="3"/>
      <c r="WPR140" s="3"/>
      <c r="WPS140" s="3"/>
      <c r="WPT140" s="3"/>
      <c r="WPU140" s="3"/>
      <c r="WPV140" s="3"/>
      <c r="WPW140" s="3"/>
      <c r="WPX140" s="3"/>
      <c r="WPY140" s="3"/>
      <c r="WPZ140" s="3"/>
      <c r="WQA140" s="3"/>
      <c r="WQB140" s="3"/>
      <c r="WQC140" s="3"/>
      <c r="WQD140" s="3"/>
      <c r="WQE140" s="3"/>
      <c r="WQF140" s="3"/>
      <c r="WQG140" s="3"/>
      <c r="WQH140" s="3"/>
      <c r="WQI140" s="3"/>
      <c r="WQJ140" s="3"/>
      <c r="WQK140" s="3"/>
      <c r="WQL140" s="3"/>
      <c r="WQM140" s="3"/>
      <c r="WQN140" s="3"/>
      <c r="WQO140" s="3"/>
      <c r="WQP140" s="3"/>
      <c r="WQQ140" s="3"/>
      <c r="WQR140" s="3"/>
      <c r="WQS140" s="3"/>
      <c r="WQT140" s="3"/>
      <c r="WQU140" s="3"/>
      <c r="WQV140" s="3"/>
      <c r="WQW140" s="3"/>
      <c r="WQX140" s="3"/>
      <c r="WQY140" s="3"/>
      <c r="WQZ140" s="3"/>
      <c r="WRA140" s="3"/>
      <c r="WRB140" s="3"/>
      <c r="WRC140" s="3"/>
      <c r="WRD140" s="3"/>
      <c r="WRE140" s="3"/>
      <c r="WRF140" s="3"/>
      <c r="WRG140" s="3"/>
      <c r="WRH140" s="3"/>
      <c r="WRI140" s="3"/>
      <c r="WRJ140" s="3"/>
      <c r="WRK140" s="3"/>
      <c r="WRL140" s="3"/>
      <c r="WRM140" s="3"/>
      <c r="WRN140" s="3"/>
      <c r="WRO140" s="3"/>
      <c r="WRP140" s="3"/>
      <c r="WRQ140" s="3"/>
      <c r="WRR140" s="3"/>
      <c r="WRS140" s="3"/>
      <c r="WRT140" s="3"/>
      <c r="WRU140" s="3"/>
      <c r="WRV140" s="3"/>
      <c r="WRW140" s="3"/>
      <c r="WRX140" s="3"/>
      <c r="WRY140" s="3"/>
      <c r="WRZ140" s="3"/>
      <c r="WSA140" s="3"/>
      <c r="WSB140" s="3"/>
      <c r="WSC140" s="3"/>
      <c r="WSD140" s="3"/>
      <c r="WSE140" s="3"/>
      <c r="WSF140" s="3"/>
      <c r="WSG140" s="3"/>
      <c r="WSH140" s="3"/>
      <c r="WSI140" s="3"/>
      <c r="WSJ140" s="3"/>
      <c r="WSK140" s="3"/>
      <c r="WSL140" s="3"/>
      <c r="WSM140" s="3"/>
      <c r="WSN140" s="3"/>
      <c r="WSO140" s="3"/>
      <c r="WSP140" s="3"/>
      <c r="WSQ140" s="3"/>
      <c r="WSR140" s="3"/>
      <c r="WSS140" s="3"/>
      <c r="WST140" s="3"/>
      <c r="WSU140" s="3"/>
      <c r="WSV140" s="3"/>
      <c r="WSW140" s="3"/>
      <c r="WSX140" s="3"/>
      <c r="WSY140" s="3"/>
      <c r="WSZ140" s="3"/>
      <c r="WTA140" s="3"/>
      <c r="WTB140" s="3"/>
      <c r="WTC140" s="3"/>
      <c r="WTD140" s="3"/>
      <c r="WTE140" s="3"/>
      <c r="WTF140" s="3"/>
      <c r="WTG140" s="3"/>
      <c r="WTH140" s="3"/>
      <c r="WTI140" s="3"/>
      <c r="WTJ140" s="3"/>
      <c r="WTK140" s="3"/>
      <c r="WTL140" s="3"/>
      <c r="WTM140" s="3"/>
      <c r="WTN140" s="3"/>
      <c r="WTO140" s="3"/>
      <c r="WTP140" s="3"/>
      <c r="WTQ140" s="3"/>
      <c r="WTR140" s="3"/>
      <c r="WTS140" s="3"/>
      <c r="WTT140" s="3"/>
      <c r="WTU140" s="3"/>
      <c r="WTV140" s="3"/>
      <c r="WTW140" s="3"/>
      <c r="WTX140" s="3"/>
      <c r="WTY140" s="3"/>
      <c r="WTZ140" s="3"/>
      <c r="WUA140" s="3"/>
      <c r="WUB140" s="3"/>
      <c r="WUC140" s="3"/>
      <c r="WUD140" s="3"/>
      <c r="WUE140" s="3"/>
      <c r="WUF140" s="3"/>
      <c r="WUG140" s="3"/>
      <c r="WUH140" s="3"/>
      <c r="WUI140" s="3"/>
      <c r="WUJ140" s="3"/>
      <c r="WUK140" s="3"/>
      <c r="WUL140" s="3"/>
      <c r="WUM140" s="3"/>
      <c r="WUN140" s="3"/>
      <c r="WUO140" s="3"/>
      <c r="WUP140" s="3"/>
      <c r="WUQ140" s="3"/>
      <c r="WUR140" s="3"/>
      <c r="WUS140" s="3"/>
      <c r="WUT140" s="3"/>
      <c r="WUU140" s="3"/>
      <c r="WUV140" s="3"/>
      <c r="WUW140" s="3"/>
      <c r="WUX140" s="3"/>
      <c r="WUY140" s="3"/>
      <c r="WUZ140" s="3"/>
      <c r="WVA140" s="3"/>
      <c r="WVB140" s="3"/>
      <c r="WVC140" s="3"/>
      <c r="WVD140" s="3"/>
      <c r="WVE140" s="3"/>
      <c r="WVF140" s="3"/>
      <c r="WVG140" s="3"/>
      <c r="WVH140" s="3"/>
      <c r="WVI140" s="3"/>
      <c r="WVJ140" s="3"/>
      <c r="WVK140" s="3"/>
      <c r="WVL140" s="3"/>
      <c r="WVM140" s="3"/>
      <c r="WVN140" s="3"/>
      <c r="WVO140" s="3"/>
      <c r="WVP140" s="3"/>
      <c r="WVQ140" s="3"/>
      <c r="WVR140" s="3"/>
      <c r="WVS140" s="3"/>
      <c r="WVT140" s="3"/>
      <c r="WVU140" s="3"/>
      <c r="WVV140" s="3"/>
      <c r="WVW140" s="3"/>
      <c r="WVX140" s="3"/>
      <c r="WVY140" s="3"/>
      <c r="WVZ140" s="3"/>
      <c r="WWA140" s="3"/>
      <c r="WWB140" s="3"/>
      <c r="WWC140" s="3"/>
      <c r="WWD140" s="3"/>
      <c r="WWE140" s="3"/>
      <c r="WWF140" s="3"/>
      <c r="WWG140" s="3"/>
      <c r="WWH140" s="3"/>
      <c r="WWI140" s="3"/>
      <c r="WWJ140" s="3"/>
      <c r="WWK140" s="3"/>
      <c r="WWL140" s="3"/>
      <c r="WWM140" s="3"/>
      <c r="WWN140" s="3"/>
      <c r="WWO140" s="3"/>
      <c r="WWP140" s="3"/>
      <c r="WWQ140" s="3"/>
      <c r="WWR140" s="3"/>
      <c r="WWS140" s="3"/>
      <c r="WWT140" s="3"/>
      <c r="WWU140" s="3"/>
      <c r="WWV140" s="3"/>
      <c r="WWW140" s="3"/>
      <c r="WWX140" s="3"/>
      <c r="WWY140" s="3"/>
      <c r="WWZ140" s="3"/>
      <c r="WXA140" s="3"/>
      <c r="WXB140" s="3"/>
      <c r="WXC140" s="3"/>
      <c r="WXD140" s="3"/>
      <c r="WXE140" s="3"/>
      <c r="WXF140" s="3"/>
      <c r="WXG140" s="3"/>
      <c r="WXH140" s="3"/>
      <c r="WXI140" s="3"/>
      <c r="WXJ140" s="3"/>
      <c r="WXK140" s="3"/>
      <c r="WXL140" s="3"/>
      <c r="WXM140" s="3"/>
      <c r="WXN140" s="3"/>
      <c r="WXO140" s="3"/>
      <c r="WXP140" s="3"/>
      <c r="WXQ140" s="3"/>
      <c r="WXR140" s="3"/>
      <c r="WXS140" s="3"/>
      <c r="WXT140" s="3"/>
      <c r="WXU140" s="3"/>
      <c r="WXV140" s="3"/>
      <c r="WXW140" s="3"/>
      <c r="WXX140" s="3"/>
      <c r="WXY140" s="3"/>
      <c r="WXZ140" s="3"/>
      <c r="WYA140" s="3"/>
      <c r="WYB140" s="3"/>
      <c r="WYC140" s="3"/>
      <c r="WYD140" s="3"/>
      <c r="WYE140" s="3"/>
      <c r="WYF140" s="3"/>
      <c r="WYG140" s="3"/>
      <c r="WYH140" s="3"/>
      <c r="WYI140" s="3"/>
      <c r="WYJ140" s="3"/>
      <c r="WYK140" s="3"/>
      <c r="WYL140" s="3"/>
      <c r="WYM140" s="3"/>
      <c r="WYN140" s="3"/>
      <c r="WYO140" s="3"/>
      <c r="WYP140" s="3"/>
      <c r="WYQ140" s="3"/>
      <c r="WYR140" s="3"/>
      <c r="WYS140" s="3"/>
      <c r="WYT140" s="3"/>
      <c r="WYU140" s="3"/>
      <c r="WYV140" s="3"/>
      <c r="WYW140" s="3"/>
      <c r="WYX140" s="3"/>
      <c r="WYY140" s="3"/>
      <c r="WYZ140" s="3"/>
      <c r="WZA140" s="3"/>
      <c r="WZB140" s="3"/>
      <c r="WZC140" s="3"/>
      <c r="WZD140" s="3"/>
      <c r="WZE140" s="3"/>
      <c r="WZF140" s="3"/>
      <c r="WZG140" s="3"/>
      <c r="WZH140" s="3"/>
      <c r="WZI140" s="3"/>
      <c r="WZJ140" s="3"/>
      <c r="WZK140" s="3"/>
      <c r="WZL140" s="3"/>
      <c r="WZM140" s="3"/>
      <c r="WZN140" s="3"/>
      <c r="WZO140" s="3"/>
      <c r="WZP140" s="3"/>
      <c r="WZQ140" s="3"/>
      <c r="WZR140" s="3"/>
      <c r="WZS140" s="3"/>
      <c r="WZT140" s="3"/>
      <c r="WZU140" s="3"/>
      <c r="WZV140" s="3"/>
      <c r="WZW140" s="3"/>
      <c r="WZX140" s="3"/>
      <c r="WZY140" s="3"/>
      <c r="WZZ140" s="3"/>
      <c r="XAA140" s="3"/>
      <c r="XAB140" s="3"/>
      <c r="XAC140" s="3"/>
      <c r="XAD140" s="3"/>
      <c r="XAE140" s="3"/>
      <c r="XAF140" s="3"/>
      <c r="XAG140" s="3"/>
      <c r="XAH140" s="3"/>
      <c r="XAI140" s="3"/>
      <c r="XAJ140" s="3"/>
      <c r="XAK140" s="3"/>
      <c r="XAL140" s="3"/>
      <c r="XAM140" s="3"/>
      <c r="XAN140" s="3"/>
      <c r="XAO140" s="3"/>
      <c r="XAP140" s="3"/>
      <c r="XAQ140" s="3"/>
      <c r="XAR140" s="3"/>
      <c r="XAS140" s="3"/>
      <c r="XAT140" s="3"/>
      <c r="XAU140" s="3"/>
      <c r="XAV140" s="3"/>
      <c r="XAW140" s="3"/>
      <c r="XAX140" s="3"/>
      <c r="XAY140" s="3"/>
      <c r="XAZ140" s="3"/>
      <c r="XBA140" s="3"/>
      <c r="XBB140" s="3"/>
      <c r="XBC140" s="3"/>
      <c r="XBD140" s="3"/>
      <c r="XBE140" s="3"/>
      <c r="XBF140" s="3"/>
      <c r="XBG140" s="3"/>
      <c r="XBH140" s="3"/>
      <c r="XBI140" s="3"/>
      <c r="XBJ140" s="3"/>
      <c r="XBK140" s="3"/>
      <c r="XBL140" s="3"/>
      <c r="XBM140" s="3"/>
      <c r="XBN140" s="3"/>
      <c r="XBO140" s="3"/>
      <c r="XBP140" s="3"/>
      <c r="XBQ140" s="3"/>
      <c r="XBR140" s="3"/>
      <c r="XBS140" s="3"/>
      <c r="XBT140" s="3"/>
      <c r="XBU140" s="3"/>
      <c r="XBV140" s="3"/>
      <c r="XBW140" s="3"/>
      <c r="XBX140" s="3"/>
      <c r="XBY140" s="3"/>
      <c r="XBZ140" s="3"/>
      <c r="XCA140" s="3"/>
      <c r="XCB140" s="3"/>
      <c r="XCC140" s="3"/>
      <c r="XCD140" s="3"/>
      <c r="XCE140" s="3"/>
      <c r="XCF140" s="3"/>
      <c r="XCG140" s="3"/>
      <c r="XCH140" s="3"/>
      <c r="XCI140" s="3"/>
      <c r="XCJ140" s="3"/>
      <c r="XCK140" s="3"/>
      <c r="XCL140" s="3"/>
      <c r="XCM140" s="3"/>
      <c r="XCN140" s="3"/>
      <c r="XCO140" s="3"/>
      <c r="XCP140" s="3"/>
      <c r="XCQ140" s="3"/>
      <c r="XCR140" s="3"/>
      <c r="XCS140" s="3"/>
      <c r="XCT140" s="3"/>
      <c r="XCU140" s="3"/>
      <c r="XCV140" s="3"/>
      <c r="XCW140" s="3"/>
      <c r="XCX140" s="3"/>
      <c r="XCY140" s="3"/>
      <c r="XCZ140" s="3"/>
      <c r="XDA140" s="3"/>
      <c r="XDB140" s="3"/>
      <c r="XDC140" s="3"/>
      <c r="XDD140" s="3"/>
      <c r="XDE140" s="3"/>
      <c r="XDF140" s="3"/>
      <c r="XDG140" s="3"/>
      <c r="XDH140" s="3"/>
      <c r="XDI140" s="3"/>
      <c r="XDJ140" s="3"/>
      <c r="XDK140" s="3"/>
      <c r="XDL140" s="3"/>
      <c r="XDM140" s="3"/>
      <c r="XDN140" s="3"/>
      <c r="XDO140" s="3"/>
      <c r="XDP140" s="3"/>
      <c r="XDQ140" s="3"/>
      <c r="XDR140" s="3"/>
      <c r="XDS140" s="3"/>
      <c r="XDT140" s="3"/>
      <c r="XDU140" s="3"/>
      <c r="XDV140" s="3"/>
      <c r="XDW140" s="3"/>
      <c r="XDX140" s="3"/>
      <c r="XDY140" s="3"/>
      <c r="XDZ140" s="3"/>
      <c r="XEA140" s="3"/>
      <c r="XEB140" s="3"/>
      <c r="XEC140" s="3"/>
      <c r="XED140" s="3"/>
      <c r="XEE140" s="3"/>
      <c r="XEF140" s="3"/>
      <c r="XEG140" s="3"/>
      <c r="XEH140" s="3"/>
      <c r="XEI140" s="3"/>
      <c r="XEJ140" s="3"/>
      <c r="XEK140" s="3"/>
      <c r="XEL140" s="3"/>
      <c r="XEM140" s="3"/>
      <c r="XEN140" s="3"/>
      <c r="XEO140" s="3"/>
      <c r="XEP140" s="3"/>
      <c r="XEQ140" s="3"/>
      <c r="XER140" s="3"/>
      <c r="XES140" s="3"/>
      <c r="XET140" s="3"/>
    </row>
    <row r="141" spans="1:16374" ht="24.95" customHeight="1">
      <c r="A141" s="29" t="s">
        <v>2845</v>
      </c>
      <c r="B141" s="3" t="s">
        <v>1916</v>
      </c>
      <c r="C141" s="3" t="s">
        <v>1917</v>
      </c>
      <c r="D141" s="33" t="s">
        <v>2843</v>
      </c>
      <c r="E141" s="225" t="s">
        <v>1919</v>
      </c>
      <c r="F141" s="3"/>
      <c r="G141" s="30"/>
      <c r="H141" s="223"/>
      <c r="I141" s="223"/>
      <c r="J141" s="3" t="s">
        <v>411</v>
      </c>
      <c r="K141" s="3" t="s">
        <v>411</v>
      </c>
      <c r="L141" s="3"/>
      <c r="M141" s="3" t="s">
        <v>1923</v>
      </c>
      <c r="N141" s="29" t="s">
        <v>2395</v>
      </c>
      <c r="O141" s="29"/>
      <c r="P141" s="3"/>
      <c r="Q141" s="3"/>
      <c r="R141" s="218"/>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3"/>
      <c r="OU141" s="3"/>
      <c r="OV141" s="3"/>
      <c r="OW141" s="3"/>
      <c r="OX141" s="3"/>
      <c r="OY141" s="3"/>
      <c r="OZ141" s="3"/>
      <c r="PA141" s="3"/>
      <c r="PB141" s="3"/>
      <c r="PC141" s="3"/>
      <c r="PD141" s="3"/>
      <c r="PE141" s="3"/>
      <c r="PF141" s="3"/>
      <c r="PG141" s="3"/>
      <c r="PH141" s="3"/>
      <c r="PI141" s="3"/>
      <c r="PJ141" s="3"/>
      <c r="PK141" s="3"/>
      <c r="PL141" s="3"/>
      <c r="PM141" s="3"/>
      <c r="PN141" s="3"/>
      <c r="PO141" s="3"/>
      <c r="PP141" s="3"/>
      <c r="PQ141" s="3"/>
      <c r="PR141" s="3"/>
      <c r="PS141" s="3"/>
      <c r="PT141" s="3"/>
      <c r="PU141" s="3"/>
      <c r="PV141" s="3"/>
      <c r="PW141" s="3"/>
      <c r="PX141" s="3"/>
      <c r="PY141" s="3"/>
      <c r="PZ141" s="3"/>
      <c r="QA141" s="3"/>
      <c r="QB141" s="3"/>
      <c r="QC141" s="3"/>
      <c r="QD141" s="3"/>
      <c r="QE141" s="3"/>
      <c r="QF141" s="3"/>
      <c r="QG141" s="3"/>
      <c r="QH141" s="3"/>
      <c r="QI141" s="3"/>
      <c r="QJ141" s="3"/>
      <c r="QK141" s="3"/>
      <c r="QL141" s="3"/>
      <c r="QM141" s="3"/>
      <c r="QN141" s="3"/>
      <c r="QO141" s="3"/>
      <c r="QP141" s="3"/>
      <c r="QQ141" s="3"/>
      <c r="QR141" s="3"/>
      <c r="QS141" s="3"/>
      <c r="QT141" s="3"/>
      <c r="QU141" s="3"/>
      <c r="QV141" s="3"/>
      <c r="QW141" s="3"/>
      <c r="QX141" s="3"/>
      <c r="QY141" s="3"/>
      <c r="QZ141" s="3"/>
      <c r="RA141" s="3"/>
      <c r="RB141" s="3"/>
      <c r="RC141" s="3"/>
      <c r="RD141" s="3"/>
      <c r="RE141" s="3"/>
      <c r="RF141" s="3"/>
      <c r="RG141" s="3"/>
      <c r="RH141" s="3"/>
      <c r="RI141" s="3"/>
      <c r="RJ141" s="3"/>
      <c r="RK141" s="3"/>
      <c r="RL141" s="3"/>
      <c r="RM141" s="3"/>
      <c r="RN141" s="3"/>
      <c r="RO141" s="3"/>
      <c r="RP141" s="3"/>
      <c r="RQ141" s="3"/>
      <c r="RR141" s="3"/>
      <c r="RS141" s="3"/>
      <c r="RT141" s="3"/>
      <c r="RU141" s="3"/>
      <c r="RV141" s="3"/>
      <c r="RW141" s="3"/>
      <c r="RX141" s="3"/>
      <c r="RY141" s="3"/>
      <c r="RZ141" s="3"/>
      <c r="SA141" s="3"/>
      <c r="SB141" s="3"/>
      <c r="SC141" s="3"/>
      <c r="SD141" s="3"/>
      <c r="SE141" s="3"/>
      <c r="SF141" s="3"/>
      <c r="SG141" s="3"/>
      <c r="SH141" s="3"/>
      <c r="SI141" s="3"/>
      <c r="SJ141" s="3"/>
      <c r="SK141" s="3"/>
      <c r="SL141" s="3"/>
      <c r="SM141" s="3"/>
      <c r="SN141" s="3"/>
      <c r="SO141" s="3"/>
      <c r="SP141" s="3"/>
      <c r="SQ141" s="3"/>
      <c r="SR141" s="3"/>
      <c r="SS141" s="3"/>
      <c r="ST141" s="3"/>
      <c r="SU141" s="3"/>
      <c r="SV141" s="3"/>
      <c r="SW141" s="3"/>
      <c r="SX141" s="3"/>
      <c r="SY141" s="3"/>
      <c r="SZ141" s="3"/>
      <c r="TA141" s="3"/>
      <c r="TB141" s="3"/>
      <c r="TC141" s="3"/>
      <c r="TD141" s="3"/>
      <c r="TE141" s="3"/>
      <c r="TF141" s="3"/>
      <c r="TG141" s="3"/>
      <c r="TH141" s="3"/>
      <c r="TI141" s="3"/>
      <c r="TJ141" s="3"/>
      <c r="TK141" s="3"/>
      <c r="TL141" s="3"/>
      <c r="TM141" s="3"/>
      <c r="TN141" s="3"/>
      <c r="TO141" s="3"/>
      <c r="TP141" s="3"/>
      <c r="TQ141" s="3"/>
      <c r="TR141" s="3"/>
      <c r="TS141" s="3"/>
      <c r="TT141" s="3"/>
      <c r="TU141" s="3"/>
      <c r="TV141" s="3"/>
      <c r="TW141" s="3"/>
      <c r="TX141" s="3"/>
      <c r="TY141" s="3"/>
      <c r="TZ141" s="3"/>
      <c r="UA141" s="3"/>
      <c r="UB141" s="3"/>
      <c r="UC141" s="3"/>
      <c r="UD141" s="3"/>
      <c r="UE141" s="3"/>
      <c r="UF141" s="3"/>
      <c r="UG141" s="3"/>
      <c r="UH141" s="3"/>
      <c r="UI141" s="3"/>
      <c r="UJ141" s="3"/>
      <c r="UK141" s="3"/>
      <c r="UL141" s="3"/>
      <c r="UM141" s="3"/>
      <c r="UN141" s="3"/>
      <c r="UO141" s="3"/>
      <c r="UP141" s="3"/>
      <c r="UQ141" s="3"/>
      <c r="UR141" s="3"/>
      <c r="US141" s="3"/>
      <c r="UT141" s="3"/>
      <c r="UU141" s="3"/>
      <c r="UV141" s="3"/>
      <c r="UW141" s="3"/>
      <c r="UX141" s="3"/>
      <c r="UY141" s="3"/>
      <c r="UZ141" s="3"/>
      <c r="VA141" s="3"/>
      <c r="VB141" s="3"/>
      <c r="VC141" s="3"/>
      <c r="VD141" s="3"/>
      <c r="VE141" s="3"/>
      <c r="VF141" s="3"/>
      <c r="VG141" s="3"/>
      <c r="VH141" s="3"/>
      <c r="VI141" s="3"/>
      <c r="VJ141" s="3"/>
      <c r="VK141" s="3"/>
      <c r="VL141" s="3"/>
      <c r="VM141" s="3"/>
      <c r="VN141" s="3"/>
      <c r="VO141" s="3"/>
      <c r="VP141" s="3"/>
      <c r="VQ141" s="3"/>
      <c r="VR141" s="3"/>
      <c r="VS141" s="3"/>
      <c r="VT141" s="3"/>
      <c r="VU141" s="3"/>
      <c r="VV141" s="3"/>
      <c r="VW141" s="3"/>
      <c r="VX141" s="3"/>
      <c r="VY141" s="3"/>
      <c r="VZ141" s="3"/>
      <c r="WA141" s="3"/>
      <c r="WB141" s="3"/>
      <c r="WC141" s="3"/>
      <c r="WD141" s="3"/>
      <c r="WE141" s="3"/>
      <c r="WF141" s="3"/>
      <c r="WG141" s="3"/>
      <c r="WH141" s="3"/>
      <c r="WI141" s="3"/>
      <c r="WJ141" s="3"/>
      <c r="WK141" s="3"/>
      <c r="WL141" s="3"/>
      <c r="WM141" s="3"/>
      <c r="WN141" s="3"/>
      <c r="WO141" s="3"/>
      <c r="WP141" s="3"/>
      <c r="WQ141" s="3"/>
      <c r="WR141" s="3"/>
      <c r="WS141" s="3"/>
      <c r="WT141" s="3"/>
      <c r="WU141" s="3"/>
      <c r="WV141" s="3"/>
      <c r="WW141" s="3"/>
      <c r="WX141" s="3"/>
      <c r="WY141" s="3"/>
      <c r="WZ141" s="3"/>
      <c r="XA141" s="3"/>
      <c r="XB141" s="3"/>
      <c r="XC141" s="3"/>
      <c r="XD141" s="3"/>
      <c r="XE141" s="3"/>
      <c r="XF141" s="3"/>
      <c r="XG141" s="3"/>
      <c r="XH141" s="3"/>
      <c r="XI141" s="3"/>
      <c r="XJ141" s="3"/>
      <c r="XK141" s="3"/>
      <c r="XL141" s="3"/>
      <c r="XM141" s="3"/>
      <c r="XN141" s="3"/>
      <c r="XO141" s="3"/>
      <c r="XP141" s="3"/>
      <c r="XQ141" s="3"/>
      <c r="XR141" s="3"/>
      <c r="XS141" s="3"/>
      <c r="XT141" s="3"/>
      <c r="XU141" s="3"/>
      <c r="XV141" s="3"/>
      <c r="XW141" s="3"/>
      <c r="XX141" s="3"/>
      <c r="XY141" s="3"/>
      <c r="XZ141" s="3"/>
      <c r="YA141" s="3"/>
      <c r="YB141" s="3"/>
      <c r="YC141" s="3"/>
      <c r="YD141" s="3"/>
      <c r="YE141" s="3"/>
      <c r="YF141" s="3"/>
      <c r="YG141" s="3"/>
      <c r="YH141" s="3"/>
      <c r="YI141" s="3"/>
      <c r="YJ141" s="3"/>
      <c r="YK141" s="3"/>
      <c r="YL141" s="3"/>
      <c r="YM141" s="3"/>
      <c r="YN141" s="3"/>
      <c r="YO141" s="3"/>
      <c r="YP141" s="3"/>
      <c r="YQ141" s="3"/>
      <c r="YR141" s="3"/>
      <c r="YS141" s="3"/>
      <c r="YT141" s="3"/>
      <c r="YU141" s="3"/>
      <c r="YV141" s="3"/>
      <c r="YW141" s="3"/>
      <c r="YX141" s="3"/>
      <c r="YY141" s="3"/>
      <c r="YZ141" s="3"/>
      <c r="ZA141" s="3"/>
      <c r="ZB141" s="3"/>
      <c r="ZC141" s="3"/>
      <c r="ZD141" s="3"/>
      <c r="ZE141" s="3"/>
      <c r="ZF141" s="3"/>
      <c r="ZG141" s="3"/>
      <c r="ZH141" s="3"/>
      <c r="ZI141" s="3"/>
      <c r="ZJ141" s="3"/>
      <c r="ZK141" s="3"/>
      <c r="ZL141" s="3"/>
      <c r="ZM141" s="3"/>
      <c r="ZN141" s="3"/>
      <c r="ZO141" s="3"/>
      <c r="ZP141" s="3"/>
      <c r="ZQ141" s="3"/>
      <c r="ZR141" s="3"/>
      <c r="ZS141" s="3"/>
      <c r="ZT141" s="3"/>
      <c r="ZU141" s="3"/>
      <c r="ZV141" s="3"/>
      <c r="ZW141" s="3"/>
      <c r="ZX141" s="3"/>
      <c r="ZY141" s="3"/>
      <c r="ZZ141" s="3"/>
      <c r="AAA141" s="3"/>
      <c r="AAB141" s="3"/>
      <c r="AAC141" s="3"/>
      <c r="AAD141" s="3"/>
      <c r="AAE141" s="3"/>
      <c r="AAF141" s="3"/>
      <c r="AAG141" s="3"/>
      <c r="AAH141" s="3"/>
      <c r="AAI141" s="3"/>
      <c r="AAJ141" s="3"/>
      <c r="AAK141" s="3"/>
      <c r="AAL141" s="3"/>
      <c r="AAM141" s="3"/>
      <c r="AAN141" s="3"/>
      <c r="AAO141" s="3"/>
      <c r="AAP141" s="3"/>
      <c r="AAQ141" s="3"/>
      <c r="AAR141" s="3"/>
      <c r="AAS141" s="3"/>
      <c r="AAT141" s="3"/>
      <c r="AAU141" s="3"/>
      <c r="AAV141" s="3"/>
      <c r="AAW141" s="3"/>
      <c r="AAX141" s="3"/>
      <c r="AAY141" s="3"/>
      <c r="AAZ141" s="3"/>
      <c r="ABA141" s="3"/>
      <c r="ABB141" s="3"/>
      <c r="ABC141" s="3"/>
      <c r="ABD141" s="3"/>
      <c r="ABE141" s="3"/>
      <c r="ABF141" s="3"/>
      <c r="ABG141" s="3"/>
      <c r="ABH141" s="3"/>
      <c r="ABI141" s="3"/>
      <c r="ABJ141" s="3"/>
      <c r="ABK141" s="3"/>
      <c r="ABL141" s="3"/>
      <c r="ABM141" s="3"/>
      <c r="ABN141" s="3"/>
      <c r="ABO141" s="3"/>
      <c r="ABP141" s="3"/>
      <c r="ABQ141" s="3"/>
      <c r="ABR141" s="3"/>
      <c r="ABS141" s="3"/>
      <c r="ABT141" s="3"/>
      <c r="ABU141" s="3"/>
      <c r="ABV141" s="3"/>
      <c r="ABW141" s="3"/>
      <c r="ABX141" s="3"/>
      <c r="ABY141" s="3"/>
      <c r="ABZ141" s="3"/>
      <c r="ACA141" s="3"/>
      <c r="ACB141" s="3"/>
      <c r="ACC141" s="3"/>
      <c r="ACD141" s="3"/>
      <c r="ACE141" s="3"/>
      <c r="ACF141" s="3"/>
      <c r="ACG141" s="3"/>
      <c r="ACH141" s="3"/>
      <c r="ACI141" s="3"/>
      <c r="ACJ141" s="3"/>
      <c r="ACK141" s="3"/>
      <c r="ACL141" s="3"/>
      <c r="ACM141" s="3"/>
      <c r="ACN141" s="3"/>
      <c r="ACO141" s="3"/>
      <c r="ACP141" s="3"/>
      <c r="ACQ141" s="3"/>
      <c r="ACR141" s="3"/>
      <c r="ACS141" s="3"/>
      <c r="ACT141" s="3"/>
      <c r="ACU141" s="3"/>
      <c r="ACV141" s="3"/>
      <c r="ACW141" s="3"/>
      <c r="ACX141" s="3"/>
      <c r="ACY141" s="3"/>
      <c r="ACZ141" s="3"/>
      <c r="ADA141" s="3"/>
      <c r="ADB141" s="3"/>
      <c r="ADC141" s="3"/>
      <c r="ADD141" s="3"/>
      <c r="ADE141" s="3"/>
      <c r="ADF141" s="3"/>
      <c r="ADG141" s="3"/>
      <c r="ADH141" s="3"/>
      <c r="ADI141" s="3"/>
      <c r="ADJ141" s="3"/>
      <c r="ADK141" s="3"/>
      <c r="ADL141" s="3"/>
      <c r="ADM141" s="3"/>
      <c r="ADN141" s="3"/>
      <c r="ADO141" s="3"/>
      <c r="ADP141" s="3"/>
      <c r="ADQ141" s="3"/>
      <c r="ADR141" s="3"/>
      <c r="ADS141" s="3"/>
      <c r="ADT141" s="3"/>
      <c r="ADU141" s="3"/>
      <c r="ADV141" s="3"/>
      <c r="ADW141" s="3"/>
      <c r="ADX141" s="3"/>
      <c r="ADY141" s="3"/>
      <c r="ADZ141" s="3"/>
      <c r="AEA141" s="3"/>
      <c r="AEB141" s="3"/>
      <c r="AEC141" s="3"/>
      <c r="AED141" s="3"/>
      <c r="AEE141" s="3"/>
      <c r="AEF141" s="3"/>
      <c r="AEG141" s="3"/>
      <c r="AEH141" s="3"/>
      <c r="AEI141" s="3"/>
      <c r="AEJ141" s="3"/>
      <c r="AEK141" s="3"/>
      <c r="AEL141" s="3"/>
      <c r="AEM141" s="3"/>
      <c r="AEN141" s="3"/>
      <c r="AEO141" s="3"/>
      <c r="AEP141" s="3"/>
      <c r="AEQ141" s="3"/>
      <c r="AER141" s="3"/>
      <c r="AES141" s="3"/>
      <c r="AET141" s="3"/>
      <c r="AEU141" s="3"/>
      <c r="AEV141" s="3"/>
      <c r="AEW141" s="3"/>
      <c r="AEX141" s="3"/>
      <c r="AEY141" s="3"/>
      <c r="AEZ141" s="3"/>
      <c r="AFA141" s="3"/>
      <c r="AFB141" s="3"/>
      <c r="AFC141" s="3"/>
      <c r="AFD141" s="3"/>
      <c r="AFE141" s="3"/>
      <c r="AFF141" s="3"/>
      <c r="AFG141" s="3"/>
      <c r="AFH141" s="3"/>
      <c r="AFI141" s="3"/>
      <c r="AFJ141" s="3"/>
      <c r="AFK141" s="3"/>
      <c r="AFL141" s="3"/>
      <c r="AFM141" s="3"/>
      <c r="AFN141" s="3"/>
      <c r="AFO141" s="3"/>
      <c r="AFP141" s="3"/>
      <c r="AFQ141" s="3"/>
      <c r="AFR141" s="3"/>
      <c r="AFS141" s="3"/>
      <c r="AFT141" s="3"/>
      <c r="AFU141" s="3"/>
      <c r="AFV141" s="3"/>
      <c r="AFW141" s="3"/>
      <c r="AFX141" s="3"/>
      <c r="AFY141" s="3"/>
      <c r="AFZ141" s="3"/>
      <c r="AGA141" s="3"/>
      <c r="AGB141" s="3"/>
      <c r="AGC141" s="3"/>
      <c r="AGD141" s="3"/>
      <c r="AGE141" s="3"/>
      <c r="AGF141" s="3"/>
      <c r="AGG141" s="3"/>
      <c r="AGH141" s="3"/>
      <c r="AGI141" s="3"/>
      <c r="AGJ141" s="3"/>
      <c r="AGK141" s="3"/>
      <c r="AGL141" s="3"/>
      <c r="AGM141" s="3"/>
      <c r="AGN141" s="3"/>
      <c r="AGO141" s="3"/>
      <c r="AGP141" s="3"/>
      <c r="AGQ141" s="3"/>
      <c r="AGR141" s="3"/>
      <c r="AGS141" s="3"/>
      <c r="AGT141" s="3"/>
      <c r="AGU141" s="3"/>
      <c r="AGV141" s="3"/>
      <c r="AGW141" s="3"/>
      <c r="AGX141" s="3"/>
      <c r="AGY141" s="3"/>
      <c r="AGZ141" s="3"/>
      <c r="AHA141" s="3"/>
      <c r="AHB141" s="3"/>
      <c r="AHC141" s="3"/>
      <c r="AHD141" s="3"/>
      <c r="AHE141" s="3"/>
      <c r="AHF141" s="3"/>
      <c r="AHG141" s="3"/>
      <c r="AHH141" s="3"/>
      <c r="AHI141" s="3"/>
      <c r="AHJ141" s="3"/>
      <c r="AHK141" s="3"/>
      <c r="AHL141" s="3"/>
      <c r="AHM141" s="3"/>
      <c r="AHN141" s="3"/>
      <c r="AHO141" s="3"/>
      <c r="AHP141" s="3"/>
      <c r="AHQ141" s="3"/>
      <c r="AHR141" s="3"/>
      <c r="AHS141" s="3"/>
      <c r="AHT141" s="3"/>
      <c r="AHU141" s="3"/>
      <c r="AHV141" s="3"/>
      <c r="AHW141" s="3"/>
      <c r="AHX141" s="3"/>
      <c r="AHY141" s="3"/>
      <c r="AHZ141" s="3"/>
      <c r="AIA141" s="3"/>
      <c r="AIB141" s="3"/>
      <c r="AIC141" s="3"/>
      <c r="AID141" s="3"/>
      <c r="AIE141" s="3"/>
      <c r="AIF141" s="3"/>
      <c r="AIG141" s="3"/>
      <c r="AIH141" s="3"/>
      <c r="AII141" s="3"/>
      <c r="AIJ141" s="3"/>
      <c r="AIK141" s="3"/>
      <c r="AIL141" s="3"/>
      <c r="AIM141" s="3"/>
      <c r="AIN141" s="3"/>
      <c r="AIO141" s="3"/>
      <c r="AIP141" s="3"/>
      <c r="AIQ141" s="3"/>
      <c r="AIR141" s="3"/>
      <c r="AIS141" s="3"/>
      <c r="AIT141" s="3"/>
      <c r="AIU141" s="3"/>
      <c r="AIV141" s="3"/>
      <c r="AIW141" s="3"/>
      <c r="AIX141" s="3"/>
      <c r="AIY141" s="3"/>
      <c r="AIZ141" s="3"/>
      <c r="AJA141" s="3"/>
      <c r="AJB141" s="3"/>
      <c r="AJC141" s="3"/>
      <c r="AJD141" s="3"/>
      <c r="AJE141" s="3"/>
      <c r="AJF141" s="3"/>
      <c r="AJG141" s="3"/>
      <c r="AJH141" s="3"/>
      <c r="AJI141" s="3"/>
      <c r="AJJ141" s="3"/>
      <c r="AJK141" s="3"/>
      <c r="AJL141" s="3"/>
      <c r="AJM141" s="3"/>
      <c r="AJN141" s="3"/>
      <c r="AJO141" s="3"/>
      <c r="AJP141" s="3"/>
      <c r="AJQ141" s="3"/>
      <c r="AJR141" s="3"/>
      <c r="AJS141" s="3"/>
      <c r="AJT141" s="3"/>
      <c r="AJU141" s="3"/>
      <c r="AJV141" s="3"/>
      <c r="AJW141" s="3"/>
      <c r="AJX141" s="3"/>
      <c r="AJY141" s="3"/>
      <c r="AJZ141" s="3"/>
      <c r="AKA141" s="3"/>
      <c r="AKB141" s="3"/>
      <c r="AKC141" s="3"/>
      <c r="AKD141" s="3"/>
      <c r="AKE141" s="3"/>
      <c r="AKF141" s="3"/>
      <c r="AKG141" s="3"/>
      <c r="AKH141" s="3"/>
      <c r="AKI141" s="3"/>
      <c r="AKJ141" s="3"/>
      <c r="AKK141" s="3"/>
      <c r="AKL141" s="3"/>
      <c r="AKM141" s="3"/>
      <c r="AKN141" s="3"/>
      <c r="AKO141" s="3"/>
      <c r="AKP141" s="3"/>
      <c r="AKQ141" s="3"/>
      <c r="AKR141" s="3"/>
      <c r="AKS141" s="3"/>
      <c r="AKT141" s="3"/>
      <c r="AKU141" s="3"/>
      <c r="AKV141" s="3"/>
      <c r="AKW141" s="3"/>
      <c r="AKX141" s="3"/>
      <c r="AKY141" s="3"/>
      <c r="AKZ141" s="3"/>
      <c r="ALA141" s="3"/>
      <c r="ALB141" s="3"/>
      <c r="ALC141" s="3"/>
      <c r="ALD141" s="3"/>
      <c r="ALE141" s="3"/>
      <c r="ALF141" s="3"/>
      <c r="ALG141" s="3"/>
      <c r="ALH141" s="3"/>
      <c r="ALI141" s="3"/>
      <c r="ALJ141" s="3"/>
      <c r="ALK141" s="3"/>
      <c r="ALL141" s="3"/>
      <c r="ALM141" s="3"/>
      <c r="ALN141" s="3"/>
      <c r="ALO141" s="3"/>
      <c r="ALP141" s="3"/>
      <c r="ALQ141" s="3"/>
      <c r="ALR141" s="3"/>
      <c r="ALS141" s="3"/>
      <c r="ALT141" s="3"/>
      <c r="ALU141" s="3"/>
      <c r="ALV141" s="3"/>
      <c r="ALW141" s="3"/>
      <c r="ALX141" s="3"/>
      <c r="ALY141" s="3"/>
      <c r="ALZ141" s="3"/>
      <c r="AMA141" s="3"/>
      <c r="AMB141" s="3"/>
      <c r="AMC141" s="3"/>
      <c r="AMD141" s="3"/>
      <c r="AME141" s="3"/>
      <c r="AMF141" s="3"/>
      <c r="AMG141" s="3"/>
      <c r="AMH141" s="3"/>
      <c r="AMI141" s="3"/>
      <c r="AMJ141" s="3"/>
      <c r="AMK141" s="3"/>
      <c r="AML141" s="3"/>
      <c r="AMM141" s="3"/>
      <c r="AMN141" s="3"/>
      <c r="AMO141" s="3"/>
      <c r="AMP141" s="3"/>
      <c r="AMQ141" s="3"/>
      <c r="AMR141" s="3"/>
      <c r="AMS141" s="3"/>
      <c r="AMT141" s="3"/>
      <c r="AMU141" s="3"/>
      <c r="AMV141" s="3"/>
      <c r="AMW141" s="3"/>
      <c r="AMX141" s="3"/>
      <c r="AMY141" s="3"/>
      <c r="AMZ141" s="3"/>
      <c r="ANA141" s="3"/>
      <c r="ANB141" s="3"/>
      <c r="ANC141" s="3"/>
      <c r="AND141" s="3"/>
      <c r="ANE141" s="3"/>
      <c r="ANF141" s="3"/>
      <c r="ANG141" s="3"/>
      <c r="ANH141" s="3"/>
      <c r="ANI141" s="3"/>
      <c r="ANJ141" s="3"/>
      <c r="ANK141" s="3"/>
      <c r="ANL141" s="3"/>
      <c r="ANM141" s="3"/>
      <c r="ANN141" s="3"/>
      <c r="ANO141" s="3"/>
      <c r="ANP141" s="3"/>
      <c r="ANQ141" s="3"/>
      <c r="ANR141" s="3"/>
      <c r="ANS141" s="3"/>
      <c r="ANT141" s="3"/>
      <c r="ANU141" s="3"/>
      <c r="ANV141" s="3"/>
      <c r="ANW141" s="3"/>
      <c r="ANX141" s="3"/>
      <c r="ANY141" s="3"/>
      <c r="ANZ141" s="3"/>
      <c r="AOA141" s="3"/>
      <c r="AOB141" s="3"/>
      <c r="AOC141" s="3"/>
      <c r="AOD141" s="3"/>
      <c r="AOE141" s="3"/>
      <c r="AOF141" s="3"/>
      <c r="AOG141" s="3"/>
      <c r="AOH141" s="3"/>
      <c r="AOI141" s="3"/>
      <c r="AOJ141" s="3"/>
      <c r="AOK141" s="3"/>
      <c r="AOL141" s="3"/>
      <c r="AOM141" s="3"/>
      <c r="AON141" s="3"/>
      <c r="AOO141" s="3"/>
      <c r="AOP141" s="3"/>
      <c r="AOQ141" s="3"/>
      <c r="AOR141" s="3"/>
      <c r="AOS141" s="3"/>
      <c r="AOT141" s="3"/>
      <c r="AOU141" s="3"/>
      <c r="AOV141" s="3"/>
      <c r="AOW141" s="3"/>
      <c r="AOX141" s="3"/>
      <c r="AOY141" s="3"/>
      <c r="AOZ141" s="3"/>
      <c r="APA141" s="3"/>
      <c r="APB141" s="3"/>
      <c r="APC141" s="3"/>
      <c r="APD141" s="3"/>
      <c r="APE141" s="3"/>
      <c r="APF141" s="3"/>
      <c r="APG141" s="3"/>
      <c r="APH141" s="3"/>
      <c r="API141" s="3"/>
      <c r="APJ141" s="3"/>
      <c r="APK141" s="3"/>
      <c r="APL141" s="3"/>
      <c r="APM141" s="3"/>
      <c r="APN141" s="3"/>
      <c r="APO141" s="3"/>
      <c r="APP141" s="3"/>
      <c r="APQ141" s="3"/>
      <c r="APR141" s="3"/>
      <c r="APS141" s="3"/>
      <c r="APT141" s="3"/>
      <c r="APU141" s="3"/>
      <c r="APV141" s="3"/>
      <c r="APW141" s="3"/>
      <c r="APX141" s="3"/>
      <c r="APY141" s="3"/>
      <c r="APZ141" s="3"/>
      <c r="AQA141" s="3"/>
      <c r="AQB141" s="3"/>
      <c r="AQC141" s="3"/>
      <c r="AQD141" s="3"/>
      <c r="AQE141" s="3"/>
      <c r="AQF141" s="3"/>
      <c r="AQG141" s="3"/>
      <c r="AQH141" s="3"/>
      <c r="AQI141" s="3"/>
      <c r="AQJ141" s="3"/>
      <c r="AQK141" s="3"/>
      <c r="AQL141" s="3"/>
      <c r="AQM141" s="3"/>
      <c r="AQN141" s="3"/>
      <c r="AQO141" s="3"/>
      <c r="AQP141" s="3"/>
      <c r="AQQ141" s="3"/>
      <c r="AQR141" s="3"/>
      <c r="AQS141" s="3"/>
      <c r="AQT141" s="3"/>
      <c r="AQU141" s="3"/>
      <c r="AQV141" s="3"/>
      <c r="AQW141" s="3"/>
      <c r="AQX141" s="3"/>
      <c r="AQY141" s="3"/>
      <c r="AQZ141" s="3"/>
      <c r="ARA141" s="3"/>
      <c r="ARB141" s="3"/>
      <c r="ARC141" s="3"/>
      <c r="ARD141" s="3"/>
      <c r="ARE141" s="3"/>
      <c r="ARF141" s="3"/>
      <c r="ARG141" s="3"/>
      <c r="ARH141" s="3"/>
      <c r="ARI141" s="3"/>
      <c r="ARJ141" s="3"/>
      <c r="ARK141" s="3"/>
      <c r="ARL141" s="3"/>
      <c r="ARM141" s="3"/>
      <c r="ARN141" s="3"/>
      <c r="ARO141" s="3"/>
      <c r="ARP141" s="3"/>
      <c r="ARQ141" s="3"/>
      <c r="ARR141" s="3"/>
      <c r="ARS141" s="3"/>
      <c r="ART141" s="3"/>
      <c r="ARU141" s="3"/>
      <c r="ARV141" s="3"/>
      <c r="ARW141" s="3"/>
      <c r="ARX141" s="3"/>
      <c r="ARY141" s="3"/>
      <c r="ARZ141" s="3"/>
      <c r="ASA141" s="3"/>
      <c r="ASB141" s="3"/>
      <c r="ASC141" s="3"/>
      <c r="ASD141" s="3"/>
      <c r="ASE141" s="3"/>
      <c r="ASF141" s="3"/>
      <c r="ASG141" s="3"/>
      <c r="ASH141" s="3"/>
      <c r="ASI141" s="3"/>
      <c r="ASJ141" s="3"/>
      <c r="ASK141" s="3"/>
      <c r="ASL141" s="3"/>
      <c r="ASM141" s="3"/>
      <c r="ASN141" s="3"/>
      <c r="ASO141" s="3"/>
      <c r="ASP141" s="3"/>
      <c r="ASQ141" s="3"/>
      <c r="ASR141" s="3"/>
      <c r="ASS141" s="3"/>
      <c r="AST141" s="3"/>
      <c r="ASU141" s="3"/>
      <c r="ASV141" s="3"/>
      <c r="ASW141" s="3"/>
      <c r="ASX141" s="3"/>
      <c r="ASY141" s="3"/>
      <c r="ASZ141" s="3"/>
      <c r="ATA141" s="3"/>
      <c r="ATB141" s="3"/>
      <c r="ATC141" s="3"/>
      <c r="ATD141" s="3"/>
      <c r="ATE141" s="3"/>
      <c r="ATF141" s="3"/>
      <c r="ATG141" s="3"/>
      <c r="ATH141" s="3"/>
      <c r="ATI141" s="3"/>
      <c r="ATJ141" s="3"/>
      <c r="ATK141" s="3"/>
      <c r="ATL141" s="3"/>
      <c r="ATM141" s="3"/>
      <c r="ATN141" s="3"/>
      <c r="ATO141" s="3"/>
      <c r="ATP141" s="3"/>
      <c r="ATQ141" s="3"/>
      <c r="ATR141" s="3"/>
      <c r="ATS141" s="3"/>
      <c r="ATT141" s="3"/>
      <c r="ATU141" s="3"/>
      <c r="ATV141" s="3"/>
      <c r="ATW141" s="3"/>
      <c r="ATX141" s="3"/>
      <c r="ATY141" s="3"/>
      <c r="ATZ141" s="3"/>
      <c r="AUA141" s="3"/>
      <c r="AUB141" s="3"/>
      <c r="AUC141" s="3"/>
      <c r="AUD141" s="3"/>
      <c r="AUE141" s="3"/>
      <c r="AUF141" s="3"/>
      <c r="AUG141" s="3"/>
      <c r="AUH141" s="3"/>
      <c r="AUI141" s="3"/>
      <c r="AUJ141" s="3"/>
      <c r="AUK141" s="3"/>
      <c r="AUL141" s="3"/>
      <c r="AUM141" s="3"/>
      <c r="AUN141" s="3"/>
      <c r="AUO141" s="3"/>
      <c r="AUP141" s="3"/>
      <c r="AUQ141" s="3"/>
      <c r="AUR141" s="3"/>
      <c r="AUS141" s="3"/>
      <c r="AUT141" s="3"/>
      <c r="AUU141" s="3"/>
      <c r="AUV141" s="3"/>
      <c r="AUW141" s="3"/>
      <c r="AUX141" s="3"/>
      <c r="AUY141" s="3"/>
      <c r="AUZ141" s="3"/>
      <c r="AVA141" s="3"/>
      <c r="AVB141" s="3"/>
      <c r="AVC141" s="3"/>
      <c r="AVD141" s="3"/>
      <c r="AVE141" s="3"/>
      <c r="AVF141" s="3"/>
      <c r="AVG141" s="3"/>
      <c r="AVH141" s="3"/>
      <c r="AVI141" s="3"/>
      <c r="AVJ141" s="3"/>
      <c r="AVK141" s="3"/>
      <c r="AVL141" s="3"/>
      <c r="AVM141" s="3"/>
      <c r="AVN141" s="3"/>
      <c r="AVO141" s="3"/>
      <c r="AVP141" s="3"/>
      <c r="AVQ141" s="3"/>
      <c r="AVR141" s="3"/>
      <c r="AVS141" s="3"/>
      <c r="AVT141" s="3"/>
      <c r="AVU141" s="3"/>
      <c r="AVV141" s="3"/>
      <c r="AVW141" s="3"/>
      <c r="AVX141" s="3"/>
      <c r="AVY141" s="3"/>
      <c r="AVZ141" s="3"/>
      <c r="AWA141" s="3"/>
      <c r="AWB141" s="3"/>
      <c r="AWC141" s="3"/>
      <c r="AWD141" s="3"/>
      <c r="AWE141" s="3"/>
      <c r="AWF141" s="3"/>
      <c r="AWG141" s="3"/>
      <c r="AWH141" s="3"/>
      <c r="AWI141" s="3"/>
      <c r="AWJ141" s="3"/>
      <c r="AWK141" s="3"/>
      <c r="AWL141" s="3"/>
      <c r="AWM141" s="3"/>
      <c r="AWN141" s="3"/>
      <c r="AWO141" s="3"/>
      <c r="AWP141" s="3"/>
      <c r="AWQ141" s="3"/>
      <c r="AWR141" s="3"/>
      <c r="AWS141" s="3"/>
      <c r="AWT141" s="3"/>
      <c r="AWU141" s="3"/>
      <c r="AWV141" s="3"/>
      <c r="AWW141" s="3"/>
      <c r="AWX141" s="3"/>
      <c r="AWY141" s="3"/>
      <c r="AWZ141" s="3"/>
      <c r="AXA141" s="3"/>
      <c r="AXB141" s="3"/>
      <c r="AXC141" s="3"/>
      <c r="AXD141" s="3"/>
      <c r="AXE141" s="3"/>
      <c r="AXF141" s="3"/>
      <c r="AXG141" s="3"/>
      <c r="AXH141" s="3"/>
      <c r="AXI141" s="3"/>
      <c r="AXJ141" s="3"/>
      <c r="AXK141" s="3"/>
      <c r="AXL141" s="3"/>
      <c r="AXM141" s="3"/>
      <c r="AXN141" s="3"/>
      <c r="AXO141" s="3"/>
      <c r="AXP141" s="3"/>
      <c r="AXQ141" s="3"/>
      <c r="AXR141" s="3"/>
      <c r="AXS141" s="3"/>
      <c r="AXT141" s="3"/>
      <c r="AXU141" s="3"/>
      <c r="AXV141" s="3"/>
      <c r="AXW141" s="3"/>
      <c r="AXX141" s="3"/>
      <c r="AXY141" s="3"/>
      <c r="AXZ141" s="3"/>
      <c r="AYA141" s="3"/>
      <c r="AYB141" s="3"/>
      <c r="AYC141" s="3"/>
      <c r="AYD141" s="3"/>
      <c r="AYE141" s="3"/>
      <c r="AYF141" s="3"/>
      <c r="AYG141" s="3"/>
      <c r="AYH141" s="3"/>
      <c r="AYI141" s="3"/>
      <c r="AYJ141" s="3"/>
      <c r="AYK141" s="3"/>
      <c r="AYL141" s="3"/>
      <c r="AYM141" s="3"/>
      <c r="AYN141" s="3"/>
      <c r="AYO141" s="3"/>
      <c r="AYP141" s="3"/>
      <c r="AYQ141" s="3"/>
      <c r="AYR141" s="3"/>
      <c r="AYS141" s="3"/>
      <c r="AYT141" s="3"/>
      <c r="AYU141" s="3"/>
      <c r="AYV141" s="3"/>
      <c r="AYW141" s="3"/>
      <c r="AYX141" s="3"/>
      <c r="AYY141" s="3"/>
      <c r="AYZ141" s="3"/>
      <c r="AZA141" s="3"/>
      <c r="AZB141" s="3"/>
      <c r="AZC141" s="3"/>
      <c r="AZD141" s="3"/>
      <c r="AZE141" s="3"/>
      <c r="AZF141" s="3"/>
      <c r="AZG141" s="3"/>
      <c r="AZH141" s="3"/>
      <c r="AZI141" s="3"/>
      <c r="AZJ141" s="3"/>
      <c r="AZK141" s="3"/>
      <c r="AZL141" s="3"/>
      <c r="AZM141" s="3"/>
      <c r="AZN141" s="3"/>
      <c r="AZO141" s="3"/>
      <c r="AZP141" s="3"/>
      <c r="AZQ141" s="3"/>
      <c r="AZR141" s="3"/>
      <c r="AZS141" s="3"/>
      <c r="AZT141" s="3"/>
      <c r="AZU141" s="3"/>
      <c r="AZV141" s="3"/>
      <c r="AZW141" s="3"/>
      <c r="AZX141" s="3"/>
      <c r="AZY141" s="3"/>
      <c r="AZZ141" s="3"/>
      <c r="BAA141" s="3"/>
      <c r="BAB141" s="3"/>
      <c r="BAC141" s="3"/>
      <c r="BAD141" s="3"/>
      <c r="BAE141" s="3"/>
      <c r="BAF141" s="3"/>
      <c r="BAG141" s="3"/>
      <c r="BAH141" s="3"/>
      <c r="BAI141" s="3"/>
      <c r="BAJ141" s="3"/>
      <c r="BAK141" s="3"/>
      <c r="BAL141" s="3"/>
      <c r="BAM141" s="3"/>
      <c r="BAN141" s="3"/>
      <c r="BAO141" s="3"/>
      <c r="BAP141" s="3"/>
      <c r="BAQ141" s="3"/>
      <c r="BAR141" s="3"/>
      <c r="BAS141" s="3"/>
      <c r="BAT141" s="3"/>
      <c r="BAU141" s="3"/>
      <c r="BAV141" s="3"/>
      <c r="BAW141" s="3"/>
      <c r="BAX141" s="3"/>
      <c r="BAY141" s="3"/>
      <c r="BAZ141" s="3"/>
      <c r="BBA141" s="3"/>
      <c r="BBB141" s="3"/>
      <c r="BBC141" s="3"/>
      <c r="BBD141" s="3"/>
      <c r="BBE141" s="3"/>
      <c r="BBF141" s="3"/>
      <c r="BBG141" s="3"/>
      <c r="BBH141" s="3"/>
      <c r="BBI141" s="3"/>
      <c r="BBJ141" s="3"/>
      <c r="BBK141" s="3"/>
      <c r="BBL141" s="3"/>
      <c r="BBM141" s="3"/>
      <c r="BBN141" s="3"/>
      <c r="BBO141" s="3"/>
      <c r="BBP141" s="3"/>
      <c r="BBQ141" s="3"/>
      <c r="BBR141" s="3"/>
      <c r="BBS141" s="3"/>
      <c r="BBT141" s="3"/>
      <c r="BBU141" s="3"/>
      <c r="BBV141" s="3"/>
      <c r="BBW141" s="3"/>
      <c r="BBX141" s="3"/>
      <c r="BBY141" s="3"/>
      <c r="BBZ141" s="3"/>
      <c r="BCA141" s="3"/>
      <c r="BCB141" s="3"/>
      <c r="BCC141" s="3"/>
      <c r="BCD141" s="3"/>
      <c r="BCE141" s="3"/>
      <c r="BCF141" s="3"/>
      <c r="BCG141" s="3"/>
      <c r="BCH141" s="3"/>
      <c r="BCI141" s="3"/>
      <c r="BCJ141" s="3"/>
      <c r="BCK141" s="3"/>
      <c r="BCL141" s="3"/>
      <c r="BCM141" s="3"/>
      <c r="BCN141" s="3"/>
      <c r="BCO141" s="3"/>
      <c r="BCP141" s="3"/>
      <c r="BCQ141" s="3"/>
      <c r="BCR141" s="3"/>
      <c r="BCS141" s="3"/>
      <c r="BCT141" s="3"/>
      <c r="BCU141" s="3"/>
      <c r="BCV141" s="3"/>
      <c r="BCW141" s="3"/>
      <c r="BCX141" s="3"/>
      <c r="BCY141" s="3"/>
      <c r="BCZ141" s="3"/>
      <c r="BDA141" s="3"/>
      <c r="BDB141" s="3"/>
      <c r="BDC141" s="3"/>
      <c r="BDD141" s="3"/>
      <c r="BDE141" s="3"/>
      <c r="BDF141" s="3"/>
      <c r="BDG141" s="3"/>
      <c r="BDH141" s="3"/>
      <c r="BDI141" s="3"/>
      <c r="BDJ141" s="3"/>
      <c r="BDK141" s="3"/>
      <c r="BDL141" s="3"/>
      <c r="BDM141" s="3"/>
      <c r="BDN141" s="3"/>
      <c r="BDO141" s="3"/>
      <c r="BDP141" s="3"/>
      <c r="BDQ141" s="3"/>
      <c r="BDR141" s="3"/>
      <c r="BDS141" s="3"/>
      <c r="BDT141" s="3"/>
      <c r="BDU141" s="3"/>
      <c r="BDV141" s="3"/>
      <c r="BDW141" s="3"/>
      <c r="BDX141" s="3"/>
      <c r="BDY141" s="3"/>
      <c r="BDZ141" s="3"/>
      <c r="BEA141" s="3"/>
      <c r="BEB141" s="3"/>
      <c r="BEC141" s="3"/>
      <c r="BED141" s="3"/>
      <c r="BEE141" s="3"/>
      <c r="BEF141" s="3"/>
      <c r="BEG141" s="3"/>
      <c r="BEH141" s="3"/>
      <c r="BEI141" s="3"/>
      <c r="BEJ141" s="3"/>
      <c r="BEK141" s="3"/>
      <c r="BEL141" s="3"/>
      <c r="BEM141" s="3"/>
      <c r="BEN141" s="3"/>
      <c r="BEO141" s="3"/>
      <c r="BEP141" s="3"/>
      <c r="BEQ141" s="3"/>
      <c r="BER141" s="3"/>
      <c r="BES141" s="3"/>
      <c r="BET141" s="3"/>
      <c r="BEU141" s="3"/>
      <c r="BEV141" s="3"/>
      <c r="BEW141" s="3"/>
      <c r="BEX141" s="3"/>
      <c r="BEY141" s="3"/>
      <c r="BEZ141" s="3"/>
      <c r="BFA141" s="3"/>
      <c r="BFB141" s="3"/>
      <c r="BFC141" s="3"/>
      <c r="BFD141" s="3"/>
      <c r="BFE141" s="3"/>
      <c r="BFF141" s="3"/>
      <c r="BFG141" s="3"/>
      <c r="BFH141" s="3"/>
      <c r="BFI141" s="3"/>
      <c r="BFJ141" s="3"/>
      <c r="BFK141" s="3"/>
      <c r="BFL141" s="3"/>
      <c r="BFM141" s="3"/>
      <c r="BFN141" s="3"/>
      <c r="BFO141" s="3"/>
      <c r="BFP141" s="3"/>
      <c r="BFQ141" s="3"/>
      <c r="BFR141" s="3"/>
      <c r="BFS141" s="3"/>
      <c r="BFT141" s="3"/>
      <c r="BFU141" s="3"/>
      <c r="BFV141" s="3"/>
      <c r="BFW141" s="3"/>
      <c r="BFX141" s="3"/>
      <c r="BFY141" s="3"/>
      <c r="BFZ141" s="3"/>
      <c r="BGA141" s="3"/>
      <c r="BGB141" s="3"/>
      <c r="BGC141" s="3"/>
      <c r="BGD141" s="3"/>
      <c r="BGE141" s="3"/>
      <c r="BGF141" s="3"/>
      <c r="BGG141" s="3"/>
      <c r="BGH141" s="3"/>
      <c r="BGI141" s="3"/>
      <c r="BGJ141" s="3"/>
      <c r="BGK141" s="3"/>
      <c r="BGL141" s="3"/>
      <c r="BGM141" s="3"/>
      <c r="BGN141" s="3"/>
      <c r="BGO141" s="3"/>
      <c r="BGP141" s="3"/>
      <c r="BGQ141" s="3"/>
      <c r="BGR141" s="3"/>
      <c r="BGS141" s="3"/>
      <c r="BGT141" s="3"/>
      <c r="BGU141" s="3"/>
      <c r="BGV141" s="3"/>
      <c r="BGW141" s="3"/>
      <c r="BGX141" s="3"/>
      <c r="BGY141" s="3"/>
      <c r="BGZ141" s="3"/>
      <c r="BHA141" s="3"/>
      <c r="BHB141" s="3"/>
      <c r="BHC141" s="3"/>
      <c r="BHD141" s="3"/>
      <c r="BHE141" s="3"/>
      <c r="BHF141" s="3"/>
      <c r="BHG141" s="3"/>
      <c r="BHH141" s="3"/>
      <c r="BHI141" s="3"/>
      <c r="BHJ141" s="3"/>
      <c r="BHK141" s="3"/>
      <c r="BHL141" s="3"/>
      <c r="BHM141" s="3"/>
      <c r="BHN141" s="3"/>
      <c r="BHO141" s="3"/>
      <c r="BHP141" s="3"/>
      <c r="BHQ141" s="3"/>
      <c r="BHR141" s="3"/>
      <c r="BHS141" s="3"/>
      <c r="BHT141" s="3"/>
      <c r="BHU141" s="3"/>
      <c r="BHV141" s="3"/>
      <c r="BHW141" s="3"/>
      <c r="BHX141" s="3"/>
      <c r="BHY141" s="3"/>
      <c r="BHZ141" s="3"/>
      <c r="BIA141" s="3"/>
      <c r="BIB141" s="3"/>
      <c r="BIC141" s="3"/>
      <c r="BID141" s="3"/>
      <c r="BIE141" s="3"/>
      <c r="BIF141" s="3"/>
      <c r="BIG141" s="3"/>
      <c r="BIH141" s="3"/>
      <c r="BII141" s="3"/>
      <c r="BIJ141" s="3"/>
      <c r="BIK141" s="3"/>
      <c r="BIL141" s="3"/>
      <c r="BIM141" s="3"/>
      <c r="BIN141" s="3"/>
      <c r="BIO141" s="3"/>
      <c r="BIP141" s="3"/>
      <c r="BIQ141" s="3"/>
      <c r="BIR141" s="3"/>
      <c r="BIS141" s="3"/>
      <c r="BIT141" s="3"/>
      <c r="BIU141" s="3"/>
      <c r="BIV141" s="3"/>
      <c r="BIW141" s="3"/>
      <c r="BIX141" s="3"/>
      <c r="BIY141" s="3"/>
      <c r="BIZ141" s="3"/>
      <c r="BJA141" s="3"/>
      <c r="BJB141" s="3"/>
      <c r="BJC141" s="3"/>
      <c r="BJD141" s="3"/>
      <c r="BJE141" s="3"/>
      <c r="BJF141" s="3"/>
      <c r="BJG141" s="3"/>
      <c r="BJH141" s="3"/>
      <c r="BJI141" s="3"/>
      <c r="BJJ141" s="3"/>
      <c r="BJK141" s="3"/>
      <c r="BJL141" s="3"/>
      <c r="BJM141" s="3"/>
      <c r="BJN141" s="3"/>
      <c r="BJO141" s="3"/>
      <c r="BJP141" s="3"/>
      <c r="BJQ141" s="3"/>
      <c r="BJR141" s="3"/>
      <c r="BJS141" s="3"/>
      <c r="BJT141" s="3"/>
      <c r="BJU141" s="3"/>
      <c r="BJV141" s="3"/>
      <c r="BJW141" s="3"/>
      <c r="BJX141" s="3"/>
      <c r="BJY141" s="3"/>
      <c r="BJZ141" s="3"/>
      <c r="BKA141" s="3"/>
      <c r="BKB141" s="3"/>
      <c r="BKC141" s="3"/>
      <c r="BKD141" s="3"/>
      <c r="BKE141" s="3"/>
      <c r="BKF141" s="3"/>
      <c r="BKG141" s="3"/>
      <c r="BKH141" s="3"/>
      <c r="BKI141" s="3"/>
      <c r="BKJ141" s="3"/>
      <c r="BKK141" s="3"/>
      <c r="BKL141" s="3"/>
      <c r="BKM141" s="3"/>
      <c r="BKN141" s="3"/>
      <c r="BKO141" s="3"/>
      <c r="BKP141" s="3"/>
      <c r="BKQ141" s="3"/>
      <c r="BKR141" s="3"/>
      <c r="BKS141" s="3"/>
      <c r="BKT141" s="3"/>
      <c r="BKU141" s="3"/>
      <c r="BKV141" s="3"/>
      <c r="BKW141" s="3"/>
      <c r="BKX141" s="3"/>
      <c r="BKY141" s="3"/>
      <c r="BKZ141" s="3"/>
      <c r="BLA141" s="3"/>
      <c r="BLB141" s="3"/>
      <c r="BLC141" s="3"/>
      <c r="BLD141" s="3"/>
      <c r="BLE141" s="3"/>
      <c r="BLF141" s="3"/>
      <c r="BLG141" s="3"/>
      <c r="BLH141" s="3"/>
      <c r="BLI141" s="3"/>
      <c r="BLJ141" s="3"/>
      <c r="BLK141" s="3"/>
      <c r="BLL141" s="3"/>
      <c r="BLM141" s="3"/>
      <c r="BLN141" s="3"/>
      <c r="BLO141" s="3"/>
      <c r="BLP141" s="3"/>
      <c r="BLQ141" s="3"/>
      <c r="BLR141" s="3"/>
      <c r="BLS141" s="3"/>
      <c r="BLT141" s="3"/>
      <c r="BLU141" s="3"/>
      <c r="BLV141" s="3"/>
      <c r="BLW141" s="3"/>
      <c r="BLX141" s="3"/>
      <c r="BLY141" s="3"/>
      <c r="BLZ141" s="3"/>
      <c r="BMA141" s="3"/>
      <c r="BMB141" s="3"/>
      <c r="BMC141" s="3"/>
      <c r="BMD141" s="3"/>
      <c r="BME141" s="3"/>
      <c r="BMF141" s="3"/>
      <c r="BMG141" s="3"/>
      <c r="BMH141" s="3"/>
      <c r="BMI141" s="3"/>
      <c r="BMJ141" s="3"/>
      <c r="BMK141" s="3"/>
      <c r="BML141" s="3"/>
      <c r="BMM141" s="3"/>
      <c r="BMN141" s="3"/>
      <c r="BMO141" s="3"/>
      <c r="BMP141" s="3"/>
      <c r="BMQ141" s="3"/>
      <c r="BMR141" s="3"/>
      <c r="BMS141" s="3"/>
      <c r="BMT141" s="3"/>
      <c r="BMU141" s="3"/>
      <c r="BMV141" s="3"/>
      <c r="BMW141" s="3"/>
      <c r="BMX141" s="3"/>
      <c r="BMY141" s="3"/>
      <c r="BMZ141" s="3"/>
      <c r="BNA141" s="3"/>
      <c r="BNB141" s="3"/>
      <c r="BNC141" s="3"/>
      <c r="BND141" s="3"/>
      <c r="BNE141" s="3"/>
      <c r="BNF141" s="3"/>
      <c r="BNG141" s="3"/>
      <c r="BNH141" s="3"/>
      <c r="BNI141" s="3"/>
      <c r="BNJ141" s="3"/>
      <c r="BNK141" s="3"/>
      <c r="BNL141" s="3"/>
      <c r="BNM141" s="3"/>
      <c r="BNN141" s="3"/>
      <c r="BNO141" s="3"/>
      <c r="BNP141" s="3"/>
      <c r="BNQ141" s="3"/>
      <c r="BNR141" s="3"/>
      <c r="BNS141" s="3"/>
      <c r="BNT141" s="3"/>
      <c r="BNU141" s="3"/>
      <c r="BNV141" s="3"/>
      <c r="BNW141" s="3"/>
      <c r="BNX141" s="3"/>
      <c r="BNY141" s="3"/>
      <c r="BNZ141" s="3"/>
      <c r="BOA141" s="3"/>
      <c r="BOB141" s="3"/>
      <c r="BOC141" s="3"/>
      <c r="BOD141" s="3"/>
      <c r="BOE141" s="3"/>
      <c r="BOF141" s="3"/>
      <c r="BOG141" s="3"/>
      <c r="BOH141" s="3"/>
      <c r="BOI141" s="3"/>
      <c r="BOJ141" s="3"/>
      <c r="BOK141" s="3"/>
      <c r="BOL141" s="3"/>
      <c r="BOM141" s="3"/>
      <c r="BON141" s="3"/>
      <c r="BOO141" s="3"/>
      <c r="BOP141" s="3"/>
      <c r="BOQ141" s="3"/>
      <c r="BOR141" s="3"/>
      <c r="BOS141" s="3"/>
      <c r="BOT141" s="3"/>
      <c r="BOU141" s="3"/>
      <c r="BOV141" s="3"/>
      <c r="BOW141" s="3"/>
      <c r="BOX141" s="3"/>
      <c r="BOY141" s="3"/>
      <c r="BOZ141" s="3"/>
      <c r="BPA141" s="3"/>
      <c r="BPB141" s="3"/>
      <c r="BPC141" s="3"/>
      <c r="BPD141" s="3"/>
      <c r="BPE141" s="3"/>
      <c r="BPF141" s="3"/>
      <c r="BPG141" s="3"/>
      <c r="BPH141" s="3"/>
      <c r="BPI141" s="3"/>
      <c r="BPJ141" s="3"/>
      <c r="BPK141" s="3"/>
      <c r="BPL141" s="3"/>
      <c r="BPM141" s="3"/>
      <c r="BPN141" s="3"/>
      <c r="BPO141" s="3"/>
      <c r="BPP141" s="3"/>
      <c r="BPQ141" s="3"/>
      <c r="BPR141" s="3"/>
      <c r="BPS141" s="3"/>
      <c r="BPT141" s="3"/>
      <c r="BPU141" s="3"/>
      <c r="BPV141" s="3"/>
      <c r="BPW141" s="3"/>
      <c r="BPX141" s="3"/>
      <c r="BPY141" s="3"/>
      <c r="BPZ141" s="3"/>
      <c r="BQA141" s="3"/>
      <c r="BQB141" s="3"/>
      <c r="BQC141" s="3"/>
      <c r="BQD141" s="3"/>
      <c r="BQE141" s="3"/>
      <c r="BQF141" s="3"/>
      <c r="BQG141" s="3"/>
      <c r="BQH141" s="3"/>
      <c r="BQI141" s="3"/>
      <c r="BQJ141" s="3"/>
      <c r="BQK141" s="3"/>
      <c r="BQL141" s="3"/>
      <c r="BQM141" s="3"/>
      <c r="BQN141" s="3"/>
      <c r="BQO141" s="3"/>
      <c r="BQP141" s="3"/>
      <c r="BQQ141" s="3"/>
      <c r="BQR141" s="3"/>
      <c r="BQS141" s="3"/>
      <c r="BQT141" s="3"/>
      <c r="BQU141" s="3"/>
      <c r="BQV141" s="3"/>
      <c r="BQW141" s="3"/>
      <c r="BQX141" s="3"/>
      <c r="BQY141" s="3"/>
      <c r="BQZ141" s="3"/>
      <c r="BRA141" s="3"/>
      <c r="BRB141" s="3"/>
      <c r="BRC141" s="3"/>
      <c r="BRD141" s="3"/>
      <c r="BRE141" s="3"/>
      <c r="BRF141" s="3"/>
      <c r="BRG141" s="3"/>
      <c r="BRH141" s="3"/>
      <c r="BRI141" s="3"/>
      <c r="BRJ141" s="3"/>
      <c r="BRK141" s="3"/>
      <c r="BRL141" s="3"/>
      <c r="BRM141" s="3"/>
      <c r="BRN141" s="3"/>
      <c r="BRO141" s="3"/>
      <c r="BRP141" s="3"/>
      <c r="BRQ141" s="3"/>
      <c r="BRR141" s="3"/>
      <c r="BRS141" s="3"/>
      <c r="BRT141" s="3"/>
      <c r="BRU141" s="3"/>
      <c r="BRV141" s="3"/>
      <c r="BRW141" s="3"/>
      <c r="BRX141" s="3"/>
      <c r="BRY141" s="3"/>
      <c r="BRZ141" s="3"/>
      <c r="BSA141" s="3"/>
      <c r="BSB141" s="3"/>
      <c r="BSC141" s="3"/>
      <c r="BSD141" s="3"/>
      <c r="BSE141" s="3"/>
      <c r="BSF141" s="3"/>
      <c r="BSG141" s="3"/>
      <c r="BSH141" s="3"/>
      <c r="BSI141" s="3"/>
      <c r="BSJ141" s="3"/>
      <c r="BSK141" s="3"/>
      <c r="BSL141" s="3"/>
      <c r="BSM141" s="3"/>
      <c r="BSN141" s="3"/>
      <c r="BSO141" s="3"/>
      <c r="BSP141" s="3"/>
      <c r="BSQ141" s="3"/>
      <c r="BSR141" s="3"/>
      <c r="BSS141" s="3"/>
      <c r="BST141" s="3"/>
      <c r="BSU141" s="3"/>
      <c r="BSV141" s="3"/>
      <c r="BSW141" s="3"/>
      <c r="BSX141" s="3"/>
      <c r="BSY141" s="3"/>
      <c r="BSZ141" s="3"/>
      <c r="BTA141" s="3"/>
      <c r="BTB141" s="3"/>
      <c r="BTC141" s="3"/>
      <c r="BTD141" s="3"/>
      <c r="BTE141" s="3"/>
      <c r="BTF141" s="3"/>
      <c r="BTG141" s="3"/>
      <c r="BTH141" s="3"/>
      <c r="BTI141" s="3"/>
      <c r="BTJ141" s="3"/>
      <c r="BTK141" s="3"/>
      <c r="BTL141" s="3"/>
      <c r="BTM141" s="3"/>
      <c r="BTN141" s="3"/>
      <c r="BTO141" s="3"/>
      <c r="BTP141" s="3"/>
      <c r="BTQ141" s="3"/>
      <c r="BTR141" s="3"/>
      <c r="BTS141" s="3"/>
      <c r="BTT141" s="3"/>
      <c r="BTU141" s="3"/>
      <c r="BTV141" s="3"/>
      <c r="BTW141" s="3"/>
      <c r="BTX141" s="3"/>
      <c r="BTY141" s="3"/>
      <c r="BTZ141" s="3"/>
      <c r="BUA141" s="3"/>
      <c r="BUB141" s="3"/>
      <c r="BUC141" s="3"/>
      <c r="BUD141" s="3"/>
      <c r="BUE141" s="3"/>
      <c r="BUF141" s="3"/>
      <c r="BUG141" s="3"/>
      <c r="BUH141" s="3"/>
      <c r="BUI141" s="3"/>
      <c r="BUJ141" s="3"/>
      <c r="BUK141" s="3"/>
      <c r="BUL141" s="3"/>
      <c r="BUM141" s="3"/>
      <c r="BUN141" s="3"/>
      <c r="BUO141" s="3"/>
      <c r="BUP141" s="3"/>
      <c r="BUQ141" s="3"/>
      <c r="BUR141" s="3"/>
      <c r="BUS141" s="3"/>
      <c r="BUT141" s="3"/>
      <c r="BUU141" s="3"/>
      <c r="BUV141" s="3"/>
      <c r="BUW141" s="3"/>
      <c r="BUX141" s="3"/>
      <c r="BUY141" s="3"/>
      <c r="BUZ141" s="3"/>
      <c r="BVA141" s="3"/>
      <c r="BVB141" s="3"/>
      <c r="BVC141" s="3"/>
      <c r="BVD141" s="3"/>
      <c r="BVE141" s="3"/>
      <c r="BVF141" s="3"/>
      <c r="BVG141" s="3"/>
      <c r="BVH141" s="3"/>
      <c r="BVI141" s="3"/>
      <c r="BVJ141" s="3"/>
      <c r="BVK141" s="3"/>
      <c r="BVL141" s="3"/>
      <c r="BVM141" s="3"/>
      <c r="BVN141" s="3"/>
      <c r="BVO141" s="3"/>
      <c r="BVP141" s="3"/>
      <c r="BVQ141" s="3"/>
      <c r="BVR141" s="3"/>
      <c r="BVS141" s="3"/>
      <c r="BVT141" s="3"/>
      <c r="BVU141" s="3"/>
      <c r="BVV141" s="3"/>
      <c r="BVW141" s="3"/>
      <c r="BVX141" s="3"/>
      <c r="BVY141" s="3"/>
      <c r="BVZ141" s="3"/>
      <c r="BWA141" s="3"/>
      <c r="BWB141" s="3"/>
      <c r="BWC141" s="3"/>
      <c r="BWD141" s="3"/>
      <c r="BWE141" s="3"/>
      <c r="BWF141" s="3"/>
      <c r="BWG141" s="3"/>
      <c r="BWH141" s="3"/>
      <c r="BWI141" s="3"/>
      <c r="BWJ141" s="3"/>
      <c r="BWK141" s="3"/>
      <c r="BWL141" s="3"/>
      <c r="BWM141" s="3"/>
      <c r="BWN141" s="3"/>
      <c r="BWO141" s="3"/>
      <c r="BWP141" s="3"/>
      <c r="BWQ141" s="3"/>
      <c r="BWR141" s="3"/>
      <c r="BWS141" s="3"/>
      <c r="BWT141" s="3"/>
      <c r="BWU141" s="3"/>
      <c r="BWV141" s="3"/>
      <c r="BWW141" s="3"/>
      <c r="BWX141" s="3"/>
      <c r="BWY141" s="3"/>
      <c r="BWZ141" s="3"/>
      <c r="BXA141" s="3"/>
      <c r="BXB141" s="3"/>
      <c r="BXC141" s="3"/>
      <c r="BXD141" s="3"/>
      <c r="BXE141" s="3"/>
      <c r="BXF141" s="3"/>
      <c r="BXG141" s="3"/>
      <c r="BXH141" s="3"/>
      <c r="BXI141" s="3"/>
      <c r="BXJ141" s="3"/>
      <c r="BXK141" s="3"/>
      <c r="BXL141" s="3"/>
      <c r="BXM141" s="3"/>
      <c r="BXN141" s="3"/>
      <c r="BXO141" s="3"/>
      <c r="BXP141" s="3"/>
      <c r="BXQ141" s="3"/>
      <c r="BXR141" s="3"/>
      <c r="BXS141" s="3"/>
      <c r="BXT141" s="3"/>
      <c r="BXU141" s="3"/>
      <c r="BXV141" s="3"/>
      <c r="BXW141" s="3"/>
      <c r="BXX141" s="3"/>
      <c r="BXY141" s="3"/>
      <c r="BXZ141" s="3"/>
      <c r="BYA141" s="3"/>
      <c r="BYB141" s="3"/>
      <c r="BYC141" s="3"/>
      <c r="BYD141" s="3"/>
      <c r="BYE141" s="3"/>
      <c r="BYF141" s="3"/>
      <c r="BYG141" s="3"/>
      <c r="BYH141" s="3"/>
      <c r="BYI141" s="3"/>
      <c r="BYJ141" s="3"/>
      <c r="BYK141" s="3"/>
      <c r="BYL141" s="3"/>
      <c r="BYM141" s="3"/>
      <c r="BYN141" s="3"/>
      <c r="BYO141" s="3"/>
      <c r="BYP141" s="3"/>
      <c r="BYQ141" s="3"/>
      <c r="BYR141" s="3"/>
      <c r="BYS141" s="3"/>
      <c r="BYT141" s="3"/>
      <c r="BYU141" s="3"/>
      <c r="BYV141" s="3"/>
      <c r="BYW141" s="3"/>
      <c r="BYX141" s="3"/>
      <c r="BYY141" s="3"/>
      <c r="BYZ141" s="3"/>
      <c r="BZA141" s="3"/>
      <c r="BZB141" s="3"/>
      <c r="BZC141" s="3"/>
      <c r="BZD141" s="3"/>
      <c r="BZE141" s="3"/>
      <c r="BZF141" s="3"/>
      <c r="BZG141" s="3"/>
      <c r="BZH141" s="3"/>
      <c r="BZI141" s="3"/>
      <c r="BZJ141" s="3"/>
      <c r="BZK141" s="3"/>
      <c r="BZL141" s="3"/>
      <c r="BZM141" s="3"/>
      <c r="BZN141" s="3"/>
      <c r="BZO141" s="3"/>
      <c r="BZP141" s="3"/>
      <c r="BZQ141" s="3"/>
      <c r="BZR141" s="3"/>
      <c r="BZS141" s="3"/>
      <c r="BZT141" s="3"/>
      <c r="BZU141" s="3"/>
      <c r="BZV141" s="3"/>
      <c r="BZW141" s="3"/>
      <c r="BZX141" s="3"/>
      <c r="BZY141" s="3"/>
      <c r="BZZ141" s="3"/>
      <c r="CAA141" s="3"/>
      <c r="CAB141" s="3"/>
      <c r="CAC141" s="3"/>
      <c r="CAD141" s="3"/>
      <c r="CAE141" s="3"/>
      <c r="CAF141" s="3"/>
      <c r="CAG141" s="3"/>
      <c r="CAH141" s="3"/>
      <c r="CAI141" s="3"/>
      <c r="CAJ141" s="3"/>
      <c r="CAK141" s="3"/>
      <c r="CAL141" s="3"/>
      <c r="CAM141" s="3"/>
      <c r="CAN141" s="3"/>
      <c r="CAO141" s="3"/>
      <c r="CAP141" s="3"/>
      <c r="CAQ141" s="3"/>
      <c r="CAR141" s="3"/>
      <c r="CAS141" s="3"/>
      <c r="CAT141" s="3"/>
      <c r="CAU141" s="3"/>
      <c r="CAV141" s="3"/>
      <c r="CAW141" s="3"/>
      <c r="CAX141" s="3"/>
      <c r="CAY141" s="3"/>
      <c r="CAZ141" s="3"/>
      <c r="CBA141" s="3"/>
      <c r="CBB141" s="3"/>
      <c r="CBC141" s="3"/>
      <c r="CBD141" s="3"/>
      <c r="CBE141" s="3"/>
      <c r="CBF141" s="3"/>
      <c r="CBG141" s="3"/>
      <c r="CBH141" s="3"/>
      <c r="CBI141" s="3"/>
      <c r="CBJ141" s="3"/>
      <c r="CBK141" s="3"/>
      <c r="CBL141" s="3"/>
      <c r="CBM141" s="3"/>
      <c r="CBN141" s="3"/>
      <c r="CBO141" s="3"/>
      <c r="CBP141" s="3"/>
      <c r="CBQ141" s="3"/>
      <c r="CBR141" s="3"/>
      <c r="CBS141" s="3"/>
      <c r="CBT141" s="3"/>
      <c r="CBU141" s="3"/>
      <c r="CBV141" s="3"/>
      <c r="CBW141" s="3"/>
      <c r="CBX141" s="3"/>
      <c r="CBY141" s="3"/>
      <c r="CBZ141" s="3"/>
      <c r="CCA141" s="3"/>
      <c r="CCB141" s="3"/>
      <c r="CCC141" s="3"/>
      <c r="CCD141" s="3"/>
      <c r="CCE141" s="3"/>
      <c r="CCF141" s="3"/>
      <c r="CCG141" s="3"/>
      <c r="CCH141" s="3"/>
      <c r="CCI141" s="3"/>
      <c r="CCJ141" s="3"/>
      <c r="CCK141" s="3"/>
      <c r="CCL141" s="3"/>
      <c r="CCM141" s="3"/>
      <c r="CCN141" s="3"/>
      <c r="CCO141" s="3"/>
      <c r="CCP141" s="3"/>
      <c r="CCQ141" s="3"/>
      <c r="CCR141" s="3"/>
      <c r="CCS141" s="3"/>
      <c r="CCT141" s="3"/>
      <c r="CCU141" s="3"/>
      <c r="CCV141" s="3"/>
      <c r="CCW141" s="3"/>
      <c r="CCX141" s="3"/>
      <c r="CCY141" s="3"/>
      <c r="CCZ141" s="3"/>
      <c r="CDA141" s="3"/>
      <c r="CDB141" s="3"/>
      <c r="CDC141" s="3"/>
      <c r="CDD141" s="3"/>
      <c r="CDE141" s="3"/>
      <c r="CDF141" s="3"/>
      <c r="CDG141" s="3"/>
      <c r="CDH141" s="3"/>
      <c r="CDI141" s="3"/>
      <c r="CDJ141" s="3"/>
      <c r="CDK141" s="3"/>
      <c r="CDL141" s="3"/>
      <c r="CDM141" s="3"/>
      <c r="CDN141" s="3"/>
      <c r="CDO141" s="3"/>
      <c r="CDP141" s="3"/>
      <c r="CDQ141" s="3"/>
      <c r="CDR141" s="3"/>
      <c r="CDS141" s="3"/>
      <c r="CDT141" s="3"/>
      <c r="CDU141" s="3"/>
      <c r="CDV141" s="3"/>
      <c r="CDW141" s="3"/>
      <c r="CDX141" s="3"/>
      <c r="CDY141" s="3"/>
      <c r="CDZ141" s="3"/>
      <c r="CEA141" s="3"/>
      <c r="CEB141" s="3"/>
      <c r="CEC141" s="3"/>
      <c r="CED141" s="3"/>
      <c r="CEE141" s="3"/>
      <c r="CEF141" s="3"/>
      <c r="CEG141" s="3"/>
      <c r="CEH141" s="3"/>
      <c r="CEI141" s="3"/>
      <c r="CEJ141" s="3"/>
      <c r="CEK141" s="3"/>
      <c r="CEL141" s="3"/>
      <c r="CEM141" s="3"/>
      <c r="CEN141" s="3"/>
      <c r="CEO141" s="3"/>
      <c r="CEP141" s="3"/>
      <c r="CEQ141" s="3"/>
      <c r="CER141" s="3"/>
      <c r="CES141" s="3"/>
      <c r="CET141" s="3"/>
      <c r="CEU141" s="3"/>
      <c r="CEV141" s="3"/>
      <c r="CEW141" s="3"/>
      <c r="CEX141" s="3"/>
      <c r="CEY141" s="3"/>
      <c r="CEZ141" s="3"/>
      <c r="CFA141" s="3"/>
      <c r="CFB141" s="3"/>
      <c r="CFC141" s="3"/>
      <c r="CFD141" s="3"/>
      <c r="CFE141" s="3"/>
      <c r="CFF141" s="3"/>
      <c r="CFG141" s="3"/>
      <c r="CFH141" s="3"/>
      <c r="CFI141" s="3"/>
      <c r="CFJ141" s="3"/>
      <c r="CFK141" s="3"/>
      <c r="CFL141" s="3"/>
      <c r="CFM141" s="3"/>
      <c r="CFN141" s="3"/>
      <c r="CFO141" s="3"/>
      <c r="CFP141" s="3"/>
      <c r="CFQ141" s="3"/>
      <c r="CFR141" s="3"/>
      <c r="CFS141" s="3"/>
      <c r="CFT141" s="3"/>
      <c r="CFU141" s="3"/>
      <c r="CFV141" s="3"/>
      <c r="CFW141" s="3"/>
      <c r="CFX141" s="3"/>
      <c r="CFY141" s="3"/>
      <c r="CFZ141" s="3"/>
      <c r="CGA141" s="3"/>
      <c r="CGB141" s="3"/>
      <c r="CGC141" s="3"/>
      <c r="CGD141" s="3"/>
      <c r="CGE141" s="3"/>
      <c r="CGF141" s="3"/>
      <c r="CGG141" s="3"/>
      <c r="CGH141" s="3"/>
      <c r="CGI141" s="3"/>
      <c r="CGJ141" s="3"/>
      <c r="CGK141" s="3"/>
      <c r="CGL141" s="3"/>
      <c r="CGM141" s="3"/>
      <c r="CGN141" s="3"/>
      <c r="CGO141" s="3"/>
      <c r="CGP141" s="3"/>
      <c r="CGQ141" s="3"/>
      <c r="CGR141" s="3"/>
      <c r="CGS141" s="3"/>
      <c r="CGT141" s="3"/>
      <c r="CGU141" s="3"/>
      <c r="CGV141" s="3"/>
      <c r="CGW141" s="3"/>
      <c r="CGX141" s="3"/>
      <c r="CGY141" s="3"/>
      <c r="CGZ141" s="3"/>
      <c r="CHA141" s="3"/>
      <c r="CHB141" s="3"/>
      <c r="CHC141" s="3"/>
      <c r="CHD141" s="3"/>
      <c r="CHE141" s="3"/>
      <c r="CHF141" s="3"/>
      <c r="CHG141" s="3"/>
      <c r="CHH141" s="3"/>
      <c r="CHI141" s="3"/>
      <c r="CHJ141" s="3"/>
      <c r="CHK141" s="3"/>
      <c r="CHL141" s="3"/>
      <c r="CHM141" s="3"/>
      <c r="CHN141" s="3"/>
      <c r="CHO141" s="3"/>
      <c r="CHP141" s="3"/>
      <c r="CHQ141" s="3"/>
      <c r="CHR141" s="3"/>
      <c r="CHS141" s="3"/>
      <c r="CHT141" s="3"/>
      <c r="CHU141" s="3"/>
      <c r="CHV141" s="3"/>
      <c r="CHW141" s="3"/>
      <c r="CHX141" s="3"/>
      <c r="CHY141" s="3"/>
      <c r="CHZ141" s="3"/>
      <c r="CIA141" s="3"/>
      <c r="CIB141" s="3"/>
      <c r="CIC141" s="3"/>
      <c r="CID141" s="3"/>
      <c r="CIE141" s="3"/>
      <c r="CIF141" s="3"/>
      <c r="CIG141" s="3"/>
      <c r="CIH141" s="3"/>
      <c r="CII141" s="3"/>
      <c r="CIJ141" s="3"/>
      <c r="CIK141" s="3"/>
      <c r="CIL141" s="3"/>
      <c r="CIM141" s="3"/>
      <c r="CIN141" s="3"/>
      <c r="CIO141" s="3"/>
      <c r="CIP141" s="3"/>
      <c r="CIQ141" s="3"/>
      <c r="CIR141" s="3"/>
      <c r="CIS141" s="3"/>
      <c r="CIT141" s="3"/>
      <c r="CIU141" s="3"/>
      <c r="CIV141" s="3"/>
      <c r="CIW141" s="3"/>
      <c r="CIX141" s="3"/>
      <c r="CIY141" s="3"/>
      <c r="CIZ141" s="3"/>
      <c r="CJA141" s="3"/>
      <c r="CJB141" s="3"/>
      <c r="CJC141" s="3"/>
      <c r="CJD141" s="3"/>
      <c r="CJE141" s="3"/>
      <c r="CJF141" s="3"/>
      <c r="CJG141" s="3"/>
      <c r="CJH141" s="3"/>
      <c r="CJI141" s="3"/>
      <c r="CJJ141" s="3"/>
      <c r="CJK141" s="3"/>
      <c r="CJL141" s="3"/>
      <c r="CJM141" s="3"/>
      <c r="CJN141" s="3"/>
      <c r="CJO141" s="3"/>
      <c r="CJP141" s="3"/>
      <c r="CJQ141" s="3"/>
      <c r="CJR141" s="3"/>
      <c r="CJS141" s="3"/>
      <c r="CJT141" s="3"/>
      <c r="CJU141" s="3"/>
      <c r="CJV141" s="3"/>
      <c r="CJW141" s="3"/>
      <c r="CJX141" s="3"/>
      <c r="CJY141" s="3"/>
      <c r="CJZ141" s="3"/>
      <c r="CKA141" s="3"/>
      <c r="CKB141" s="3"/>
      <c r="CKC141" s="3"/>
      <c r="CKD141" s="3"/>
      <c r="CKE141" s="3"/>
      <c r="CKF141" s="3"/>
      <c r="CKG141" s="3"/>
      <c r="CKH141" s="3"/>
      <c r="CKI141" s="3"/>
      <c r="CKJ141" s="3"/>
      <c r="CKK141" s="3"/>
      <c r="CKL141" s="3"/>
      <c r="CKM141" s="3"/>
      <c r="CKN141" s="3"/>
      <c r="CKO141" s="3"/>
      <c r="CKP141" s="3"/>
      <c r="CKQ141" s="3"/>
      <c r="CKR141" s="3"/>
      <c r="CKS141" s="3"/>
      <c r="CKT141" s="3"/>
      <c r="CKU141" s="3"/>
      <c r="CKV141" s="3"/>
      <c r="CKW141" s="3"/>
      <c r="CKX141" s="3"/>
      <c r="CKY141" s="3"/>
      <c r="CKZ141" s="3"/>
      <c r="CLA141" s="3"/>
      <c r="CLB141" s="3"/>
      <c r="CLC141" s="3"/>
      <c r="CLD141" s="3"/>
      <c r="CLE141" s="3"/>
      <c r="CLF141" s="3"/>
      <c r="CLG141" s="3"/>
      <c r="CLH141" s="3"/>
      <c r="CLI141" s="3"/>
      <c r="CLJ141" s="3"/>
      <c r="CLK141" s="3"/>
      <c r="CLL141" s="3"/>
      <c r="CLM141" s="3"/>
      <c r="CLN141" s="3"/>
      <c r="CLO141" s="3"/>
      <c r="CLP141" s="3"/>
      <c r="CLQ141" s="3"/>
      <c r="CLR141" s="3"/>
      <c r="CLS141" s="3"/>
      <c r="CLT141" s="3"/>
      <c r="CLU141" s="3"/>
      <c r="CLV141" s="3"/>
      <c r="CLW141" s="3"/>
      <c r="CLX141" s="3"/>
      <c r="CLY141" s="3"/>
      <c r="CLZ141" s="3"/>
      <c r="CMA141" s="3"/>
      <c r="CMB141" s="3"/>
      <c r="CMC141" s="3"/>
      <c r="CMD141" s="3"/>
      <c r="CME141" s="3"/>
      <c r="CMF141" s="3"/>
      <c r="CMG141" s="3"/>
      <c r="CMH141" s="3"/>
      <c r="CMI141" s="3"/>
      <c r="CMJ141" s="3"/>
      <c r="CMK141" s="3"/>
      <c r="CML141" s="3"/>
      <c r="CMM141" s="3"/>
      <c r="CMN141" s="3"/>
      <c r="CMO141" s="3"/>
      <c r="CMP141" s="3"/>
      <c r="CMQ141" s="3"/>
      <c r="CMR141" s="3"/>
      <c r="CMS141" s="3"/>
      <c r="CMT141" s="3"/>
      <c r="CMU141" s="3"/>
      <c r="CMV141" s="3"/>
      <c r="CMW141" s="3"/>
      <c r="CMX141" s="3"/>
      <c r="CMY141" s="3"/>
      <c r="CMZ141" s="3"/>
      <c r="CNA141" s="3"/>
      <c r="CNB141" s="3"/>
      <c r="CNC141" s="3"/>
      <c r="CND141" s="3"/>
      <c r="CNE141" s="3"/>
      <c r="CNF141" s="3"/>
      <c r="CNG141" s="3"/>
      <c r="CNH141" s="3"/>
      <c r="CNI141" s="3"/>
      <c r="CNJ141" s="3"/>
      <c r="CNK141" s="3"/>
      <c r="CNL141" s="3"/>
      <c r="CNM141" s="3"/>
      <c r="CNN141" s="3"/>
      <c r="CNO141" s="3"/>
      <c r="CNP141" s="3"/>
      <c r="CNQ141" s="3"/>
      <c r="CNR141" s="3"/>
      <c r="CNS141" s="3"/>
      <c r="CNT141" s="3"/>
      <c r="CNU141" s="3"/>
      <c r="CNV141" s="3"/>
      <c r="CNW141" s="3"/>
      <c r="CNX141" s="3"/>
      <c r="CNY141" s="3"/>
      <c r="CNZ141" s="3"/>
      <c r="COA141" s="3"/>
      <c r="COB141" s="3"/>
      <c r="COC141" s="3"/>
      <c r="COD141" s="3"/>
      <c r="COE141" s="3"/>
      <c r="COF141" s="3"/>
      <c r="COG141" s="3"/>
      <c r="COH141" s="3"/>
      <c r="COI141" s="3"/>
      <c r="COJ141" s="3"/>
      <c r="COK141" s="3"/>
      <c r="COL141" s="3"/>
      <c r="COM141" s="3"/>
      <c r="CON141" s="3"/>
      <c r="COO141" s="3"/>
      <c r="COP141" s="3"/>
      <c r="COQ141" s="3"/>
      <c r="COR141" s="3"/>
      <c r="COS141" s="3"/>
      <c r="COT141" s="3"/>
      <c r="COU141" s="3"/>
      <c r="COV141" s="3"/>
      <c r="COW141" s="3"/>
      <c r="COX141" s="3"/>
      <c r="COY141" s="3"/>
      <c r="COZ141" s="3"/>
      <c r="CPA141" s="3"/>
      <c r="CPB141" s="3"/>
      <c r="CPC141" s="3"/>
      <c r="CPD141" s="3"/>
      <c r="CPE141" s="3"/>
      <c r="CPF141" s="3"/>
      <c r="CPG141" s="3"/>
      <c r="CPH141" s="3"/>
      <c r="CPI141" s="3"/>
      <c r="CPJ141" s="3"/>
      <c r="CPK141" s="3"/>
      <c r="CPL141" s="3"/>
      <c r="CPM141" s="3"/>
      <c r="CPN141" s="3"/>
      <c r="CPO141" s="3"/>
      <c r="CPP141" s="3"/>
      <c r="CPQ141" s="3"/>
      <c r="CPR141" s="3"/>
      <c r="CPS141" s="3"/>
      <c r="CPT141" s="3"/>
      <c r="CPU141" s="3"/>
      <c r="CPV141" s="3"/>
      <c r="CPW141" s="3"/>
      <c r="CPX141" s="3"/>
      <c r="CPY141" s="3"/>
      <c r="CPZ141" s="3"/>
      <c r="CQA141" s="3"/>
      <c r="CQB141" s="3"/>
      <c r="CQC141" s="3"/>
      <c r="CQD141" s="3"/>
      <c r="CQE141" s="3"/>
      <c r="CQF141" s="3"/>
      <c r="CQG141" s="3"/>
      <c r="CQH141" s="3"/>
      <c r="CQI141" s="3"/>
      <c r="CQJ141" s="3"/>
      <c r="CQK141" s="3"/>
      <c r="CQL141" s="3"/>
      <c r="CQM141" s="3"/>
      <c r="CQN141" s="3"/>
      <c r="CQO141" s="3"/>
      <c r="CQP141" s="3"/>
      <c r="CQQ141" s="3"/>
      <c r="CQR141" s="3"/>
      <c r="CQS141" s="3"/>
      <c r="CQT141" s="3"/>
      <c r="CQU141" s="3"/>
      <c r="CQV141" s="3"/>
      <c r="CQW141" s="3"/>
      <c r="CQX141" s="3"/>
      <c r="CQY141" s="3"/>
      <c r="CQZ141" s="3"/>
      <c r="CRA141" s="3"/>
      <c r="CRB141" s="3"/>
      <c r="CRC141" s="3"/>
      <c r="CRD141" s="3"/>
      <c r="CRE141" s="3"/>
      <c r="CRF141" s="3"/>
      <c r="CRG141" s="3"/>
      <c r="CRH141" s="3"/>
      <c r="CRI141" s="3"/>
      <c r="CRJ141" s="3"/>
      <c r="CRK141" s="3"/>
      <c r="CRL141" s="3"/>
      <c r="CRM141" s="3"/>
      <c r="CRN141" s="3"/>
      <c r="CRO141" s="3"/>
      <c r="CRP141" s="3"/>
      <c r="CRQ141" s="3"/>
      <c r="CRR141" s="3"/>
      <c r="CRS141" s="3"/>
      <c r="CRT141" s="3"/>
      <c r="CRU141" s="3"/>
      <c r="CRV141" s="3"/>
      <c r="CRW141" s="3"/>
      <c r="CRX141" s="3"/>
      <c r="CRY141" s="3"/>
      <c r="CRZ141" s="3"/>
      <c r="CSA141" s="3"/>
      <c r="CSB141" s="3"/>
      <c r="CSC141" s="3"/>
      <c r="CSD141" s="3"/>
      <c r="CSE141" s="3"/>
      <c r="CSF141" s="3"/>
      <c r="CSG141" s="3"/>
      <c r="CSH141" s="3"/>
      <c r="CSI141" s="3"/>
      <c r="CSJ141" s="3"/>
      <c r="CSK141" s="3"/>
      <c r="CSL141" s="3"/>
      <c r="CSM141" s="3"/>
      <c r="CSN141" s="3"/>
      <c r="CSO141" s="3"/>
      <c r="CSP141" s="3"/>
      <c r="CSQ141" s="3"/>
      <c r="CSR141" s="3"/>
      <c r="CSS141" s="3"/>
      <c r="CST141" s="3"/>
      <c r="CSU141" s="3"/>
      <c r="CSV141" s="3"/>
      <c r="CSW141" s="3"/>
      <c r="CSX141" s="3"/>
      <c r="CSY141" s="3"/>
      <c r="CSZ141" s="3"/>
      <c r="CTA141" s="3"/>
      <c r="CTB141" s="3"/>
      <c r="CTC141" s="3"/>
      <c r="CTD141" s="3"/>
      <c r="CTE141" s="3"/>
      <c r="CTF141" s="3"/>
      <c r="CTG141" s="3"/>
      <c r="CTH141" s="3"/>
      <c r="CTI141" s="3"/>
      <c r="CTJ141" s="3"/>
      <c r="CTK141" s="3"/>
      <c r="CTL141" s="3"/>
      <c r="CTM141" s="3"/>
      <c r="CTN141" s="3"/>
      <c r="CTO141" s="3"/>
      <c r="CTP141" s="3"/>
      <c r="CTQ141" s="3"/>
      <c r="CTR141" s="3"/>
      <c r="CTS141" s="3"/>
      <c r="CTT141" s="3"/>
      <c r="CTU141" s="3"/>
      <c r="CTV141" s="3"/>
      <c r="CTW141" s="3"/>
      <c r="CTX141" s="3"/>
      <c r="CTY141" s="3"/>
      <c r="CTZ141" s="3"/>
      <c r="CUA141" s="3"/>
      <c r="CUB141" s="3"/>
      <c r="CUC141" s="3"/>
      <c r="CUD141" s="3"/>
      <c r="CUE141" s="3"/>
      <c r="CUF141" s="3"/>
      <c r="CUG141" s="3"/>
      <c r="CUH141" s="3"/>
      <c r="CUI141" s="3"/>
      <c r="CUJ141" s="3"/>
      <c r="CUK141" s="3"/>
      <c r="CUL141" s="3"/>
      <c r="CUM141" s="3"/>
      <c r="CUN141" s="3"/>
      <c r="CUO141" s="3"/>
      <c r="CUP141" s="3"/>
      <c r="CUQ141" s="3"/>
      <c r="CUR141" s="3"/>
      <c r="CUS141" s="3"/>
      <c r="CUT141" s="3"/>
      <c r="CUU141" s="3"/>
      <c r="CUV141" s="3"/>
      <c r="CUW141" s="3"/>
      <c r="CUX141" s="3"/>
      <c r="CUY141" s="3"/>
      <c r="CUZ141" s="3"/>
      <c r="CVA141" s="3"/>
      <c r="CVB141" s="3"/>
      <c r="CVC141" s="3"/>
      <c r="CVD141" s="3"/>
      <c r="CVE141" s="3"/>
      <c r="CVF141" s="3"/>
      <c r="CVG141" s="3"/>
      <c r="CVH141" s="3"/>
      <c r="CVI141" s="3"/>
      <c r="CVJ141" s="3"/>
      <c r="CVK141" s="3"/>
      <c r="CVL141" s="3"/>
      <c r="CVM141" s="3"/>
      <c r="CVN141" s="3"/>
      <c r="CVO141" s="3"/>
      <c r="CVP141" s="3"/>
      <c r="CVQ141" s="3"/>
      <c r="CVR141" s="3"/>
      <c r="CVS141" s="3"/>
      <c r="CVT141" s="3"/>
      <c r="CVU141" s="3"/>
      <c r="CVV141" s="3"/>
      <c r="CVW141" s="3"/>
      <c r="CVX141" s="3"/>
      <c r="CVY141" s="3"/>
      <c r="CVZ141" s="3"/>
      <c r="CWA141" s="3"/>
      <c r="CWB141" s="3"/>
      <c r="CWC141" s="3"/>
      <c r="CWD141" s="3"/>
      <c r="CWE141" s="3"/>
      <c r="CWF141" s="3"/>
      <c r="CWG141" s="3"/>
      <c r="CWH141" s="3"/>
      <c r="CWI141" s="3"/>
      <c r="CWJ141" s="3"/>
      <c r="CWK141" s="3"/>
      <c r="CWL141" s="3"/>
      <c r="CWM141" s="3"/>
      <c r="CWN141" s="3"/>
      <c r="CWO141" s="3"/>
      <c r="CWP141" s="3"/>
      <c r="CWQ141" s="3"/>
      <c r="CWR141" s="3"/>
      <c r="CWS141" s="3"/>
      <c r="CWT141" s="3"/>
      <c r="CWU141" s="3"/>
      <c r="CWV141" s="3"/>
      <c r="CWW141" s="3"/>
      <c r="CWX141" s="3"/>
      <c r="CWY141" s="3"/>
      <c r="CWZ141" s="3"/>
      <c r="CXA141" s="3"/>
      <c r="CXB141" s="3"/>
      <c r="CXC141" s="3"/>
      <c r="CXD141" s="3"/>
      <c r="CXE141" s="3"/>
      <c r="CXF141" s="3"/>
      <c r="CXG141" s="3"/>
      <c r="CXH141" s="3"/>
      <c r="CXI141" s="3"/>
      <c r="CXJ141" s="3"/>
      <c r="CXK141" s="3"/>
      <c r="CXL141" s="3"/>
      <c r="CXM141" s="3"/>
      <c r="CXN141" s="3"/>
      <c r="CXO141" s="3"/>
      <c r="CXP141" s="3"/>
      <c r="CXQ141" s="3"/>
      <c r="CXR141" s="3"/>
      <c r="CXS141" s="3"/>
      <c r="CXT141" s="3"/>
      <c r="CXU141" s="3"/>
      <c r="CXV141" s="3"/>
      <c r="CXW141" s="3"/>
      <c r="CXX141" s="3"/>
      <c r="CXY141" s="3"/>
      <c r="CXZ141" s="3"/>
      <c r="CYA141" s="3"/>
      <c r="CYB141" s="3"/>
      <c r="CYC141" s="3"/>
      <c r="CYD141" s="3"/>
      <c r="CYE141" s="3"/>
      <c r="CYF141" s="3"/>
      <c r="CYG141" s="3"/>
      <c r="CYH141" s="3"/>
      <c r="CYI141" s="3"/>
      <c r="CYJ141" s="3"/>
      <c r="CYK141" s="3"/>
      <c r="CYL141" s="3"/>
      <c r="CYM141" s="3"/>
      <c r="CYN141" s="3"/>
      <c r="CYO141" s="3"/>
      <c r="CYP141" s="3"/>
      <c r="CYQ141" s="3"/>
      <c r="CYR141" s="3"/>
      <c r="CYS141" s="3"/>
      <c r="CYT141" s="3"/>
      <c r="CYU141" s="3"/>
      <c r="CYV141" s="3"/>
      <c r="CYW141" s="3"/>
      <c r="CYX141" s="3"/>
      <c r="CYY141" s="3"/>
      <c r="CYZ141" s="3"/>
      <c r="CZA141" s="3"/>
      <c r="CZB141" s="3"/>
      <c r="CZC141" s="3"/>
      <c r="CZD141" s="3"/>
      <c r="CZE141" s="3"/>
      <c r="CZF141" s="3"/>
      <c r="CZG141" s="3"/>
      <c r="CZH141" s="3"/>
      <c r="CZI141" s="3"/>
      <c r="CZJ141" s="3"/>
      <c r="CZK141" s="3"/>
      <c r="CZL141" s="3"/>
      <c r="CZM141" s="3"/>
      <c r="CZN141" s="3"/>
      <c r="CZO141" s="3"/>
      <c r="CZP141" s="3"/>
      <c r="CZQ141" s="3"/>
      <c r="CZR141" s="3"/>
      <c r="CZS141" s="3"/>
      <c r="CZT141" s="3"/>
      <c r="CZU141" s="3"/>
      <c r="CZV141" s="3"/>
      <c r="CZW141" s="3"/>
      <c r="CZX141" s="3"/>
      <c r="CZY141" s="3"/>
      <c r="CZZ141" s="3"/>
      <c r="DAA141" s="3"/>
      <c r="DAB141" s="3"/>
      <c r="DAC141" s="3"/>
      <c r="DAD141" s="3"/>
      <c r="DAE141" s="3"/>
      <c r="DAF141" s="3"/>
      <c r="DAG141" s="3"/>
      <c r="DAH141" s="3"/>
      <c r="DAI141" s="3"/>
      <c r="DAJ141" s="3"/>
      <c r="DAK141" s="3"/>
      <c r="DAL141" s="3"/>
      <c r="DAM141" s="3"/>
      <c r="DAN141" s="3"/>
      <c r="DAO141" s="3"/>
      <c r="DAP141" s="3"/>
      <c r="DAQ141" s="3"/>
      <c r="DAR141" s="3"/>
      <c r="DAS141" s="3"/>
      <c r="DAT141" s="3"/>
      <c r="DAU141" s="3"/>
      <c r="DAV141" s="3"/>
      <c r="DAW141" s="3"/>
      <c r="DAX141" s="3"/>
      <c r="DAY141" s="3"/>
      <c r="DAZ141" s="3"/>
      <c r="DBA141" s="3"/>
      <c r="DBB141" s="3"/>
      <c r="DBC141" s="3"/>
      <c r="DBD141" s="3"/>
      <c r="DBE141" s="3"/>
      <c r="DBF141" s="3"/>
      <c r="DBG141" s="3"/>
      <c r="DBH141" s="3"/>
      <c r="DBI141" s="3"/>
      <c r="DBJ141" s="3"/>
      <c r="DBK141" s="3"/>
      <c r="DBL141" s="3"/>
      <c r="DBM141" s="3"/>
      <c r="DBN141" s="3"/>
      <c r="DBO141" s="3"/>
      <c r="DBP141" s="3"/>
      <c r="DBQ141" s="3"/>
      <c r="DBR141" s="3"/>
      <c r="DBS141" s="3"/>
      <c r="DBT141" s="3"/>
      <c r="DBU141" s="3"/>
      <c r="DBV141" s="3"/>
      <c r="DBW141" s="3"/>
      <c r="DBX141" s="3"/>
      <c r="DBY141" s="3"/>
      <c r="DBZ141" s="3"/>
      <c r="DCA141" s="3"/>
      <c r="DCB141" s="3"/>
      <c r="DCC141" s="3"/>
      <c r="DCD141" s="3"/>
      <c r="DCE141" s="3"/>
      <c r="DCF141" s="3"/>
      <c r="DCG141" s="3"/>
      <c r="DCH141" s="3"/>
      <c r="DCI141" s="3"/>
      <c r="DCJ141" s="3"/>
      <c r="DCK141" s="3"/>
      <c r="DCL141" s="3"/>
      <c r="DCM141" s="3"/>
      <c r="DCN141" s="3"/>
      <c r="DCO141" s="3"/>
      <c r="DCP141" s="3"/>
      <c r="DCQ141" s="3"/>
      <c r="DCR141" s="3"/>
      <c r="DCS141" s="3"/>
      <c r="DCT141" s="3"/>
      <c r="DCU141" s="3"/>
      <c r="DCV141" s="3"/>
      <c r="DCW141" s="3"/>
      <c r="DCX141" s="3"/>
      <c r="DCY141" s="3"/>
      <c r="DCZ141" s="3"/>
      <c r="DDA141" s="3"/>
      <c r="DDB141" s="3"/>
      <c r="DDC141" s="3"/>
      <c r="DDD141" s="3"/>
      <c r="DDE141" s="3"/>
      <c r="DDF141" s="3"/>
      <c r="DDG141" s="3"/>
      <c r="DDH141" s="3"/>
      <c r="DDI141" s="3"/>
      <c r="DDJ141" s="3"/>
      <c r="DDK141" s="3"/>
      <c r="DDL141" s="3"/>
      <c r="DDM141" s="3"/>
      <c r="DDN141" s="3"/>
      <c r="DDO141" s="3"/>
      <c r="DDP141" s="3"/>
      <c r="DDQ141" s="3"/>
      <c r="DDR141" s="3"/>
      <c r="DDS141" s="3"/>
      <c r="DDT141" s="3"/>
      <c r="DDU141" s="3"/>
      <c r="DDV141" s="3"/>
      <c r="DDW141" s="3"/>
      <c r="DDX141" s="3"/>
      <c r="DDY141" s="3"/>
      <c r="DDZ141" s="3"/>
      <c r="DEA141" s="3"/>
      <c r="DEB141" s="3"/>
      <c r="DEC141" s="3"/>
      <c r="DED141" s="3"/>
      <c r="DEE141" s="3"/>
      <c r="DEF141" s="3"/>
      <c r="DEG141" s="3"/>
      <c r="DEH141" s="3"/>
      <c r="DEI141" s="3"/>
      <c r="DEJ141" s="3"/>
      <c r="DEK141" s="3"/>
      <c r="DEL141" s="3"/>
      <c r="DEM141" s="3"/>
      <c r="DEN141" s="3"/>
      <c r="DEO141" s="3"/>
      <c r="DEP141" s="3"/>
      <c r="DEQ141" s="3"/>
      <c r="DER141" s="3"/>
      <c r="DES141" s="3"/>
      <c r="DET141" s="3"/>
      <c r="DEU141" s="3"/>
      <c r="DEV141" s="3"/>
      <c r="DEW141" s="3"/>
      <c r="DEX141" s="3"/>
      <c r="DEY141" s="3"/>
      <c r="DEZ141" s="3"/>
      <c r="DFA141" s="3"/>
      <c r="DFB141" s="3"/>
      <c r="DFC141" s="3"/>
      <c r="DFD141" s="3"/>
      <c r="DFE141" s="3"/>
      <c r="DFF141" s="3"/>
      <c r="DFG141" s="3"/>
      <c r="DFH141" s="3"/>
      <c r="DFI141" s="3"/>
      <c r="DFJ141" s="3"/>
      <c r="DFK141" s="3"/>
      <c r="DFL141" s="3"/>
      <c r="DFM141" s="3"/>
      <c r="DFN141" s="3"/>
      <c r="DFO141" s="3"/>
      <c r="DFP141" s="3"/>
      <c r="DFQ141" s="3"/>
      <c r="DFR141" s="3"/>
      <c r="DFS141" s="3"/>
      <c r="DFT141" s="3"/>
      <c r="DFU141" s="3"/>
      <c r="DFV141" s="3"/>
      <c r="DFW141" s="3"/>
      <c r="DFX141" s="3"/>
      <c r="DFY141" s="3"/>
      <c r="DFZ141" s="3"/>
      <c r="DGA141" s="3"/>
      <c r="DGB141" s="3"/>
      <c r="DGC141" s="3"/>
      <c r="DGD141" s="3"/>
      <c r="DGE141" s="3"/>
      <c r="DGF141" s="3"/>
      <c r="DGG141" s="3"/>
      <c r="DGH141" s="3"/>
      <c r="DGI141" s="3"/>
      <c r="DGJ141" s="3"/>
      <c r="DGK141" s="3"/>
      <c r="DGL141" s="3"/>
      <c r="DGM141" s="3"/>
      <c r="DGN141" s="3"/>
      <c r="DGO141" s="3"/>
      <c r="DGP141" s="3"/>
      <c r="DGQ141" s="3"/>
      <c r="DGR141" s="3"/>
      <c r="DGS141" s="3"/>
      <c r="DGT141" s="3"/>
      <c r="DGU141" s="3"/>
      <c r="DGV141" s="3"/>
      <c r="DGW141" s="3"/>
      <c r="DGX141" s="3"/>
      <c r="DGY141" s="3"/>
      <c r="DGZ141" s="3"/>
      <c r="DHA141" s="3"/>
      <c r="DHB141" s="3"/>
      <c r="DHC141" s="3"/>
      <c r="DHD141" s="3"/>
      <c r="DHE141" s="3"/>
      <c r="DHF141" s="3"/>
      <c r="DHG141" s="3"/>
      <c r="DHH141" s="3"/>
      <c r="DHI141" s="3"/>
      <c r="DHJ141" s="3"/>
      <c r="DHK141" s="3"/>
      <c r="DHL141" s="3"/>
      <c r="DHM141" s="3"/>
      <c r="DHN141" s="3"/>
      <c r="DHO141" s="3"/>
      <c r="DHP141" s="3"/>
      <c r="DHQ141" s="3"/>
      <c r="DHR141" s="3"/>
      <c r="DHS141" s="3"/>
      <c r="DHT141" s="3"/>
      <c r="DHU141" s="3"/>
      <c r="DHV141" s="3"/>
      <c r="DHW141" s="3"/>
      <c r="DHX141" s="3"/>
      <c r="DHY141" s="3"/>
      <c r="DHZ141" s="3"/>
      <c r="DIA141" s="3"/>
      <c r="DIB141" s="3"/>
      <c r="DIC141" s="3"/>
      <c r="DID141" s="3"/>
      <c r="DIE141" s="3"/>
      <c r="DIF141" s="3"/>
      <c r="DIG141" s="3"/>
      <c r="DIH141" s="3"/>
      <c r="DII141" s="3"/>
      <c r="DIJ141" s="3"/>
      <c r="DIK141" s="3"/>
      <c r="DIL141" s="3"/>
      <c r="DIM141" s="3"/>
      <c r="DIN141" s="3"/>
      <c r="DIO141" s="3"/>
      <c r="DIP141" s="3"/>
      <c r="DIQ141" s="3"/>
      <c r="DIR141" s="3"/>
      <c r="DIS141" s="3"/>
      <c r="DIT141" s="3"/>
      <c r="DIU141" s="3"/>
      <c r="DIV141" s="3"/>
      <c r="DIW141" s="3"/>
      <c r="DIX141" s="3"/>
      <c r="DIY141" s="3"/>
      <c r="DIZ141" s="3"/>
      <c r="DJA141" s="3"/>
      <c r="DJB141" s="3"/>
      <c r="DJC141" s="3"/>
      <c r="DJD141" s="3"/>
      <c r="DJE141" s="3"/>
      <c r="DJF141" s="3"/>
      <c r="DJG141" s="3"/>
      <c r="DJH141" s="3"/>
      <c r="DJI141" s="3"/>
      <c r="DJJ141" s="3"/>
      <c r="DJK141" s="3"/>
      <c r="DJL141" s="3"/>
      <c r="DJM141" s="3"/>
      <c r="DJN141" s="3"/>
      <c r="DJO141" s="3"/>
      <c r="DJP141" s="3"/>
      <c r="DJQ141" s="3"/>
      <c r="DJR141" s="3"/>
      <c r="DJS141" s="3"/>
      <c r="DJT141" s="3"/>
      <c r="DJU141" s="3"/>
      <c r="DJV141" s="3"/>
      <c r="DJW141" s="3"/>
      <c r="DJX141" s="3"/>
      <c r="DJY141" s="3"/>
      <c r="DJZ141" s="3"/>
      <c r="DKA141" s="3"/>
      <c r="DKB141" s="3"/>
      <c r="DKC141" s="3"/>
      <c r="DKD141" s="3"/>
      <c r="DKE141" s="3"/>
      <c r="DKF141" s="3"/>
      <c r="DKG141" s="3"/>
      <c r="DKH141" s="3"/>
      <c r="DKI141" s="3"/>
      <c r="DKJ141" s="3"/>
      <c r="DKK141" s="3"/>
      <c r="DKL141" s="3"/>
      <c r="DKM141" s="3"/>
      <c r="DKN141" s="3"/>
      <c r="DKO141" s="3"/>
      <c r="DKP141" s="3"/>
      <c r="DKQ141" s="3"/>
      <c r="DKR141" s="3"/>
      <c r="DKS141" s="3"/>
      <c r="DKT141" s="3"/>
      <c r="DKU141" s="3"/>
      <c r="DKV141" s="3"/>
      <c r="DKW141" s="3"/>
      <c r="DKX141" s="3"/>
      <c r="DKY141" s="3"/>
      <c r="DKZ141" s="3"/>
      <c r="DLA141" s="3"/>
      <c r="DLB141" s="3"/>
      <c r="DLC141" s="3"/>
      <c r="DLD141" s="3"/>
      <c r="DLE141" s="3"/>
      <c r="DLF141" s="3"/>
      <c r="DLG141" s="3"/>
      <c r="DLH141" s="3"/>
      <c r="DLI141" s="3"/>
      <c r="DLJ141" s="3"/>
      <c r="DLK141" s="3"/>
      <c r="DLL141" s="3"/>
      <c r="DLM141" s="3"/>
      <c r="DLN141" s="3"/>
      <c r="DLO141" s="3"/>
      <c r="DLP141" s="3"/>
      <c r="DLQ141" s="3"/>
      <c r="DLR141" s="3"/>
      <c r="DLS141" s="3"/>
      <c r="DLT141" s="3"/>
      <c r="DLU141" s="3"/>
      <c r="DLV141" s="3"/>
      <c r="DLW141" s="3"/>
      <c r="DLX141" s="3"/>
      <c r="DLY141" s="3"/>
      <c r="DLZ141" s="3"/>
      <c r="DMA141" s="3"/>
      <c r="DMB141" s="3"/>
      <c r="DMC141" s="3"/>
      <c r="DMD141" s="3"/>
      <c r="DME141" s="3"/>
      <c r="DMF141" s="3"/>
      <c r="DMG141" s="3"/>
      <c r="DMH141" s="3"/>
      <c r="DMI141" s="3"/>
      <c r="DMJ141" s="3"/>
      <c r="DMK141" s="3"/>
      <c r="DML141" s="3"/>
      <c r="DMM141" s="3"/>
      <c r="DMN141" s="3"/>
      <c r="DMO141" s="3"/>
      <c r="DMP141" s="3"/>
      <c r="DMQ141" s="3"/>
      <c r="DMR141" s="3"/>
      <c r="DMS141" s="3"/>
      <c r="DMT141" s="3"/>
      <c r="DMU141" s="3"/>
      <c r="DMV141" s="3"/>
      <c r="DMW141" s="3"/>
      <c r="DMX141" s="3"/>
      <c r="DMY141" s="3"/>
      <c r="DMZ141" s="3"/>
      <c r="DNA141" s="3"/>
      <c r="DNB141" s="3"/>
      <c r="DNC141" s="3"/>
      <c r="DND141" s="3"/>
      <c r="DNE141" s="3"/>
      <c r="DNF141" s="3"/>
      <c r="DNG141" s="3"/>
      <c r="DNH141" s="3"/>
      <c r="DNI141" s="3"/>
      <c r="DNJ141" s="3"/>
      <c r="DNK141" s="3"/>
      <c r="DNL141" s="3"/>
      <c r="DNM141" s="3"/>
      <c r="DNN141" s="3"/>
      <c r="DNO141" s="3"/>
      <c r="DNP141" s="3"/>
      <c r="DNQ141" s="3"/>
      <c r="DNR141" s="3"/>
      <c r="DNS141" s="3"/>
      <c r="DNT141" s="3"/>
      <c r="DNU141" s="3"/>
      <c r="DNV141" s="3"/>
      <c r="DNW141" s="3"/>
      <c r="DNX141" s="3"/>
      <c r="DNY141" s="3"/>
      <c r="DNZ141" s="3"/>
      <c r="DOA141" s="3"/>
      <c r="DOB141" s="3"/>
      <c r="DOC141" s="3"/>
      <c r="DOD141" s="3"/>
      <c r="DOE141" s="3"/>
      <c r="DOF141" s="3"/>
      <c r="DOG141" s="3"/>
      <c r="DOH141" s="3"/>
      <c r="DOI141" s="3"/>
      <c r="DOJ141" s="3"/>
      <c r="DOK141" s="3"/>
      <c r="DOL141" s="3"/>
      <c r="DOM141" s="3"/>
      <c r="DON141" s="3"/>
      <c r="DOO141" s="3"/>
      <c r="DOP141" s="3"/>
      <c r="DOQ141" s="3"/>
      <c r="DOR141" s="3"/>
      <c r="DOS141" s="3"/>
      <c r="DOT141" s="3"/>
      <c r="DOU141" s="3"/>
      <c r="DOV141" s="3"/>
      <c r="DOW141" s="3"/>
      <c r="DOX141" s="3"/>
      <c r="DOY141" s="3"/>
      <c r="DOZ141" s="3"/>
      <c r="DPA141" s="3"/>
      <c r="DPB141" s="3"/>
      <c r="DPC141" s="3"/>
      <c r="DPD141" s="3"/>
      <c r="DPE141" s="3"/>
      <c r="DPF141" s="3"/>
      <c r="DPG141" s="3"/>
      <c r="DPH141" s="3"/>
      <c r="DPI141" s="3"/>
      <c r="DPJ141" s="3"/>
      <c r="DPK141" s="3"/>
      <c r="DPL141" s="3"/>
      <c r="DPM141" s="3"/>
      <c r="DPN141" s="3"/>
      <c r="DPO141" s="3"/>
      <c r="DPP141" s="3"/>
      <c r="DPQ141" s="3"/>
      <c r="DPR141" s="3"/>
      <c r="DPS141" s="3"/>
      <c r="DPT141" s="3"/>
      <c r="DPU141" s="3"/>
      <c r="DPV141" s="3"/>
      <c r="DPW141" s="3"/>
      <c r="DPX141" s="3"/>
      <c r="DPY141" s="3"/>
      <c r="DPZ141" s="3"/>
      <c r="DQA141" s="3"/>
      <c r="DQB141" s="3"/>
      <c r="DQC141" s="3"/>
      <c r="DQD141" s="3"/>
      <c r="DQE141" s="3"/>
      <c r="DQF141" s="3"/>
      <c r="DQG141" s="3"/>
      <c r="DQH141" s="3"/>
      <c r="DQI141" s="3"/>
      <c r="DQJ141" s="3"/>
      <c r="DQK141" s="3"/>
      <c r="DQL141" s="3"/>
      <c r="DQM141" s="3"/>
      <c r="DQN141" s="3"/>
      <c r="DQO141" s="3"/>
      <c r="DQP141" s="3"/>
      <c r="DQQ141" s="3"/>
      <c r="DQR141" s="3"/>
      <c r="DQS141" s="3"/>
      <c r="DQT141" s="3"/>
      <c r="DQU141" s="3"/>
      <c r="DQV141" s="3"/>
      <c r="DQW141" s="3"/>
      <c r="DQX141" s="3"/>
      <c r="DQY141" s="3"/>
      <c r="DQZ141" s="3"/>
      <c r="DRA141" s="3"/>
      <c r="DRB141" s="3"/>
      <c r="DRC141" s="3"/>
      <c r="DRD141" s="3"/>
      <c r="DRE141" s="3"/>
      <c r="DRF141" s="3"/>
      <c r="DRG141" s="3"/>
      <c r="DRH141" s="3"/>
      <c r="DRI141" s="3"/>
      <c r="DRJ141" s="3"/>
      <c r="DRK141" s="3"/>
      <c r="DRL141" s="3"/>
      <c r="DRM141" s="3"/>
      <c r="DRN141" s="3"/>
      <c r="DRO141" s="3"/>
      <c r="DRP141" s="3"/>
      <c r="DRQ141" s="3"/>
      <c r="DRR141" s="3"/>
      <c r="DRS141" s="3"/>
      <c r="DRT141" s="3"/>
      <c r="DRU141" s="3"/>
      <c r="DRV141" s="3"/>
      <c r="DRW141" s="3"/>
      <c r="DRX141" s="3"/>
      <c r="DRY141" s="3"/>
      <c r="DRZ141" s="3"/>
      <c r="DSA141" s="3"/>
      <c r="DSB141" s="3"/>
      <c r="DSC141" s="3"/>
      <c r="DSD141" s="3"/>
      <c r="DSE141" s="3"/>
      <c r="DSF141" s="3"/>
      <c r="DSG141" s="3"/>
      <c r="DSH141" s="3"/>
      <c r="DSI141" s="3"/>
      <c r="DSJ141" s="3"/>
      <c r="DSK141" s="3"/>
      <c r="DSL141" s="3"/>
      <c r="DSM141" s="3"/>
      <c r="DSN141" s="3"/>
      <c r="DSO141" s="3"/>
      <c r="DSP141" s="3"/>
      <c r="DSQ141" s="3"/>
      <c r="DSR141" s="3"/>
      <c r="DSS141" s="3"/>
      <c r="DST141" s="3"/>
      <c r="DSU141" s="3"/>
      <c r="DSV141" s="3"/>
      <c r="DSW141" s="3"/>
      <c r="DSX141" s="3"/>
      <c r="DSY141" s="3"/>
      <c r="DSZ141" s="3"/>
      <c r="DTA141" s="3"/>
      <c r="DTB141" s="3"/>
      <c r="DTC141" s="3"/>
      <c r="DTD141" s="3"/>
      <c r="DTE141" s="3"/>
      <c r="DTF141" s="3"/>
      <c r="DTG141" s="3"/>
      <c r="DTH141" s="3"/>
      <c r="DTI141" s="3"/>
      <c r="DTJ141" s="3"/>
      <c r="DTK141" s="3"/>
      <c r="DTL141" s="3"/>
      <c r="DTM141" s="3"/>
      <c r="DTN141" s="3"/>
      <c r="DTO141" s="3"/>
      <c r="DTP141" s="3"/>
      <c r="DTQ141" s="3"/>
      <c r="DTR141" s="3"/>
      <c r="DTS141" s="3"/>
      <c r="DTT141" s="3"/>
      <c r="DTU141" s="3"/>
      <c r="DTV141" s="3"/>
      <c r="DTW141" s="3"/>
      <c r="DTX141" s="3"/>
      <c r="DTY141" s="3"/>
      <c r="DTZ141" s="3"/>
      <c r="DUA141" s="3"/>
      <c r="DUB141" s="3"/>
      <c r="DUC141" s="3"/>
      <c r="DUD141" s="3"/>
      <c r="DUE141" s="3"/>
      <c r="DUF141" s="3"/>
      <c r="DUG141" s="3"/>
      <c r="DUH141" s="3"/>
      <c r="DUI141" s="3"/>
      <c r="DUJ141" s="3"/>
      <c r="DUK141" s="3"/>
      <c r="DUL141" s="3"/>
      <c r="DUM141" s="3"/>
      <c r="DUN141" s="3"/>
      <c r="DUO141" s="3"/>
      <c r="DUP141" s="3"/>
      <c r="DUQ141" s="3"/>
      <c r="DUR141" s="3"/>
      <c r="DUS141" s="3"/>
      <c r="DUT141" s="3"/>
      <c r="DUU141" s="3"/>
      <c r="DUV141" s="3"/>
      <c r="DUW141" s="3"/>
      <c r="DUX141" s="3"/>
      <c r="DUY141" s="3"/>
      <c r="DUZ141" s="3"/>
      <c r="DVA141" s="3"/>
      <c r="DVB141" s="3"/>
      <c r="DVC141" s="3"/>
      <c r="DVD141" s="3"/>
      <c r="DVE141" s="3"/>
      <c r="DVF141" s="3"/>
      <c r="DVG141" s="3"/>
      <c r="DVH141" s="3"/>
      <c r="DVI141" s="3"/>
      <c r="DVJ141" s="3"/>
      <c r="DVK141" s="3"/>
      <c r="DVL141" s="3"/>
      <c r="DVM141" s="3"/>
      <c r="DVN141" s="3"/>
      <c r="DVO141" s="3"/>
      <c r="DVP141" s="3"/>
      <c r="DVQ141" s="3"/>
      <c r="DVR141" s="3"/>
      <c r="DVS141" s="3"/>
      <c r="DVT141" s="3"/>
      <c r="DVU141" s="3"/>
      <c r="DVV141" s="3"/>
      <c r="DVW141" s="3"/>
      <c r="DVX141" s="3"/>
      <c r="DVY141" s="3"/>
      <c r="DVZ141" s="3"/>
      <c r="DWA141" s="3"/>
      <c r="DWB141" s="3"/>
      <c r="DWC141" s="3"/>
      <c r="DWD141" s="3"/>
      <c r="DWE141" s="3"/>
      <c r="DWF141" s="3"/>
      <c r="DWG141" s="3"/>
      <c r="DWH141" s="3"/>
      <c r="DWI141" s="3"/>
      <c r="DWJ141" s="3"/>
      <c r="DWK141" s="3"/>
      <c r="DWL141" s="3"/>
      <c r="DWM141" s="3"/>
      <c r="DWN141" s="3"/>
      <c r="DWO141" s="3"/>
      <c r="DWP141" s="3"/>
      <c r="DWQ141" s="3"/>
      <c r="DWR141" s="3"/>
      <c r="DWS141" s="3"/>
      <c r="DWT141" s="3"/>
      <c r="DWU141" s="3"/>
      <c r="DWV141" s="3"/>
      <c r="DWW141" s="3"/>
      <c r="DWX141" s="3"/>
      <c r="DWY141" s="3"/>
      <c r="DWZ141" s="3"/>
      <c r="DXA141" s="3"/>
      <c r="DXB141" s="3"/>
      <c r="DXC141" s="3"/>
      <c r="DXD141" s="3"/>
      <c r="DXE141" s="3"/>
      <c r="DXF141" s="3"/>
      <c r="DXG141" s="3"/>
      <c r="DXH141" s="3"/>
      <c r="DXI141" s="3"/>
      <c r="DXJ141" s="3"/>
      <c r="DXK141" s="3"/>
      <c r="DXL141" s="3"/>
      <c r="DXM141" s="3"/>
      <c r="DXN141" s="3"/>
      <c r="DXO141" s="3"/>
      <c r="DXP141" s="3"/>
      <c r="DXQ141" s="3"/>
      <c r="DXR141" s="3"/>
      <c r="DXS141" s="3"/>
      <c r="DXT141" s="3"/>
      <c r="DXU141" s="3"/>
      <c r="DXV141" s="3"/>
      <c r="DXW141" s="3"/>
      <c r="DXX141" s="3"/>
      <c r="DXY141" s="3"/>
      <c r="DXZ141" s="3"/>
      <c r="DYA141" s="3"/>
      <c r="DYB141" s="3"/>
      <c r="DYC141" s="3"/>
      <c r="DYD141" s="3"/>
      <c r="DYE141" s="3"/>
      <c r="DYF141" s="3"/>
      <c r="DYG141" s="3"/>
      <c r="DYH141" s="3"/>
      <c r="DYI141" s="3"/>
      <c r="DYJ141" s="3"/>
      <c r="DYK141" s="3"/>
      <c r="DYL141" s="3"/>
      <c r="DYM141" s="3"/>
      <c r="DYN141" s="3"/>
      <c r="DYO141" s="3"/>
      <c r="DYP141" s="3"/>
      <c r="DYQ141" s="3"/>
      <c r="DYR141" s="3"/>
      <c r="DYS141" s="3"/>
      <c r="DYT141" s="3"/>
      <c r="DYU141" s="3"/>
      <c r="DYV141" s="3"/>
      <c r="DYW141" s="3"/>
      <c r="DYX141" s="3"/>
      <c r="DYY141" s="3"/>
      <c r="DYZ141" s="3"/>
      <c r="DZA141" s="3"/>
      <c r="DZB141" s="3"/>
      <c r="DZC141" s="3"/>
      <c r="DZD141" s="3"/>
      <c r="DZE141" s="3"/>
      <c r="DZF141" s="3"/>
      <c r="DZG141" s="3"/>
      <c r="DZH141" s="3"/>
      <c r="DZI141" s="3"/>
      <c r="DZJ141" s="3"/>
      <c r="DZK141" s="3"/>
      <c r="DZL141" s="3"/>
      <c r="DZM141" s="3"/>
      <c r="DZN141" s="3"/>
      <c r="DZO141" s="3"/>
      <c r="DZP141" s="3"/>
      <c r="DZQ141" s="3"/>
      <c r="DZR141" s="3"/>
      <c r="DZS141" s="3"/>
      <c r="DZT141" s="3"/>
      <c r="DZU141" s="3"/>
      <c r="DZV141" s="3"/>
      <c r="DZW141" s="3"/>
      <c r="DZX141" s="3"/>
      <c r="DZY141" s="3"/>
      <c r="DZZ141" s="3"/>
      <c r="EAA141" s="3"/>
      <c r="EAB141" s="3"/>
      <c r="EAC141" s="3"/>
      <c r="EAD141" s="3"/>
      <c r="EAE141" s="3"/>
      <c r="EAF141" s="3"/>
      <c r="EAG141" s="3"/>
      <c r="EAH141" s="3"/>
      <c r="EAI141" s="3"/>
      <c r="EAJ141" s="3"/>
      <c r="EAK141" s="3"/>
      <c r="EAL141" s="3"/>
      <c r="EAM141" s="3"/>
      <c r="EAN141" s="3"/>
      <c r="EAO141" s="3"/>
      <c r="EAP141" s="3"/>
      <c r="EAQ141" s="3"/>
      <c r="EAR141" s="3"/>
      <c r="EAS141" s="3"/>
      <c r="EAT141" s="3"/>
      <c r="EAU141" s="3"/>
      <c r="EAV141" s="3"/>
      <c r="EAW141" s="3"/>
      <c r="EAX141" s="3"/>
      <c r="EAY141" s="3"/>
      <c r="EAZ141" s="3"/>
      <c r="EBA141" s="3"/>
      <c r="EBB141" s="3"/>
      <c r="EBC141" s="3"/>
      <c r="EBD141" s="3"/>
      <c r="EBE141" s="3"/>
      <c r="EBF141" s="3"/>
      <c r="EBG141" s="3"/>
      <c r="EBH141" s="3"/>
      <c r="EBI141" s="3"/>
      <c r="EBJ141" s="3"/>
      <c r="EBK141" s="3"/>
      <c r="EBL141" s="3"/>
      <c r="EBM141" s="3"/>
      <c r="EBN141" s="3"/>
      <c r="EBO141" s="3"/>
      <c r="EBP141" s="3"/>
      <c r="EBQ141" s="3"/>
      <c r="EBR141" s="3"/>
      <c r="EBS141" s="3"/>
      <c r="EBT141" s="3"/>
      <c r="EBU141" s="3"/>
      <c r="EBV141" s="3"/>
      <c r="EBW141" s="3"/>
      <c r="EBX141" s="3"/>
      <c r="EBY141" s="3"/>
      <c r="EBZ141" s="3"/>
      <c r="ECA141" s="3"/>
      <c r="ECB141" s="3"/>
      <c r="ECC141" s="3"/>
      <c r="ECD141" s="3"/>
      <c r="ECE141" s="3"/>
      <c r="ECF141" s="3"/>
      <c r="ECG141" s="3"/>
      <c r="ECH141" s="3"/>
      <c r="ECI141" s="3"/>
      <c r="ECJ141" s="3"/>
      <c r="ECK141" s="3"/>
      <c r="ECL141" s="3"/>
      <c r="ECM141" s="3"/>
      <c r="ECN141" s="3"/>
      <c r="ECO141" s="3"/>
      <c r="ECP141" s="3"/>
      <c r="ECQ141" s="3"/>
      <c r="ECR141" s="3"/>
      <c r="ECS141" s="3"/>
      <c r="ECT141" s="3"/>
      <c r="ECU141" s="3"/>
      <c r="ECV141" s="3"/>
      <c r="ECW141" s="3"/>
      <c r="ECX141" s="3"/>
      <c r="ECY141" s="3"/>
      <c r="ECZ141" s="3"/>
      <c r="EDA141" s="3"/>
      <c r="EDB141" s="3"/>
      <c r="EDC141" s="3"/>
      <c r="EDD141" s="3"/>
      <c r="EDE141" s="3"/>
      <c r="EDF141" s="3"/>
      <c r="EDG141" s="3"/>
      <c r="EDH141" s="3"/>
      <c r="EDI141" s="3"/>
      <c r="EDJ141" s="3"/>
      <c r="EDK141" s="3"/>
      <c r="EDL141" s="3"/>
      <c r="EDM141" s="3"/>
      <c r="EDN141" s="3"/>
      <c r="EDO141" s="3"/>
      <c r="EDP141" s="3"/>
      <c r="EDQ141" s="3"/>
      <c r="EDR141" s="3"/>
      <c r="EDS141" s="3"/>
      <c r="EDT141" s="3"/>
      <c r="EDU141" s="3"/>
      <c r="EDV141" s="3"/>
      <c r="EDW141" s="3"/>
      <c r="EDX141" s="3"/>
      <c r="EDY141" s="3"/>
      <c r="EDZ141" s="3"/>
      <c r="EEA141" s="3"/>
      <c r="EEB141" s="3"/>
      <c r="EEC141" s="3"/>
      <c r="EED141" s="3"/>
      <c r="EEE141" s="3"/>
      <c r="EEF141" s="3"/>
      <c r="EEG141" s="3"/>
      <c r="EEH141" s="3"/>
      <c r="EEI141" s="3"/>
      <c r="EEJ141" s="3"/>
      <c r="EEK141" s="3"/>
      <c r="EEL141" s="3"/>
      <c r="EEM141" s="3"/>
      <c r="EEN141" s="3"/>
      <c r="EEO141" s="3"/>
      <c r="EEP141" s="3"/>
      <c r="EEQ141" s="3"/>
      <c r="EER141" s="3"/>
      <c r="EES141" s="3"/>
      <c r="EET141" s="3"/>
      <c r="EEU141" s="3"/>
      <c r="EEV141" s="3"/>
      <c r="EEW141" s="3"/>
      <c r="EEX141" s="3"/>
      <c r="EEY141" s="3"/>
      <c r="EEZ141" s="3"/>
      <c r="EFA141" s="3"/>
      <c r="EFB141" s="3"/>
      <c r="EFC141" s="3"/>
      <c r="EFD141" s="3"/>
      <c r="EFE141" s="3"/>
      <c r="EFF141" s="3"/>
      <c r="EFG141" s="3"/>
      <c r="EFH141" s="3"/>
      <c r="EFI141" s="3"/>
      <c r="EFJ141" s="3"/>
      <c r="EFK141" s="3"/>
      <c r="EFL141" s="3"/>
      <c r="EFM141" s="3"/>
      <c r="EFN141" s="3"/>
      <c r="EFO141" s="3"/>
      <c r="EFP141" s="3"/>
      <c r="EFQ141" s="3"/>
      <c r="EFR141" s="3"/>
      <c r="EFS141" s="3"/>
      <c r="EFT141" s="3"/>
      <c r="EFU141" s="3"/>
      <c r="EFV141" s="3"/>
      <c r="EFW141" s="3"/>
      <c r="EFX141" s="3"/>
      <c r="EFY141" s="3"/>
      <c r="EFZ141" s="3"/>
      <c r="EGA141" s="3"/>
      <c r="EGB141" s="3"/>
      <c r="EGC141" s="3"/>
      <c r="EGD141" s="3"/>
      <c r="EGE141" s="3"/>
      <c r="EGF141" s="3"/>
      <c r="EGG141" s="3"/>
      <c r="EGH141" s="3"/>
      <c r="EGI141" s="3"/>
      <c r="EGJ141" s="3"/>
      <c r="EGK141" s="3"/>
      <c r="EGL141" s="3"/>
      <c r="EGM141" s="3"/>
      <c r="EGN141" s="3"/>
      <c r="EGO141" s="3"/>
      <c r="EGP141" s="3"/>
      <c r="EGQ141" s="3"/>
      <c r="EGR141" s="3"/>
      <c r="EGS141" s="3"/>
      <c r="EGT141" s="3"/>
      <c r="EGU141" s="3"/>
      <c r="EGV141" s="3"/>
      <c r="EGW141" s="3"/>
      <c r="EGX141" s="3"/>
      <c r="EGY141" s="3"/>
      <c r="EGZ141" s="3"/>
      <c r="EHA141" s="3"/>
      <c r="EHB141" s="3"/>
      <c r="EHC141" s="3"/>
      <c r="EHD141" s="3"/>
      <c r="EHE141" s="3"/>
      <c r="EHF141" s="3"/>
      <c r="EHG141" s="3"/>
      <c r="EHH141" s="3"/>
      <c r="EHI141" s="3"/>
      <c r="EHJ141" s="3"/>
      <c r="EHK141" s="3"/>
      <c r="EHL141" s="3"/>
      <c r="EHM141" s="3"/>
      <c r="EHN141" s="3"/>
      <c r="EHO141" s="3"/>
      <c r="EHP141" s="3"/>
      <c r="EHQ141" s="3"/>
      <c r="EHR141" s="3"/>
      <c r="EHS141" s="3"/>
      <c r="EHT141" s="3"/>
      <c r="EHU141" s="3"/>
      <c r="EHV141" s="3"/>
      <c r="EHW141" s="3"/>
      <c r="EHX141" s="3"/>
      <c r="EHY141" s="3"/>
      <c r="EHZ141" s="3"/>
      <c r="EIA141" s="3"/>
      <c r="EIB141" s="3"/>
      <c r="EIC141" s="3"/>
      <c r="EID141" s="3"/>
      <c r="EIE141" s="3"/>
      <c r="EIF141" s="3"/>
      <c r="EIG141" s="3"/>
      <c r="EIH141" s="3"/>
      <c r="EII141" s="3"/>
      <c r="EIJ141" s="3"/>
      <c r="EIK141" s="3"/>
      <c r="EIL141" s="3"/>
      <c r="EIM141" s="3"/>
      <c r="EIN141" s="3"/>
      <c r="EIO141" s="3"/>
      <c r="EIP141" s="3"/>
      <c r="EIQ141" s="3"/>
      <c r="EIR141" s="3"/>
      <c r="EIS141" s="3"/>
      <c r="EIT141" s="3"/>
      <c r="EIU141" s="3"/>
      <c r="EIV141" s="3"/>
      <c r="EIW141" s="3"/>
      <c r="EIX141" s="3"/>
      <c r="EIY141" s="3"/>
      <c r="EIZ141" s="3"/>
      <c r="EJA141" s="3"/>
      <c r="EJB141" s="3"/>
      <c r="EJC141" s="3"/>
      <c r="EJD141" s="3"/>
      <c r="EJE141" s="3"/>
      <c r="EJF141" s="3"/>
      <c r="EJG141" s="3"/>
      <c r="EJH141" s="3"/>
      <c r="EJI141" s="3"/>
      <c r="EJJ141" s="3"/>
      <c r="EJK141" s="3"/>
      <c r="EJL141" s="3"/>
      <c r="EJM141" s="3"/>
      <c r="EJN141" s="3"/>
      <c r="EJO141" s="3"/>
      <c r="EJP141" s="3"/>
      <c r="EJQ141" s="3"/>
      <c r="EJR141" s="3"/>
      <c r="EJS141" s="3"/>
      <c r="EJT141" s="3"/>
      <c r="EJU141" s="3"/>
      <c r="EJV141" s="3"/>
      <c r="EJW141" s="3"/>
      <c r="EJX141" s="3"/>
      <c r="EJY141" s="3"/>
      <c r="EJZ141" s="3"/>
      <c r="EKA141" s="3"/>
      <c r="EKB141" s="3"/>
      <c r="EKC141" s="3"/>
      <c r="EKD141" s="3"/>
      <c r="EKE141" s="3"/>
      <c r="EKF141" s="3"/>
      <c r="EKG141" s="3"/>
      <c r="EKH141" s="3"/>
      <c r="EKI141" s="3"/>
      <c r="EKJ141" s="3"/>
      <c r="EKK141" s="3"/>
      <c r="EKL141" s="3"/>
      <c r="EKM141" s="3"/>
      <c r="EKN141" s="3"/>
      <c r="EKO141" s="3"/>
      <c r="EKP141" s="3"/>
      <c r="EKQ141" s="3"/>
      <c r="EKR141" s="3"/>
      <c r="EKS141" s="3"/>
      <c r="EKT141" s="3"/>
      <c r="EKU141" s="3"/>
      <c r="EKV141" s="3"/>
      <c r="EKW141" s="3"/>
      <c r="EKX141" s="3"/>
      <c r="EKY141" s="3"/>
      <c r="EKZ141" s="3"/>
      <c r="ELA141" s="3"/>
      <c r="ELB141" s="3"/>
      <c r="ELC141" s="3"/>
      <c r="ELD141" s="3"/>
      <c r="ELE141" s="3"/>
      <c r="ELF141" s="3"/>
      <c r="ELG141" s="3"/>
      <c r="ELH141" s="3"/>
      <c r="ELI141" s="3"/>
      <c r="ELJ141" s="3"/>
      <c r="ELK141" s="3"/>
      <c r="ELL141" s="3"/>
      <c r="ELM141" s="3"/>
      <c r="ELN141" s="3"/>
      <c r="ELO141" s="3"/>
      <c r="ELP141" s="3"/>
      <c r="ELQ141" s="3"/>
      <c r="ELR141" s="3"/>
      <c r="ELS141" s="3"/>
      <c r="ELT141" s="3"/>
      <c r="ELU141" s="3"/>
      <c r="ELV141" s="3"/>
      <c r="ELW141" s="3"/>
      <c r="ELX141" s="3"/>
      <c r="ELY141" s="3"/>
      <c r="ELZ141" s="3"/>
      <c r="EMA141" s="3"/>
      <c r="EMB141" s="3"/>
      <c r="EMC141" s="3"/>
      <c r="EMD141" s="3"/>
      <c r="EME141" s="3"/>
      <c r="EMF141" s="3"/>
      <c r="EMG141" s="3"/>
      <c r="EMH141" s="3"/>
      <c r="EMI141" s="3"/>
      <c r="EMJ141" s="3"/>
      <c r="EMK141" s="3"/>
      <c r="EML141" s="3"/>
      <c r="EMM141" s="3"/>
      <c r="EMN141" s="3"/>
      <c r="EMO141" s="3"/>
      <c r="EMP141" s="3"/>
      <c r="EMQ141" s="3"/>
      <c r="EMR141" s="3"/>
      <c r="EMS141" s="3"/>
      <c r="EMT141" s="3"/>
      <c r="EMU141" s="3"/>
      <c r="EMV141" s="3"/>
      <c r="EMW141" s="3"/>
      <c r="EMX141" s="3"/>
      <c r="EMY141" s="3"/>
      <c r="EMZ141" s="3"/>
      <c r="ENA141" s="3"/>
      <c r="ENB141" s="3"/>
      <c r="ENC141" s="3"/>
      <c r="END141" s="3"/>
      <c r="ENE141" s="3"/>
      <c r="ENF141" s="3"/>
      <c r="ENG141" s="3"/>
      <c r="ENH141" s="3"/>
      <c r="ENI141" s="3"/>
      <c r="ENJ141" s="3"/>
      <c r="ENK141" s="3"/>
      <c r="ENL141" s="3"/>
      <c r="ENM141" s="3"/>
      <c r="ENN141" s="3"/>
      <c r="ENO141" s="3"/>
      <c r="ENP141" s="3"/>
      <c r="ENQ141" s="3"/>
      <c r="ENR141" s="3"/>
      <c r="ENS141" s="3"/>
      <c r="ENT141" s="3"/>
      <c r="ENU141" s="3"/>
      <c r="ENV141" s="3"/>
      <c r="ENW141" s="3"/>
      <c r="ENX141" s="3"/>
      <c r="ENY141" s="3"/>
      <c r="ENZ141" s="3"/>
      <c r="EOA141" s="3"/>
      <c r="EOB141" s="3"/>
      <c r="EOC141" s="3"/>
      <c r="EOD141" s="3"/>
      <c r="EOE141" s="3"/>
      <c r="EOF141" s="3"/>
      <c r="EOG141" s="3"/>
      <c r="EOH141" s="3"/>
      <c r="EOI141" s="3"/>
      <c r="EOJ141" s="3"/>
      <c r="EOK141" s="3"/>
      <c r="EOL141" s="3"/>
      <c r="EOM141" s="3"/>
      <c r="EON141" s="3"/>
      <c r="EOO141" s="3"/>
      <c r="EOP141" s="3"/>
      <c r="EOQ141" s="3"/>
      <c r="EOR141" s="3"/>
      <c r="EOS141" s="3"/>
      <c r="EOT141" s="3"/>
      <c r="EOU141" s="3"/>
      <c r="EOV141" s="3"/>
      <c r="EOW141" s="3"/>
      <c r="EOX141" s="3"/>
      <c r="EOY141" s="3"/>
      <c r="EOZ141" s="3"/>
      <c r="EPA141" s="3"/>
      <c r="EPB141" s="3"/>
      <c r="EPC141" s="3"/>
      <c r="EPD141" s="3"/>
      <c r="EPE141" s="3"/>
      <c r="EPF141" s="3"/>
      <c r="EPG141" s="3"/>
      <c r="EPH141" s="3"/>
      <c r="EPI141" s="3"/>
      <c r="EPJ141" s="3"/>
      <c r="EPK141" s="3"/>
      <c r="EPL141" s="3"/>
      <c r="EPM141" s="3"/>
      <c r="EPN141" s="3"/>
      <c r="EPO141" s="3"/>
      <c r="EPP141" s="3"/>
      <c r="EPQ141" s="3"/>
      <c r="EPR141" s="3"/>
      <c r="EPS141" s="3"/>
      <c r="EPT141" s="3"/>
      <c r="EPU141" s="3"/>
      <c r="EPV141" s="3"/>
      <c r="EPW141" s="3"/>
      <c r="EPX141" s="3"/>
      <c r="EPY141" s="3"/>
      <c r="EPZ141" s="3"/>
      <c r="EQA141" s="3"/>
      <c r="EQB141" s="3"/>
      <c r="EQC141" s="3"/>
      <c r="EQD141" s="3"/>
      <c r="EQE141" s="3"/>
      <c r="EQF141" s="3"/>
      <c r="EQG141" s="3"/>
      <c r="EQH141" s="3"/>
      <c r="EQI141" s="3"/>
      <c r="EQJ141" s="3"/>
      <c r="EQK141" s="3"/>
      <c r="EQL141" s="3"/>
      <c r="EQM141" s="3"/>
      <c r="EQN141" s="3"/>
      <c r="EQO141" s="3"/>
      <c r="EQP141" s="3"/>
      <c r="EQQ141" s="3"/>
      <c r="EQR141" s="3"/>
      <c r="EQS141" s="3"/>
      <c r="EQT141" s="3"/>
      <c r="EQU141" s="3"/>
      <c r="EQV141" s="3"/>
      <c r="EQW141" s="3"/>
      <c r="EQX141" s="3"/>
      <c r="EQY141" s="3"/>
      <c r="EQZ141" s="3"/>
      <c r="ERA141" s="3"/>
      <c r="ERB141" s="3"/>
      <c r="ERC141" s="3"/>
      <c r="ERD141" s="3"/>
      <c r="ERE141" s="3"/>
      <c r="ERF141" s="3"/>
      <c r="ERG141" s="3"/>
      <c r="ERH141" s="3"/>
      <c r="ERI141" s="3"/>
      <c r="ERJ141" s="3"/>
      <c r="ERK141" s="3"/>
      <c r="ERL141" s="3"/>
      <c r="ERM141" s="3"/>
      <c r="ERN141" s="3"/>
      <c r="ERO141" s="3"/>
      <c r="ERP141" s="3"/>
      <c r="ERQ141" s="3"/>
      <c r="ERR141" s="3"/>
      <c r="ERS141" s="3"/>
      <c r="ERT141" s="3"/>
      <c r="ERU141" s="3"/>
      <c r="ERV141" s="3"/>
      <c r="ERW141" s="3"/>
      <c r="ERX141" s="3"/>
      <c r="ERY141" s="3"/>
      <c r="ERZ141" s="3"/>
      <c r="ESA141" s="3"/>
      <c r="ESB141" s="3"/>
      <c r="ESC141" s="3"/>
      <c r="ESD141" s="3"/>
      <c r="ESE141" s="3"/>
      <c r="ESF141" s="3"/>
      <c r="ESG141" s="3"/>
      <c r="ESH141" s="3"/>
      <c r="ESI141" s="3"/>
      <c r="ESJ141" s="3"/>
      <c r="ESK141" s="3"/>
      <c r="ESL141" s="3"/>
      <c r="ESM141" s="3"/>
      <c r="ESN141" s="3"/>
      <c r="ESO141" s="3"/>
      <c r="ESP141" s="3"/>
      <c r="ESQ141" s="3"/>
      <c r="ESR141" s="3"/>
      <c r="ESS141" s="3"/>
      <c r="EST141" s="3"/>
      <c r="ESU141" s="3"/>
      <c r="ESV141" s="3"/>
      <c r="ESW141" s="3"/>
      <c r="ESX141" s="3"/>
      <c r="ESY141" s="3"/>
      <c r="ESZ141" s="3"/>
      <c r="ETA141" s="3"/>
      <c r="ETB141" s="3"/>
      <c r="ETC141" s="3"/>
      <c r="ETD141" s="3"/>
      <c r="ETE141" s="3"/>
      <c r="ETF141" s="3"/>
      <c r="ETG141" s="3"/>
      <c r="ETH141" s="3"/>
      <c r="ETI141" s="3"/>
      <c r="ETJ141" s="3"/>
      <c r="ETK141" s="3"/>
      <c r="ETL141" s="3"/>
      <c r="ETM141" s="3"/>
      <c r="ETN141" s="3"/>
      <c r="ETO141" s="3"/>
      <c r="ETP141" s="3"/>
      <c r="ETQ141" s="3"/>
      <c r="ETR141" s="3"/>
      <c r="ETS141" s="3"/>
      <c r="ETT141" s="3"/>
      <c r="ETU141" s="3"/>
      <c r="ETV141" s="3"/>
      <c r="ETW141" s="3"/>
      <c r="ETX141" s="3"/>
      <c r="ETY141" s="3"/>
      <c r="ETZ141" s="3"/>
      <c r="EUA141" s="3"/>
      <c r="EUB141" s="3"/>
      <c r="EUC141" s="3"/>
      <c r="EUD141" s="3"/>
      <c r="EUE141" s="3"/>
      <c r="EUF141" s="3"/>
      <c r="EUG141" s="3"/>
      <c r="EUH141" s="3"/>
      <c r="EUI141" s="3"/>
      <c r="EUJ141" s="3"/>
      <c r="EUK141" s="3"/>
      <c r="EUL141" s="3"/>
      <c r="EUM141" s="3"/>
      <c r="EUN141" s="3"/>
      <c r="EUO141" s="3"/>
      <c r="EUP141" s="3"/>
      <c r="EUQ141" s="3"/>
      <c r="EUR141" s="3"/>
      <c r="EUS141" s="3"/>
      <c r="EUT141" s="3"/>
      <c r="EUU141" s="3"/>
      <c r="EUV141" s="3"/>
      <c r="EUW141" s="3"/>
      <c r="EUX141" s="3"/>
      <c r="EUY141" s="3"/>
      <c r="EUZ141" s="3"/>
      <c r="EVA141" s="3"/>
      <c r="EVB141" s="3"/>
      <c r="EVC141" s="3"/>
      <c r="EVD141" s="3"/>
      <c r="EVE141" s="3"/>
      <c r="EVF141" s="3"/>
      <c r="EVG141" s="3"/>
      <c r="EVH141" s="3"/>
      <c r="EVI141" s="3"/>
      <c r="EVJ141" s="3"/>
      <c r="EVK141" s="3"/>
      <c r="EVL141" s="3"/>
      <c r="EVM141" s="3"/>
      <c r="EVN141" s="3"/>
      <c r="EVO141" s="3"/>
      <c r="EVP141" s="3"/>
      <c r="EVQ141" s="3"/>
      <c r="EVR141" s="3"/>
      <c r="EVS141" s="3"/>
      <c r="EVT141" s="3"/>
      <c r="EVU141" s="3"/>
      <c r="EVV141" s="3"/>
      <c r="EVW141" s="3"/>
      <c r="EVX141" s="3"/>
      <c r="EVY141" s="3"/>
      <c r="EVZ141" s="3"/>
      <c r="EWA141" s="3"/>
      <c r="EWB141" s="3"/>
      <c r="EWC141" s="3"/>
      <c r="EWD141" s="3"/>
      <c r="EWE141" s="3"/>
      <c r="EWF141" s="3"/>
      <c r="EWG141" s="3"/>
      <c r="EWH141" s="3"/>
      <c r="EWI141" s="3"/>
      <c r="EWJ141" s="3"/>
      <c r="EWK141" s="3"/>
      <c r="EWL141" s="3"/>
      <c r="EWM141" s="3"/>
      <c r="EWN141" s="3"/>
      <c r="EWO141" s="3"/>
      <c r="EWP141" s="3"/>
      <c r="EWQ141" s="3"/>
      <c r="EWR141" s="3"/>
      <c r="EWS141" s="3"/>
      <c r="EWT141" s="3"/>
      <c r="EWU141" s="3"/>
      <c r="EWV141" s="3"/>
      <c r="EWW141" s="3"/>
      <c r="EWX141" s="3"/>
      <c r="EWY141" s="3"/>
      <c r="EWZ141" s="3"/>
      <c r="EXA141" s="3"/>
      <c r="EXB141" s="3"/>
      <c r="EXC141" s="3"/>
      <c r="EXD141" s="3"/>
      <c r="EXE141" s="3"/>
      <c r="EXF141" s="3"/>
      <c r="EXG141" s="3"/>
      <c r="EXH141" s="3"/>
      <c r="EXI141" s="3"/>
      <c r="EXJ141" s="3"/>
      <c r="EXK141" s="3"/>
      <c r="EXL141" s="3"/>
      <c r="EXM141" s="3"/>
      <c r="EXN141" s="3"/>
      <c r="EXO141" s="3"/>
      <c r="EXP141" s="3"/>
      <c r="EXQ141" s="3"/>
      <c r="EXR141" s="3"/>
      <c r="EXS141" s="3"/>
      <c r="EXT141" s="3"/>
      <c r="EXU141" s="3"/>
      <c r="EXV141" s="3"/>
      <c r="EXW141" s="3"/>
      <c r="EXX141" s="3"/>
      <c r="EXY141" s="3"/>
      <c r="EXZ141" s="3"/>
      <c r="EYA141" s="3"/>
      <c r="EYB141" s="3"/>
      <c r="EYC141" s="3"/>
      <c r="EYD141" s="3"/>
      <c r="EYE141" s="3"/>
      <c r="EYF141" s="3"/>
      <c r="EYG141" s="3"/>
      <c r="EYH141" s="3"/>
      <c r="EYI141" s="3"/>
      <c r="EYJ141" s="3"/>
      <c r="EYK141" s="3"/>
      <c r="EYL141" s="3"/>
      <c r="EYM141" s="3"/>
      <c r="EYN141" s="3"/>
      <c r="EYO141" s="3"/>
      <c r="EYP141" s="3"/>
      <c r="EYQ141" s="3"/>
      <c r="EYR141" s="3"/>
      <c r="EYS141" s="3"/>
      <c r="EYT141" s="3"/>
      <c r="EYU141" s="3"/>
      <c r="EYV141" s="3"/>
      <c r="EYW141" s="3"/>
      <c r="EYX141" s="3"/>
      <c r="EYY141" s="3"/>
      <c r="EYZ141" s="3"/>
      <c r="EZA141" s="3"/>
      <c r="EZB141" s="3"/>
      <c r="EZC141" s="3"/>
      <c r="EZD141" s="3"/>
      <c r="EZE141" s="3"/>
      <c r="EZF141" s="3"/>
      <c r="EZG141" s="3"/>
      <c r="EZH141" s="3"/>
      <c r="EZI141" s="3"/>
      <c r="EZJ141" s="3"/>
      <c r="EZK141" s="3"/>
      <c r="EZL141" s="3"/>
      <c r="EZM141" s="3"/>
      <c r="EZN141" s="3"/>
      <c r="EZO141" s="3"/>
      <c r="EZP141" s="3"/>
      <c r="EZQ141" s="3"/>
      <c r="EZR141" s="3"/>
      <c r="EZS141" s="3"/>
      <c r="EZT141" s="3"/>
      <c r="EZU141" s="3"/>
      <c r="EZV141" s="3"/>
      <c r="EZW141" s="3"/>
      <c r="EZX141" s="3"/>
      <c r="EZY141" s="3"/>
      <c r="EZZ141" s="3"/>
      <c r="FAA141" s="3"/>
      <c r="FAB141" s="3"/>
      <c r="FAC141" s="3"/>
      <c r="FAD141" s="3"/>
      <c r="FAE141" s="3"/>
      <c r="FAF141" s="3"/>
      <c r="FAG141" s="3"/>
      <c r="FAH141" s="3"/>
      <c r="FAI141" s="3"/>
      <c r="FAJ141" s="3"/>
      <c r="FAK141" s="3"/>
      <c r="FAL141" s="3"/>
      <c r="FAM141" s="3"/>
      <c r="FAN141" s="3"/>
      <c r="FAO141" s="3"/>
      <c r="FAP141" s="3"/>
      <c r="FAQ141" s="3"/>
      <c r="FAR141" s="3"/>
      <c r="FAS141" s="3"/>
      <c r="FAT141" s="3"/>
      <c r="FAU141" s="3"/>
      <c r="FAV141" s="3"/>
      <c r="FAW141" s="3"/>
      <c r="FAX141" s="3"/>
      <c r="FAY141" s="3"/>
      <c r="FAZ141" s="3"/>
      <c r="FBA141" s="3"/>
      <c r="FBB141" s="3"/>
      <c r="FBC141" s="3"/>
      <c r="FBD141" s="3"/>
      <c r="FBE141" s="3"/>
      <c r="FBF141" s="3"/>
      <c r="FBG141" s="3"/>
      <c r="FBH141" s="3"/>
      <c r="FBI141" s="3"/>
      <c r="FBJ141" s="3"/>
      <c r="FBK141" s="3"/>
      <c r="FBL141" s="3"/>
      <c r="FBM141" s="3"/>
      <c r="FBN141" s="3"/>
      <c r="FBO141" s="3"/>
      <c r="FBP141" s="3"/>
      <c r="FBQ141" s="3"/>
      <c r="FBR141" s="3"/>
      <c r="FBS141" s="3"/>
      <c r="FBT141" s="3"/>
      <c r="FBU141" s="3"/>
      <c r="FBV141" s="3"/>
      <c r="FBW141" s="3"/>
      <c r="FBX141" s="3"/>
      <c r="FBY141" s="3"/>
      <c r="FBZ141" s="3"/>
      <c r="FCA141" s="3"/>
      <c r="FCB141" s="3"/>
      <c r="FCC141" s="3"/>
      <c r="FCD141" s="3"/>
      <c r="FCE141" s="3"/>
      <c r="FCF141" s="3"/>
      <c r="FCG141" s="3"/>
      <c r="FCH141" s="3"/>
      <c r="FCI141" s="3"/>
      <c r="FCJ141" s="3"/>
      <c r="FCK141" s="3"/>
      <c r="FCL141" s="3"/>
      <c r="FCM141" s="3"/>
      <c r="FCN141" s="3"/>
      <c r="FCO141" s="3"/>
      <c r="FCP141" s="3"/>
      <c r="FCQ141" s="3"/>
      <c r="FCR141" s="3"/>
      <c r="FCS141" s="3"/>
      <c r="FCT141" s="3"/>
      <c r="FCU141" s="3"/>
      <c r="FCV141" s="3"/>
      <c r="FCW141" s="3"/>
      <c r="FCX141" s="3"/>
      <c r="FCY141" s="3"/>
      <c r="FCZ141" s="3"/>
      <c r="FDA141" s="3"/>
      <c r="FDB141" s="3"/>
      <c r="FDC141" s="3"/>
      <c r="FDD141" s="3"/>
      <c r="FDE141" s="3"/>
      <c r="FDF141" s="3"/>
      <c r="FDG141" s="3"/>
      <c r="FDH141" s="3"/>
      <c r="FDI141" s="3"/>
      <c r="FDJ141" s="3"/>
      <c r="FDK141" s="3"/>
      <c r="FDL141" s="3"/>
      <c r="FDM141" s="3"/>
      <c r="FDN141" s="3"/>
      <c r="FDO141" s="3"/>
      <c r="FDP141" s="3"/>
      <c r="FDQ141" s="3"/>
      <c r="FDR141" s="3"/>
      <c r="FDS141" s="3"/>
      <c r="FDT141" s="3"/>
      <c r="FDU141" s="3"/>
      <c r="FDV141" s="3"/>
      <c r="FDW141" s="3"/>
      <c r="FDX141" s="3"/>
      <c r="FDY141" s="3"/>
      <c r="FDZ141" s="3"/>
      <c r="FEA141" s="3"/>
      <c r="FEB141" s="3"/>
      <c r="FEC141" s="3"/>
      <c r="FED141" s="3"/>
      <c r="FEE141" s="3"/>
      <c r="FEF141" s="3"/>
      <c r="FEG141" s="3"/>
      <c r="FEH141" s="3"/>
      <c r="FEI141" s="3"/>
      <c r="FEJ141" s="3"/>
      <c r="FEK141" s="3"/>
      <c r="FEL141" s="3"/>
      <c r="FEM141" s="3"/>
      <c r="FEN141" s="3"/>
      <c r="FEO141" s="3"/>
      <c r="FEP141" s="3"/>
      <c r="FEQ141" s="3"/>
      <c r="FER141" s="3"/>
      <c r="FES141" s="3"/>
      <c r="FET141" s="3"/>
      <c r="FEU141" s="3"/>
      <c r="FEV141" s="3"/>
      <c r="FEW141" s="3"/>
      <c r="FEX141" s="3"/>
      <c r="FEY141" s="3"/>
      <c r="FEZ141" s="3"/>
      <c r="FFA141" s="3"/>
      <c r="FFB141" s="3"/>
      <c r="FFC141" s="3"/>
      <c r="FFD141" s="3"/>
      <c r="FFE141" s="3"/>
      <c r="FFF141" s="3"/>
      <c r="FFG141" s="3"/>
      <c r="FFH141" s="3"/>
      <c r="FFI141" s="3"/>
      <c r="FFJ141" s="3"/>
      <c r="FFK141" s="3"/>
      <c r="FFL141" s="3"/>
      <c r="FFM141" s="3"/>
      <c r="FFN141" s="3"/>
      <c r="FFO141" s="3"/>
      <c r="FFP141" s="3"/>
      <c r="FFQ141" s="3"/>
      <c r="FFR141" s="3"/>
      <c r="FFS141" s="3"/>
      <c r="FFT141" s="3"/>
      <c r="FFU141" s="3"/>
      <c r="FFV141" s="3"/>
      <c r="FFW141" s="3"/>
      <c r="FFX141" s="3"/>
      <c r="FFY141" s="3"/>
      <c r="FFZ141" s="3"/>
      <c r="FGA141" s="3"/>
      <c r="FGB141" s="3"/>
      <c r="FGC141" s="3"/>
      <c r="FGD141" s="3"/>
      <c r="FGE141" s="3"/>
      <c r="FGF141" s="3"/>
      <c r="FGG141" s="3"/>
      <c r="FGH141" s="3"/>
      <c r="FGI141" s="3"/>
      <c r="FGJ141" s="3"/>
      <c r="FGK141" s="3"/>
      <c r="FGL141" s="3"/>
      <c r="FGM141" s="3"/>
      <c r="FGN141" s="3"/>
      <c r="FGO141" s="3"/>
      <c r="FGP141" s="3"/>
      <c r="FGQ141" s="3"/>
      <c r="FGR141" s="3"/>
      <c r="FGS141" s="3"/>
      <c r="FGT141" s="3"/>
      <c r="FGU141" s="3"/>
      <c r="FGV141" s="3"/>
      <c r="FGW141" s="3"/>
      <c r="FGX141" s="3"/>
      <c r="FGY141" s="3"/>
      <c r="FGZ141" s="3"/>
      <c r="FHA141" s="3"/>
      <c r="FHB141" s="3"/>
      <c r="FHC141" s="3"/>
      <c r="FHD141" s="3"/>
      <c r="FHE141" s="3"/>
      <c r="FHF141" s="3"/>
      <c r="FHG141" s="3"/>
      <c r="FHH141" s="3"/>
      <c r="FHI141" s="3"/>
      <c r="FHJ141" s="3"/>
      <c r="FHK141" s="3"/>
      <c r="FHL141" s="3"/>
      <c r="FHM141" s="3"/>
      <c r="FHN141" s="3"/>
      <c r="FHO141" s="3"/>
      <c r="FHP141" s="3"/>
      <c r="FHQ141" s="3"/>
      <c r="FHR141" s="3"/>
      <c r="FHS141" s="3"/>
      <c r="FHT141" s="3"/>
      <c r="FHU141" s="3"/>
      <c r="FHV141" s="3"/>
      <c r="FHW141" s="3"/>
      <c r="FHX141" s="3"/>
      <c r="FHY141" s="3"/>
      <c r="FHZ141" s="3"/>
      <c r="FIA141" s="3"/>
      <c r="FIB141" s="3"/>
      <c r="FIC141" s="3"/>
      <c r="FID141" s="3"/>
      <c r="FIE141" s="3"/>
      <c r="FIF141" s="3"/>
      <c r="FIG141" s="3"/>
      <c r="FIH141" s="3"/>
      <c r="FII141" s="3"/>
      <c r="FIJ141" s="3"/>
      <c r="FIK141" s="3"/>
      <c r="FIL141" s="3"/>
      <c r="FIM141" s="3"/>
      <c r="FIN141" s="3"/>
      <c r="FIO141" s="3"/>
      <c r="FIP141" s="3"/>
      <c r="FIQ141" s="3"/>
      <c r="FIR141" s="3"/>
      <c r="FIS141" s="3"/>
      <c r="FIT141" s="3"/>
      <c r="FIU141" s="3"/>
      <c r="FIV141" s="3"/>
      <c r="FIW141" s="3"/>
      <c r="FIX141" s="3"/>
      <c r="FIY141" s="3"/>
      <c r="FIZ141" s="3"/>
      <c r="FJA141" s="3"/>
      <c r="FJB141" s="3"/>
      <c r="FJC141" s="3"/>
      <c r="FJD141" s="3"/>
      <c r="FJE141" s="3"/>
      <c r="FJF141" s="3"/>
      <c r="FJG141" s="3"/>
      <c r="FJH141" s="3"/>
      <c r="FJI141" s="3"/>
      <c r="FJJ141" s="3"/>
      <c r="FJK141" s="3"/>
      <c r="FJL141" s="3"/>
      <c r="FJM141" s="3"/>
      <c r="FJN141" s="3"/>
      <c r="FJO141" s="3"/>
      <c r="FJP141" s="3"/>
      <c r="FJQ141" s="3"/>
      <c r="FJR141" s="3"/>
      <c r="FJS141" s="3"/>
      <c r="FJT141" s="3"/>
      <c r="FJU141" s="3"/>
      <c r="FJV141" s="3"/>
      <c r="FJW141" s="3"/>
      <c r="FJX141" s="3"/>
      <c r="FJY141" s="3"/>
      <c r="FJZ141" s="3"/>
      <c r="FKA141" s="3"/>
      <c r="FKB141" s="3"/>
      <c r="FKC141" s="3"/>
      <c r="FKD141" s="3"/>
      <c r="FKE141" s="3"/>
      <c r="FKF141" s="3"/>
      <c r="FKG141" s="3"/>
      <c r="FKH141" s="3"/>
      <c r="FKI141" s="3"/>
      <c r="FKJ141" s="3"/>
      <c r="FKK141" s="3"/>
      <c r="FKL141" s="3"/>
      <c r="FKM141" s="3"/>
      <c r="FKN141" s="3"/>
      <c r="FKO141" s="3"/>
      <c r="FKP141" s="3"/>
      <c r="FKQ141" s="3"/>
      <c r="FKR141" s="3"/>
      <c r="FKS141" s="3"/>
      <c r="FKT141" s="3"/>
      <c r="FKU141" s="3"/>
      <c r="FKV141" s="3"/>
      <c r="FKW141" s="3"/>
      <c r="FKX141" s="3"/>
      <c r="FKY141" s="3"/>
      <c r="FKZ141" s="3"/>
      <c r="FLA141" s="3"/>
      <c r="FLB141" s="3"/>
      <c r="FLC141" s="3"/>
      <c r="FLD141" s="3"/>
      <c r="FLE141" s="3"/>
      <c r="FLF141" s="3"/>
      <c r="FLG141" s="3"/>
      <c r="FLH141" s="3"/>
      <c r="FLI141" s="3"/>
      <c r="FLJ141" s="3"/>
      <c r="FLK141" s="3"/>
      <c r="FLL141" s="3"/>
      <c r="FLM141" s="3"/>
      <c r="FLN141" s="3"/>
      <c r="FLO141" s="3"/>
      <c r="FLP141" s="3"/>
      <c r="FLQ141" s="3"/>
      <c r="FLR141" s="3"/>
      <c r="FLS141" s="3"/>
      <c r="FLT141" s="3"/>
      <c r="FLU141" s="3"/>
      <c r="FLV141" s="3"/>
      <c r="FLW141" s="3"/>
      <c r="FLX141" s="3"/>
      <c r="FLY141" s="3"/>
      <c r="FLZ141" s="3"/>
      <c r="FMA141" s="3"/>
      <c r="FMB141" s="3"/>
      <c r="FMC141" s="3"/>
      <c r="FMD141" s="3"/>
      <c r="FME141" s="3"/>
      <c r="FMF141" s="3"/>
      <c r="FMG141" s="3"/>
      <c r="FMH141" s="3"/>
      <c r="FMI141" s="3"/>
      <c r="FMJ141" s="3"/>
      <c r="FMK141" s="3"/>
      <c r="FML141" s="3"/>
      <c r="FMM141" s="3"/>
      <c r="FMN141" s="3"/>
      <c r="FMO141" s="3"/>
      <c r="FMP141" s="3"/>
      <c r="FMQ141" s="3"/>
      <c r="FMR141" s="3"/>
      <c r="FMS141" s="3"/>
      <c r="FMT141" s="3"/>
      <c r="FMU141" s="3"/>
      <c r="FMV141" s="3"/>
      <c r="FMW141" s="3"/>
      <c r="FMX141" s="3"/>
      <c r="FMY141" s="3"/>
      <c r="FMZ141" s="3"/>
      <c r="FNA141" s="3"/>
      <c r="FNB141" s="3"/>
      <c r="FNC141" s="3"/>
      <c r="FND141" s="3"/>
      <c r="FNE141" s="3"/>
      <c r="FNF141" s="3"/>
      <c r="FNG141" s="3"/>
      <c r="FNH141" s="3"/>
      <c r="FNI141" s="3"/>
      <c r="FNJ141" s="3"/>
      <c r="FNK141" s="3"/>
      <c r="FNL141" s="3"/>
      <c r="FNM141" s="3"/>
      <c r="FNN141" s="3"/>
      <c r="FNO141" s="3"/>
      <c r="FNP141" s="3"/>
      <c r="FNQ141" s="3"/>
      <c r="FNR141" s="3"/>
      <c r="FNS141" s="3"/>
      <c r="FNT141" s="3"/>
      <c r="FNU141" s="3"/>
      <c r="FNV141" s="3"/>
      <c r="FNW141" s="3"/>
      <c r="FNX141" s="3"/>
      <c r="FNY141" s="3"/>
      <c r="FNZ141" s="3"/>
      <c r="FOA141" s="3"/>
      <c r="FOB141" s="3"/>
      <c r="FOC141" s="3"/>
      <c r="FOD141" s="3"/>
      <c r="FOE141" s="3"/>
      <c r="FOF141" s="3"/>
      <c r="FOG141" s="3"/>
      <c r="FOH141" s="3"/>
      <c r="FOI141" s="3"/>
      <c r="FOJ141" s="3"/>
      <c r="FOK141" s="3"/>
      <c r="FOL141" s="3"/>
      <c r="FOM141" s="3"/>
      <c r="FON141" s="3"/>
      <c r="FOO141" s="3"/>
      <c r="FOP141" s="3"/>
      <c r="FOQ141" s="3"/>
      <c r="FOR141" s="3"/>
      <c r="FOS141" s="3"/>
      <c r="FOT141" s="3"/>
      <c r="FOU141" s="3"/>
      <c r="FOV141" s="3"/>
      <c r="FOW141" s="3"/>
      <c r="FOX141" s="3"/>
      <c r="FOY141" s="3"/>
      <c r="FOZ141" s="3"/>
      <c r="FPA141" s="3"/>
      <c r="FPB141" s="3"/>
      <c r="FPC141" s="3"/>
      <c r="FPD141" s="3"/>
      <c r="FPE141" s="3"/>
      <c r="FPF141" s="3"/>
      <c r="FPG141" s="3"/>
      <c r="FPH141" s="3"/>
      <c r="FPI141" s="3"/>
      <c r="FPJ141" s="3"/>
      <c r="FPK141" s="3"/>
      <c r="FPL141" s="3"/>
      <c r="FPM141" s="3"/>
      <c r="FPN141" s="3"/>
      <c r="FPO141" s="3"/>
      <c r="FPP141" s="3"/>
      <c r="FPQ141" s="3"/>
      <c r="FPR141" s="3"/>
      <c r="FPS141" s="3"/>
      <c r="FPT141" s="3"/>
      <c r="FPU141" s="3"/>
      <c r="FPV141" s="3"/>
      <c r="FPW141" s="3"/>
      <c r="FPX141" s="3"/>
      <c r="FPY141" s="3"/>
      <c r="FPZ141" s="3"/>
      <c r="FQA141" s="3"/>
      <c r="FQB141" s="3"/>
      <c r="FQC141" s="3"/>
      <c r="FQD141" s="3"/>
      <c r="FQE141" s="3"/>
      <c r="FQF141" s="3"/>
      <c r="FQG141" s="3"/>
      <c r="FQH141" s="3"/>
      <c r="FQI141" s="3"/>
      <c r="FQJ141" s="3"/>
      <c r="FQK141" s="3"/>
      <c r="FQL141" s="3"/>
      <c r="FQM141" s="3"/>
      <c r="FQN141" s="3"/>
      <c r="FQO141" s="3"/>
      <c r="FQP141" s="3"/>
      <c r="FQQ141" s="3"/>
      <c r="FQR141" s="3"/>
      <c r="FQS141" s="3"/>
      <c r="FQT141" s="3"/>
      <c r="FQU141" s="3"/>
      <c r="FQV141" s="3"/>
      <c r="FQW141" s="3"/>
      <c r="FQX141" s="3"/>
      <c r="FQY141" s="3"/>
      <c r="FQZ141" s="3"/>
      <c r="FRA141" s="3"/>
      <c r="FRB141" s="3"/>
      <c r="FRC141" s="3"/>
      <c r="FRD141" s="3"/>
      <c r="FRE141" s="3"/>
      <c r="FRF141" s="3"/>
      <c r="FRG141" s="3"/>
      <c r="FRH141" s="3"/>
      <c r="FRI141" s="3"/>
      <c r="FRJ141" s="3"/>
      <c r="FRK141" s="3"/>
      <c r="FRL141" s="3"/>
      <c r="FRM141" s="3"/>
      <c r="FRN141" s="3"/>
      <c r="FRO141" s="3"/>
      <c r="FRP141" s="3"/>
      <c r="FRQ141" s="3"/>
      <c r="FRR141" s="3"/>
      <c r="FRS141" s="3"/>
      <c r="FRT141" s="3"/>
      <c r="FRU141" s="3"/>
      <c r="FRV141" s="3"/>
      <c r="FRW141" s="3"/>
      <c r="FRX141" s="3"/>
      <c r="FRY141" s="3"/>
      <c r="FRZ141" s="3"/>
      <c r="FSA141" s="3"/>
      <c r="FSB141" s="3"/>
      <c r="FSC141" s="3"/>
      <c r="FSD141" s="3"/>
      <c r="FSE141" s="3"/>
      <c r="FSF141" s="3"/>
      <c r="FSG141" s="3"/>
      <c r="FSH141" s="3"/>
      <c r="FSI141" s="3"/>
      <c r="FSJ141" s="3"/>
      <c r="FSK141" s="3"/>
      <c r="FSL141" s="3"/>
      <c r="FSM141" s="3"/>
      <c r="FSN141" s="3"/>
      <c r="FSO141" s="3"/>
      <c r="FSP141" s="3"/>
      <c r="FSQ141" s="3"/>
      <c r="FSR141" s="3"/>
      <c r="FSS141" s="3"/>
      <c r="FST141" s="3"/>
      <c r="FSU141" s="3"/>
      <c r="FSV141" s="3"/>
      <c r="FSW141" s="3"/>
      <c r="FSX141" s="3"/>
      <c r="FSY141" s="3"/>
      <c r="FSZ141" s="3"/>
      <c r="FTA141" s="3"/>
      <c r="FTB141" s="3"/>
      <c r="FTC141" s="3"/>
      <c r="FTD141" s="3"/>
      <c r="FTE141" s="3"/>
      <c r="FTF141" s="3"/>
      <c r="FTG141" s="3"/>
      <c r="FTH141" s="3"/>
      <c r="FTI141" s="3"/>
      <c r="FTJ141" s="3"/>
      <c r="FTK141" s="3"/>
      <c r="FTL141" s="3"/>
      <c r="FTM141" s="3"/>
      <c r="FTN141" s="3"/>
      <c r="FTO141" s="3"/>
      <c r="FTP141" s="3"/>
      <c r="FTQ141" s="3"/>
      <c r="FTR141" s="3"/>
      <c r="FTS141" s="3"/>
      <c r="FTT141" s="3"/>
      <c r="FTU141" s="3"/>
      <c r="FTV141" s="3"/>
      <c r="FTW141" s="3"/>
      <c r="FTX141" s="3"/>
      <c r="FTY141" s="3"/>
      <c r="FTZ141" s="3"/>
      <c r="FUA141" s="3"/>
      <c r="FUB141" s="3"/>
      <c r="FUC141" s="3"/>
      <c r="FUD141" s="3"/>
      <c r="FUE141" s="3"/>
      <c r="FUF141" s="3"/>
      <c r="FUG141" s="3"/>
      <c r="FUH141" s="3"/>
      <c r="FUI141" s="3"/>
      <c r="FUJ141" s="3"/>
      <c r="FUK141" s="3"/>
      <c r="FUL141" s="3"/>
      <c r="FUM141" s="3"/>
      <c r="FUN141" s="3"/>
      <c r="FUO141" s="3"/>
      <c r="FUP141" s="3"/>
      <c r="FUQ141" s="3"/>
      <c r="FUR141" s="3"/>
      <c r="FUS141" s="3"/>
      <c r="FUT141" s="3"/>
      <c r="FUU141" s="3"/>
      <c r="FUV141" s="3"/>
      <c r="FUW141" s="3"/>
      <c r="FUX141" s="3"/>
      <c r="FUY141" s="3"/>
      <c r="FUZ141" s="3"/>
      <c r="FVA141" s="3"/>
      <c r="FVB141" s="3"/>
      <c r="FVC141" s="3"/>
      <c r="FVD141" s="3"/>
      <c r="FVE141" s="3"/>
      <c r="FVF141" s="3"/>
      <c r="FVG141" s="3"/>
      <c r="FVH141" s="3"/>
      <c r="FVI141" s="3"/>
      <c r="FVJ141" s="3"/>
      <c r="FVK141" s="3"/>
      <c r="FVL141" s="3"/>
      <c r="FVM141" s="3"/>
      <c r="FVN141" s="3"/>
      <c r="FVO141" s="3"/>
      <c r="FVP141" s="3"/>
      <c r="FVQ141" s="3"/>
      <c r="FVR141" s="3"/>
      <c r="FVS141" s="3"/>
      <c r="FVT141" s="3"/>
      <c r="FVU141" s="3"/>
      <c r="FVV141" s="3"/>
      <c r="FVW141" s="3"/>
      <c r="FVX141" s="3"/>
      <c r="FVY141" s="3"/>
      <c r="FVZ141" s="3"/>
      <c r="FWA141" s="3"/>
      <c r="FWB141" s="3"/>
      <c r="FWC141" s="3"/>
      <c r="FWD141" s="3"/>
      <c r="FWE141" s="3"/>
      <c r="FWF141" s="3"/>
      <c r="FWG141" s="3"/>
      <c r="FWH141" s="3"/>
      <c r="FWI141" s="3"/>
      <c r="FWJ141" s="3"/>
      <c r="FWK141" s="3"/>
      <c r="FWL141" s="3"/>
      <c r="FWM141" s="3"/>
      <c r="FWN141" s="3"/>
      <c r="FWO141" s="3"/>
      <c r="FWP141" s="3"/>
      <c r="FWQ141" s="3"/>
      <c r="FWR141" s="3"/>
      <c r="FWS141" s="3"/>
      <c r="FWT141" s="3"/>
      <c r="FWU141" s="3"/>
      <c r="FWV141" s="3"/>
      <c r="FWW141" s="3"/>
      <c r="FWX141" s="3"/>
      <c r="FWY141" s="3"/>
      <c r="FWZ141" s="3"/>
      <c r="FXA141" s="3"/>
      <c r="FXB141" s="3"/>
      <c r="FXC141" s="3"/>
      <c r="FXD141" s="3"/>
      <c r="FXE141" s="3"/>
      <c r="FXF141" s="3"/>
      <c r="FXG141" s="3"/>
      <c r="FXH141" s="3"/>
      <c r="FXI141" s="3"/>
      <c r="FXJ141" s="3"/>
      <c r="FXK141" s="3"/>
      <c r="FXL141" s="3"/>
      <c r="FXM141" s="3"/>
      <c r="FXN141" s="3"/>
      <c r="FXO141" s="3"/>
      <c r="FXP141" s="3"/>
      <c r="FXQ141" s="3"/>
      <c r="FXR141" s="3"/>
      <c r="FXS141" s="3"/>
      <c r="FXT141" s="3"/>
      <c r="FXU141" s="3"/>
      <c r="FXV141" s="3"/>
      <c r="FXW141" s="3"/>
      <c r="FXX141" s="3"/>
      <c r="FXY141" s="3"/>
      <c r="FXZ141" s="3"/>
      <c r="FYA141" s="3"/>
      <c r="FYB141" s="3"/>
      <c r="FYC141" s="3"/>
      <c r="FYD141" s="3"/>
      <c r="FYE141" s="3"/>
      <c r="FYF141" s="3"/>
      <c r="FYG141" s="3"/>
      <c r="FYH141" s="3"/>
      <c r="FYI141" s="3"/>
      <c r="FYJ141" s="3"/>
      <c r="FYK141" s="3"/>
      <c r="FYL141" s="3"/>
      <c r="FYM141" s="3"/>
      <c r="FYN141" s="3"/>
      <c r="FYO141" s="3"/>
      <c r="FYP141" s="3"/>
      <c r="FYQ141" s="3"/>
      <c r="FYR141" s="3"/>
      <c r="FYS141" s="3"/>
      <c r="FYT141" s="3"/>
      <c r="FYU141" s="3"/>
      <c r="FYV141" s="3"/>
      <c r="FYW141" s="3"/>
      <c r="FYX141" s="3"/>
      <c r="FYY141" s="3"/>
      <c r="FYZ141" s="3"/>
      <c r="FZA141" s="3"/>
      <c r="FZB141" s="3"/>
      <c r="FZC141" s="3"/>
      <c r="FZD141" s="3"/>
      <c r="FZE141" s="3"/>
      <c r="FZF141" s="3"/>
      <c r="FZG141" s="3"/>
      <c r="FZH141" s="3"/>
      <c r="FZI141" s="3"/>
      <c r="FZJ141" s="3"/>
      <c r="FZK141" s="3"/>
      <c r="FZL141" s="3"/>
      <c r="FZM141" s="3"/>
      <c r="FZN141" s="3"/>
      <c r="FZO141" s="3"/>
      <c r="FZP141" s="3"/>
      <c r="FZQ141" s="3"/>
      <c r="FZR141" s="3"/>
      <c r="FZS141" s="3"/>
      <c r="FZT141" s="3"/>
      <c r="FZU141" s="3"/>
      <c r="FZV141" s="3"/>
      <c r="FZW141" s="3"/>
      <c r="FZX141" s="3"/>
      <c r="FZY141" s="3"/>
      <c r="FZZ141" s="3"/>
      <c r="GAA141" s="3"/>
      <c r="GAB141" s="3"/>
      <c r="GAC141" s="3"/>
      <c r="GAD141" s="3"/>
      <c r="GAE141" s="3"/>
      <c r="GAF141" s="3"/>
      <c r="GAG141" s="3"/>
      <c r="GAH141" s="3"/>
      <c r="GAI141" s="3"/>
      <c r="GAJ141" s="3"/>
      <c r="GAK141" s="3"/>
      <c r="GAL141" s="3"/>
      <c r="GAM141" s="3"/>
      <c r="GAN141" s="3"/>
      <c r="GAO141" s="3"/>
      <c r="GAP141" s="3"/>
      <c r="GAQ141" s="3"/>
      <c r="GAR141" s="3"/>
      <c r="GAS141" s="3"/>
      <c r="GAT141" s="3"/>
      <c r="GAU141" s="3"/>
      <c r="GAV141" s="3"/>
      <c r="GAW141" s="3"/>
      <c r="GAX141" s="3"/>
      <c r="GAY141" s="3"/>
      <c r="GAZ141" s="3"/>
      <c r="GBA141" s="3"/>
      <c r="GBB141" s="3"/>
      <c r="GBC141" s="3"/>
      <c r="GBD141" s="3"/>
      <c r="GBE141" s="3"/>
      <c r="GBF141" s="3"/>
      <c r="GBG141" s="3"/>
      <c r="GBH141" s="3"/>
      <c r="GBI141" s="3"/>
      <c r="GBJ141" s="3"/>
      <c r="GBK141" s="3"/>
      <c r="GBL141" s="3"/>
      <c r="GBM141" s="3"/>
      <c r="GBN141" s="3"/>
      <c r="GBO141" s="3"/>
      <c r="GBP141" s="3"/>
      <c r="GBQ141" s="3"/>
      <c r="GBR141" s="3"/>
      <c r="GBS141" s="3"/>
      <c r="GBT141" s="3"/>
      <c r="GBU141" s="3"/>
      <c r="GBV141" s="3"/>
      <c r="GBW141" s="3"/>
      <c r="GBX141" s="3"/>
      <c r="GBY141" s="3"/>
      <c r="GBZ141" s="3"/>
      <c r="GCA141" s="3"/>
      <c r="GCB141" s="3"/>
      <c r="GCC141" s="3"/>
      <c r="GCD141" s="3"/>
      <c r="GCE141" s="3"/>
      <c r="GCF141" s="3"/>
      <c r="GCG141" s="3"/>
      <c r="GCH141" s="3"/>
      <c r="GCI141" s="3"/>
      <c r="GCJ141" s="3"/>
      <c r="GCK141" s="3"/>
      <c r="GCL141" s="3"/>
      <c r="GCM141" s="3"/>
      <c r="GCN141" s="3"/>
      <c r="GCO141" s="3"/>
      <c r="GCP141" s="3"/>
      <c r="GCQ141" s="3"/>
      <c r="GCR141" s="3"/>
      <c r="GCS141" s="3"/>
      <c r="GCT141" s="3"/>
      <c r="GCU141" s="3"/>
      <c r="GCV141" s="3"/>
      <c r="GCW141" s="3"/>
      <c r="GCX141" s="3"/>
      <c r="GCY141" s="3"/>
      <c r="GCZ141" s="3"/>
      <c r="GDA141" s="3"/>
      <c r="GDB141" s="3"/>
      <c r="GDC141" s="3"/>
      <c r="GDD141" s="3"/>
      <c r="GDE141" s="3"/>
      <c r="GDF141" s="3"/>
      <c r="GDG141" s="3"/>
      <c r="GDH141" s="3"/>
      <c r="GDI141" s="3"/>
      <c r="GDJ141" s="3"/>
      <c r="GDK141" s="3"/>
      <c r="GDL141" s="3"/>
      <c r="GDM141" s="3"/>
      <c r="GDN141" s="3"/>
      <c r="GDO141" s="3"/>
      <c r="GDP141" s="3"/>
      <c r="GDQ141" s="3"/>
      <c r="GDR141" s="3"/>
      <c r="GDS141" s="3"/>
      <c r="GDT141" s="3"/>
      <c r="GDU141" s="3"/>
      <c r="GDV141" s="3"/>
      <c r="GDW141" s="3"/>
      <c r="GDX141" s="3"/>
      <c r="GDY141" s="3"/>
      <c r="GDZ141" s="3"/>
      <c r="GEA141" s="3"/>
      <c r="GEB141" s="3"/>
      <c r="GEC141" s="3"/>
      <c r="GED141" s="3"/>
      <c r="GEE141" s="3"/>
      <c r="GEF141" s="3"/>
      <c r="GEG141" s="3"/>
      <c r="GEH141" s="3"/>
      <c r="GEI141" s="3"/>
      <c r="GEJ141" s="3"/>
      <c r="GEK141" s="3"/>
      <c r="GEL141" s="3"/>
      <c r="GEM141" s="3"/>
      <c r="GEN141" s="3"/>
      <c r="GEO141" s="3"/>
      <c r="GEP141" s="3"/>
      <c r="GEQ141" s="3"/>
      <c r="GER141" s="3"/>
      <c r="GES141" s="3"/>
      <c r="GET141" s="3"/>
      <c r="GEU141" s="3"/>
      <c r="GEV141" s="3"/>
      <c r="GEW141" s="3"/>
      <c r="GEX141" s="3"/>
      <c r="GEY141" s="3"/>
      <c r="GEZ141" s="3"/>
      <c r="GFA141" s="3"/>
      <c r="GFB141" s="3"/>
      <c r="GFC141" s="3"/>
      <c r="GFD141" s="3"/>
      <c r="GFE141" s="3"/>
      <c r="GFF141" s="3"/>
      <c r="GFG141" s="3"/>
      <c r="GFH141" s="3"/>
      <c r="GFI141" s="3"/>
      <c r="GFJ141" s="3"/>
      <c r="GFK141" s="3"/>
      <c r="GFL141" s="3"/>
      <c r="GFM141" s="3"/>
      <c r="GFN141" s="3"/>
      <c r="GFO141" s="3"/>
      <c r="GFP141" s="3"/>
      <c r="GFQ141" s="3"/>
      <c r="GFR141" s="3"/>
      <c r="GFS141" s="3"/>
      <c r="GFT141" s="3"/>
      <c r="GFU141" s="3"/>
      <c r="GFV141" s="3"/>
      <c r="GFW141" s="3"/>
      <c r="GFX141" s="3"/>
      <c r="GFY141" s="3"/>
      <c r="GFZ141" s="3"/>
      <c r="GGA141" s="3"/>
      <c r="GGB141" s="3"/>
      <c r="GGC141" s="3"/>
      <c r="GGD141" s="3"/>
      <c r="GGE141" s="3"/>
      <c r="GGF141" s="3"/>
      <c r="GGG141" s="3"/>
      <c r="GGH141" s="3"/>
      <c r="GGI141" s="3"/>
      <c r="GGJ141" s="3"/>
      <c r="GGK141" s="3"/>
      <c r="GGL141" s="3"/>
      <c r="GGM141" s="3"/>
      <c r="GGN141" s="3"/>
      <c r="GGO141" s="3"/>
      <c r="GGP141" s="3"/>
      <c r="GGQ141" s="3"/>
      <c r="GGR141" s="3"/>
      <c r="GGS141" s="3"/>
      <c r="GGT141" s="3"/>
      <c r="GGU141" s="3"/>
      <c r="GGV141" s="3"/>
      <c r="GGW141" s="3"/>
      <c r="GGX141" s="3"/>
      <c r="GGY141" s="3"/>
      <c r="GGZ141" s="3"/>
      <c r="GHA141" s="3"/>
      <c r="GHB141" s="3"/>
      <c r="GHC141" s="3"/>
      <c r="GHD141" s="3"/>
      <c r="GHE141" s="3"/>
      <c r="GHF141" s="3"/>
      <c r="GHG141" s="3"/>
      <c r="GHH141" s="3"/>
      <c r="GHI141" s="3"/>
      <c r="GHJ141" s="3"/>
      <c r="GHK141" s="3"/>
      <c r="GHL141" s="3"/>
      <c r="GHM141" s="3"/>
      <c r="GHN141" s="3"/>
      <c r="GHO141" s="3"/>
      <c r="GHP141" s="3"/>
      <c r="GHQ141" s="3"/>
      <c r="GHR141" s="3"/>
      <c r="GHS141" s="3"/>
      <c r="GHT141" s="3"/>
      <c r="GHU141" s="3"/>
      <c r="GHV141" s="3"/>
      <c r="GHW141" s="3"/>
      <c r="GHX141" s="3"/>
      <c r="GHY141" s="3"/>
      <c r="GHZ141" s="3"/>
      <c r="GIA141" s="3"/>
      <c r="GIB141" s="3"/>
      <c r="GIC141" s="3"/>
      <c r="GID141" s="3"/>
      <c r="GIE141" s="3"/>
      <c r="GIF141" s="3"/>
      <c r="GIG141" s="3"/>
      <c r="GIH141" s="3"/>
      <c r="GII141" s="3"/>
      <c r="GIJ141" s="3"/>
      <c r="GIK141" s="3"/>
      <c r="GIL141" s="3"/>
      <c r="GIM141" s="3"/>
      <c r="GIN141" s="3"/>
      <c r="GIO141" s="3"/>
      <c r="GIP141" s="3"/>
      <c r="GIQ141" s="3"/>
      <c r="GIR141" s="3"/>
      <c r="GIS141" s="3"/>
      <c r="GIT141" s="3"/>
      <c r="GIU141" s="3"/>
      <c r="GIV141" s="3"/>
      <c r="GIW141" s="3"/>
      <c r="GIX141" s="3"/>
      <c r="GIY141" s="3"/>
      <c r="GIZ141" s="3"/>
      <c r="GJA141" s="3"/>
      <c r="GJB141" s="3"/>
      <c r="GJC141" s="3"/>
      <c r="GJD141" s="3"/>
      <c r="GJE141" s="3"/>
      <c r="GJF141" s="3"/>
      <c r="GJG141" s="3"/>
      <c r="GJH141" s="3"/>
      <c r="GJI141" s="3"/>
      <c r="GJJ141" s="3"/>
      <c r="GJK141" s="3"/>
      <c r="GJL141" s="3"/>
      <c r="GJM141" s="3"/>
      <c r="GJN141" s="3"/>
      <c r="GJO141" s="3"/>
      <c r="GJP141" s="3"/>
      <c r="GJQ141" s="3"/>
      <c r="GJR141" s="3"/>
      <c r="GJS141" s="3"/>
      <c r="GJT141" s="3"/>
      <c r="GJU141" s="3"/>
      <c r="GJV141" s="3"/>
      <c r="GJW141" s="3"/>
      <c r="GJX141" s="3"/>
      <c r="GJY141" s="3"/>
      <c r="GJZ141" s="3"/>
      <c r="GKA141" s="3"/>
      <c r="GKB141" s="3"/>
      <c r="GKC141" s="3"/>
      <c r="GKD141" s="3"/>
      <c r="GKE141" s="3"/>
      <c r="GKF141" s="3"/>
      <c r="GKG141" s="3"/>
      <c r="GKH141" s="3"/>
      <c r="GKI141" s="3"/>
      <c r="GKJ141" s="3"/>
      <c r="GKK141" s="3"/>
      <c r="GKL141" s="3"/>
      <c r="GKM141" s="3"/>
      <c r="GKN141" s="3"/>
      <c r="GKO141" s="3"/>
      <c r="GKP141" s="3"/>
      <c r="GKQ141" s="3"/>
      <c r="GKR141" s="3"/>
      <c r="GKS141" s="3"/>
      <c r="GKT141" s="3"/>
      <c r="GKU141" s="3"/>
      <c r="GKV141" s="3"/>
      <c r="GKW141" s="3"/>
      <c r="GKX141" s="3"/>
      <c r="GKY141" s="3"/>
      <c r="GKZ141" s="3"/>
      <c r="GLA141" s="3"/>
      <c r="GLB141" s="3"/>
      <c r="GLC141" s="3"/>
      <c r="GLD141" s="3"/>
      <c r="GLE141" s="3"/>
      <c r="GLF141" s="3"/>
      <c r="GLG141" s="3"/>
      <c r="GLH141" s="3"/>
      <c r="GLI141" s="3"/>
      <c r="GLJ141" s="3"/>
      <c r="GLK141" s="3"/>
      <c r="GLL141" s="3"/>
      <c r="GLM141" s="3"/>
      <c r="GLN141" s="3"/>
      <c r="GLO141" s="3"/>
      <c r="GLP141" s="3"/>
      <c r="GLQ141" s="3"/>
      <c r="GLR141" s="3"/>
      <c r="GLS141" s="3"/>
      <c r="GLT141" s="3"/>
      <c r="GLU141" s="3"/>
      <c r="GLV141" s="3"/>
      <c r="GLW141" s="3"/>
      <c r="GLX141" s="3"/>
      <c r="GLY141" s="3"/>
      <c r="GLZ141" s="3"/>
      <c r="GMA141" s="3"/>
      <c r="GMB141" s="3"/>
      <c r="GMC141" s="3"/>
      <c r="GMD141" s="3"/>
      <c r="GME141" s="3"/>
      <c r="GMF141" s="3"/>
      <c r="GMG141" s="3"/>
      <c r="GMH141" s="3"/>
      <c r="GMI141" s="3"/>
      <c r="GMJ141" s="3"/>
      <c r="GMK141" s="3"/>
      <c r="GML141" s="3"/>
      <c r="GMM141" s="3"/>
      <c r="GMN141" s="3"/>
      <c r="GMO141" s="3"/>
      <c r="GMP141" s="3"/>
      <c r="GMQ141" s="3"/>
      <c r="GMR141" s="3"/>
      <c r="GMS141" s="3"/>
      <c r="GMT141" s="3"/>
      <c r="GMU141" s="3"/>
      <c r="GMV141" s="3"/>
      <c r="GMW141" s="3"/>
      <c r="GMX141" s="3"/>
      <c r="GMY141" s="3"/>
      <c r="GMZ141" s="3"/>
      <c r="GNA141" s="3"/>
      <c r="GNB141" s="3"/>
      <c r="GNC141" s="3"/>
      <c r="GND141" s="3"/>
      <c r="GNE141" s="3"/>
      <c r="GNF141" s="3"/>
      <c r="GNG141" s="3"/>
      <c r="GNH141" s="3"/>
      <c r="GNI141" s="3"/>
      <c r="GNJ141" s="3"/>
      <c r="GNK141" s="3"/>
      <c r="GNL141" s="3"/>
      <c r="GNM141" s="3"/>
      <c r="GNN141" s="3"/>
      <c r="GNO141" s="3"/>
      <c r="GNP141" s="3"/>
      <c r="GNQ141" s="3"/>
      <c r="GNR141" s="3"/>
      <c r="GNS141" s="3"/>
      <c r="GNT141" s="3"/>
      <c r="GNU141" s="3"/>
      <c r="GNV141" s="3"/>
      <c r="GNW141" s="3"/>
      <c r="GNX141" s="3"/>
      <c r="GNY141" s="3"/>
      <c r="GNZ141" s="3"/>
      <c r="GOA141" s="3"/>
      <c r="GOB141" s="3"/>
      <c r="GOC141" s="3"/>
      <c r="GOD141" s="3"/>
      <c r="GOE141" s="3"/>
      <c r="GOF141" s="3"/>
      <c r="GOG141" s="3"/>
      <c r="GOH141" s="3"/>
      <c r="GOI141" s="3"/>
      <c r="GOJ141" s="3"/>
      <c r="GOK141" s="3"/>
      <c r="GOL141" s="3"/>
      <c r="GOM141" s="3"/>
      <c r="GON141" s="3"/>
      <c r="GOO141" s="3"/>
      <c r="GOP141" s="3"/>
      <c r="GOQ141" s="3"/>
      <c r="GOR141" s="3"/>
      <c r="GOS141" s="3"/>
      <c r="GOT141" s="3"/>
      <c r="GOU141" s="3"/>
      <c r="GOV141" s="3"/>
      <c r="GOW141" s="3"/>
      <c r="GOX141" s="3"/>
      <c r="GOY141" s="3"/>
      <c r="GOZ141" s="3"/>
      <c r="GPA141" s="3"/>
      <c r="GPB141" s="3"/>
      <c r="GPC141" s="3"/>
      <c r="GPD141" s="3"/>
      <c r="GPE141" s="3"/>
      <c r="GPF141" s="3"/>
      <c r="GPG141" s="3"/>
      <c r="GPH141" s="3"/>
      <c r="GPI141" s="3"/>
      <c r="GPJ141" s="3"/>
      <c r="GPK141" s="3"/>
      <c r="GPL141" s="3"/>
      <c r="GPM141" s="3"/>
      <c r="GPN141" s="3"/>
      <c r="GPO141" s="3"/>
      <c r="GPP141" s="3"/>
      <c r="GPQ141" s="3"/>
      <c r="GPR141" s="3"/>
      <c r="GPS141" s="3"/>
      <c r="GPT141" s="3"/>
      <c r="GPU141" s="3"/>
      <c r="GPV141" s="3"/>
      <c r="GPW141" s="3"/>
      <c r="GPX141" s="3"/>
      <c r="GPY141" s="3"/>
      <c r="GPZ141" s="3"/>
      <c r="GQA141" s="3"/>
      <c r="GQB141" s="3"/>
      <c r="GQC141" s="3"/>
      <c r="GQD141" s="3"/>
      <c r="GQE141" s="3"/>
      <c r="GQF141" s="3"/>
      <c r="GQG141" s="3"/>
      <c r="GQH141" s="3"/>
      <c r="GQI141" s="3"/>
      <c r="GQJ141" s="3"/>
      <c r="GQK141" s="3"/>
      <c r="GQL141" s="3"/>
      <c r="GQM141" s="3"/>
      <c r="GQN141" s="3"/>
      <c r="GQO141" s="3"/>
      <c r="GQP141" s="3"/>
      <c r="GQQ141" s="3"/>
      <c r="GQR141" s="3"/>
      <c r="GQS141" s="3"/>
      <c r="GQT141" s="3"/>
      <c r="GQU141" s="3"/>
      <c r="GQV141" s="3"/>
      <c r="GQW141" s="3"/>
      <c r="GQX141" s="3"/>
      <c r="GQY141" s="3"/>
      <c r="GQZ141" s="3"/>
      <c r="GRA141" s="3"/>
      <c r="GRB141" s="3"/>
      <c r="GRC141" s="3"/>
      <c r="GRD141" s="3"/>
      <c r="GRE141" s="3"/>
      <c r="GRF141" s="3"/>
      <c r="GRG141" s="3"/>
      <c r="GRH141" s="3"/>
      <c r="GRI141" s="3"/>
      <c r="GRJ141" s="3"/>
      <c r="GRK141" s="3"/>
      <c r="GRL141" s="3"/>
      <c r="GRM141" s="3"/>
      <c r="GRN141" s="3"/>
      <c r="GRO141" s="3"/>
      <c r="GRP141" s="3"/>
      <c r="GRQ141" s="3"/>
      <c r="GRR141" s="3"/>
      <c r="GRS141" s="3"/>
      <c r="GRT141" s="3"/>
      <c r="GRU141" s="3"/>
      <c r="GRV141" s="3"/>
      <c r="GRW141" s="3"/>
      <c r="GRX141" s="3"/>
      <c r="GRY141" s="3"/>
      <c r="GRZ141" s="3"/>
      <c r="GSA141" s="3"/>
      <c r="GSB141" s="3"/>
      <c r="GSC141" s="3"/>
      <c r="GSD141" s="3"/>
      <c r="GSE141" s="3"/>
      <c r="GSF141" s="3"/>
      <c r="GSG141" s="3"/>
      <c r="GSH141" s="3"/>
      <c r="GSI141" s="3"/>
      <c r="GSJ141" s="3"/>
      <c r="GSK141" s="3"/>
      <c r="GSL141" s="3"/>
      <c r="GSM141" s="3"/>
      <c r="GSN141" s="3"/>
      <c r="GSO141" s="3"/>
      <c r="GSP141" s="3"/>
      <c r="GSQ141" s="3"/>
      <c r="GSR141" s="3"/>
      <c r="GSS141" s="3"/>
      <c r="GST141" s="3"/>
      <c r="GSU141" s="3"/>
      <c r="GSV141" s="3"/>
      <c r="GSW141" s="3"/>
      <c r="GSX141" s="3"/>
      <c r="GSY141" s="3"/>
      <c r="GSZ141" s="3"/>
      <c r="GTA141" s="3"/>
      <c r="GTB141" s="3"/>
      <c r="GTC141" s="3"/>
      <c r="GTD141" s="3"/>
      <c r="GTE141" s="3"/>
      <c r="GTF141" s="3"/>
      <c r="GTG141" s="3"/>
      <c r="GTH141" s="3"/>
      <c r="GTI141" s="3"/>
      <c r="GTJ141" s="3"/>
      <c r="GTK141" s="3"/>
      <c r="GTL141" s="3"/>
      <c r="GTM141" s="3"/>
      <c r="GTN141" s="3"/>
      <c r="GTO141" s="3"/>
      <c r="GTP141" s="3"/>
      <c r="GTQ141" s="3"/>
      <c r="GTR141" s="3"/>
      <c r="GTS141" s="3"/>
      <c r="GTT141" s="3"/>
      <c r="GTU141" s="3"/>
      <c r="GTV141" s="3"/>
      <c r="GTW141" s="3"/>
      <c r="GTX141" s="3"/>
      <c r="GTY141" s="3"/>
      <c r="GTZ141" s="3"/>
      <c r="GUA141" s="3"/>
      <c r="GUB141" s="3"/>
      <c r="GUC141" s="3"/>
      <c r="GUD141" s="3"/>
      <c r="GUE141" s="3"/>
      <c r="GUF141" s="3"/>
      <c r="GUG141" s="3"/>
      <c r="GUH141" s="3"/>
      <c r="GUI141" s="3"/>
      <c r="GUJ141" s="3"/>
      <c r="GUK141" s="3"/>
      <c r="GUL141" s="3"/>
      <c r="GUM141" s="3"/>
      <c r="GUN141" s="3"/>
      <c r="GUO141" s="3"/>
      <c r="GUP141" s="3"/>
      <c r="GUQ141" s="3"/>
      <c r="GUR141" s="3"/>
      <c r="GUS141" s="3"/>
      <c r="GUT141" s="3"/>
      <c r="GUU141" s="3"/>
      <c r="GUV141" s="3"/>
      <c r="GUW141" s="3"/>
      <c r="GUX141" s="3"/>
      <c r="GUY141" s="3"/>
      <c r="GUZ141" s="3"/>
      <c r="GVA141" s="3"/>
      <c r="GVB141" s="3"/>
      <c r="GVC141" s="3"/>
      <c r="GVD141" s="3"/>
      <c r="GVE141" s="3"/>
      <c r="GVF141" s="3"/>
      <c r="GVG141" s="3"/>
      <c r="GVH141" s="3"/>
      <c r="GVI141" s="3"/>
      <c r="GVJ141" s="3"/>
      <c r="GVK141" s="3"/>
      <c r="GVL141" s="3"/>
      <c r="GVM141" s="3"/>
      <c r="GVN141" s="3"/>
      <c r="GVO141" s="3"/>
      <c r="GVP141" s="3"/>
      <c r="GVQ141" s="3"/>
      <c r="GVR141" s="3"/>
      <c r="GVS141" s="3"/>
      <c r="GVT141" s="3"/>
      <c r="GVU141" s="3"/>
      <c r="GVV141" s="3"/>
      <c r="GVW141" s="3"/>
      <c r="GVX141" s="3"/>
      <c r="GVY141" s="3"/>
      <c r="GVZ141" s="3"/>
      <c r="GWA141" s="3"/>
      <c r="GWB141" s="3"/>
      <c r="GWC141" s="3"/>
      <c r="GWD141" s="3"/>
      <c r="GWE141" s="3"/>
      <c r="GWF141" s="3"/>
      <c r="GWG141" s="3"/>
      <c r="GWH141" s="3"/>
      <c r="GWI141" s="3"/>
      <c r="GWJ141" s="3"/>
      <c r="GWK141" s="3"/>
      <c r="GWL141" s="3"/>
      <c r="GWM141" s="3"/>
      <c r="GWN141" s="3"/>
      <c r="GWO141" s="3"/>
      <c r="GWP141" s="3"/>
      <c r="GWQ141" s="3"/>
      <c r="GWR141" s="3"/>
      <c r="GWS141" s="3"/>
      <c r="GWT141" s="3"/>
      <c r="GWU141" s="3"/>
      <c r="GWV141" s="3"/>
      <c r="GWW141" s="3"/>
      <c r="GWX141" s="3"/>
      <c r="GWY141" s="3"/>
      <c r="GWZ141" s="3"/>
      <c r="GXA141" s="3"/>
      <c r="GXB141" s="3"/>
      <c r="GXC141" s="3"/>
      <c r="GXD141" s="3"/>
      <c r="GXE141" s="3"/>
      <c r="GXF141" s="3"/>
      <c r="GXG141" s="3"/>
      <c r="GXH141" s="3"/>
      <c r="GXI141" s="3"/>
      <c r="GXJ141" s="3"/>
      <c r="GXK141" s="3"/>
      <c r="GXL141" s="3"/>
      <c r="GXM141" s="3"/>
      <c r="GXN141" s="3"/>
      <c r="GXO141" s="3"/>
      <c r="GXP141" s="3"/>
      <c r="GXQ141" s="3"/>
      <c r="GXR141" s="3"/>
      <c r="GXS141" s="3"/>
      <c r="GXT141" s="3"/>
      <c r="GXU141" s="3"/>
      <c r="GXV141" s="3"/>
      <c r="GXW141" s="3"/>
      <c r="GXX141" s="3"/>
      <c r="GXY141" s="3"/>
      <c r="GXZ141" s="3"/>
      <c r="GYA141" s="3"/>
      <c r="GYB141" s="3"/>
      <c r="GYC141" s="3"/>
      <c r="GYD141" s="3"/>
      <c r="GYE141" s="3"/>
      <c r="GYF141" s="3"/>
      <c r="GYG141" s="3"/>
      <c r="GYH141" s="3"/>
      <c r="GYI141" s="3"/>
      <c r="GYJ141" s="3"/>
      <c r="GYK141" s="3"/>
      <c r="GYL141" s="3"/>
      <c r="GYM141" s="3"/>
      <c r="GYN141" s="3"/>
      <c r="GYO141" s="3"/>
      <c r="GYP141" s="3"/>
      <c r="GYQ141" s="3"/>
      <c r="GYR141" s="3"/>
      <c r="GYS141" s="3"/>
      <c r="GYT141" s="3"/>
      <c r="GYU141" s="3"/>
      <c r="GYV141" s="3"/>
      <c r="GYW141" s="3"/>
      <c r="GYX141" s="3"/>
      <c r="GYY141" s="3"/>
      <c r="GYZ141" s="3"/>
      <c r="GZA141" s="3"/>
      <c r="GZB141" s="3"/>
      <c r="GZC141" s="3"/>
      <c r="GZD141" s="3"/>
      <c r="GZE141" s="3"/>
      <c r="GZF141" s="3"/>
      <c r="GZG141" s="3"/>
      <c r="GZH141" s="3"/>
      <c r="GZI141" s="3"/>
      <c r="GZJ141" s="3"/>
      <c r="GZK141" s="3"/>
      <c r="GZL141" s="3"/>
      <c r="GZM141" s="3"/>
      <c r="GZN141" s="3"/>
      <c r="GZO141" s="3"/>
      <c r="GZP141" s="3"/>
      <c r="GZQ141" s="3"/>
      <c r="GZR141" s="3"/>
      <c r="GZS141" s="3"/>
      <c r="GZT141" s="3"/>
      <c r="GZU141" s="3"/>
      <c r="GZV141" s="3"/>
      <c r="GZW141" s="3"/>
      <c r="GZX141" s="3"/>
      <c r="GZY141" s="3"/>
      <c r="GZZ141" s="3"/>
      <c r="HAA141" s="3"/>
      <c r="HAB141" s="3"/>
      <c r="HAC141" s="3"/>
      <c r="HAD141" s="3"/>
      <c r="HAE141" s="3"/>
      <c r="HAF141" s="3"/>
      <c r="HAG141" s="3"/>
      <c r="HAH141" s="3"/>
      <c r="HAI141" s="3"/>
      <c r="HAJ141" s="3"/>
      <c r="HAK141" s="3"/>
      <c r="HAL141" s="3"/>
      <c r="HAM141" s="3"/>
      <c r="HAN141" s="3"/>
      <c r="HAO141" s="3"/>
      <c r="HAP141" s="3"/>
      <c r="HAQ141" s="3"/>
      <c r="HAR141" s="3"/>
      <c r="HAS141" s="3"/>
      <c r="HAT141" s="3"/>
      <c r="HAU141" s="3"/>
      <c r="HAV141" s="3"/>
      <c r="HAW141" s="3"/>
      <c r="HAX141" s="3"/>
      <c r="HAY141" s="3"/>
      <c r="HAZ141" s="3"/>
      <c r="HBA141" s="3"/>
      <c r="HBB141" s="3"/>
      <c r="HBC141" s="3"/>
      <c r="HBD141" s="3"/>
      <c r="HBE141" s="3"/>
      <c r="HBF141" s="3"/>
      <c r="HBG141" s="3"/>
      <c r="HBH141" s="3"/>
      <c r="HBI141" s="3"/>
      <c r="HBJ141" s="3"/>
      <c r="HBK141" s="3"/>
      <c r="HBL141" s="3"/>
      <c r="HBM141" s="3"/>
      <c r="HBN141" s="3"/>
      <c r="HBO141" s="3"/>
      <c r="HBP141" s="3"/>
      <c r="HBQ141" s="3"/>
      <c r="HBR141" s="3"/>
      <c r="HBS141" s="3"/>
      <c r="HBT141" s="3"/>
      <c r="HBU141" s="3"/>
      <c r="HBV141" s="3"/>
      <c r="HBW141" s="3"/>
      <c r="HBX141" s="3"/>
      <c r="HBY141" s="3"/>
      <c r="HBZ141" s="3"/>
      <c r="HCA141" s="3"/>
      <c r="HCB141" s="3"/>
      <c r="HCC141" s="3"/>
      <c r="HCD141" s="3"/>
      <c r="HCE141" s="3"/>
      <c r="HCF141" s="3"/>
      <c r="HCG141" s="3"/>
      <c r="HCH141" s="3"/>
      <c r="HCI141" s="3"/>
      <c r="HCJ141" s="3"/>
      <c r="HCK141" s="3"/>
      <c r="HCL141" s="3"/>
      <c r="HCM141" s="3"/>
      <c r="HCN141" s="3"/>
      <c r="HCO141" s="3"/>
      <c r="HCP141" s="3"/>
      <c r="HCQ141" s="3"/>
      <c r="HCR141" s="3"/>
      <c r="HCS141" s="3"/>
      <c r="HCT141" s="3"/>
      <c r="HCU141" s="3"/>
      <c r="HCV141" s="3"/>
      <c r="HCW141" s="3"/>
      <c r="HCX141" s="3"/>
      <c r="HCY141" s="3"/>
      <c r="HCZ141" s="3"/>
      <c r="HDA141" s="3"/>
      <c r="HDB141" s="3"/>
      <c r="HDC141" s="3"/>
      <c r="HDD141" s="3"/>
      <c r="HDE141" s="3"/>
      <c r="HDF141" s="3"/>
      <c r="HDG141" s="3"/>
      <c r="HDH141" s="3"/>
      <c r="HDI141" s="3"/>
      <c r="HDJ141" s="3"/>
      <c r="HDK141" s="3"/>
      <c r="HDL141" s="3"/>
      <c r="HDM141" s="3"/>
      <c r="HDN141" s="3"/>
      <c r="HDO141" s="3"/>
      <c r="HDP141" s="3"/>
      <c r="HDQ141" s="3"/>
      <c r="HDR141" s="3"/>
      <c r="HDS141" s="3"/>
      <c r="HDT141" s="3"/>
      <c r="HDU141" s="3"/>
      <c r="HDV141" s="3"/>
      <c r="HDW141" s="3"/>
      <c r="HDX141" s="3"/>
      <c r="HDY141" s="3"/>
      <c r="HDZ141" s="3"/>
      <c r="HEA141" s="3"/>
      <c r="HEB141" s="3"/>
      <c r="HEC141" s="3"/>
      <c r="HED141" s="3"/>
      <c r="HEE141" s="3"/>
      <c r="HEF141" s="3"/>
      <c r="HEG141" s="3"/>
      <c r="HEH141" s="3"/>
      <c r="HEI141" s="3"/>
      <c r="HEJ141" s="3"/>
      <c r="HEK141" s="3"/>
      <c r="HEL141" s="3"/>
      <c r="HEM141" s="3"/>
      <c r="HEN141" s="3"/>
      <c r="HEO141" s="3"/>
      <c r="HEP141" s="3"/>
      <c r="HEQ141" s="3"/>
      <c r="HER141" s="3"/>
      <c r="HES141" s="3"/>
      <c r="HET141" s="3"/>
      <c r="HEU141" s="3"/>
      <c r="HEV141" s="3"/>
      <c r="HEW141" s="3"/>
      <c r="HEX141" s="3"/>
      <c r="HEY141" s="3"/>
      <c r="HEZ141" s="3"/>
      <c r="HFA141" s="3"/>
      <c r="HFB141" s="3"/>
      <c r="HFC141" s="3"/>
      <c r="HFD141" s="3"/>
      <c r="HFE141" s="3"/>
      <c r="HFF141" s="3"/>
      <c r="HFG141" s="3"/>
      <c r="HFH141" s="3"/>
      <c r="HFI141" s="3"/>
      <c r="HFJ141" s="3"/>
      <c r="HFK141" s="3"/>
      <c r="HFL141" s="3"/>
      <c r="HFM141" s="3"/>
      <c r="HFN141" s="3"/>
      <c r="HFO141" s="3"/>
      <c r="HFP141" s="3"/>
      <c r="HFQ141" s="3"/>
      <c r="HFR141" s="3"/>
      <c r="HFS141" s="3"/>
      <c r="HFT141" s="3"/>
      <c r="HFU141" s="3"/>
      <c r="HFV141" s="3"/>
      <c r="HFW141" s="3"/>
      <c r="HFX141" s="3"/>
      <c r="HFY141" s="3"/>
      <c r="HFZ141" s="3"/>
      <c r="HGA141" s="3"/>
      <c r="HGB141" s="3"/>
      <c r="HGC141" s="3"/>
      <c r="HGD141" s="3"/>
      <c r="HGE141" s="3"/>
      <c r="HGF141" s="3"/>
      <c r="HGG141" s="3"/>
      <c r="HGH141" s="3"/>
      <c r="HGI141" s="3"/>
      <c r="HGJ141" s="3"/>
      <c r="HGK141" s="3"/>
      <c r="HGL141" s="3"/>
      <c r="HGM141" s="3"/>
      <c r="HGN141" s="3"/>
      <c r="HGO141" s="3"/>
      <c r="HGP141" s="3"/>
      <c r="HGQ141" s="3"/>
      <c r="HGR141" s="3"/>
      <c r="HGS141" s="3"/>
      <c r="HGT141" s="3"/>
      <c r="HGU141" s="3"/>
      <c r="HGV141" s="3"/>
      <c r="HGW141" s="3"/>
      <c r="HGX141" s="3"/>
      <c r="HGY141" s="3"/>
      <c r="HGZ141" s="3"/>
      <c r="HHA141" s="3"/>
      <c r="HHB141" s="3"/>
      <c r="HHC141" s="3"/>
      <c r="HHD141" s="3"/>
      <c r="HHE141" s="3"/>
      <c r="HHF141" s="3"/>
      <c r="HHG141" s="3"/>
      <c r="HHH141" s="3"/>
      <c r="HHI141" s="3"/>
      <c r="HHJ141" s="3"/>
      <c r="HHK141" s="3"/>
      <c r="HHL141" s="3"/>
      <c r="HHM141" s="3"/>
      <c r="HHN141" s="3"/>
      <c r="HHO141" s="3"/>
      <c r="HHP141" s="3"/>
      <c r="HHQ141" s="3"/>
      <c r="HHR141" s="3"/>
      <c r="HHS141" s="3"/>
      <c r="HHT141" s="3"/>
      <c r="HHU141" s="3"/>
      <c r="HHV141" s="3"/>
      <c r="HHW141" s="3"/>
      <c r="HHX141" s="3"/>
      <c r="HHY141" s="3"/>
      <c r="HHZ141" s="3"/>
      <c r="HIA141" s="3"/>
      <c r="HIB141" s="3"/>
      <c r="HIC141" s="3"/>
      <c r="HID141" s="3"/>
      <c r="HIE141" s="3"/>
      <c r="HIF141" s="3"/>
      <c r="HIG141" s="3"/>
      <c r="HIH141" s="3"/>
      <c r="HII141" s="3"/>
      <c r="HIJ141" s="3"/>
      <c r="HIK141" s="3"/>
      <c r="HIL141" s="3"/>
      <c r="HIM141" s="3"/>
      <c r="HIN141" s="3"/>
      <c r="HIO141" s="3"/>
      <c r="HIP141" s="3"/>
      <c r="HIQ141" s="3"/>
      <c r="HIR141" s="3"/>
      <c r="HIS141" s="3"/>
      <c r="HIT141" s="3"/>
      <c r="HIU141" s="3"/>
      <c r="HIV141" s="3"/>
      <c r="HIW141" s="3"/>
      <c r="HIX141" s="3"/>
      <c r="HIY141" s="3"/>
      <c r="HIZ141" s="3"/>
      <c r="HJA141" s="3"/>
      <c r="HJB141" s="3"/>
      <c r="HJC141" s="3"/>
      <c r="HJD141" s="3"/>
      <c r="HJE141" s="3"/>
      <c r="HJF141" s="3"/>
      <c r="HJG141" s="3"/>
      <c r="HJH141" s="3"/>
      <c r="HJI141" s="3"/>
      <c r="HJJ141" s="3"/>
      <c r="HJK141" s="3"/>
      <c r="HJL141" s="3"/>
      <c r="HJM141" s="3"/>
      <c r="HJN141" s="3"/>
      <c r="HJO141" s="3"/>
      <c r="HJP141" s="3"/>
      <c r="HJQ141" s="3"/>
      <c r="HJR141" s="3"/>
      <c r="HJS141" s="3"/>
      <c r="HJT141" s="3"/>
      <c r="HJU141" s="3"/>
      <c r="HJV141" s="3"/>
      <c r="HJW141" s="3"/>
      <c r="HJX141" s="3"/>
      <c r="HJY141" s="3"/>
      <c r="HJZ141" s="3"/>
      <c r="HKA141" s="3"/>
      <c r="HKB141" s="3"/>
      <c r="HKC141" s="3"/>
      <c r="HKD141" s="3"/>
      <c r="HKE141" s="3"/>
      <c r="HKF141" s="3"/>
      <c r="HKG141" s="3"/>
      <c r="HKH141" s="3"/>
      <c r="HKI141" s="3"/>
      <c r="HKJ141" s="3"/>
      <c r="HKK141" s="3"/>
      <c r="HKL141" s="3"/>
      <c r="HKM141" s="3"/>
      <c r="HKN141" s="3"/>
      <c r="HKO141" s="3"/>
      <c r="HKP141" s="3"/>
      <c r="HKQ141" s="3"/>
      <c r="HKR141" s="3"/>
      <c r="HKS141" s="3"/>
      <c r="HKT141" s="3"/>
      <c r="HKU141" s="3"/>
      <c r="HKV141" s="3"/>
      <c r="HKW141" s="3"/>
      <c r="HKX141" s="3"/>
      <c r="HKY141" s="3"/>
      <c r="HKZ141" s="3"/>
      <c r="HLA141" s="3"/>
      <c r="HLB141" s="3"/>
      <c r="HLC141" s="3"/>
      <c r="HLD141" s="3"/>
      <c r="HLE141" s="3"/>
      <c r="HLF141" s="3"/>
      <c r="HLG141" s="3"/>
      <c r="HLH141" s="3"/>
      <c r="HLI141" s="3"/>
      <c r="HLJ141" s="3"/>
      <c r="HLK141" s="3"/>
      <c r="HLL141" s="3"/>
      <c r="HLM141" s="3"/>
      <c r="HLN141" s="3"/>
      <c r="HLO141" s="3"/>
      <c r="HLP141" s="3"/>
      <c r="HLQ141" s="3"/>
      <c r="HLR141" s="3"/>
      <c r="HLS141" s="3"/>
      <c r="HLT141" s="3"/>
      <c r="HLU141" s="3"/>
      <c r="HLV141" s="3"/>
      <c r="HLW141" s="3"/>
      <c r="HLX141" s="3"/>
      <c r="HLY141" s="3"/>
      <c r="HLZ141" s="3"/>
      <c r="HMA141" s="3"/>
      <c r="HMB141" s="3"/>
      <c r="HMC141" s="3"/>
      <c r="HMD141" s="3"/>
      <c r="HME141" s="3"/>
      <c r="HMF141" s="3"/>
      <c r="HMG141" s="3"/>
      <c r="HMH141" s="3"/>
      <c r="HMI141" s="3"/>
      <c r="HMJ141" s="3"/>
      <c r="HMK141" s="3"/>
      <c r="HML141" s="3"/>
      <c r="HMM141" s="3"/>
      <c r="HMN141" s="3"/>
      <c r="HMO141" s="3"/>
      <c r="HMP141" s="3"/>
      <c r="HMQ141" s="3"/>
      <c r="HMR141" s="3"/>
      <c r="HMS141" s="3"/>
      <c r="HMT141" s="3"/>
      <c r="HMU141" s="3"/>
      <c r="HMV141" s="3"/>
      <c r="HMW141" s="3"/>
      <c r="HMX141" s="3"/>
      <c r="HMY141" s="3"/>
      <c r="HMZ141" s="3"/>
      <c r="HNA141" s="3"/>
      <c r="HNB141" s="3"/>
      <c r="HNC141" s="3"/>
      <c r="HND141" s="3"/>
      <c r="HNE141" s="3"/>
      <c r="HNF141" s="3"/>
      <c r="HNG141" s="3"/>
      <c r="HNH141" s="3"/>
      <c r="HNI141" s="3"/>
      <c r="HNJ141" s="3"/>
      <c r="HNK141" s="3"/>
      <c r="HNL141" s="3"/>
      <c r="HNM141" s="3"/>
      <c r="HNN141" s="3"/>
      <c r="HNO141" s="3"/>
      <c r="HNP141" s="3"/>
      <c r="HNQ141" s="3"/>
      <c r="HNR141" s="3"/>
      <c r="HNS141" s="3"/>
      <c r="HNT141" s="3"/>
      <c r="HNU141" s="3"/>
      <c r="HNV141" s="3"/>
      <c r="HNW141" s="3"/>
      <c r="HNX141" s="3"/>
      <c r="HNY141" s="3"/>
      <c r="HNZ141" s="3"/>
      <c r="HOA141" s="3"/>
      <c r="HOB141" s="3"/>
      <c r="HOC141" s="3"/>
      <c r="HOD141" s="3"/>
      <c r="HOE141" s="3"/>
      <c r="HOF141" s="3"/>
      <c r="HOG141" s="3"/>
      <c r="HOH141" s="3"/>
      <c r="HOI141" s="3"/>
      <c r="HOJ141" s="3"/>
      <c r="HOK141" s="3"/>
      <c r="HOL141" s="3"/>
      <c r="HOM141" s="3"/>
      <c r="HON141" s="3"/>
      <c r="HOO141" s="3"/>
      <c r="HOP141" s="3"/>
      <c r="HOQ141" s="3"/>
      <c r="HOR141" s="3"/>
      <c r="HOS141" s="3"/>
      <c r="HOT141" s="3"/>
      <c r="HOU141" s="3"/>
      <c r="HOV141" s="3"/>
      <c r="HOW141" s="3"/>
      <c r="HOX141" s="3"/>
      <c r="HOY141" s="3"/>
      <c r="HOZ141" s="3"/>
      <c r="HPA141" s="3"/>
      <c r="HPB141" s="3"/>
      <c r="HPC141" s="3"/>
      <c r="HPD141" s="3"/>
      <c r="HPE141" s="3"/>
      <c r="HPF141" s="3"/>
      <c r="HPG141" s="3"/>
      <c r="HPH141" s="3"/>
      <c r="HPI141" s="3"/>
      <c r="HPJ141" s="3"/>
      <c r="HPK141" s="3"/>
      <c r="HPL141" s="3"/>
      <c r="HPM141" s="3"/>
      <c r="HPN141" s="3"/>
      <c r="HPO141" s="3"/>
      <c r="HPP141" s="3"/>
      <c r="HPQ141" s="3"/>
      <c r="HPR141" s="3"/>
      <c r="HPS141" s="3"/>
      <c r="HPT141" s="3"/>
      <c r="HPU141" s="3"/>
      <c r="HPV141" s="3"/>
      <c r="HPW141" s="3"/>
      <c r="HPX141" s="3"/>
      <c r="HPY141" s="3"/>
      <c r="HPZ141" s="3"/>
      <c r="HQA141" s="3"/>
      <c r="HQB141" s="3"/>
      <c r="HQC141" s="3"/>
      <c r="HQD141" s="3"/>
      <c r="HQE141" s="3"/>
      <c r="HQF141" s="3"/>
      <c r="HQG141" s="3"/>
      <c r="HQH141" s="3"/>
      <c r="HQI141" s="3"/>
      <c r="HQJ141" s="3"/>
      <c r="HQK141" s="3"/>
      <c r="HQL141" s="3"/>
      <c r="HQM141" s="3"/>
      <c r="HQN141" s="3"/>
      <c r="HQO141" s="3"/>
      <c r="HQP141" s="3"/>
      <c r="HQQ141" s="3"/>
      <c r="HQR141" s="3"/>
      <c r="HQS141" s="3"/>
      <c r="HQT141" s="3"/>
      <c r="HQU141" s="3"/>
      <c r="HQV141" s="3"/>
      <c r="HQW141" s="3"/>
      <c r="HQX141" s="3"/>
      <c r="HQY141" s="3"/>
      <c r="HQZ141" s="3"/>
      <c r="HRA141" s="3"/>
      <c r="HRB141" s="3"/>
      <c r="HRC141" s="3"/>
      <c r="HRD141" s="3"/>
      <c r="HRE141" s="3"/>
      <c r="HRF141" s="3"/>
      <c r="HRG141" s="3"/>
      <c r="HRH141" s="3"/>
      <c r="HRI141" s="3"/>
      <c r="HRJ141" s="3"/>
      <c r="HRK141" s="3"/>
      <c r="HRL141" s="3"/>
      <c r="HRM141" s="3"/>
      <c r="HRN141" s="3"/>
      <c r="HRO141" s="3"/>
      <c r="HRP141" s="3"/>
      <c r="HRQ141" s="3"/>
      <c r="HRR141" s="3"/>
      <c r="HRS141" s="3"/>
      <c r="HRT141" s="3"/>
      <c r="HRU141" s="3"/>
      <c r="HRV141" s="3"/>
      <c r="HRW141" s="3"/>
      <c r="HRX141" s="3"/>
      <c r="HRY141" s="3"/>
      <c r="HRZ141" s="3"/>
      <c r="HSA141" s="3"/>
      <c r="HSB141" s="3"/>
      <c r="HSC141" s="3"/>
      <c r="HSD141" s="3"/>
      <c r="HSE141" s="3"/>
      <c r="HSF141" s="3"/>
      <c r="HSG141" s="3"/>
      <c r="HSH141" s="3"/>
      <c r="HSI141" s="3"/>
      <c r="HSJ141" s="3"/>
      <c r="HSK141" s="3"/>
      <c r="HSL141" s="3"/>
      <c r="HSM141" s="3"/>
      <c r="HSN141" s="3"/>
      <c r="HSO141" s="3"/>
      <c r="HSP141" s="3"/>
      <c r="HSQ141" s="3"/>
      <c r="HSR141" s="3"/>
      <c r="HSS141" s="3"/>
      <c r="HST141" s="3"/>
      <c r="HSU141" s="3"/>
      <c r="HSV141" s="3"/>
      <c r="HSW141" s="3"/>
      <c r="HSX141" s="3"/>
      <c r="HSY141" s="3"/>
      <c r="HSZ141" s="3"/>
      <c r="HTA141" s="3"/>
      <c r="HTB141" s="3"/>
      <c r="HTC141" s="3"/>
      <c r="HTD141" s="3"/>
      <c r="HTE141" s="3"/>
      <c r="HTF141" s="3"/>
      <c r="HTG141" s="3"/>
      <c r="HTH141" s="3"/>
      <c r="HTI141" s="3"/>
      <c r="HTJ141" s="3"/>
      <c r="HTK141" s="3"/>
      <c r="HTL141" s="3"/>
      <c r="HTM141" s="3"/>
      <c r="HTN141" s="3"/>
      <c r="HTO141" s="3"/>
      <c r="HTP141" s="3"/>
      <c r="HTQ141" s="3"/>
      <c r="HTR141" s="3"/>
      <c r="HTS141" s="3"/>
      <c r="HTT141" s="3"/>
      <c r="HTU141" s="3"/>
      <c r="HTV141" s="3"/>
      <c r="HTW141" s="3"/>
      <c r="HTX141" s="3"/>
      <c r="HTY141" s="3"/>
      <c r="HTZ141" s="3"/>
      <c r="HUA141" s="3"/>
      <c r="HUB141" s="3"/>
      <c r="HUC141" s="3"/>
      <c r="HUD141" s="3"/>
      <c r="HUE141" s="3"/>
      <c r="HUF141" s="3"/>
      <c r="HUG141" s="3"/>
      <c r="HUH141" s="3"/>
      <c r="HUI141" s="3"/>
      <c r="HUJ141" s="3"/>
      <c r="HUK141" s="3"/>
      <c r="HUL141" s="3"/>
      <c r="HUM141" s="3"/>
      <c r="HUN141" s="3"/>
      <c r="HUO141" s="3"/>
      <c r="HUP141" s="3"/>
      <c r="HUQ141" s="3"/>
      <c r="HUR141" s="3"/>
      <c r="HUS141" s="3"/>
      <c r="HUT141" s="3"/>
      <c r="HUU141" s="3"/>
      <c r="HUV141" s="3"/>
      <c r="HUW141" s="3"/>
      <c r="HUX141" s="3"/>
      <c r="HUY141" s="3"/>
      <c r="HUZ141" s="3"/>
      <c r="HVA141" s="3"/>
      <c r="HVB141" s="3"/>
      <c r="HVC141" s="3"/>
      <c r="HVD141" s="3"/>
      <c r="HVE141" s="3"/>
      <c r="HVF141" s="3"/>
      <c r="HVG141" s="3"/>
      <c r="HVH141" s="3"/>
      <c r="HVI141" s="3"/>
      <c r="HVJ141" s="3"/>
      <c r="HVK141" s="3"/>
      <c r="HVL141" s="3"/>
      <c r="HVM141" s="3"/>
      <c r="HVN141" s="3"/>
      <c r="HVO141" s="3"/>
      <c r="HVP141" s="3"/>
      <c r="HVQ141" s="3"/>
      <c r="HVR141" s="3"/>
      <c r="HVS141" s="3"/>
      <c r="HVT141" s="3"/>
      <c r="HVU141" s="3"/>
      <c r="HVV141" s="3"/>
      <c r="HVW141" s="3"/>
      <c r="HVX141" s="3"/>
      <c r="HVY141" s="3"/>
      <c r="HVZ141" s="3"/>
      <c r="HWA141" s="3"/>
      <c r="HWB141" s="3"/>
      <c r="HWC141" s="3"/>
      <c r="HWD141" s="3"/>
      <c r="HWE141" s="3"/>
      <c r="HWF141" s="3"/>
      <c r="HWG141" s="3"/>
      <c r="HWH141" s="3"/>
      <c r="HWI141" s="3"/>
      <c r="HWJ141" s="3"/>
      <c r="HWK141" s="3"/>
      <c r="HWL141" s="3"/>
      <c r="HWM141" s="3"/>
      <c r="HWN141" s="3"/>
      <c r="HWO141" s="3"/>
      <c r="HWP141" s="3"/>
      <c r="HWQ141" s="3"/>
      <c r="HWR141" s="3"/>
      <c r="HWS141" s="3"/>
      <c r="HWT141" s="3"/>
      <c r="HWU141" s="3"/>
      <c r="HWV141" s="3"/>
      <c r="HWW141" s="3"/>
      <c r="HWX141" s="3"/>
      <c r="HWY141" s="3"/>
      <c r="HWZ141" s="3"/>
      <c r="HXA141" s="3"/>
      <c r="HXB141" s="3"/>
      <c r="HXC141" s="3"/>
      <c r="HXD141" s="3"/>
      <c r="HXE141" s="3"/>
      <c r="HXF141" s="3"/>
      <c r="HXG141" s="3"/>
      <c r="HXH141" s="3"/>
      <c r="HXI141" s="3"/>
      <c r="HXJ141" s="3"/>
      <c r="HXK141" s="3"/>
      <c r="HXL141" s="3"/>
      <c r="HXM141" s="3"/>
      <c r="HXN141" s="3"/>
      <c r="HXO141" s="3"/>
      <c r="HXP141" s="3"/>
      <c r="HXQ141" s="3"/>
      <c r="HXR141" s="3"/>
      <c r="HXS141" s="3"/>
      <c r="HXT141" s="3"/>
      <c r="HXU141" s="3"/>
      <c r="HXV141" s="3"/>
      <c r="HXW141" s="3"/>
      <c r="HXX141" s="3"/>
      <c r="HXY141" s="3"/>
      <c r="HXZ141" s="3"/>
      <c r="HYA141" s="3"/>
      <c r="HYB141" s="3"/>
      <c r="HYC141" s="3"/>
      <c r="HYD141" s="3"/>
      <c r="HYE141" s="3"/>
      <c r="HYF141" s="3"/>
      <c r="HYG141" s="3"/>
      <c r="HYH141" s="3"/>
      <c r="HYI141" s="3"/>
      <c r="HYJ141" s="3"/>
      <c r="HYK141" s="3"/>
      <c r="HYL141" s="3"/>
      <c r="HYM141" s="3"/>
      <c r="HYN141" s="3"/>
      <c r="HYO141" s="3"/>
      <c r="HYP141" s="3"/>
      <c r="HYQ141" s="3"/>
      <c r="HYR141" s="3"/>
      <c r="HYS141" s="3"/>
      <c r="HYT141" s="3"/>
      <c r="HYU141" s="3"/>
      <c r="HYV141" s="3"/>
      <c r="HYW141" s="3"/>
      <c r="HYX141" s="3"/>
      <c r="HYY141" s="3"/>
      <c r="HYZ141" s="3"/>
      <c r="HZA141" s="3"/>
      <c r="HZB141" s="3"/>
      <c r="HZC141" s="3"/>
      <c r="HZD141" s="3"/>
      <c r="HZE141" s="3"/>
      <c r="HZF141" s="3"/>
      <c r="HZG141" s="3"/>
      <c r="HZH141" s="3"/>
      <c r="HZI141" s="3"/>
      <c r="HZJ141" s="3"/>
      <c r="HZK141" s="3"/>
      <c r="HZL141" s="3"/>
      <c r="HZM141" s="3"/>
      <c r="HZN141" s="3"/>
      <c r="HZO141" s="3"/>
      <c r="HZP141" s="3"/>
      <c r="HZQ141" s="3"/>
      <c r="HZR141" s="3"/>
      <c r="HZS141" s="3"/>
      <c r="HZT141" s="3"/>
      <c r="HZU141" s="3"/>
      <c r="HZV141" s="3"/>
      <c r="HZW141" s="3"/>
      <c r="HZX141" s="3"/>
      <c r="HZY141" s="3"/>
      <c r="HZZ141" s="3"/>
      <c r="IAA141" s="3"/>
      <c r="IAB141" s="3"/>
      <c r="IAC141" s="3"/>
      <c r="IAD141" s="3"/>
      <c r="IAE141" s="3"/>
      <c r="IAF141" s="3"/>
      <c r="IAG141" s="3"/>
      <c r="IAH141" s="3"/>
      <c r="IAI141" s="3"/>
      <c r="IAJ141" s="3"/>
      <c r="IAK141" s="3"/>
      <c r="IAL141" s="3"/>
      <c r="IAM141" s="3"/>
      <c r="IAN141" s="3"/>
      <c r="IAO141" s="3"/>
      <c r="IAP141" s="3"/>
      <c r="IAQ141" s="3"/>
      <c r="IAR141" s="3"/>
      <c r="IAS141" s="3"/>
      <c r="IAT141" s="3"/>
      <c r="IAU141" s="3"/>
      <c r="IAV141" s="3"/>
      <c r="IAW141" s="3"/>
      <c r="IAX141" s="3"/>
      <c r="IAY141" s="3"/>
      <c r="IAZ141" s="3"/>
      <c r="IBA141" s="3"/>
      <c r="IBB141" s="3"/>
      <c r="IBC141" s="3"/>
      <c r="IBD141" s="3"/>
      <c r="IBE141" s="3"/>
      <c r="IBF141" s="3"/>
      <c r="IBG141" s="3"/>
      <c r="IBH141" s="3"/>
      <c r="IBI141" s="3"/>
      <c r="IBJ141" s="3"/>
      <c r="IBK141" s="3"/>
      <c r="IBL141" s="3"/>
      <c r="IBM141" s="3"/>
      <c r="IBN141" s="3"/>
      <c r="IBO141" s="3"/>
      <c r="IBP141" s="3"/>
      <c r="IBQ141" s="3"/>
      <c r="IBR141" s="3"/>
      <c r="IBS141" s="3"/>
      <c r="IBT141" s="3"/>
      <c r="IBU141" s="3"/>
      <c r="IBV141" s="3"/>
      <c r="IBW141" s="3"/>
      <c r="IBX141" s="3"/>
      <c r="IBY141" s="3"/>
      <c r="IBZ141" s="3"/>
      <c r="ICA141" s="3"/>
      <c r="ICB141" s="3"/>
      <c r="ICC141" s="3"/>
      <c r="ICD141" s="3"/>
      <c r="ICE141" s="3"/>
      <c r="ICF141" s="3"/>
      <c r="ICG141" s="3"/>
      <c r="ICH141" s="3"/>
      <c r="ICI141" s="3"/>
      <c r="ICJ141" s="3"/>
      <c r="ICK141" s="3"/>
      <c r="ICL141" s="3"/>
      <c r="ICM141" s="3"/>
      <c r="ICN141" s="3"/>
      <c r="ICO141" s="3"/>
      <c r="ICP141" s="3"/>
      <c r="ICQ141" s="3"/>
      <c r="ICR141" s="3"/>
      <c r="ICS141" s="3"/>
      <c r="ICT141" s="3"/>
      <c r="ICU141" s="3"/>
      <c r="ICV141" s="3"/>
      <c r="ICW141" s="3"/>
      <c r="ICX141" s="3"/>
      <c r="ICY141" s="3"/>
      <c r="ICZ141" s="3"/>
      <c r="IDA141" s="3"/>
      <c r="IDB141" s="3"/>
      <c r="IDC141" s="3"/>
      <c r="IDD141" s="3"/>
      <c r="IDE141" s="3"/>
      <c r="IDF141" s="3"/>
      <c r="IDG141" s="3"/>
      <c r="IDH141" s="3"/>
      <c r="IDI141" s="3"/>
      <c r="IDJ141" s="3"/>
      <c r="IDK141" s="3"/>
      <c r="IDL141" s="3"/>
      <c r="IDM141" s="3"/>
      <c r="IDN141" s="3"/>
      <c r="IDO141" s="3"/>
      <c r="IDP141" s="3"/>
      <c r="IDQ141" s="3"/>
      <c r="IDR141" s="3"/>
      <c r="IDS141" s="3"/>
      <c r="IDT141" s="3"/>
      <c r="IDU141" s="3"/>
      <c r="IDV141" s="3"/>
      <c r="IDW141" s="3"/>
      <c r="IDX141" s="3"/>
      <c r="IDY141" s="3"/>
      <c r="IDZ141" s="3"/>
      <c r="IEA141" s="3"/>
      <c r="IEB141" s="3"/>
      <c r="IEC141" s="3"/>
      <c r="IED141" s="3"/>
      <c r="IEE141" s="3"/>
      <c r="IEF141" s="3"/>
      <c r="IEG141" s="3"/>
      <c r="IEH141" s="3"/>
      <c r="IEI141" s="3"/>
      <c r="IEJ141" s="3"/>
      <c r="IEK141" s="3"/>
      <c r="IEL141" s="3"/>
      <c r="IEM141" s="3"/>
      <c r="IEN141" s="3"/>
      <c r="IEO141" s="3"/>
      <c r="IEP141" s="3"/>
      <c r="IEQ141" s="3"/>
      <c r="IER141" s="3"/>
      <c r="IES141" s="3"/>
      <c r="IET141" s="3"/>
      <c r="IEU141" s="3"/>
      <c r="IEV141" s="3"/>
      <c r="IEW141" s="3"/>
      <c r="IEX141" s="3"/>
      <c r="IEY141" s="3"/>
      <c r="IEZ141" s="3"/>
      <c r="IFA141" s="3"/>
      <c r="IFB141" s="3"/>
      <c r="IFC141" s="3"/>
      <c r="IFD141" s="3"/>
      <c r="IFE141" s="3"/>
      <c r="IFF141" s="3"/>
      <c r="IFG141" s="3"/>
      <c r="IFH141" s="3"/>
      <c r="IFI141" s="3"/>
      <c r="IFJ141" s="3"/>
      <c r="IFK141" s="3"/>
      <c r="IFL141" s="3"/>
      <c r="IFM141" s="3"/>
      <c r="IFN141" s="3"/>
      <c r="IFO141" s="3"/>
      <c r="IFP141" s="3"/>
      <c r="IFQ141" s="3"/>
      <c r="IFR141" s="3"/>
      <c r="IFS141" s="3"/>
      <c r="IFT141" s="3"/>
      <c r="IFU141" s="3"/>
      <c r="IFV141" s="3"/>
      <c r="IFW141" s="3"/>
      <c r="IFX141" s="3"/>
      <c r="IFY141" s="3"/>
      <c r="IFZ141" s="3"/>
      <c r="IGA141" s="3"/>
      <c r="IGB141" s="3"/>
      <c r="IGC141" s="3"/>
      <c r="IGD141" s="3"/>
      <c r="IGE141" s="3"/>
      <c r="IGF141" s="3"/>
      <c r="IGG141" s="3"/>
      <c r="IGH141" s="3"/>
      <c r="IGI141" s="3"/>
      <c r="IGJ141" s="3"/>
      <c r="IGK141" s="3"/>
      <c r="IGL141" s="3"/>
      <c r="IGM141" s="3"/>
      <c r="IGN141" s="3"/>
      <c r="IGO141" s="3"/>
      <c r="IGP141" s="3"/>
      <c r="IGQ141" s="3"/>
      <c r="IGR141" s="3"/>
      <c r="IGS141" s="3"/>
      <c r="IGT141" s="3"/>
      <c r="IGU141" s="3"/>
      <c r="IGV141" s="3"/>
      <c r="IGW141" s="3"/>
      <c r="IGX141" s="3"/>
      <c r="IGY141" s="3"/>
      <c r="IGZ141" s="3"/>
      <c r="IHA141" s="3"/>
      <c r="IHB141" s="3"/>
      <c r="IHC141" s="3"/>
      <c r="IHD141" s="3"/>
      <c r="IHE141" s="3"/>
      <c r="IHF141" s="3"/>
      <c r="IHG141" s="3"/>
      <c r="IHH141" s="3"/>
      <c r="IHI141" s="3"/>
      <c r="IHJ141" s="3"/>
      <c r="IHK141" s="3"/>
      <c r="IHL141" s="3"/>
      <c r="IHM141" s="3"/>
      <c r="IHN141" s="3"/>
      <c r="IHO141" s="3"/>
      <c r="IHP141" s="3"/>
      <c r="IHQ141" s="3"/>
      <c r="IHR141" s="3"/>
      <c r="IHS141" s="3"/>
      <c r="IHT141" s="3"/>
      <c r="IHU141" s="3"/>
      <c r="IHV141" s="3"/>
      <c r="IHW141" s="3"/>
      <c r="IHX141" s="3"/>
      <c r="IHY141" s="3"/>
      <c r="IHZ141" s="3"/>
      <c r="IIA141" s="3"/>
      <c r="IIB141" s="3"/>
      <c r="IIC141" s="3"/>
      <c r="IID141" s="3"/>
      <c r="IIE141" s="3"/>
      <c r="IIF141" s="3"/>
      <c r="IIG141" s="3"/>
      <c r="IIH141" s="3"/>
      <c r="III141" s="3"/>
      <c r="IIJ141" s="3"/>
      <c r="IIK141" s="3"/>
      <c r="IIL141" s="3"/>
      <c r="IIM141" s="3"/>
      <c r="IIN141" s="3"/>
      <c r="IIO141" s="3"/>
      <c r="IIP141" s="3"/>
      <c r="IIQ141" s="3"/>
      <c r="IIR141" s="3"/>
      <c r="IIS141" s="3"/>
      <c r="IIT141" s="3"/>
      <c r="IIU141" s="3"/>
      <c r="IIV141" s="3"/>
      <c r="IIW141" s="3"/>
      <c r="IIX141" s="3"/>
      <c r="IIY141" s="3"/>
      <c r="IIZ141" s="3"/>
      <c r="IJA141" s="3"/>
      <c r="IJB141" s="3"/>
      <c r="IJC141" s="3"/>
      <c r="IJD141" s="3"/>
      <c r="IJE141" s="3"/>
      <c r="IJF141" s="3"/>
      <c r="IJG141" s="3"/>
      <c r="IJH141" s="3"/>
      <c r="IJI141" s="3"/>
      <c r="IJJ141" s="3"/>
      <c r="IJK141" s="3"/>
      <c r="IJL141" s="3"/>
      <c r="IJM141" s="3"/>
      <c r="IJN141" s="3"/>
      <c r="IJO141" s="3"/>
      <c r="IJP141" s="3"/>
      <c r="IJQ141" s="3"/>
      <c r="IJR141" s="3"/>
      <c r="IJS141" s="3"/>
      <c r="IJT141" s="3"/>
      <c r="IJU141" s="3"/>
      <c r="IJV141" s="3"/>
      <c r="IJW141" s="3"/>
      <c r="IJX141" s="3"/>
      <c r="IJY141" s="3"/>
      <c r="IJZ141" s="3"/>
      <c r="IKA141" s="3"/>
      <c r="IKB141" s="3"/>
      <c r="IKC141" s="3"/>
      <c r="IKD141" s="3"/>
      <c r="IKE141" s="3"/>
      <c r="IKF141" s="3"/>
      <c r="IKG141" s="3"/>
      <c r="IKH141" s="3"/>
      <c r="IKI141" s="3"/>
      <c r="IKJ141" s="3"/>
      <c r="IKK141" s="3"/>
      <c r="IKL141" s="3"/>
      <c r="IKM141" s="3"/>
      <c r="IKN141" s="3"/>
      <c r="IKO141" s="3"/>
      <c r="IKP141" s="3"/>
      <c r="IKQ141" s="3"/>
      <c r="IKR141" s="3"/>
      <c r="IKS141" s="3"/>
      <c r="IKT141" s="3"/>
      <c r="IKU141" s="3"/>
      <c r="IKV141" s="3"/>
      <c r="IKW141" s="3"/>
      <c r="IKX141" s="3"/>
      <c r="IKY141" s="3"/>
      <c r="IKZ141" s="3"/>
      <c r="ILA141" s="3"/>
      <c r="ILB141" s="3"/>
      <c r="ILC141" s="3"/>
      <c r="ILD141" s="3"/>
      <c r="ILE141" s="3"/>
      <c r="ILF141" s="3"/>
      <c r="ILG141" s="3"/>
      <c r="ILH141" s="3"/>
      <c r="ILI141" s="3"/>
      <c r="ILJ141" s="3"/>
      <c r="ILK141" s="3"/>
      <c r="ILL141" s="3"/>
      <c r="ILM141" s="3"/>
      <c r="ILN141" s="3"/>
      <c r="ILO141" s="3"/>
      <c r="ILP141" s="3"/>
      <c r="ILQ141" s="3"/>
      <c r="ILR141" s="3"/>
      <c r="ILS141" s="3"/>
      <c r="ILT141" s="3"/>
      <c r="ILU141" s="3"/>
      <c r="ILV141" s="3"/>
      <c r="ILW141" s="3"/>
      <c r="ILX141" s="3"/>
      <c r="ILY141" s="3"/>
      <c r="ILZ141" s="3"/>
      <c r="IMA141" s="3"/>
      <c r="IMB141" s="3"/>
      <c r="IMC141" s="3"/>
      <c r="IMD141" s="3"/>
      <c r="IME141" s="3"/>
      <c r="IMF141" s="3"/>
      <c r="IMG141" s="3"/>
      <c r="IMH141" s="3"/>
      <c r="IMI141" s="3"/>
      <c r="IMJ141" s="3"/>
      <c r="IMK141" s="3"/>
      <c r="IML141" s="3"/>
      <c r="IMM141" s="3"/>
      <c r="IMN141" s="3"/>
      <c r="IMO141" s="3"/>
      <c r="IMP141" s="3"/>
      <c r="IMQ141" s="3"/>
      <c r="IMR141" s="3"/>
      <c r="IMS141" s="3"/>
      <c r="IMT141" s="3"/>
      <c r="IMU141" s="3"/>
      <c r="IMV141" s="3"/>
      <c r="IMW141" s="3"/>
      <c r="IMX141" s="3"/>
      <c r="IMY141" s="3"/>
      <c r="IMZ141" s="3"/>
      <c r="INA141" s="3"/>
      <c r="INB141" s="3"/>
      <c r="INC141" s="3"/>
      <c r="IND141" s="3"/>
      <c r="INE141" s="3"/>
      <c r="INF141" s="3"/>
      <c r="ING141" s="3"/>
      <c r="INH141" s="3"/>
      <c r="INI141" s="3"/>
      <c r="INJ141" s="3"/>
      <c r="INK141" s="3"/>
      <c r="INL141" s="3"/>
      <c r="INM141" s="3"/>
      <c r="INN141" s="3"/>
      <c r="INO141" s="3"/>
      <c r="INP141" s="3"/>
      <c r="INQ141" s="3"/>
      <c r="INR141" s="3"/>
      <c r="INS141" s="3"/>
      <c r="INT141" s="3"/>
      <c r="INU141" s="3"/>
      <c r="INV141" s="3"/>
      <c r="INW141" s="3"/>
      <c r="INX141" s="3"/>
      <c r="INY141" s="3"/>
      <c r="INZ141" s="3"/>
      <c r="IOA141" s="3"/>
      <c r="IOB141" s="3"/>
      <c r="IOC141" s="3"/>
      <c r="IOD141" s="3"/>
      <c r="IOE141" s="3"/>
      <c r="IOF141" s="3"/>
      <c r="IOG141" s="3"/>
      <c r="IOH141" s="3"/>
      <c r="IOI141" s="3"/>
      <c r="IOJ141" s="3"/>
      <c r="IOK141" s="3"/>
      <c r="IOL141" s="3"/>
      <c r="IOM141" s="3"/>
      <c r="ION141" s="3"/>
      <c r="IOO141" s="3"/>
      <c r="IOP141" s="3"/>
      <c r="IOQ141" s="3"/>
      <c r="IOR141" s="3"/>
      <c r="IOS141" s="3"/>
      <c r="IOT141" s="3"/>
      <c r="IOU141" s="3"/>
      <c r="IOV141" s="3"/>
      <c r="IOW141" s="3"/>
      <c r="IOX141" s="3"/>
      <c r="IOY141" s="3"/>
      <c r="IOZ141" s="3"/>
      <c r="IPA141" s="3"/>
      <c r="IPB141" s="3"/>
      <c r="IPC141" s="3"/>
      <c r="IPD141" s="3"/>
      <c r="IPE141" s="3"/>
      <c r="IPF141" s="3"/>
      <c r="IPG141" s="3"/>
      <c r="IPH141" s="3"/>
      <c r="IPI141" s="3"/>
      <c r="IPJ141" s="3"/>
      <c r="IPK141" s="3"/>
      <c r="IPL141" s="3"/>
      <c r="IPM141" s="3"/>
      <c r="IPN141" s="3"/>
      <c r="IPO141" s="3"/>
      <c r="IPP141" s="3"/>
      <c r="IPQ141" s="3"/>
      <c r="IPR141" s="3"/>
      <c r="IPS141" s="3"/>
      <c r="IPT141" s="3"/>
      <c r="IPU141" s="3"/>
      <c r="IPV141" s="3"/>
      <c r="IPW141" s="3"/>
      <c r="IPX141" s="3"/>
      <c r="IPY141" s="3"/>
      <c r="IPZ141" s="3"/>
      <c r="IQA141" s="3"/>
      <c r="IQB141" s="3"/>
      <c r="IQC141" s="3"/>
      <c r="IQD141" s="3"/>
      <c r="IQE141" s="3"/>
      <c r="IQF141" s="3"/>
      <c r="IQG141" s="3"/>
      <c r="IQH141" s="3"/>
      <c r="IQI141" s="3"/>
      <c r="IQJ141" s="3"/>
      <c r="IQK141" s="3"/>
      <c r="IQL141" s="3"/>
      <c r="IQM141" s="3"/>
      <c r="IQN141" s="3"/>
      <c r="IQO141" s="3"/>
      <c r="IQP141" s="3"/>
      <c r="IQQ141" s="3"/>
      <c r="IQR141" s="3"/>
      <c r="IQS141" s="3"/>
      <c r="IQT141" s="3"/>
      <c r="IQU141" s="3"/>
      <c r="IQV141" s="3"/>
      <c r="IQW141" s="3"/>
      <c r="IQX141" s="3"/>
      <c r="IQY141" s="3"/>
      <c r="IQZ141" s="3"/>
      <c r="IRA141" s="3"/>
      <c r="IRB141" s="3"/>
      <c r="IRC141" s="3"/>
      <c r="IRD141" s="3"/>
      <c r="IRE141" s="3"/>
      <c r="IRF141" s="3"/>
      <c r="IRG141" s="3"/>
      <c r="IRH141" s="3"/>
      <c r="IRI141" s="3"/>
      <c r="IRJ141" s="3"/>
      <c r="IRK141" s="3"/>
      <c r="IRL141" s="3"/>
      <c r="IRM141" s="3"/>
      <c r="IRN141" s="3"/>
      <c r="IRO141" s="3"/>
      <c r="IRP141" s="3"/>
      <c r="IRQ141" s="3"/>
      <c r="IRR141" s="3"/>
      <c r="IRS141" s="3"/>
      <c r="IRT141" s="3"/>
      <c r="IRU141" s="3"/>
      <c r="IRV141" s="3"/>
      <c r="IRW141" s="3"/>
      <c r="IRX141" s="3"/>
      <c r="IRY141" s="3"/>
      <c r="IRZ141" s="3"/>
      <c r="ISA141" s="3"/>
      <c r="ISB141" s="3"/>
      <c r="ISC141" s="3"/>
      <c r="ISD141" s="3"/>
      <c r="ISE141" s="3"/>
      <c r="ISF141" s="3"/>
      <c r="ISG141" s="3"/>
      <c r="ISH141" s="3"/>
      <c r="ISI141" s="3"/>
      <c r="ISJ141" s="3"/>
      <c r="ISK141" s="3"/>
      <c r="ISL141" s="3"/>
      <c r="ISM141" s="3"/>
      <c r="ISN141" s="3"/>
      <c r="ISO141" s="3"/>
      <c r="ISP141" s="3"/>
      <c r="ISQ141" s="3"/>
      <c r="ISR141" s="3"/>
      <c r="ISS141" s="3"/>
      <c r="IST141" s="3"/>
      <c r="ISU141" s="3"/>
      <c r="ISV141" s="3"/>
      <c r="ISW141" s="3"/>
      <c r="ISX141" s="3"/>
      <c r="ISY141" s="3"/>
      <c r="ISZ141" s="3"/>
      <c r="ITA141" s="3"/>
      <c r="ITB141" s="3"/>
      <c r="ITC141" s="3"/>
      <c r="ITD141" s="3"/>
      <c r="ITE141" s="3"/>
      <c r="ITF141" s="3"/>
      <c r="ITG141" s="3"/>
      <c r="ITH141" s="3"/>
      <c r="ITI141" s="3"/>
      <c r="ITJ141" s="3"/>
      <c r="ITK141" s="3"/>
      <c r="ITL141" s="3"/>
      <c r="ITM141" s="3"/>
      <c r="ITN141" s="3"/>
      <c r="ITO141" s="3"/>
      <c r="ITP141" s="3"/>
      <c r="ITQ141" s="3"/>
      <c r="ITR141" s="3"/>
      <c r="ITS141" s="3"/>
      <c r="ITT141" s="3"/>
      <c r="ITU141" s="3"/>
      <c r="ITV141" s="3"/>
      <c r="ITW141" s="3"/>
      <c r="ITX141" s="3"/>
      <c r="ITY141" s="3"/>
      <c r="ITZ141" s="3"/>
      <c r="IUA141" s="3"/>
      <c r="IUB141" s="3"/>
      <c r="IUC141" s="3"/>
      <c r="IUD141" s="3"/>
      <c r="IUE141" s="3"/>
      <c r="IUF141" s="3"/>
      <c r="IUG141" s="3"/>
      <c r="IUH141" s="3"/>
      <c r="IUI141" s="3"/>
      <c r="IUJ141" s="3"/>
      <c r="IUK141" s="3"/>
      <c r="IUL141" s="3"/>
      <c r="IUM141" s="3"/>
      <c r="IUN141" s="3"/>
      <c r="IUO141" s="3"/>
      <c r="IUP141" s="3"/>
      <c r="IUQ141" s="3"/>
      <c r="IUR141" s="3"/>
      <c r="IUS141" s="3"/>
      <c r="IUT141" s="3"/>
      <c r="IUU141" s="3"/>
      <c r="IUV141" s="3"/>
      <c r="IUW141" s="3"/>
      <c r="IUX141" s="3"/>
      <c r="IUY141" s="3"/>
      <c r="IUZ141" s="3"/>
      <c r="IVA141" s="3"/>
      <c r="IVB141" s="3"/>
      <c r="IVC141" s="3"/>
      <c r="IVD141" s="3"/>
      <c r="IVE141" s="3"/>
      <c r="IVF141" s="3"/>
      <c r="IVG141" s="3"/>
      <c r="IVH141" s="3"/>
      <c r="IVI141" s="3"/>
      <c r="IVJ141" s="3"/>
      <c r="IVK141" s="3"/>
      <c r="IVL141" s="3"/>
      <c r="IVM141" s="3"/>
      <c r="IVN141" s="3"/>
      <c r="IVO141" s="3"/>
      <c r="IVP141" s="3"/>
      <c r="IVQ141" s="3"/>
      <c r="IVR141" s="3"/>
      <c r="IVS141" s="3"/>
      <c r="IVT141" s="3"/>
      <c r="IVU141" s="3"/>
      <c r="IVV141" s="3"/>
      <c r="IVW141" s="3"/>
      <c r="IVX141" s="3"/>
      <c r="IVY141" s="3"/>
      <c r="IVZ141" s="3"/>
      <c r="IWA141" s="3"/>
      <c r="IWB141" s="3"/>
      <c r="IWC141" s="3"/>
      <c r="IWD141" s="3"/>
      <c r="IWE141" s="3"/>
      <c r="IWF141" s="3"/>
      <c r="IWG141" s="3"/>
      <c r="IWH141" s="3"/>
      <c r="IWI141" s="3"/>
      <c r="IWJ141" s="3"/>
      <c r="IWK141" s="3"/>
      <c r="IWL141" s="3"/>
      <c r="IWM141" s="3"/>
      <c r="IWN141" s="3"/>
      <c r="IWO141" s="3"/>
      <c r="IWP141" s="3"/>
      <c r="IWQ141" s="3"/>
      <c r="IWR141" s="3"/>
      <c r="IWS141" s="3"/>
      <c r="IWT141" s="3"/>
      <c r="IWU141" s="3"/>
      <c r="IWV141" s="3"/>
      <c r="IWW141" s="3"/>
      <c r="IWX141" s="3"/>
      <c r="IWY141" s="3"/>
      <c r="IWZ141" s="3"/>
      <c r="IXA141" s="3"/>
      <c r="IXB141" s="3"/>
      <c r="IXC141" s="3"/>
      <c r="IXD141" s="3"/>
      <c r="IXE141" s="3"/>
      <c r="IXF141" s="3"/>
      <c r="IXG141" s="3"/>
      <c r="IXH141" s="3"/>
      <c r="IXI141" s="3"/>
      <c r="IXJ141" s="3"/>
      <c r="IXK141" s="3"/>
      <c r="IXL141" s="3"/>
      <c r="IXM141" s="3"/>
      <c r="IXN141" s="3"/>
      <c r="IXO141" s="3"/>
      <c r="IXP141" s="3"/>
      <c r="IXQ141" s="3"/>
      <c r="IXR141" s="3"/>
      <c r="IXS141" s="3"/>
      <c r="IXT141" s="3"/>
      <c r="IXU141" s="3"/>
      <c r="IXV141" s="3"/>
      <c r="IXW141" s="3"/>
      <c r="IXX141" s="3"/>
      <c r="IXY141" s="3"/>
      <c r="IXZ141" s="3"/>
      <c r="IYA141" s="3"/>
      <c r="IYB141" s="3"/>
      <c r="IYC141" s="3"/>
      <c r="IYD141" s="3"/>
      <c r="IYE141" s="3"/>
      <c r="IYF141" s="3"/>
      <c r="IYG141" s="3"/>
      <c r="IYH141" s="3"/>
      <c r="IYI141" s="3"/>
      <c r="IYJ141" s="3"/>
      <c r="IYK141" s="3"/>
      <c r="IYL141" s="3"/>
      <c r="IYM141" s="3"/>
      <c r="IYN141" s="3"/>
      <c r="IYO141" s="3"/>
      <c r="IYP141" s="3"/>
      <c r="IYQ141" s="3"/>
      <c r="IYR141" s="3"/>
      <c r="IYS141" s="3"/>
      <c r="IYT141" s="3"/>
      <c r="IYU141" s="3"/>
      <c r="IYV141" s="3"/>
      <c r="IYW141" s="3"/>
      <c r="IYX141" s="3"/>
      <c r="IYY141" s="3"/>
      <c r="IYZ141" s="3"/>
      <c r="IZA141" s="3"/>
      <c r="IZB141" s="3"/>
      <c r="IZC141" s="3"/>
      <c r="IZD141" s="3"/>
      <c r="IZE141" s="3"/>
      <c r="IZF141" s="3"/>
      <c r="IZG141" s="3"/>
      <c r="IZH141" s="3"/>
      <c r="IZI141" s="3"/>
      <c r="IZJ141" s="3"/>
      <c r="IZK141" s="3"/>
      <c r="IZL141" s="3"/>
      <c r="IZM141" s="3"/>
      <c r="IZN141" s="3"/>
      <c r="IZO141" s="3"/>
      <c r="IZP141" s="3"/>
      <c r="IZQ141" s="3"/>
      <c r="IZR141" s="3"/>
      <c r="IZS141" s="3"/>
      <c r="IZT141" s="3"/>
      <c r="IZU141" s="3"/>
      <c r="IZV141" s="3"/>
      <c r="IZW141" s="3"/>
      <c r="IZX141" s="3"/>
      <c r="IZY141" s="3"/>
      <c r="IZZ141" s="3"/>
      <c r="JAA141" s="3"/>
      <c r="JAB141" s="3"/>
      <c r="JAC141" s="3"/>
      <c r="JAD141" s="3"/>
      <c r="JAE141" s="3"/>
      <c r="JAF141" s="3"/>
      <c r="JAG141" s="3"/>
      <c r="JAH141" s="3"/>
      <c r="JAI141" s="3"/>
      <c r="JAJ141" s="3"/>
      <c r="JAK141" s="3"/>
      <c r="JAL141" s="3"/>
      <c r="JAM141" s="3"/>
      <c r="JAN141" s="3"/>
      <c r="JAO141" s="3"/>
      <c r="JAP141" s="3"/>
      <c r="JAQ141" s="3"/>
      <c r="JAR141" s="3"/>
      <c r="JAS141" s="3"/>
      <c r="JAT141" s="3"/>
      <c r="JAU141" s="3"/>
      <c r="JAV141" s="3"/>
      <c r="JAW141" s="3"/>
      <c r="JAX141" s="3"/>
      <c r="JAY141" s="3"/>
      <c r="JAZ141" s="3"/>
      <c r="JBA141" s="3"/>
      <c r="JBB141" s="3"/>
      <c r="JBC141" s="3"/>
      <c r="JBD141" s="3"/>
      <c r="JBE141" s="3"/>
      <c r="JBF141" s="3"/>
      <c r="JBG141" s="3"/>
      <c r="JBH141" s="3"/>
      <c r="JBI141" s="3"/>
      <c r="JBJ141" s="3"/>
      <c r="JBK141" s="3"/>
      <c r="JBL141" s="3"/>
      <c r="JBM141" s="3"/>
      <c r="JBN141" s="3"/>
      <c r="JBO141" s="3"/>
      <c r="JBP141" s="3"/>
      <c r="JBQ141" s="3"/>
      <c r="JBR141" s="3"/>
      <c r="JBS141" s="3"/>
      <c r="JBT141" s="3"/>
      <c r="JBU141" s="3"/>
      <c r="JBV141" s="3"/>
      <c r="JBW141" s="3"/>
      <c r="JBX141" s="3"/>
      <c r="JBY141" s="3"/>
      <c r="JBZ141" s="3"/>
      <c r="JCA141" s="3"/>
      <c r="JCB141" s="3"/>
      <c r="JCC141" s="3"/>
      <c r="JCD141" s="3"/>
      <c r="JCE141" s="3"/>
      <c r="JCF141" s="3"/>
      <c r="JCG141" s="3"/>
      <c r="JCH141" s="3"/>
      <c r="JCI141" s="3"/>
      <c r="JCJ141" s="3"/>
      <c r="JCK141" s="3"/>
      <c r="JCL141" s="3"/>
      <c r="JCM141" s="3"/>
      <c r="JCN141" s="3"/>
      <c r="JCO141" s="3"/>
      <c r="JCP141" s="3"/>
      <c r="JCQ141" s="3"/>
      <c r="JCR141" s="3"/>
      <c r="JCS141" s="3"/>
      <c r="JCT141" s="3"/>
      <c r="JCU141" s="3"/>
      <c r="JCV141" s="3"/>
      <c r="JCW141" s="3"/>
      <c r="JCX141" s="3"/>
      <c r="JCY141" s="3"/>
      <c r="JCZ141" s="3"/>
      <c r="JDA141" s="3"/>
      <c r="JDB141" s="3"/>
      <c r="JDC141" s="3"/>
      <c r="JDD141" s="3"/>
      <c r="JDE141" s="3"/>
      <c r="JDF141" s="3"/>
      <c r="JDG141" s="3"/>
      <c r="JDH141" s="3"/>
      <c r="JDI141" s="3"/>
      <c r="JDJ141" s="3"/>
      <c r="JDK141" s="3"/>
      <c r="JDL141" s="3"/>
      <c r="JDM141" s="3"/>
      <c r="JDN141" s="3"/>
      <c r="JDO141" s="3"/>
      <c r="JDP141" s="3"/>
      <c r="JDQ141" s="3"/>
      <c r="JDR141" s="3"/>
      <c r="JDS141" s="3"/>
      <c r="JDT141" s="3"/>
      <c r="JDU141" s="3"/>
      <c r="JDV141" s="3"/>
      <c r="JDW141" s="3"/>
      <c r="JDX141" s="3"/>
      <c r="JDY141" s="3"/>
      <c r="JDZ141" s="3"/>
      <c r="JEA141" s="3"/>
      <c r="JEB141" s="3"/>
      <c r="JEC141" s="3"/>
      <c r="JED141" s="3"/>
      <c r="JEE141" s="3"/>
      <c r="JEF141" s="3"/>
      <c r="JEG141" s="3"/>
      <c r="JEH141" s="3"/>
      <c r="JEI141" s="3"/>
      <c r="JEJ141" s="3"/>
      <c r="JEK141" s="3"/>
      <c r="JEL141" s="3"/>
      <c r="JEM141" s="3"/>
      <c r="JEN141" s="3"/>
      <c r="JEO141" s="3"/>
      <c r="JEP141" s="3"/>
      <c r="JEQ141" s="3"/>
      <c r="JER141" s="3"/>
      <c r="JES141" s="3"/>
      <c r="JET141" s="3"/>
      <c r="JEU141" s="3"/>
      <c r="JEV141" s="3"/>
      <c r="JEW141" s="3"/>
      <c r="JEX141" s="3"/>
      <c r="JEY141" s="3"/>
      <c r="JEZ141" s="3"/>
      <c r="JFA141" s="3"/>
      <c r="JFB141" s="3"/>
      <c r="JFC141" s="3"/>
      <c r="JFD141" s="3"/>
      <c r="JFE141" s="3"/>
      <c r="JFF141" s="3"/>
      <c r="JFG141" s="3"/>
      <c r="JFH141" s="3"/>
      <c r="JFI141" s="3"/>
      <c r="JFJ141" s="3"/>
      <c r="JFK141" s="3"/>
      <c r="JFL141" s="3"/>
      <c r="JFM141" s="3"/>
      <c r="JFN141" s="3"/>
      <c r="JFO141" s="3"/>
      <c r="JFP141" s="3"/>
      <c r="JFQ141" s="3"/>
      <c r="JFR141" s="3"/>
      <c r="JFS141" s="3"/>
      <c r="JFT141" s="3"/>
      <c r="JFU141" s="3"/>
      <c r="JFV141" s="3"/>
      <c r="JFW141" s="3"/>
      <c r="JFX141" s="3"/>
      <c r="JFY141" s="3"/>
      <c r="JFZ141" s="3"/>
      <c r="JGA141" s="3"/>
      <c r="JGB141" s="3"/>
      <c r="JGC141" s="3"/>
      <c r="JGD141" s="3"/>
      <c r="JGE141" s="3"/>
      <c r="JGF141" s="3"/>
      <c r="JGG141" s="3"/>
      <c r="JGH141" s="3"/>
      <c r="JGI141" s="3"/>
      <c r="JGJ141" s="3"/>
      <c r="JGK141" s="3"/>
      <c r="JGL141" s="3"/>
      <c r="JGM141" s="3"/>
      <c r="JGN141" s="3"/>
      <c r="JGO141" s="3"/>
      <c r="JGP141" s="3"/>
      <c r="JGQ141" s="3"/>
      <c r="JGR141" s="3"/>
      <c r="JGS141" s="3"/>
      <c r="JGT141" s="3"/>
      <c r="JGU141" s="3"/>
      <c r="JGV141" s="3"/>
      <c r="JGW141" s="3"/>
      <c r="JGX141" s="3"/>
      <c r="JGY141" s="3"/>
      <c r="JGZ141" s="3"/>
      <c r="JHA141" s="3"/>
      <c r="JHB141" s="3"/>
      <c r="JHC141" s="3"/>
      <c r="JHD141" s="3"/>
      <c r="JHE141" s="3"/>
      <c r="JHF141" s="3"/>
      <c r="JHG141" s="3"/>
      <c r="JHH141" s="3"/>
      <c r="JHI141" s="3"/>
      <c r="JHJ141" s="3"/>
      <c r="JHK141" s="3"/>
      <c r="JHL141" s="3"/>
      <c r="JHM141" s="3"/>
      <c r="JHN141" s="3"/>
      <c r="JHO141" s="3"/>
      <c r="JHP141" s="3"/>
      <c r="JHQ141" s="3"/>
      <c r="JHR141" s="3"/>
      <c r="JHS141" s="3"/>
      <c r="JHT141" s="3"/>
      <c r="JHU141" s="3"/>
      <c r="JHV141" s="3"/>
      <c r="JHW141" s="3"/>
      <c r="JHX141" s="3"/>
      <c r="JHY141" s="3"/>
      <c r="JHZ141" s="3"/>
      <c r="JIA141" s="3"/>
      <c r="JIB141" s="3"/>
      <c r="JIC141" s="3"/>
      <c r="JID141" s="3"/>
      <c r="JIE141" s="3"/>
      <c r="JIF141" s="3"/>
      <c r="JIG141" s="3"/>
      <c r="JIH141" s="3"/>
      <c r="JII141" s="3"/>
      <c r="JIJ141" s="3"/>
      <c r="JIK141" s="3"/>
      <c r="JIL141" s="3"/>
      <c r="JIM141" s="3"/>
      <c r="JIN141" s="3"/>
      <c r="JIO141" s="3"/>
      <c r="JIP141" s="3"/>
      <c r="JIQ141" s="3"/>
      <c r="JIR141" s="3"/>
      <c r="JIS141" s="3"/>
      <c r="JIT141" s="3"/>
      <c r="JIU141" s="3"/>
      <c r="JIV141" s="3"/>
      <c r="JIW141" s="3"/>
      <c r="JIX141" s="3"/>
      <c r="JIY141" s="3"/>
      <c r="JIZ141" s="3"/>
      <c r="JJA141" s="3"/>
      <c r="JJB141" s="3"/>
      <c r="JJC141" s="3"/>
      <c r="JJD141" s="3"/>
      <c r="JJE141" s="3"/>
      <c r="JJF141" s="3"/>
      <c r="JJG141" s="3"/>
      <c r="JJH141" s="3"/>
      <c r="JJI141" s="3"/>
      <c r="JJJ141" s="3"/>
      <c r="JJK141" s="3"/>
      <c r="JJL141" s="3"/>
      <c r="JJM141" s="3"/>
      <c r="JJN141" s="3"/>
      <c r="JJO141" s="3"/>
      <c r="JJP141" s="3"/>
      <c r="JJQ141" s="3"/>
      <c r="JJR141" s="3"/>
      <c r="JJS141" s="3"/>
      <c r="JJT141" s="3"/>
      <c r="JJU141" s="3"/>
      <c r="JJV141" s="3"/>
      <c r="JJW141" s="3"/>
      <c r="JJX141" s="3"/>
      <c r="JJY141" s="3"/>
      <c r="JJZ141" s="3"/>
      <c r="JKA141" s="3"/>
      <c r="JKB141" s="3"/>
      <c r="JKC141" s="3"/>
      <c r="JKD141" s="3"/>
      <c r="JKE141" s="3"/>
      <c r="JKF141" s="3"/>
      <c r="JKG141" s="3"/>
      <c r="JKH141" s="3"/>
      <c r="JKI141" s="3"/>
      <c r="JKJ141" s="3"/>
      <c r="JKK141" s="3"/>
      <c r="JKL141" s="3"/>
      <c r="JKM141" s="3"/>
      <c r="JKN141" s="3"/>
      <c r="JKO141" s="3"/>
      <c r="JKP141" s="3"/>
      <c r="JKQ141" s="3"/>
      <c r="JKR141" s="3"/>
      <c r="JKS141" s="3"/>
      <c r="JKT141" s="3"/>
      <c r="JKU141" s="3"/>
      <c r="JKV141" s="3"/>
      <c r="JKW141" s="3"/>
      <c r="JKX141" s="3"/>
      <c r="JKY141" s="3"/>
      <c r="JKZ141" s="3"/>
      <c r="JLA141" s="3"/>
      <c r="JLB141" s="3"/>
      <c r="JLC141" s="3"/>
      <c r="JLD141" s="3"/>
      <c r="JLE141" s="3"/>
      <c r="JLF141" s="3"/>
      <c r="JLG141" s="3"/>
      <c r="JLH141" s="3"/>
      <c r="JLI141" s="3"/>
      <c r="JLJ141" s="3"/>
      <c r="JLK141" s="3"/>
      <c r="JLL141" s="3"/>
      <c r="JLM141" s="3"/>
      <c r="JLN141" s="3"/>
      <c r="JLO141" s="3"/>
      <c r="JLP141" s="3"/>
      <c r="JLQ141" s="3"/>
      <c r="JLR141" s="3"/>
      <c r="JLS141" s="3"/>
      <c r="JLT141" s="3"/>
      <c r="JLU141" s="3"/>
      <c r="JLV141" s="3"/>
      <c r="JLW141" s="3"/>
      <c r="JLX141" s="3"/>
      <c r="JLY141" s="3"/>
      <c r="JLZ141" s="3"/>
      <c r="JMA141" s="3"/>
      <c r="JMB141" s="3"/>
      <c r="JMC141" s="3"/>
      <c r="JMD141" s="3"/>
      <c r="JME141" s="3"/>
      <c r="JMF141" s="3"/>
      <c r="JMG141" s="3"/>
      <c r="JMH141" s="3"/>
      <c r="JMI141" s="3"/>
      <c r="JMJ141" s="3"/>
      <c r="JMK141" s="3"/>
      <c r="JML141" s="3"/>
      <c r="JMM141" s="3"/>
      <c r="JMN141" s="3"/>
      <c r="JMO141" s="3"/>
      <c r="JMP141" s="3"/>
      <c r="JMQ141" s="3"/>
      <c r="JMR141" s="3"/>
      <c r="JMS141" s="3"/>
      <c r="JMT141" s="3"/>
      <c r="JMU141" s="3"/>
      <c r="JMV141" s="3"/>
      <c r="JMW141" s="3"/>
      <c r="JMX141" s="3"/>
      <c r="JMY141" s="3"/>
      <c r="JMZ141" s="3"/>
      <c r="JNA141" s="3"/>
      <c r="JNB141" s="3"/>
      <c r="JNC141" s="3"/>
      <c r="JND141" s="3"/>
      <c r="JNE141" s="3"/>
      <c r="JNF141" s="3"/>
      <c r="JNG141" s="3"/>
      <c r="JNH141" s="3"/>
      <c r="JNI141" s="3"/>
      <c r="JNJ141" s="3"/>
      <c r="JNK141" s="3"/>
      <c r="JNL141" s="3"/>
      <c r="JNM141" s="3"/>
      <c r="JNN141" s="3"/>
      <c r="JNO141" s="3"/>
      <c r="JNP141" s="3"/>
      <c r="JNQ141" s="3"/>
      <c r="JNR141" s="3"/>
      <c r="JNS141" s="3"/>
      <c r="JNT141" s="3"/>
      <c r="JNU141" s="3"/>
      <c r="JNV141" s="3"/>
      <c r="JNW141" s="3"/>
      <c r="JNX141" s="3"/>
      <c r="JNY141" s="3"/>
      <c r="JNZ141" s="3"/>
      <c r="JOA141" s="3"/>
      <c r="JOB141" s="3"/>
      <c r="JOC141" s="3"/>
      <c r="JOD141" s="3"/>
      <c r="JOE141" s="3"/>
      <c r="JOF141" s="3"/>
      <c r="JOG141" s="3"/>
      <c r="JOH141" s="3"/>
      <c r="JOI141" s="3"/>
      <c r="JOJ141" s="3"/>
      <c r="JOK141" s="3"/>
      <c r="JOL141" s="3"/>
      <c r="JOM141" s="3"/>
      <c r="JON141" s="3"/>
      <c r="JOO141" s="3"/>
      <c r="JOP141" s="3"/>
      <c r="JOQ141" s="3"/>
      <c r="JOR141" s="3"/>
      <c r="JOS141" s="3"/>
      <c r="JOT141" s="3"/>
      <c r="JOU141" s="3"/>
      <c r="JOV141" s="3"/>
      <c r="JOW141" s="3"/>
      <c r="JOX141" s="3"/>
      <c r="JOY141" s="3"/>
      <c r="JOZ141" s="3"/>
      <c r="JPA141" s="3"/>
      <c r="JPB141" s="3"/>
      <c r="JPC141" s="3"/>
      <c r="JPD141" s="3"/>
      <c r="JPE141" s="3"/>
      <c r="JPF141" s="3"/>
      <c r="JPG141" s="3"/>
      <c r="JPH141" s="3"/>
      <c r="JPI141" s="3"/>
      <c r="JPJ141" s="3"/>
      <c r="JPK141" s="3"/>
      <c r="JPL141" s="3"/>
      <c r="JPM141" s="3"/>
      <c r="JPN141" s="3"/>
      <c r="JPO141" s="3"/>
      <c r="JPP141" s="3"/>
      <c r="JPQ141" s="3"/>
      <c r="JPR141" s="3"/>
      <c r="JPS141" s="3"/>
      <c r="JPT141" s="3"/>
      <c r="JPU141" s="3"/>
      <c r="JPV141" s="3"/>
      <c r="JPW141" s="3"/>
      <c r="JPX141" s="3"/>
      <c r="JPY141" s="3"/>
      <c r="JPZ141" s="3"/>
      <c r="JQA141" s="3"/>
      <c r="JQB141" s="3"/>
      <c r="JQC141" s="3"/>
      <c r="JQD141" s="3"/>
      <c r="JQE141" s="3"/>
      <c r="JQF141" s="3"/>
      <c r="JQG141" s="3"/>
      <c r="JQH141" s="3"/>
      <c r="JQI141" s="3"/>
      <c r="JQJ141" s="3"/>
      <c r="JQK141" s="3"/>
      <c r="JQL141" s="3"/>
      <c r="JQM141" s="3"/>
      <c r="JQN141" s="3"/>
      <c r="JQO141" s="3"/>
      <c r="JQP141" s="3"/>
      <c r="JQQ141" s="3"/>
      <c r="JQR141" s="3"/>
      <c r="JQS141" s="3"/>
      <c r="JQT141" s="3"/>
      <c r="JQU141" s="3"/>
      <c r="JQV141" s="3"/>
      <c r="JQW141" s="3"/>
      <c r="JQX141" s="3"/>
      <c r="JQY141" s="3"/>
      <c r="JQZ141" s="3"/>
      <c r="JRA141" s="3"/>
      <c r="JRB141" s="3"/>
      <c r="JRC141" s="3"/>
      <c r="JRD141" s="3"/>
      <c r="JRE141" s="3"/>
      <c r="JRF141" s="3"/>
      <c r="JRG141" s="3"/>
      <c r="JRH141" s="3"/>
      <c r="JRI141" s="3"/>
      <c r="JRJ141" s="3"/>
      <c r="JRK141" s="3"/>
      <c r="JRL141" s="3"/>
      <c r="JRM141" s="3"/>
      <c r="JRN141" s="3"/>
      <c r="JRO141" s="3"/>
      <c r="JRP141" s="3"/>
      <c r="JRQ141" s="3"/>
      <c r="JRR141" s="3"/>
      <c r="JRS141" s="3"/>
      <c r="JRT141" s="3"/>
      <c r="JRU141" s="3"/>
      <c r="JRV141" s="3"/>
      <c r="JRW141" s="3"/>
      <c r="JRX141" s="3"/>
      <c r="JRY141" s="3"/>
      <c r="JRZ141" s="3"/>
      <c r="JSA141" s="3"/>
      <c r="JSB141" s="3"/>
      <c r="JSC141" s="3"/>
      <c r="JSD141" s="3"/>
      <c r="JSE141" s="3"/>
      <c r="JSF141" s="3"/>
      <c r="JSG141" s="3"/>
      <c r="JSH141" s="3"/>
      <c r="JSI141" s="3"/>
      <c r="JSJ141" s="3"/>
      <c r="JSK141" s="3"/>
      <c r="JSL141" s="3"/>
      <c r="JSM141" s="3"/>
      <c r="JSN141" s="3"/>
      <c r="JSO141" s="3"/>
      <c r="JSP141" s="3"/>
      <c r="JSQ141" s="3"/>
      <c r="JSR141" s="3"/>
      <c r="JSS141" s="3"/>
      <c r="JST141" s="3"/>
      <c r="JSU141" s="3"/>
      <c r="JSV141" s="3"/>
      <c r="JSW141" s="3"/>
      <c r="JSX141" s="3"/>
      <c r="JSY141" s="3"/>
      <c r="JSZ141" s="3"/>
      <c r="JTA141" s="3"/>
      <c r="JTB141" s="3"/>
      <c r="JTC141" s="3"/>
      <c r="JTD141" s="3"/>
      <c r="JTE141" s="3"/>
      <c r="JTF141" s="3"/>
      <c r="JTG141" s="3"/>
      <c r="JTH141" s="3"/>
      <c r="JTI141" s="3"/>
      <c r="JTJ141" s="3"/>
      <c r="JTK141" s="3"/>
      <c r="JTL141" s="3"/>
      <c r="JTM141" s="3"/>
      <c r="JTN141" s="3"/>
      <c r="JTO141" s="3"/>
      <c r="JTP141" s="3"/>
      <c r="JTQ141" s="3"/>
      <c r="JTR141" s="3"/>
      <c r="JTS141" s="3"/>
      <c r="JTT141" s="3"/>
      <c r="JTU141" s="3"/>
      <c r="JTV141" s="3"/>
      <c r="JTW141" s="3"/>
      <c r="JTX141" s="3"/>
      <c r="JTY141" s="3"/>
      <c r="JTZ141" s="3"/>
      <c r="JUA141" s="3"/>
      <c r="JUB141" s="3"/>
      <c r="JUC141" s="3"/>
      <c r="JUD141" s="3"/>
      <c r="JUE141" s="3"/>
      <c r="JUF141" s="3"/>
      <c r="JUG141" s="3"/>
      <c r="JUH141" s="3"/>
      <c r="JUI141" s="3"/>
      <c r="JUJ141" s="3"/>
      <c r="JUK141" s="3"/>
      <c r="JUL141" s="3"/>
      <c r="JUM141" s="3"/>
      <c r="JUN141" s="3"/>
      <c r="JUO141" s="3"/>
      <c r="JUP141" s="3"/>
      <c r="JUQ141" s="3"/>
      <c r="JUR141" s="3"/>
      <c r="JUS141" s="3"/>
      <c r="JUT141" s="3"/>
      <c r="JUU141" s="3"/>
      <c r="JUV141" s="3"/>
      <c r="JUW141" s="3"/>
      <c r="JUX141" s="3"/>
      <c r="JUY141" s="3"/>
      <c r="JUZ141" s="3"/>
      <c r="JVA141" s="3"/>
      <c r="JVB141" s="3"/>
      <c r="JVC141" s="3"/>
      <c r="JVD141" s="3"/>
      <c r="JVE141" s="3"/>
      <c r="JVF141" s="3"/>
      <c r="JVG141" s="3"/>
      <c r="JVH141" s="3"/>
      <c r="JVI141" s="3"/>
      <c r="JVJ141" s="3"/>
      <c r="JVK141" s="3"/>
      <c r="JVL141" s="3"/>
      <c r="JVM141" s="3"/>
      <c r="JVN141" s="3"/>
      <c r="JVO141" s="3"/>
      <c r="JVP141" s="3"/>
      <c r="JVQ141" s="3"/>
      <c r="JVR141" s="3"/>
      <c r="JVS141" s="3"/>
      <c r="JVT141" s="3"/>
      <c r="JVU141" s="3"/>
      <c r="JVV141" s="3"/>
      <c r="JVW141" s="3"/>
      <c r="JVX141" s="3"/>
      <c r="JVY141" s="3"/>
      <c r="JVZ141" s="3"/>
      <c r="JWA141" s="3"/>
      <c r="JWB141" s="3"/>
      <c r="JWC141" s="3"/>
      <c r="JWD141" s="3"/>
      <c r="JWE141" s="3"/>
      <c r="JWF141" s="3"/>
      <c r="JWG141" s="3"/>
      <c r="JWH141" s="3"/>
      <c r="JWI141" s="3"/>
      <c r="JWJ141" s="3"/>
      <c r="JWK141" s="3"/>
      <c r="JWL141" s="3"/>
      <c r="JWM141" s="3"/>
      <c r="JWN141" s="3"/>
      <c r="JWO141" s="3"/>
      <c r="JWP141" s="3"/>
      <c r="JWQ141" s="3"/>
      <c r="JWR141" s="3"/>
      <c r="JWS141" s="3"/>
      <c r="JWT141" s="3"/>
      <c r="JWU141" s="3"/>
      <c r="JWV141" s="3"/>
      <c r="JWW141" s="3"/>
      <c r="JWX141" s="3"/>
      <c r="JWY141" s="3"/>
      <c r="JWZ141" s="3"/>
      <c r="JXA141" s="3"/>
      <c r="JXB141" s="3"/>
      <c r="JXC141" s="3"/>
      <c r="JXD141" s="3"/>
      <c r="JXE141" s="3"/>
      <c r="JXF141" s="3"/>
      <c r="JXG141" s="3"/>
      <c r="JXH141" s="3"/>
      <c r="JXI141" s="3"/>
      <c r="JXJ141" s="3"/>
      <c r="JXK141" s="3"/>
      <c r="JXL141" s="3"/>
      <c r="JXM141" s="3"/>
      <c r="JXN141" s="3"/>
      <c r="JXO141" s="3"/>
      <c r="JXP141" s="3"/>
      <c r="JXQ141" s="3"/>
      <c r="JXR141" s="3"/>
      <c r="JXS141" s="3"/>
      <c r="JXT141" s="3"/>
      <c r="JXU141" s="3"/>
      <c r="JXV141" s="3"/>
      <c r="JXW141" s="3"/>
      <c r="JXX141" s="3"/>
      <c r="JXY141" s="3"/>
      <c r="JXZ141" s="3"/>
      <c r="JYA141" s="3"/>
      <c r="JYB141" s="3"/>
      <c r="JYC141" s="3"/>
      <c r="JYD141" s="3"/>
      <c r="JYE141" s="3"/>
      <c r="JYF141" s="3"/>
      <c r="JYG141" s="3"/>
      <c r="JYH141" s="3"/>
      <c r="JYI141" s="3"/>
      <c r="JYJ141" s="3"/>
      <c r="JYK141" s="3"/>
      <c r="JYL141" s="3"/>
      <c r="JYM141" s="3"/>
      <c r="JYN141" s="3"/>
      <c r="JYO141" s="3"/>
      <c r="JYP141" s="3"/>
      <c r="JYQ141" s="3"/>
      <c r="JYR141" s="3"/>
      <c r="JYS141" s="3"/>
      <c r="JYT141" s="3"/>
      <c r="JYU141" s="3"/>
      <c r="JYV141" s="3"/>
      <c r="JYW141" s="3"/>
      <c r="JYX141" s="3"/>
      <c r="JYY141" s="3"/>
      <c r="JYZ141" s="3"/>
      <c r="JZA141" s="3"/>
      <c r="JZB141" s="3"/>
      <c r="JZC141" s="3"/>
      <c r="JZD141" s="3"/>
      <c r="JZE141" s="3"/>
      <c r="JZF141" s="3"/>
      <c r="JZG141" s="3"/>
      <c r="JZH141" s="3"/>
      <c r="JZI141" s="3"/>
      <c r="JZJ141" s="3"/>
      <c r="JZK141" s="3"/>
      <c r="JZL141" s="3"/>
      <c r="JZM141" s="3"/>
      <c r="JZN141" s="3"/>
      <c r="JZO141" s="3"/>
      <c r="JZP141" s="3"/>
      <c r="JZQ141" s="3"/>
      <c r="JZR141" s="3"/>
      <c r="JZS141" s="3"/>
      <c r="JZT141" s="3"/>
      <c r="JZU141" s="3"/>
      <c r="JZV141" s="3"/>
      <c r="JZW141" s="3"/>
      <c r="JZX141" s="3"/>
      <c r="JZY141" s="3"/>
      <c r="JZZ141" s="3"/>
      <c r="KAA141" s="3"/>
      <c r="KAB141" s="3"/>
      <c r="KAC141" s="3"/>
      <c r="KAD141" s="3"/>
      <c r="KAE141" s="3"/>
      <c r="KAF141" s="3"/>
      <c r="KAG141" s="3"/>
      <c r="KAH141" s="3"/>
      <c r="KAI141" s="3"/>
      <c r="KAJ141" s="3"/>
      <c r="KAK141" s="3"/>
      <c r="KAL141" s="3"/>
      <c r="KAM141" s="3"/>
      <c r="KAN141" s="3"/>
      <c r="KAO141" s="3"/>
      <c r="KAP141" s="3"/>
      <c r="KAQ141" s="3"/>
      <c r="KAR141" s="3"/>
      <c r="KAS141" s="3"/>
      <c r="KAT141" s="3"/>
      <c r="KAU141" s="3"/>
      <c r="KAV141" s="3"/>
      <c r="KAW141" s="3"/>
      <c r="KAX141" s="3"/>
      <c r="KAY141" s="3"/>
      <c r="KAZ141" s="3"/>
      <c r="KBA141" s="3"/>
      <c r="KBB141" s="3"/>
      <c r="KBC141" s="3"/>
      <c r="KBD141" s="3"/>
      <c r="KBE141" s="3"/>
      <c r="KBF141" s="3"/>
      <c r="KBG141" s="3"/>
      <c r="KBH141" s="3"/>
      <c r="KBI141" s="3"/>
      <c r="KBJ141" s="3"/>
      <c r="KBK141" s="3"/>
      <c r="KBL141" s="3"/>
      <c r="KBM141" s="3"/>
      <c r="KBN141" s="3"/>
      <c r="KBO141" s="3"/>
      <c r="KBP141" s="3"/>
      <c r="KBQ141" s="3"/>
      <c r="KBR141" s="3"/>
      <c r="KBS141" s="3"/>
      <c r="KBT141" s="3"/>
      <c r="KBU141" s="3"/>
      <c r="KBV141" s="3"/>
      <c r="KBW141" s="3"/>
      <c r="KBX141" s="3"/>
      <c r="KBY141" s="3"/>
      <c r="KBZ141" s="3"/>
      <c r="KCA141" s="3"/>
      <c r="KCB141" s="3"/>
      <c r="KCC141" s="3"/>
      <c r="KCD141" s="3"/>
      <c r="KCE141" s="3"/>
      <c r="KCF141" s="3"/>
      <c r="KCG141" s="3"/>
      <c r="KCH141" s="3"/>
      <c r="KCI141" s="3"/>
      <c r="KCJ141" s="3"/>
      <c r="KCK141" s="3"/>
      <c r="KCL141" s="3"/>
      <c r="KCM141" s="3"/>
      <c r="KCN141" s="3"/>
      <c r="KCO141" s="3"/>
      <c r="KCP141" s="3"/>
      <c r="KCQ141" s="3"/>
      <c r="KCR141" s="3"/>
      <c r="KCS141" s="3"/>
      <c r="KCT141" s="3"/>
      <c r="KCU141" s="3"/>
      <c r="KCV141" s="3"/>
      <c r="KCW141" s="3"/>
      <c r="KCX141" s="3"/>
      <c r="KCY141" s="3"/>
      <c r="KCZ141" s="3"/>
      <c r="KDA141" s="3"/>
      <c r="KDB141" s="3"/>
      <c r="KDC141" s="3"/>
      <c r="KDD141" s="3"/>
      <c r="KDE141" s="3"/>
      <c r="KDF141" s="3"/>
      <c r="KDG141" s="3"/>
      <c r="KDH141" s="3"/>
      <c r="KDI141" s="3"/>
      <c r="KDJ141" s="3"/>
      <c r="KDK141" s="3"/>
      <c r="KDL141" s="3"/>
      <c r="KDM141" s="3"/>
      <c r="KDN141" s="3"/>
      <c r="KDO141" s="3"/>
      <c r="KDP141" s="3"/>
      <c r="KDQ141" s="3"/>
      <c r="KDR141" s="3"/>
      <c r="KDS141" s="3"/>
      <c r="KDT141" s="3"/>
      <c r="KDU141" s="3"/>
      <c r="KDV141" s="3"/>
      <c r="KDW141" s="3"/>
      <c r="KDX141" s="3"/>
      <c r="KDY141" s="3"/>
      <c r="KDZ141" s="3"/>
      <c r="KEA141" s="3"/>
      <c r="KEB141" s="3"/>
      <c r="KEC141" s="3"/>
      <c r="KED141" s="3"/>
      <c r="KEE141" s="3"/>
      <c r="KEF141" s="3"/>
      <c r="KEG141" s="3"/>
      <c r="KEH141" s="3"/>
      <c r="KEI141" s="3"/>
      <c r="KEJ141" s="3"/>
      <c r="KEK141" s="3"/>
      <c r="KEL141" s="3"/>
      <c r="KEM141" s="3"/>
      <c r="KEN141" s="3"/>
      <c r="KEO141" s="3"/>
      <c r="KEP141" s="3"/>
      <c r="KEQ141" s="3"/>
      <c r="KER141" s="3"/>
      <c r="KES141" s="3"/>
      <c r="KET141" s="3"/>
      <c r="KEU141" s="3"/>
      <c r="KEV141" s="3"/>
      <c r="KEW141" s="3"/>
      <c r="KEX141" s="3"/>
      <c r="KEY141" s="3"/>
      <c r="KEZ141" s="3"/>
      <c r="KFA141" s="3"/>
      <c r="KFB141" s="3"/>
      <c r="KFC141" s="3"/>
      <c r="KFD141" s="3"/>
      <c r="KFE141" s="3"/>
      <c r="KFF141" s="3"/>
      <c r="KFG141" s="3"/>
      <c r="KFH141" s="3"/>
      <c r="KFI141" s="3"/>
      <c r="KFJ141" s="3"/>
      <c r="KFK141" s="3"/>
      <c r="KFL141" s="3"/>
      <c r="KFM141" s="3"/>
      <c r="KFN141" s="3"/>
      <c r="KFO141" s="3"/>
      <c r="KFP141" s="3"/>
      <c r="KFQ141" s="3"/>
      <c r="KFR141" s="3"/>
      <c r="KFS141" s="3"/>
      <c r="KFT141" s="3"/>
      <c r="KFU141" s="3"/>
      <c r="KFV141" s="3"/>
      <c r="KFW141" s="3"/>
      <c r="KFX141" s="3"/>
      <c r="KFY141" s="3"/>
      <c r="KFZ141" s="3"/>
      <c r="KGA141" s="3"/>
      <c r="KGB141" s="3"/>
      <c r="KGC141" s="3"/>
      <c r="KGD141" s="3"/>
      <c r="KGE141" s="3"/>
      <c r="KGF141" s="3"/>
      <c r="KGG141" s="3"/>
      <c r="KGH141" s="3"/>
      <c r="KGI141" s="3"/>
      <c r="KGJ141" s="3"/>
      <c r="KGK141" s="3"/>
      <c r="KGL141" s="3"/>
      <c r="KGM141" s="3"/>
      <c r="KGN141" s="3"/>
      <c r="KGO141" s="3"/>
      <c r="KGP141" s="3"/>
      <c r="KGQ141" s="3"/>
      <c r="KGR141" s="3"/>
      <c r="KGS141" s="3"/>
      <c r="KGT141" s="3"/>
      <c r="KGU141" s="3"/>
      <c r="KGV141" s="3"/>
      <c r="KGW141" s="3"/>
      <c r="KGX141" s="3"/>
      <c r="KGY141" s="3"/>
      <c r="KGZ141" s="3"/>
      <c r="KHA141" s="3"/>
      <c r="KHB141" s="3"/>
      <c r="KHC141" s="3"/>
      <c r="KHD141" s="3"/>
      <c r="KHE141" s="3"/>
      <c r="KHF141" s="3"/>
      <c r="KHG141" s="3"/>
      <c r="KHH141" s="3"/>
      <c r="KHI141" s="3"/>
      <c r="KHJ141" s="3"/>
      <c r="KHK141" s="3"/>
      <c r="KHL141" s="3"/>
      <c r="KHM141" s="3"/>
      <c r="KHN141" s="3"/>
      <c r="KHO141" s="3"/>
      <c r="KHP141" s="3"/>
      <c r="KHQ141" s="3"/>
      <c r="KHR141" s="3"/>
      <c r="KHS141" s="3"/>
      <c r="KHT141" s="3"/>
      <c r="KHU141" s="3"/>
      <c r="KHV141" s="3"/>
      <c r="KHW141" s="3"/>
      <c r="KHX141" s="3"/>
      <c r="KHY141" s="3"/>
      <c r="KHZ141" s="3"/>
      <c r="KIA141" s="3"/>
      <c r="KIB141" s="3"/>
      <c r="KIC141" s="3"/>
      <c r="KID141" s="3"/>
      <c r="KIE141" s="3"/>
      <c r="KIF141" s="3"/>
      <c r="KIG141" s="3"/>
      <c r="KIH141" s="3"/>
      <c r="KII141" s="3"/>
      <c r="KIJ141" s="3"/>
      <c r="KIK141" s="3"/>
      <c r="KIL141" s="3"/>
      <c r="KIM141" s="3"/>
      <c r="KIN141" s="3"/>
      <c r="KIO141" s="3"/>
      <c r="KIP141" s="3"/>
      <c r="KIQ141" s="3"/>
      <c r="KIR141" s="3"/>
      <c r="KIS141" s="3"/>
      <c r="KIT141" s="3"/>
      <c r="KIU141" s="3"/>
      <c r="KIV141" s="3"/>
      <c r="KIW141" s="3"/>
      <c r="KIX141" s="3"/>
      <c r="KIY141" s="3"/>
      <c r="KIZ141" s="3"/>
      <c r="KJA141" s="3"/>
      <c r="KJB141" s="3"/>
      <c r="KJC141" s="3"/>
      <c r="KJD141" s="3"/>
      <c r="KJE141" s="3"/>
      <c r="KJF141" s="3"/>
      <c r="KJG141" s="3"/>
      <c r="KJH141" s="3"/>
      <c r="KJI141" s="3"/>
      <c r="KJJ141" s="3"/>
      <c r="KJK141" s="3"/>
      <c r="KJL141" s="3"/>
      <c r="KJM141" s="3"/>
      <c r="KJN141" s="3"/>
      <c r="KJO141" s="3"/>
      <c r="KJP141" s="3"/>
      <c r="KJQ141" s="3"/>
      <c r="KJR141" s="3"/>
      <c r="KJS141" s="3"/>
      <c r="KJT141" s="3"/>
      <c r="KJU141" s="3"/>
      <c r="KJV141" s="3"/>
      <c r="KJW141" s="3"/>
      <c r="KJX141" s="3"/>
      <c r="KJY141" s="3"/>
      <c r="KJZ141" s="3"/>
      <c r="KKA141" s="3"/>
      <c r="KKB141" s="3"/>
      <c r="KKC141" s="3"/>
      <c r="KKD141" s="3"/>
      <c r="KKE141" s="3"/>
      <c r="KKF141" s="3"/>
      <c r="KKG141" s="3"/>
      <c r="KKH141" s="3"/>
      <c r="KKI141" s="3"/>
      <c r="KKJ141" s="3"/>
      <c r="KKK141" s="3"/>
      <c r="KKL141" s="3"/>
      <c r="KKM141" s="3"/>
      <c r="KKN141" s="3"/>
      <c r="KKO141" s="3"/>
      <c r="KKP141" s="3"/>
      <c r="KKQ141" s="3"/>
      <c r="KKR141" s="3"/>
      <c r="KKS141" s="3"/>
      <c r="KKT141" s="3"/>
      <c r="KKU141" s="3"/>
      <c r="KKV141" s="3"/>
      <c r="KKW141" s="3"/>
      <c r="KKX141" s="3"/>
      <c r="KKY141" s="3"/>
      <c r="KKZ141" s="3"/>
      <c r="KLA141" s="3"/>
      <c r="KLB141" s="3"/>
      <c r="KLC141" s="3"/>
      <c r="KLD141" s="3"/>
      <c r="KLE141" s="3"/>
      <c r="KLF141" s="3"/>
      <c r="KLG141" s="3"/>
      <c r="KLH141" s="3"/>
      <c r="KLI141" s="3"/>
      <c r="KLJ141" s="3"/>
      <c r="KLK141" s="3"/>
      <c r="KLL141" s="3"/>
      <c r="KLM141" s="3"/>
      <c r="KLN141" s="3"/>
      <c r="KLO141" s="3"/>
      <c r="KLP141" s="3"/>
      <c r="KLQ141" s="3"/>
      <c r="KLR141" s="3"/>
      <c r="KLS141" s="3"/>
      <c r="KLT141" s="3"/>
      <c r="KLU141" s="3"/>
      <c r="KLV141" s="3"/>
      <c r="KLW141" s="3"/>
      <c r="KLX141" s="3"/>
      <c r="KLY141" s="3"/>
      <c r="KLZ141" s="3"/>
      <c r="KMA141" s="3"/>
      <c r="KMB141" s="3"/>
      <c r="KMC141" s="3"/>
      <c r="KMD141" s="3"/>
      <c r="KME141" s="3"/>
      <c r="KMF141" s="3"/>
      <c r="KMG141" s="3"/>
      <c r="KMH141" s="3"/>
      <c r="KMI141" s="3"/>
      <c r="KMJ141" s="3"/>
      <c r="KMK141" s="3"/>
      <c r="KML141" s="3"/>
      <c r="KMM141" s="3"/>
      <c r="KMN141" s="3"/>
      <c r="KMO141" s="3"/>
      <c r="KMP141" s="3"/>
      <c r="KMQ141" s="3"/>
      <c r="KMR141" s="3"/>
      <c r="KMS141" s="3"/>
      <c r="KMT141" s="3"/>
      <c r="KMU141" s="3"/>
      <c r="KMV141" s="3"/>
      <c r="KMW141" s="3"/>
      <c r="KMX141" s="3"/>
      <c r="KMY141" s="3"/>
      <c r="KMZ141" s="3"/>
      <c r="KNA141" s="3"/>
      <c r="KNB141" s="3"/>
      <c r="KNC141" s="3"/>
      <c r="KND141" s="3"/>
      <c r="KNE141" s="3"/>
      <c r="KNF141" s="3"/>
      <c r="KNG141" s="3"/>
      <c r="KNH141" s="3"/>
      <c r="KNI141" s="3"/>
      <c r="KNJ141" s="3"/>
      <c r="KNK141" s="3"/>
      <c r="KNL141" s="3"/>
      <c r="KNM141" s="3"/>
      <c r="KNN141" s="3"/>
      <c r="KNO141" s="3"/>
      <c r="KNP141" s="3"/>
      <c r="KNQ141" s="3"/>
      <c r="KNR141" s="3"/>
      <c r="KNS141" s="3"/>
      <c r="KNT141" s="3"/>
      <c r="KNU141" s="3"/>
      <c r="KNV141" s="3"/>
      <c r="KNW141" s="3"/>
      <c r="KNX141" s="3"/>
      <c r="KNY141" s="3"/>
      <c r="KNZ141" s="3"/>
      <c r="KOA141" s="3"/>
      <c r="KOB141" s="3"/>
      <c r="KOC141" s="3"/>
      <c r="KOD141" s="3"/>
      <c r="KOE141" s="3"/>
      <c r="KOF141" s="3"/>
      <c r="KOG141" s="3"/>
      <c r="KOH141" s="3"/>
      <c r="KOI141" s="3"/>
      <c r="KOJ141" s="3"/>
      <c r="KOK141" s="3"/>
      <c r="KOL141" s="3"/>
      <c r="KOM141" s="3"/>
      <c r="KON141" s="3"/>
      <c r="KOO141" s="3"/>
      <c r="KOP141" s="3"/>
      <c r="KOQ141" s="3"/>
      <c r="KOR141" s="3"/>
      <c r="KOS141" s="3"/>
      <c r="KOT141" s="3"/>
      <c r="KOU141" s="3"/>
      <c r="KOV141" s="3"/>
      <c r="KOW141" s="3"/>
      <c r="KOX141" s="3"/>
      <c r="KOY141" s="3"/>
      <c r="KOZ141" s="3"/>
      <c r="KPA141" s="3"/>
      <c r="KPB141" s="3"/>
      <c r="KPC141" s="3"/>
      <c r="KPD141" s="3"/>
      <c r="KPE141" s="3"/>
      <c r="KPF141" s="3"/>
      <c r="KPG141" s="3"/>
      <c r="KPH141" s="3"/>
      <c r="KPI141" s="3"/>
      <c r="KPJ141" s="3"/>
      <c r="KPK141" s="3"/>
      <c r="KPL141" s="3"/>
      <c r="KPM141" s="3"/>
      <c r="KPN141" s="3"/>
      <c r="KPO141" s="3"/>
      <c r="KPP141" s="3"/>
      <c r="KPQ141" s="3"/>
      <c r="KPR141" s="3"/>
      <c r="KPS141" s="3"/>
      <c r="KPT141" s="3"/>
      <c r="KPU141" s="3"/>
      <c r="KPV141" s="3"/>
      <c r="KPW141" s="3"/>
      <c r="KPX141" s="3"/>
      <c r="KPY141" s="3"/>
      <c r="KPZ141" s="3"/>
      <c r="KQA141" s="3"/>
      <c r="KQB141" s="3"/>
      <c r="KQC141" s="3"/>
      <c r="KQD141" s="3"/>
      <c r="KQE141" s="3"/>
      <c r="KQF141" s="3"/>
      <c r="KQG141" s="3"/>
      <c r="KQH141" s="3"/>
      <c r="KQI141" s="3"/>
      <c r="KQJ141" s="3"/>
      <c r="KQK141" s="3"/>
      <c r="KQL141" s="3"/>
      <c r="KQM141" s="3"/>
      <c r="KQN141" s="3"/>
      <c r="KQO141" s="3"/>
      <c r="KQP141" s="3"/>
      <c r="KQQ141" s="3"/>
      <c r="KQR141" s="3"/>
      <c r="KQS141" s="3"/>
      <c r="KQT141" s="3"/>
      <c r="KQU141" s="3"/>
      <c r="KQV141" s="3"/>
      <c r="KQW141" s="3"/>
      <c r="KQX141" s="3"/>
      <c r="KQY141" s="3"/>
      <c r="KQZ141" s="3"/>
      <c r="KRA141" s="3"/>
      <c r="KRB141" s="3"/>
      <c r="KRC141" s="3"/>
      <c r="KRD141" s="3"/>
      <c r="KRE141" s="3"/>
      <c r="KRF141" s="3"/>
      <c r="KRG141" s="3"/>
      <c r="KRH141" s="3"/>
      <c r="KRI141" s="3"/>
      <c r="KRJ141" s="3"/>
      <c r="KRK141" s="3"/>
      <c r="KRL141" s="3"/>
      <c r="KRM141" s="3"/>
      <c r="KRN141" s="3"/>
      <c r="KRO141" s="3"/>
      <c r="KRP141" s="3"/>
      <c r="KRQ141" s="3"/>
      <c r="KRR141" s="3"/>
      <c r="KRS141" s="3"/>
      <c r="KRT141" s="3"/>
      <c r="KRU141" s="3"/>
      <c r="KRV141" s="3"/>
      <c r="KRW141" s="3"/>
      <c r="KRX141" s="3"/>
      <c r="KRY141" s="3"/>
      <c r="KRZ141" s="3"/>
      <c r="KSA141" s="3"/>
      <c r="KSB141" s="3"/>
      <c r="KSC141" s="3"/>
      <c r="KSD141" s="3"/>
      <c r="KSE141" s="3"/>
      <c r="KSF141" s="3"/>
      <c r="KSG141" s="3"/>
      <c r="KSH141" s="3"/>
      <c r="KSI141" s="3"/>
      <c r="KSJ141" s="3"/>
      <c r="KSK141" s="3"/>
      <c r="KSL141" s="3"/>
      <c r="KSM141" s="3"/>
      <c r="KSN141" s="3"/>
      <c r="KSO141" s="3"/>
      <c r="KSP141" s="3"/>
      <c r="KSQ141" s="3"/>
      <c r="KSR141" s="3"/>
      <c r="KSS141" s="3"/>
      <c r="KST141" s="3"/>
      <c r="KSU141" s="3"/>
      <c r="KSV141" s="3"/>
      <c r="KSW141" s="3"/>
      <c r="KSX141" s="3"/>
      <c r="KSY141" s="3"/>
      <c r="KSZ141" s="3"/>
      <c r="KTA141" s="3"/>
      <c r="KTB141" s="3"/>
      <c r="KTC141" s="3"/>
      <c r="KTD141" s="3"/>
      <c r="KTE141" s="3"/>
      <c r="KTF141" s="3"/>
      <c r="KTG141" s="3"/>
      <c r="KTH141" s="3"/>
      <c r="KTI141" s="3"/>
      <c r="KTJ141" s="3"/>
      <c r="KTK141" s="3"/>
      <c r="KTL141" s="3"/>
      <c r="KTM141" s="3"/>
      <c r="KTN141" s="3"/>
      <c r="KTO141" s="3"/>
      <c r="KTP141" s="3"/>
      <c r="KTQ141" s="3"/>
      <c r="KTR141" s="3"/>
      <c r="KTS141" s="3"/>
      <c r="KTT141" s="3"/>
      <c r="KTU141" s="3"/>
      <c r="KTV141" s="3"/>
      <c r="KTW141" s="3"/>
      <c r="KTX141" s="3"/>
      <c r="KTY141" s="3"/>
      <c r="KTZ141" s="3"/>
      <c r="KUA141" s="3"/>
      <c r="KUB141" s="3"/>
      <c r="KUC141" s="3"/>
      <c r="KUD141" s="3"/>
      <c r="KUE141" s="3"/>
      <c r="KUF141" s="3"/>
      <c r="KUG141" s="3"/>
      <c r="KUH141" s="3"/>
      <c r="KUI141" s="3"/>
      <c r="KUJ141" s="3"/>
      <c r="KUK141" s="3"/>
      <c r="KUL141" s="3"/>
      <c r="KUM141" s="3"/>
      <c r="KUN141" s="3"/>
      <c r="KUO141" s="3"/>
      <c r="KUP141" s="3"/>
      <c r="KUQ141" s="3"/>
      <c r="KUR141" s="3"/>
      <c r="KUS141" s="3"/>
      <c r="KUT141" s="3"/>
      <c r="KUU141" s="3"/>
      <c r="KUV141" s="3"/>
      <c r="KUW141" s="3"/>
      <c r="KUX141" s="3"/>
      <c r="KUY141" s="3"/>
      <c r="KUZ141" s="3"/>
      <c r="KVA141" s="3"/>
      <c r="KVB141" s="3"/>
      <c r="KVC141" s="3"/>
      <c r="KVD141" s="3"/>
      <c r="KVE141" s="3"/>
      <c r="KVF141" s="3"/>
      <c r="KVG141" s="3"/>
      <c r="KVH141" s="3"/>
      <c r="KVI141" s="3"/>
      <c r="KVJ141" s="3"/>
      <c r="KVK141" s="3"/>
      <c r="KVL141" s="3"/>
      <c r="KVM141" s="3"/>
      <c r="KVN141" s="3"/>
      <c r="KVO141" s="3"/>
      <c r="KVP141" s="3"/>
      <c r="KVQ141" s="3"/>
      <c r="KVR141" s="3"/>
      <c r="KVS141" s="3"/>
      <c r="KVT141" s="3"/>
      <c r="KVU141" s="3"/>
      <c r="KVV141" s="3"/>
      <c r="KVW141" s="3"/>
      <c r="KVX141" s="3"/>
      <c r="KVY141" s="3"/>
      <c r="KVZ141" s="3"/>
      <c r="KWA141" s="3"/>
      <c r="KWB141" s="3"/>
      <c r="KWC141" s="3"/>
      <c r="KWD141" s="3"/>
      <c r="KWE141" s="3"/>
      <c r="KWF141" s="3"/>
      <c r="KWG141" s="3"/>
      <c r="KWH141" s="3"/>
      <c r="KWI141" s="3"/>
      <c r="KWJ141" s="3"/>
      <c r="KWK141" s="3"/>
      <c r="KWL141" s="3"/>
      <c r="KWM141" s="3"/>
      <c r="KWN141" s="3"/>
      <c r="KWO141" s="3"/>
      <c r="KWP141" s="3"/>
      <c r="KWQ141" s="3"/>
      <c r="KWR141" s="3"/>
      <c r="KWS141" s="3"/>
      <c r="KWT141" s="3"/>
      <c r="KWU141" s="3"/>
      <c r="KWV141" s="3"/>
      <c r="KWW141" s="3"/>
      <c r="KWX141" s="3"/>
      <c r="KWY141" s="3"/>
      <c r="KWZ141" s="3"/>
      <c r="KXA141" s="3"/>
      <c r="KXB141" s="3"/>
      <c r="KXC141" s="3"/>
      <c r="KXD141" s="3"/>
      <c r="KXE141" s="3"/>
      <c r="KXF141" s="3"/>
      <c r="KXG141" s="3"/>
      <c r="KXH141" s="3"/>
      <c r="KXI141" s="3"/>
      <c r="KXJ141" s="3"/>
      <c r="KXK141" s="3"/>
      <c r="KXL141" s="3"/>
      <c r="KXM141" s="3"/>
      <c r="KXN141" s="3"/>
      <c r="KXO141" s="3"/>
      <c r="KXP141" s="3"/>
      <c r="KXQ141" s="3"/>
      <c r="KXR141" s="3"/>
      <c r="KXS141" s="3"/>
      <c r="KXT141" s="3"/>
      <c r="KXU141" s="3"/>
      <c r="KXV141" s="3"/>
      <c r="KXW141" s="3"/>
      <c r="KXX141" s="3"/>
      <c r="KXY141" s="3"/>
      <c r="KXZ141" s="3"/>
      <c r="KYA141" s="3"/>
      <c r="KYB141" s="3"/>
      <c r="KYC141" s="3"/>
      <c r="KYD141" s="3"/>
      <c r="KYE141" s="3"/>
      <c r="KYF141" s="3"/>
      <c r="KYG141" s="3"/>
      <c r="KYH141" s="3"/>
      <c r="KYI141" s="3"/>
      <c r="KYJ141" s="3"/>
      <c r="KYK141" s="3"/>
      <c r="KYL141" s="3"/>
      <c r="KYM141" s="3"/>
      <c r="KYN141" s="3"/>
      <c r="KYO141" s="3"/>
      <c r="KYP141" s="3"/>
      <c r="KYQ141" s="3"/>
      <c r="KYR141" s="3"/>
      <c r="KYS141" s="3"/>
      <c r="KYT141" s="3"/>
      <c r="KYU141" s="3"/>
      <c r="KYV141" s="3"/>
      <c r="KYW141" s="3"/>
      <c r="KYX141" s="3"/>
      <c r="KYY141" s="3"/>
      <c r="KYZ141" s="3"/>
      <c r="KZA141" s="3"/>
      <c r="KZB141" s="3"/>
      <c r="KZC141" s="3"/>
      <c r="KZD141" s="3"/>
      <c r="KZE141" s="3"/>
      <c r="KZF141" s="3"/>
      <c r="KZG141" s="3"/>
      <c r="KZH141" s="3"/>
      <c r="KZI141" s="3"/>
      <c r="KZJ141" s="3"/>
      <c r="KZK141" s="3"/>
      <c r="KZL141" s="3"/>
      <c r="KZM141" s="3"/>
      <c r="KZN141" s="3"/>
      <c r="KZO141" s="3"/>
      <c r="KZP141" s="3"/>
      <c r="KZQ141" s="3"/>
      <c r="KZR141" s="3"/>
      <c r="KZS141" s="3"/>
      <c r="KZT141" s="3"/>
      <c r="KZU141" s="3"/>
      <c r="KZV141" s="3"/>
      <c r="KZW141" s="3"/>
      <c r="KZX141" s="3"/>
      <c r="KZY141" s="3"/>
      <c r="KZZ141" s="3"/>
      <c r="LAA141" s="3"/>
      <c r="LAB141" s="3"/>
      <c r="LAC141" s="3"/>
      <c r="LAD141" s="3"/>
      <c r="LAE141" s="3"/>
      <c r="LAF141" s="3"/>
      <c r="LAG141" s="3"/>
      <c r="LAH141" s="3"/>
      <c r="LAI141" s="3"/>
      <c r="LAJ141" s="3"/>
      <c r="LAK141" s="3"/>
      <c r="LAL141" s="3"/>
      <c r="LAM141" s="3"/>
      <c r="LAN141" s="3"/>
      <c r="LAO141" s="3"/>
      <c r="LAP141" s="3"/>
      <c r="LAQ141" s="3"/>
      <c r="LAR141" s="3"/>
      <c r="LAS141" s="3"/>
      <c r="LAT141" s="3"/>
      <c r="LAU141" s="3"/>
      <c r="LAV141" s="3"/>
      <c r="LAW141" s="3"/>
      <c r="LAX141" s="3"/>
      <c r="LAY141" s="3"/>
      <c r="LAZ141" s="3"/>
      <c r="LBA141" s="3"/>
      <c r="LBB141" s="3"/>
      <c r="LBC141" s="3"/>
      <c r="LBD141" s="3"/>
      <c r="LBE141" s="3"/>
      <c r="LBF141" s="3"/>
      <c r="LBG141" s="3"/>
      <c r="LBH141" s="3"/>
      <c r="LBI141" s="3"/>
      <c r="LBJ141" s="3"/>
      <c r="LBK141" s="3"/>
      <c r="LBL141" s="3"/>
      <c r="LBM141" s="3"/>
      <c r="LBN141" s="3"/>
      <c r="LBO141" s="3"/>
      <c r="LBP141" s="3"/>
      <c r="LBQ141" s="3"/>
      <c r="LBR141" s="3"/>
      <c r="LBS141" s="3"/>
      <c r="LBT141" s="3"/>
      <c r="LBU141" s="3"/>
      <c r="LBV141" s="3"/>
      <c r="LBW141" s="3"/>
      <c r="LBX141" s="3"/>
      <c r="LBY141" s="3"/>
      <c r="LBZ141" s="3"/>
      <c r="LCA141" s="3"/>
      <c r="LCB141" s="3"/>
      <c r="LCC141" s="3"/>
      <c r="LCD141" s="3"/>
      <c r="LCE141" s="3"/>
      <c r="LCF141" s="3"/>
      <c r="LCG141" s="3"/>
      <c r="LCH141" s="3"/>
      <c r="LCI141" s="3"/>
      <c r="LCJ141" s="3"/>
      <c r="LCK141" s="3"/>
      <c r="LCL141" s="3"/>
      <c r="LCM141" s="3"/>
      <c r="LCN141" s="3"/>
      <c r="LCO141" s="3"/>
      <c r="LCP141" s="3"/>
      <c r="LCQ141" s="3"/>
      <c r="LCR141" s="3"/>
      <c r="LCS141" s="3"/>
      <c r="LCT141" s="3"/>
      <c r="LCU141" s="3"/>
      <c r="LCV141" s="3"/>
      <c r="LCW141" s="3"/>
      <c r="LCX141" s="3"/>
      <c r="LCY141" s="3"/>
      <c r="LCZ141" s="3"/>
      <c r="LDA141" s="3"/>
      <c r="LDB141" s="3"/>
      <c r="LDC141" s="3"/>
      <c r="LDD141" s="3"/>
      <c r="LDE141" s="3"/>
      <c r="LDF141" s="3"/>
      <c r="LDG141" s="3"/>
      <c r="LDH141" s="3"/>
      <c r="LDI141" s="3"/>
      <c r="LDJ141" s="3"/>
      <c r="LDK141" s="3"/>
      <c r="LDL141" s="3"/>
      <c r="LDM141" s="3"/>
      <c r="LDN141" s="3"/>
      <c r="LDO141" s="3"/>
      <c r="LDP141" s="3"/>
      <c r="LDQ141" s="3"/>
      <c r="LDR141" s="3"/>
      <c r="LDS141" s="3"/>
      <c r="LDT141" s="3"/>
      <c r="LDU141" s="3"/>
      <c r="LDV141" s="3"/>
      <c r="LDW141" s="3"/>
      <c r="LDX141" s="3"/>
      <c r="LDY141" s="3"/>
      <c r="LDZ141" s="3"/>
      <c r="LEA141" s="3"/>
      <c r="LEB141" s="3"/>
      <c r="LEC141" s="3"/>
      <c r="LED141" s="3"/>
      <c r="LEE141" s="3"/>
      <c r="LEF141" s="3"/>
      <c r="LEG141" s="3"/>
      <c r="LEH141" s="3"/>
      <c r="LEI141" s="3"/>
      <c r="LEJ141" s="3"/>
      <c r="LEK141" s="3"/>
      <c r="LEL141" s="3"/>
      <c r="LEM141" s="3"/>
      <c r="LEN141" s="3"/>
      <c r="LEO141" s="3"/>
      <c r="LEP141" s="3"/>
      <c r="LEQ141" s="3"/>
      <c r="LER141" s="3"/>
      <c r="LES141" s="3"/>
      <c r="LET141" s="3"/>
      <c r="LEU141" s="3"/>
      <c r="LEV141" s="3"/>
      <c r="LEW141" s="3"/>
      <c r="LEX141" s="3"/>
      <c r="LEY141" s="3"/>
      <c r="LEZ141" s="3"/>
      <c r="LFA141" s="3"/>
      <c r="LFB141" s="3"/>
      <c r="LFC141" s="3"/>
      <c r="LFD141" s="3"/>
      <c r="LFE141" s="3"/>
      <c r="LFF141" s="3"/>
      <c r="LFG141" s="3"/>
      <c r="LFH141" s="3"/>
      <c r="LFI141" s="3"/>
      <c r="LFJ141" s="3"/>
      <c r="LFK141" s="3"/>
      <c r="LFL141" s="3"/>
      <c r="LFM141" s="3"/>
      <c r="LFN141" s="3"/>
      <c r="LFO141" s="3"/>
      <c r="LFP141" s="3"/>
      <c r="LFQ141" s="3"/>
      <c r="LFR141" s="3"/>
      <c r="LFS141" s="3"/>
      <c r="LFT141" s="3"/>
      <c r="LFU141" s="3"/>
      <c r="LFV141" s="3"/>
      <c r="LFW141" s="3"/>
      <c r="LFX141" s="3"/>
      <c r="LFY141" s="3"/>
      <c r="LFZ141" s="3"/>
      <c r="LGA141" s="3"/>
      <c r="LGB141" s="3"/>
      <c r="LGC141" s="3"/>
      <c r="LGD141" s="3"/>
      <c r="LGE141" s="3"/>
      <c r="LGF141" s="3"/>
      <c r="LGG141" s="3"/>
      <c r="LGH141" s="3"/>
      <c r="LGI141" s="3"/>
      <c r="LGJ141" s="3"/>
      <c r="LGK141" s="3"/>
      <c r="LGL141" s="3"/>
      <c r="LGM141" s="3"/>
      <c r="LGN141" s="3"/>
      <c r="LGO141" s="3"/>
      <c r="LGP141" s="3"/>
      <c r="LGQ141" s="3"/>
      <c r="LGR141" s="3"/>
      <c r="LGS141" s="3"/>
      <c r="LGT141" s="3"/>
      <c r="LGU141" s="3"/>
      <c r="LGV141" s="3"/>
      <c r="LGW141" s="3"/>
      <c r="LGX141" s="3"/>
      <c r="LGY141" s="3"/>
      <c r="LGZ141" s="3"/>
      <c r="LHA141" s="3"/>
      <c r="LHB141" s="3"/>
      <c r="LHC141" s="3"/>
      <c r="LHD141" s="3"/>
      <c r="LHE141" s="3"/>
      <c r="LHF141" s="3"/>
      <c r="LHG141" s="3"/>
      <c r="LHH141" s="3"/>
      <c r="LHI141" s="3"/>
      <c r="LHJ141" s="3"/>
      <c r="LHK141" s="3"/>
      <c r="LHL141" s="3"/>
      <c r="LHM141" s="3"/>
      <c r="LHN141" s="3"/>
      <c r="LHO141" s="3"/>
      <c r="LHP141" s="3"/>
      <c r="LHQ141" s="3"/>
      <c r="LHR141" s="3"/>
      <c r="LHS141" s="3"/>
      <c r="LHT141" s="3"/>
      <c r="LHU141" s="3"/>
      <c r="LHV141" s="3"/>
      <c r="LHW141" s="3"/>
      <c r="LHX141" s="3"/>
      <c r="LHY141" s="3"/>
      <c r="LHZ141" s="3"/>
      <c r="LIA141" s="3"/>
      <c r="LIB141" s="3"/>
      <c r="LIC141" s="3"/>
      <c r="LID141" s="3"/>
      <c r="LIE141" s="3"/>
      <c r="LIF141" s="3"/>
      <c r="LIG141" s="3"/>
      <c r="LIH141" s="3"/>
      <c r="LII141" s="3"/>
      <c r="LIJ141" s="3"/>
      <c r="LIK141" s="3"/>
      <c r="LIL141" s="3"/>
      <c r="LIM141" s="3"/>
      <c r="LIN141" s="3"/>
      <c r="LIO141" s="3"/>
      <c r="LIP141" s="3"/>
      <c r="LIQ141" s="3"/>
      <c r="LIR141" s="3"/>
      <c r="LIS141" s="3"/>
      <c r="LIT141" s="3"/>
      <c r="LIU141" s="3"/>
      <c r="LIV141" s="3"/>
      <c r="LIW141" s="3"/>
      <c r="LIX141" s="3"/>
      <c r="LIY141" s="3"/>
      <c r="LIZ141" s="3"/>
      <c r="LJA141" s="3"/>
      <c r="LJB141" s="3"/>
      <c r="LJC141" s="3"/>
      <c r="LJD141" s="3"/>
      <c r="LJE141" s="3"/>
      <c r="LJF141" s="3"/>
      <c r="LJG141" s="3"/>
      <c r="LJH141" s="3"/>
      <c r="LJI141" s="3"/>
      <c r="LJJ141" s="3"/>
      <c r="LJK141" s="3"/>
      <c r="LJL141" s="3"/>
      <c r="LJM141" s="3"/>
      <c r="LJN141" s="3"/>
      <c r="LJO141" s="3"/>
      <c r="LJP141" s="3"/>
      <c r="LJQ141" s="3"/>
      <c r="LJR141" s="3"/>
      <c r="LJS141" s="3"/>
      <c r="LJT141" s="3"/>
      <c r="LJU141" s="3"/>
      <c r="LJV141" s="3"/>
      <c r="LJW141" s="3"/>
      <c r="LJX141" s="3"/>
      <c r="LJY141" s="3"/>
      <c r="LJZ141" s="3"/>
      <c r="LKA141" s="3"/>
      <c r="LKB141" s="3"/>
      <c r="LKC141" s="3"/>
      <c r="LKD141" s="3"/>
      <c r="LKE141" s="3"/>
      <c r="LKF141" s="3"/>
      <c r="LKG141" s="3"/>
      <c r="LKH141" s="3"/>
      <c r="LKI141" s="3"/>
      <c r="LKJ141" s="3"/>
      <c r="LKK141" s="3"/>
      <c r="LKL141" s="3"/>
      <c r="LKM141" s="3"/>
      <c r="LKN141" s="3"/>
      <c r="LKO141" s="3"/>
      <c r="LKP141" s="3"/>
      <c r="LKQ141" s="3"/>
      <c r="LKR141" s="3"/>
      <c r="LKS141" s="3"/>
      <c r="LKT141" s="3"/>
      <c r="LKU141" s="3"/>
      <c r="LKV141" s="3"/>
      <c r="LKW141" s="3"/>
      <c r="LKX141" s="3"/>
      <c r="LKY141" s="3"/>
      <c r="LKZ141" s="3"/>
      <c r="LLA141" s="3"/>
      <c r="LLB141" s="3"/>
      <c r="LLC141" s="3"/>
      <c r="LLD141" s="3"/>
      <c r="LLE141" s="3"/>
      <c r="LLF141" s="3"/>
      <c r="LLG141" s="3"/>
      <c r="LLH141" s="3"/>
      <c r="LLI141" s="3"/>
      <c r="LLJ141" s="3"/>
      <c r="LLK141" s="3"/>
      <c r="LLL141" s="3"/>
      <c r="LLM141" s="3"/>
      <c r="LLN141" s="3"/>
      <c r="LLO141" s="3"/>
      <c r="LLP141" s="3"/>
      <c r="LLQ141" s="3"/>
      <c r="LLR141" s="3"/>
      <c r="LLS141" s="3"/>
      <c r="LLT141" s="3"/>
      <c r="LLU141" s="3"/>
      <c r="LLV141" s="3"/>
      <c r="LLW141" s="3"/>
      <c r="LLX141" s="3"/>
      <c r="LLY141" s="3"/>
      <c r="LLZ141" s="3"/>
      <c r="LMA141" s="3"/>
      <c r="LMB141" s="3"/>
      <c r="LMC141" s="3"/>
      <c r="LMD141" s="3"/>
      <c r="LME141" s="3"/>
      <c r="LMF141" s="3"/>
      <c r="LMG141" s="3"/>
      <c r="LMH141" s="3"/>
      <c r="LMI141" s="3"/>
      <c r="LMJ141" s="3"/>
      <c r="LMK141" s="3"/>
      <c r="LML141" s="3"/>
      <c r="LMM141" s="3"/>
      <c r="LMN141" s="3"/>
      <c r="LMO141" s="3"/>
      <c r="LMP141" s="3"/>
      <c r="LMQ141" s="3"/>
      <c r="LMR141" s="3"/>
      <c r="LMS141" s="3"/>
      <c r="LMT141" s="3"/>
      <c r="LMU141" s="3"/>
      <c r="LMV141" s="3"/>
      <c r="LMW141" s="3"/>
      <c r="LMX141" s="3"/>
      <c r="LMY141" s="3"/>
      <c r="LMZ141" s="3"/>
      <c r="LNA141" s="3"/>
      <c r="LNB141" s="3"/>
      <c r="LNC141" s="3"/>
      <c r="LND141" s="3"/>
      <c r="LNE141" s="3"/>
      <c r="LNF141" s="3"/>
      <c r="LNG141" s="3"/>
      <c r="LNH141" s="3"/>
      <c r="LNI141" s="3"/>
      <c r="LNJ141" s="3"/>
      <c r="LNK141" s="3"/>
      <c r="LNL141" s="3"/>
      <c r="LNM141" s="3"/>
      <c r="LNN141" s="3"/>
      <c r="LNO141" s="3"/>
      <c r="LNP141" s="3"/>
      <c r="LNQ141" s="3"/>
      <c r="LNR141" s="3"/>
      <c r="LNS141" s="3"/>
      <c r="LNT141" s="3"/>
      <c r="LNU141" s="3"/>
      <c r="LNV141" s="3"/>
      <c r="LNW141" s="3"/>
      <c r="LNX141" s="3"/>
      <c r="LNY141" s="3"/>
      <c r="LNZ141" s="3"/>
      <c r="LOA141" s="3"/>
      <c r="LOB141" s="3"/>
      <c r="LOC141" s="3"/>
      <c r="LOD141" s="3"/>
      <c r="LOE141" s="3"/>
      <c r="LOF141" s="3"/>
      <c r="LOG141" s="3"/>
      <c r="LOH141" s="3"/>
      <c r="LOI141" s="3"/>
      <c r="LOJ141" s="3"/>
      <c r="LOK141" s="3"/>
      <c r="LOL141" s="3"/>
      <c r="LOM141" s="3"/>
      <c r="LON141" s="3"/>
      <c r="LOO141" s="3"/>
      <c r="LOP141" s="3"/>
      <c r="LOQ141" s="3"/>
      <c r="LOR141" s="3"/>
      <c r="LOS141" s="3"/>
      <c r="LOT141" s="3"/>
      <c r="LOU141" s="3"/>
      <c r="LOV141" s="3"/>
      <c r="LOW141" s="3"/>
      <c r="LOX141" s="3"/>
      <c r="LOY141" s="3"/>
      <c r="LOZ141" s="3"/>
      <c r="LPA141" s="3"/>
      <c r="LPB141" s="3"/>
      <c r="LPC141" s="3"/>
      <c r="LPD141" s="3"/>
      <c r="LPE141" s="3"/>
      <c r="LPF141" s="3"/>
      <c r="LPG141" s="3"/>
      <c r="LPH141" s="3"/>
      <c r="LPI141" s="3"/>
      <c r="LPJ141" s="3"/>
      <c r="LPK141" s="3"/>
      <c r="LPL141" s="3"/>
      <c r="LPM141" s="3"/>
      <c r="LPN141" s="3"/>
      <c r="LPO141" s="3"/>
      <c r="LPP141" s="3"/>
      <c r="LPQ141" s="3"/>
      <c r="LPR141" s="3"/>
      <c r="LPS141" s="3"/>
      <c r="LPT141" s="3"/>
      <c r="LPU141" s="3"/>
      <c r="LPV141" s="3"/>
      <c r="LPW141" s="3"/>
      <c r="LPX141" s="3"/>
      <c r="LPY141" s="3"/>
      <c r="LPZ141" s="3"/>
      <c r="LQA141" s="3"/>
      <c r="LQB141" s="3"/>
      <c r="LQC141" s="3"/>
      <c r="LQD141" s="3"/>
      <c r="LQE141" s="3"/>
      <c r="LQF141" s="3"/>
      <c r="LQG141" s="3"/>
      <c r="LQH141" s="3"/>
      <c r="LQI141" s="3"/>
      <c r="LQJ141" s="3"/>
      <c r="LQK141" s="3"/>
      <c r="LQL141" s="3"/>
      <c r="LQM141" s="3"/>
      <c r="LQN141" s="3"/>
      <c r="LQO141" s="3"/>
      <c r="LQP141" s="3"/>
      <c r="LQQ141" s="3"/>
      <c r="LQR141" s="3"/>
      <c r="LQS141" s="3"/>
      <c r="LQT141" s="3"/>
      <c r="LQU141" s="3"/>
      <c r="LQV141" s="3"/>
      <c r="LQW141" s="3"/>
      <c r="LQX141" s="3"/>
      <c r="LQY141" s="3"/>
      <c r="LQZ141" s="3"/>
      <c r="LRA141" s="3"/>
      <c r="LRB141" s="3"/>
      <c r="LRC141" s="3"/>
      <c r="LRD141" s="3"/>
      <c r="LRE141" s="3"/>
      <c r="LRF141" s="3"/>
      <c r="LRG141" s="3"/>
      <c r="LRH141" s="3"/>
      <c r="LRI141" s="3"/>
      <c r="LRJ141" s="3"/>
      <c r="LRK141" s="3"/>
      <c r="LRL141" s="3"/>
      <c r="LRM141" s="3"/>
      <c r="LRN141" s="3"/>
      <c r="LRO141" s="3"/>
      <c r="LRP141" s="3"/>
      <c r="LRQ141" s="3"/>
      <c r="LRR141" s="3"/>
      <c r="LRS141" s="3"/>
      <c r="LRT141" s="3"/>
      <c r="LRU141" s="3"/>
      <c r="LRV141" s="3"/>
      <c r="LRW141" s="3"/>
      <c r="LRX141" s="3"/>
      <c r="LRY141" s="3"/>
      <c r="LRZ141" s="3"/>
      <c r="LSA141" s="3"/>
      <c r="LSB141" s="3"/>
      <c r="LSC141" s="3"/>
      <c r="LSD141" s="3"/>
      <c r="LSE141" s="3"/>
      <c r="LSF141" s="3"/>
      <c r="LSG141" s="3"/>
      <c r="LSH141" s="3"/>
      <c r="LSI141" s="3"/>
      <c r="LSJ141" s="3"/>
      <c r="LSK141" s="3"/>
      <c r="LSL141" s="3"/>
      <c r="LSM141" s="3"/>
      <c r="LSN141" s="3"/>
      <c r="LSO141" s="3"/>
      <c r="LSP141" s="3"/>
      <c r="LSQ141" s="3"/>
      <c r="LSR141" s="3"/>
      <c r="LSS141" s="3"/>
      <c r="LST141" s="3"/>
      <c r="LSU141" s="3"/>
      <c r="LSV141" s="3"/>
      <c r="LSW141" s="3"/>
      <c r="LSX141" s="3"/>
      <c r="LSY141" s="3"/>
      <c r="LSZ141" s="3"/>
      <c r="LTA141" s="3"/>
      <c r="LTB141" s="3"/>
      <c r="LTC141" s="3"/>
      <c r="LTD141" s="3"/>
      <c r="LTE141" s="3"/>
      <c r="LTF141" s="3"/>
      <c r="LTG141" s="3"/>
      <c r="LTH141" s="3"/>
      <c r="LTI141" s="3"/>
      <c r="LTJ141" s="3"/>
      <c r="LTK141" s="3"/>
      <c r="LTL141" s="3"/>
      <c r="LTM141" s="3"/>
      <c r="LTN141" s="3"/>
      <c r="LTO141" s="3"/>
      <c r="LTP141" s="3"/>
      <c r="LTQ141" s="3"/>
      <c r="LTR141" s="3"/>
      <c r="LTS141" s="3"/>
      <c r="LTT141" s="3"/>
      <c r="LTU141" s="3"/>
      <c r="LTV141" s="3"/>
      <c r="LTW141" s="3"/>
      <c r="LTX141" s="3"/>
      <c r="LTY141" s="3"/>
      <c r="LTZ141" s="3"/>
      <c r="LUA141" s="3"/>
      <c r="LUB141" s="3"/>
      <c r="LUC141" s="3"/>
      <c r="LUD141" s="3"/>
      <c r="LUE141" s="3"/>
      <c r="LUF141" s="3"/>
      <c r="LUG141" s="3"/>
      <c r="LUH141" s="3"/>
      <c r="LUI141" s="3"/>
      <c r="LUJ141" s="3"/>
      <c r="LUK141" s="3"/>
      <c r="LUL141" s="3"/>
      <c r="LUM141" s="3"/>
      <c r="LUN141" s="3"/>
      <c r="LUO141" s="3"/>
      <c r="LUP141" s="3"/>
      <c r="LUQ141" s="3"/>
      <c r="LUR141" s="3"/>
      <c r="LUS141" s="3"/>
      <c r="LUT141" s="3"/>
      <c r="LUU141" s="3"/>
      <c r="LUV141" s="3"/>
      <c r="LUW141" s="3"/>
      <c r="LUX141" s="3"/>
      <c r="LUY141" s="3"/>
      <c r="LUZ141" s="3"/>
      <c r="LVA141" s="3"/>
      <c r="LVB141" s="3"/>
      <c r="LVC141" s="3"/>
      <c r="LVD141" s="3"/>
      <c r="LVE141" s="3"/>
      <c r="LVF141" s="3"/>
      <c r="LVG141" s="3"/>
      <c r="LVH141" s="3"/>
      <c r="LVI141" s="3"/>
      <c r="LVJ141" s="3"/>
      <c r="LVK141" s="3"/>
      <c r="LVL141" s="3"/>
      <c r="LVM141" s="3"/>
      <c r="LVN141" s="3"/>
      <c r="LVO141" s="3"/>
      <c r="LVP141" s="3"/>
      <c r="LVQ141" s="3"/>
      <c r="LVR141" s="3"/>
      <c r="LVS141" s="3"/>
      <c r="LVT141" s="3"/>
      <c r="LVU141" s="3"/>
      <c r="LVV141" s="3"/>
      <c r="LVW141" s="3"/>
      <c r="LVX141" s="3"/>
      <c r="LVY141" s="3"/>
      <c r="LVZ141" s="3"/>
      <c r="LWA141" s="3"/>
      <c r="LWB141" s="3"/>
      <c r="LWC141" s="3"/>
      <c r="LWD141" s="3"/>
      <c r="LWE141" s="3"/>
      <c r="LWF141" s="3"/>
      <c r="LWG141" s="3"/>
      <c r="LWH141" s="3"/>
      <c r="LWI141" s="3"/>
      <c r="LWJ141" s="3"/>
      <c r="LWK141" s="3"/>
      <c r="LWL141" s="3"/>
      <c r="LWM141" s="3"/>
      <c r="LWN141" s="3"/>
      <c r="LWO141" s="3"/>
      <c r="LWP141" s="3"/>
      <c r="LWQ141" s="3"/>
      <c r="LWR141" s="3"/>
      <c r="LWS141" s="3"/>
      <c r="LWT141" s="3"/>
      <c r="LWU141" s="3"/>
      <c r="LWV141" s="3"/>
      <c r="LWW141" s="3"/>
      <c r="LWX141" s="3"/>
      <c r="LWY141" s="3"/>
      <c r="LWZ141" s="3"/>
      <c r="LXA141" s="3"/>
      <c r="LXB141" s="3"/>
      <c r="LXC141" s="3"/>
      <c r="LXD141" s="3"/>
      <c r="LXE141" s="3"/>
      <c r="LXF141" s="3"/>
      <c r="LXG141" s="3"/>
      <c r="LXH141" s="3"/>
      <c r="LXI141" s="3"/>
      <c r="LXJ141" s="3"/>
      <c r="LXK141" s="3"/>
      <c r="LXL141" s="3"/>
      <c r="LXM141" s="3"/>
      <c r="LXN141" s="3"/>
      <c r="LXO141" s="3"/>
      <c r="LXP141" s="3"/>
      <c r="LXQ141" s="3"/>
      <c r="LXR141" s="3"/>
      <c r="LXS141" s="3"/>
      <c r="LXT141" s="3"/>
      <c r="LXU141" s="3"/>
      <c r="LXV141" s="3"/>
      <c r="LXW141" s="3"/>
      <c r="LXX141" s="3"/>
      <c r="LXY141" s="3"/>
      <c r="LXZ141" s="3"/>
      <c r="LYA141" s="3"/>
      <c r="LYB141" s="3"/>
      <c r="LYC141" s="3"/>
      <c r="LYD141" s="3"/>
      <c r="LYE141" s="3"/>
      <c r="LYF141" s="3"/>
      <c r="LYG141" s="3"/>
      <c r="LYH141" s="3"/>
      <c r="LYI141" s="3"/>
      <c r="LYJ141" s="3"/>
      <c r="LYK141" s="3"/>
      <c r="LYL141" s="3"/>
      <c r="LYM141" s="3"/>
      <c r="LYN141" s="3"/>
      <c r="LYO141" s="3"/>
      <c r="LYP141" s="3"/>
      <c r="LYQ141" s="3"/>
      <c r="LYR141" s="3"/>
      <c r="LYS141" s="3"/>
      <c r="LYT141" s="3"/>
      <c r="LYU141" s="3"/>
      <c r="LYV141" s="3"/>
      <c r="LYW141" s="3"/>
      <c r="LYX141" s="3"/>
      <c r="LYY141" s="3"/>
      <c r="LYZ141" s="3"/>
      <c r="LZA141" s="3"/>
      <c r="LZB141" s="3"/>
      <c r="LZC141" s="3"/>
      <c r="LZD141" s="3"/>
      <c r="LZE141" s="3"/>
      <c r="LZF141" s="3"/>
      <c r="LZG141" s="3"/>
      <c r="LZH141" s="3"/>
      <c r="LZI141" s="3"/>
      <c r="LZJ141" s="3"/>
      <c r="LZK141" s="3"/>
      <c r="LZL141" s="3"/>
      <c r="LZM141" s="3"/>
      <c r="LZN141" s="3"/>
      <c r="LZO141" s="3"/>
      <c r="LZP141" s="3"/>
      <c r="LZQ141" s="3"/>
      <c r="LZR141" s="3"/>
      <c r="LZS141" s="3"/>
      <c r="LZT141" s="3"/>
      <c r="LZU141" s="3"/>
      <c r="LZV141" s="3"/>
      <c r="LZW141" s="3"/>
      <c r="LZX141" s="3"/>
      <c r="LZY141" s="3"/>
      <c r="LZZ141" s="3"/>
      <c r="MAA141" s="3"/>
      <c r="MAB141" s="3"/>
      <c r="MAC141" s="3"/>
      <c r="MAD141" s="3"/>
      <c r="MAE141" s="3"/>
      <c r="MAF141" s="3"/>
      <c r="MAG141" s="3"/>
      <c r="MAH141" s="3"/>
      <c r="MAI141" s="3"/>
      <c r="MAJ141" s="3"/>
      <c r="MAK141" s="3"/>
      <c r="MAL141" s="3"/>
      <c r="MAM141" s="3"/>
      <c r="MAN141" s="3"/>
      <c r="MAO141" s="3"/>
      <c r="MAP141" s="3"/>
      <c r="MAQ141" s="3"/>
      <c r="MAR141" s="3"/>
      <c r="MAS141" s="3"/>
      <c r="MAT141" s="3"/>
      <c r="MAU141" s="3"/>
      <c r="MAV141" s="3"/>
      <c r="MAW141" s="3"/>
      <c r="MAX141" s="3"/>
      <c r="MAY141" s="3"/>
      <c r="MAZ141" s="3"/>
      <c r="MBA141" s="3"/>
      <c r="MBB141" s="3"/>
      <c r="MBC141" s="3"/>
      <c r="MBD141" s="3"/>
      <c r="MBE141" s="3"/>
      <c r="MBF141" s="3"/>
      <c r="MBG141" s="3"/>
      <c r="MBH141" s="3"/>
      <c r="MBI141" s="3"/>
      <c r="MBJ141" s="3"/>
      <c r="MBK141" s="3"/>
      <c r="MBL141" s="3"/>
      <c r="MBM141" s="3"/>
      <c r="MBN141" s="3"/>
      <c r="MBO141" s="3"/>
      <c r="MBP141" s="3"/>
      <c r="MBQ141" s="3"/>
      <c r="MBR141" s="3"/>
      <c r="MBS141" s="3"/>
      <c r="MBT141" s="3"/>
      <c r="MBU141" s="3"/>
      <c r="MBV141" s="3"/>
      <c r="MBW141" s="3"/>
      <c r="MBX141" s="3"/>
      <c r="MBY141" s="3"/>
      <c r="MBZ141" s="3"/>
      <c r="MCA141" s="3"/>
      <c r="MCB141" s="3"/>
      <c r="MCC141" s="3"/>
      <c r="MCD141" s="3"/>
      <c r="MCE141" s="3"/>
      <c r="MCF141" s="3"/>
      <c r="MCG141" s="3"/>
      <c r="MCH141" s="3"/>
      <c r="MCI141" s="3"/>
      <c r="MCJ141" s="3"/>
      <c r="MCK141" s="3"/>
      <c r="MCL141" s="3"/>
      <c r="MCM141" s="3"/>
      <c r="MCN141" s="3"/>
      <c r="MCO141" s="3"/>
      <c r="MCP141" s="3"/>
      <c r="MCQ141" s="3"/>
      <c r="MCR141" s="3"/>
      <c r="MCS141" s="3"/>
      <c r="MCT141" s="3"/>
      <c r="MCU141" s="3"/>
      <c r="MCV141" s="3"/>
      <c r="MCW141" s="3"/>
      <c r="MCX141" s="3"/>
      <c r="MCY141" s="3"/>
      <c r="MCZ141" s="3"/>
      <c r="MDA141" s="3"/>
      <c r="MDB141" s="3"/>
      <c r="MDC141" s="3"/>
      <c r="MDD141" s="3"/>
      <c r="MDE141" s="3"/>
      <c r="MDF141" s="3"/>
      <c r="MDG141" s="3"/>
      <c r="MDH141" s="3"/>
      <c r="MDI141" s="3"/>
      <c r="MDJ141" s="3"/>
      <c r="MDK141" s="3"/>
      <c r="MDL141" s="3"/>
      <c r="MDM141" s="3"/>
      <c r="MDN141" s="3"/>
      <c r="MDO141" s="3"/>
      <c r="MDP141" s="3"/>
      <c r="MDQ141" s="3"/>
      <c r="MDR141" s="3"/>
      <c r="MDS141" s="3"/>
      <c r="MDT141" s="3"/>
      <c r="MDU141" s="3"/>
      <c r="MDV141" s="3"/>
      <c r="MDW141" s="3"/>
      <c r="MDX141" s="3"/>
      <c r="MDY141" s="3"/>
      <c r="MDZ141" s="3"/>
      <c r="MEA141" s="3"/>
      <c r="MEB141" s="3"/>
      <c r="MEC141" s="3"/>
      <c r="MED141" s="3"/>
      <c r="MEE141" s="3"/>
      <c r="MEF141" s="3"/>
      <c r="MEG141" s="3"/>
      <c r="MEH141" s="3"/>
      <c r="MEI141" s="3"/>
      <c r="MEJ141" s="3"/>
      <c r="MEK141" s="3"/>
      <c r="MEL141" s="3"/>
      <c r="MEM141" s="3"/>
      <c r="MEN141" s="3"/>
      <c r="MEO141" s="3"/>
      <c r="MEP141" s="3"/>
      <c r="MEQ141" s="3"/>
      <c r="MER141" s="3"/>
      <c r="MES141" s="3"/>
      <c r="MET141" s="3"/>
      <c r="MEU141" s="3"/>
      <c r="MEV141" s="3"/>
      <c r="MEW141" s="3"/>
      <c r="MEX141" s="3"/>
      <c r="MEY141" s="3"/>
      <c r="MEZ141" s="3"/>
      <c r="MFA141" s="3"/>
      <c r="MFB141" s="3"/>
      <c r="MFC141" s="3"/>
      <c r="MFD141" s="3"/>
      <c r="MFE141" s="3"/>
      <c r="MFF141" s="3"/>
      <c r="MFG141" s="3"/>
      <c r="MFH141" s="3"/>
      <c r="MFI141" s="3"/>
      <c r="MFJ141" s="3"/>
      <c r="MFK141" s="3"/>
      <c r="MFL141" s="3"/>
      <c r="MFM141" s="3"/>
      <c r="MFN141" s="3"/>
      <c r="MFO141" s="3"/>
      <c r="MFP141" s="3"/>
      <c r="MFQ141" s="3"/>
      <c r="MFR141" s="3"/>
      <c r="MFS141" s="3"/>
      <c r="MFT141" s="3"/>
      <c r="MFU141" s="3"/>
      <c r="MFV141" s="3"/>
      <c r="MFW141" s="3"/>
      <c r="MFX141" s="3"/>
      <c r="MFY141" s="3"/>
      <c r="MFZ141" s="3"/>
      <c r="MGA141" s="3"/>
      <c r="MGB141" s="3"/>
      <c r="MGC141" s="3"/>
      <c r="MGD141" s="3"/>
      <c r="MGE141" s="3"/>
      <c r="MGF141" s="3"/>
      <c r="MGG141" s="3"/>
      <c r="MGH141" s="3"/>
      <c r="MGI141" s="3"/>
      <c r="MGJ141" s="3"/>
      <c r="MGK141" s="3"/>
      <c r="MGL141" s="3"/>
      <c r="MGM141" s="3"/>
      <c r="MGN141" s="3"/>
      <c r="MGO141" s="3"/>
      <c r="MGP141" s="3"/>
      <c r="MGQ141" s="3"/>
      <c r="MGR141" s="3"/>
      <c r="MGS141" s="3"/>
      <c r="MGT141" s="3"/>
      <c r="MGU141" s="3"/>
      <c r="MGV141" s="3"/>
      <c r="MGW141" s="3"/>
      <c r="MGX141" s="3"/>
      <c r="MGY141" s="3"/>
      <c r="MGZ141" s="3"/>
      <c r="MHA141" s="3"/>
      <c r="MHB141" s="3"/>
      <c r="MHC141" s="3"/>
      <c r="MHD141" s="3"/>
      <c r="MHE141" s="3"/>
      <c r="MHF141" s="3"/>
      <c r="MHG141" s="3"/>
      <c r="MHH141" s="3"/>
      <c r="MHI141" s="3"/>
      <c r="MHJ141" s="3"/>
      <c r="MHK141" s="3"/>
      <c r="MHL141" s="3"/>
      <c r="MHM141" s="3"/>
      <c r="MHN141" s="3"/>
      <c r="MHO141" s="3"/>
      <c r="MHP141" s="3"/>
      <c r="MHQ141" s="3"/>
      <c r="MHR141" s="3"/>
      <c r="MHS141" s="3"/>
      <c r="MHT141" s="3"/>
      <c r="MHU141" s="3"/>
      <c r="MHV141" s="3"/>
      <c r="MHW141" s="3"/>
      <c r="MHX141" s="3"/>
      <c r="MHY141" s="3"/>
      <c r="MHZ141" s="3"/>
      <c r="MIA141" s="3"/>
      <c r="MIB141" s="3"/>
      <c r="MIC141" s="3"/>
      <c r="MID141" s="3"/>
      <c r="MIE141" s="3"/>
      <c r="MIF141" s="3"/>
      <c r="MIG141" s="3"/>
      <c r="MIH141" s="3"/>
      <c r="MII141" s="3"/>
      <c r="MIJ141" s="3"/>
      <c r="MIK141" s="3"/>
      <c r="MIL141" s="3"/>
      <c r="MIM141" s="3"/>
      <c r="MIN141" s="3"/>
      <c r="MIO141" s="3"/>
      <c r="MIP141" s="3"/>
      <c r="MIQ141" s="3"/>
      <c r="MIR141" s="3"/>
      <c r="MIS141" s="3"/>
      <c r="MIT141" s="3"/>
      <c r="MIU141" s="3"/>
      <c r="MIV141" s="3"/>
      <c r="MIW141" s="3"/>
      <c r="MIX141" s="3"/>
      <c r="MIY141" s="3"/>
      <c r="MIZ141" s="3"/>
      <c r="MJA141" s="3"/>
      <c r="MJB141" s="3"/>
      <c r="MJC141" s="3"/>
      <c r="MJD141" s="3"/>
      <c r="MJE141" s="3"/>
      <c r="MJF141" s="3"/>
      <c r="MJG141" s="3"/>
      <c r="MJH141" s="3"/>
      <c r="MJI141" s="3"/>
      <c r="MJJ141" s="3"/>
      <c r="MJK141" s="3"/>
      <c r="MJL141" s="3"/>
      <c r="MJM141" s="3"/>
      <c r="MJN141" s="3"/>
      <c r="MJO141" s="3"/>
      <c r="MJP141" s="3"/>
      <c r="MJQ141" s="3"/>
      <c r="MJR141" s="3"/>
      <c r="MJS141" s="3"/>
      <c r="MJT141" s="3"/>
      <c r="MJU141" s="3"/>
      <c r="MJV141" s="3"/>
      <c r="MJW141" s="3"/>
      <c r="MJX141" s="3"/>
      <c r="MJY141" s="3"/>
      <c r="MJZ141" s="3"/>
      <c r="MKA141" s="3"/>
      <c r="MKB141" s="3"/>
      <c r="MKC141" s="3"/>
      <c r="MKD141" s="3"/>
      <c r="MKE141" s="3"/>
      <c r="MKF141" s="3"/>
      <c r="MKG141" s="3"/>
      <c r="MKH141" s="3"/>
      <c r="MKI141" s="3"/>
      <c r="MKJ141" s="3"/>
      <c r="MKK141" s="3"/>
      <c r="MKL141" s="3"/>
      <c r="MKM141" s="3"/>
      <c r="MKN141" s="3"/>
      <c r="MKO141" s="3"/>
      <c r="MKP141" s="3"/>
      <c r="MKQ141" s="3"/>
      <c r="MKR141" s="3"/>
      <c r="MKS141" s="3"/>
      <c r="MKT141" s="3"/>
      <c r="MKU141" s="3"/>
      <c r="MKV141" s="3"/>
      <c r="MKW141" s="3"/>
      <c r="MKX141" s="3"/>
      <c r="MKY141" s="3"/>
      <c r="MKZ141" s="3"/>
      <c r="MLA141" s="3"/>
      <c r="MLB141" s="3"/>
      <c r="MLC141" s="3"/>
      <c r="MLD141" s="3"/>
      <c r="MLE141" s="3"/>
      <c r="MLF141" s="3"/>
      <c r="MLG141" s="3"/>
      <c r="MLH141" s="3"/>
      <c r="MLI141" s="3"/>
      <c r="MLJ141" s="3"/>
      <c r="MLK141" s="3"/>
      <c r="MLL141" s="3"/>
      <c r="MLM141" s="3"/>
      <c r="MLN141" s="3"/>
      <c r="MLO141" s="3"/>
      <c r="MLP141" s="3"/>
      <c r="MLQ141" s="3"/>
      <c r="MLR141" s="3"/>
      <c r="MLS141" s="3"/>
      <c r="MLT141" s="3"/>
      <c r="MLU141" s="3"/>
      <c r="MLV141" s="3"/>
      <c r="MLW141" s="3"/>
      <c r="MLX141" s="3"/>
      <c r="MLY141" s="3"/>
      <c r="MLZ141" s="3"/>
      <c r="MMA141" s="3"/>
      <c r="MMB141" s="3"/>
      <c r="MMC141" s="3"/>
      <c r="MMD141" s="3"/>
      <c r="MME141" s="3"/>
      <c r="MMF141" s="3"/>
      <c r="MMG141" s="3"/>
      <c r="MMH141" s="3"/>
      <c r="MMI141" s="3"/>
      <c r="MMJ141" s="3"/>
      <c r="MMK141" s="3"/>
      <c r="MML141" s="3"/>
      <c r="MMM141" s="3"/>
      <c r="MMN141" s="3"/>
      <c r="MMO141" s="3"/>
      <c r="MMP141" s="3"/>
      <c r="MMQ141" s="3"/>
      <c r="MMR141" s="3"/>
      <c r="MMS141" s="3"/>
      <c r="MMT141" s="3"/>
      <c r="MMU141" s="3"/>
      <c r="MMV141" s="3"/>
      <c r="MMW141" s="3"/>
      <c r="MMX141" s="3"/>
      <c r="MMY141" s="3"/>
      <c r="MMZ141" s="3"/>
      <c r="MNA141" s="3"/>
      <c r="MNB141" s="3"/>
      <c r="MNC141" s="3"/>
      <c r="MND141" s="3"/>
      <c r="MNE141" s="3"/>
      <c r="MNF141" s="3"/>
      <c r="MNG141" s="3"/>
      <c r="MNH141" s="3"/>
      <c r="MNI141" s="3"/>
      <c r="MNJ141" s="3"/>
      <c r="MNK141" s="3"/>
      <c r="MNL141" s="3"/>
      <c r="MNM141" s="3"/>
      <c r="MNN141" s="3"/>
      <c r="MNO141" s="3"/>
      <c r="MNP141" s="3"/>
      <c r="MNQ141" s="3"/>
      <c r="MNR141" s="3"/>
      <c r="MNS141" s="3"/>
      <c r="MNT141" s="3"/>
      <c r="MNU141" s="3"/>
      <c r="MNV141" s="3"/>
      <c r="MNW141" s="3"/>
      <c r="MNX141" s="3"/>
      <c r="MNY141" s="3"/>
      <c r="MNZ141" s="3"/>
      <c r="MOA141" s="3"/>
      <c r="MOB141" s="3"/>
      <c r="MOC141" s="3"/>
      <c r="MOD141" s="3"/>
      <c r="MOE141" s="3"/>
      <c r="MOF141" s="3"/>
      <c r="MOG141" s="3"/>
      <c r="MOH141" s="3"/>
      <c r="MOI141" s="3"/>
      <c r="MOJ141" s="3"/>
      <c r="MOK141" s="3"/>
      <c r="MOL141" s="3"/>
      <c r="MOM141" s="3"/>
      <c r="MON141" s="3"/>
      <c r="MOO141" s="3"/>
      <c r="MOP141" s="3"/>
      <c r="MOQ141" s="3"/>
      <c r="MOR141" s="3"/>
      <c r="MOS141" s="3"/>
      <c r="MOT141" s="3"/>
      <c r="MOU141" s="3"/>
      <c r="MOV141" s="3"/>
      <c r="MOW141" s="3"/>
      <c r="MOX141" s="3"/>
      <c r="MOY141" s="3"/>
      <c r="MOZ141" s="3"/>
      <c r="MPA141" s="3"/>
      <c r="MPB141" s="3"/>
      <c r="MPC141" s="3"/>
      <c r="MPD141" s="3"/>
      <c r="MPE141" s="3"/>
      <c r="MPF141" s="3"/>
      <c r="MPG141" s="3"/>
      <c r="MPH141" s="3"/>
      <c r="MPI141" s="3"/>
      <c r="MPJ141" s="3"/>
      <c r="MPK141" s="3"/>
      <c r="MPL141" s="3"/>
      <c r="MPM141" s="3"/>
      <c r="MPN141" s="3"/>
      <c r="MPO141" s="3"/>
      <c r="MPP141" s="3"/>
      <c r="MPQ141" s="3"/>
      <c r="MPR141" s="3"/>
      <c r="MPS141" s="3"/>
      <c r="MPT141" s="3"/>
      <c r="MPU141" s="3"/>
      <c r="MPV141" s="3"/>
      <c r="MPW141" s="3"/>
      <c r="MPX141" s="3"/>
      <c r="MPY141" s="3"/>
      <c r="MPZ141" s="3"/>
      <c r="MQA141" s="3"/>
      <c r="MQB141" s="3"/>
      <c r="MQC141" s="3"/>
      <c r="MQD141" s="3"/>
      <c r="MQE141" s="3"/>
      <c r="MQF141" s="3"/>
      <c r="MQG141" s="3"/>
      <c r="MQH141" s="3"/>
      <c r="MQI141" s="3"/>
      <c r="MQJ141" s="3"/>
      <c r="MQK141" s="3"/>
      <c r="MQL141" s="3"/>
      <c r="MQM141" s="3"/>
      <c r="MQN141" s="3"/>
      <c r="MQO141" s="3"/>
      <c r="MQP141" s="3"/>
      <c r="MQQ141" s="3"/>
      <c r="MQR141" s="3"/>
      <c r="MQS141" s="3"/>
      <c r="MQT141" s="3"/>
      <c r="MQU141" s="3"/>
      <c r="MQV141" s="3"/>
      <c r="MQW141" s="3"/>
      <c r="MQX141" s="3"/>
      <c r="MQY141" s="3"/>
      <c r="MQZ141" s="3"/>
      <c r="MRA141" s="3"/>
      <c r="MRB141" s="3"/>
      <c r="MRC141" s="3"/>
      <c r="MRD141" s="3"/>
      <c r="MRE141" s="3"/>
      <c r="MRF141" s="3"/>
      <c r="MRG141" s="3"/>
      <c r="MRH141" s="3"/>
      <c r="MRI141" s="3"/>
      <c r="MRJ141" s="3"/>
      <c r="MRK141" s="3"/>
      <c r="MRL141" s="3"/>
      <c r="MRM141" s="3"/>
      <c r="MRN141" s="3"/>
      <c r="MRO141" s="3"/>
      <c r="MRP141" s="3"/>
      <c r="MRQ141" s="3"/>
      <c r="MRR141" s="3"/>
      <c r="MRS141" s="3"/>
      <c r="MRT141" s="3"/>
      <c r="MRU141" s="3"/>
      <c r="MRV141" s="3"/>
      <c r="MRW141" s="3"/>
      <c r="MRX141" s="3"/>
      <c r="MRY141" s="3"/>
      <c r="MRZ141" s="3"/>
      <c r="MSA141" s="3"/>
      <c r="MSB141" s="3"/>
      <c r="MSC141" s="3"/>
      <c r="MSD141" s="3"/>
      <c r="MSE141" s="3"/>
      <c r="MSF141" s="3"/>
      <c r="MSG141" s="3"/>
      <c r="MSH141" s="3"/>
      <c r="MSI141" s="3"/>
      <c r="MSJ141" s="3"/>
      <c r="MSK141" s="3"/>
      <c r="MSL141" s="3"/>
      <c r="MSM141" s="3"/>
      <c r="MSN141" s="3"/>
      <c r="MSO141" s="3"/>
      <c r="MSP141" s="3"/>
      <c r="MSQ141" s="3"/>
      <c r="MSR141" s="3"/>
      <c r="MSS141" s="3"/>
      <c r="MST141" s="3"/>
      <c r="MSU141" s="3"/>
      <c r="MSV141" s="3"/>
      <c r="MSW141" s="3"/>
      <c r="MSX141" s="3"/>
      <c r="MSY141" s="3"/>
      <c r="MSZ141" s="3"/>
      <c r="MTA141" s="3"/>
      <c r="MTB141" s="3"/>
      <c r="MTC141" s="3"/>
      <c r="MTD141" s="3"/>
      <c r="MTE141" s="3"/>
      <c r="MTF141" s="3"/>
      <c r="MTG141" s="3"/>
      <c r="MTH141" s="3"/>
      <c r="MTI141" s="3"/>
      <c r="MTJ141" s="3"/>
      <c r="MTK141" s="3"/>
      <c r="MTL141" s="3"/>
      <c r="MTM141" s="3"/>
      <c r="MTN141" s="3"/>
      <c r="MTO141" s="3"/>
      <c r="MTP141" s="3"/>
      <c r="MTQ141" s="3"/>
      <c r="MTR141" s="3"/>
      <c r="MTS141" s="3"/>
      <c r="MTT141" s="3"/>
      <c r="MTU141" s="3"/>
      <c r="MTV141" s="3"/>
      <c r="MTW141" s="3"/>
      <c r="MTX141" s="3"/>
      <c r="MTY141" s="3"/>
      <c r="MTZ141" s="3"/>
      <c r="MUA141" s="3"/>
      <c r="MUB141" s="3"/>
      <c r="MUC141" s="3"/>
      <c r="MUD141" s="3"/>
      <c r="MUE141" s="3"/>
      <c r="MUF141" s="3"/>
      <c r="MUG141" s="3"/>
      <c r="MUH141" s="3"/>
      <c r="MUI141" s="3"/>
      <c r="MUJ141" s="3"/>
      <c r="MUK141" s="3"/>
      <c r="MUL141" s="3"/>
      <c r="MUM141" s="3"/>
      <c r="MUN141" s="3"/>
      <c r="MUO141" s="3"/>
      <c r="MUP141" s="3"/>
      <c r="MUQ141" s="3"/>
      <c r="MUR141" s="3"/>
      <c r="MUS141" s="3"/>
      <c r="MUT141" s="3"/>
      <c r="MUU141" s="3"/>
      <c r="MUV141" s="3"/>
      <c r="MUW141" s="3"/>
      <c r="MUX141" s="3"/>
      <c r="MUY141" s="3"/>
      <c r="MUZ141" s="3"/>
      <c r="MVA141" s="3"/>
      <c r="MVB141" s="3"/>
      <c r="MVC141" s="3"/>
      <c r="MVD141" s="3"/>
      <c r="MVE141" s="3"/>
      <c r="MVF141" s="3"/>
      <c r="MVG141" s="3"/>
      <c r="MVH141" s="3"/>
      <c r="MVI141" s="3"/>
      <c r="MVJ141" s="3"/>
      <c r="MVK141" s="3"/>
      <c r="MVL141" s="3"/>
      <c r="MVM141" s="3"/>
      <c r="MVN141" s="3"/>
      <c r="MVO141" s="3"/>
      <c r="MVP141" s="3"/>
      <c r="MVQ141" s="3"/>
      <c r="MVR141" s="3"/>
      <c r="MVS141" s="3"/>
      <c r="MVT141" s="3"/>
      <c r="MVU141" s="3"/>
      <c r="MVV141" s="3"/>
      <c r="MVW141" s="3"/>
      <c r="MVX141" s="3"/>
      <c r="MVY141" s="3"/>
      <c r="MVZ141" s="3"/>
      <c r="MWA141" s="3"/>
      <c r="MWB141" s="3"/>
      <c r="MWC141" s="3"/>
      <c r="MWD141" s="3"/>
      <c r="MWE141" s="3"/>
      <c r="MWF141" s="3"/>
      <c r="MWG141" s="3"/>
      <c r="MWH141" s="3"/>
      <c r="MWI141" s="3"/>
      <c r="MWJ141" s="3"/>
      <c r="MWK141" s="3"/>
      <c r="MWL141" s="3"/>
      <c r="MWM141" s="3"/>
      <c r="MWN141" s="3"/>
      <c r="MWO141" s="3"/>
      <c r="MWP141" s="3"/>
      <c r="MWQ141" s="3"/>
      <c r="MWR141" s="3"/>
      <c r="MWS141" s="3"/>
      <c r="MWT141" s="3"/>
      <c r="MWU141" s="3"/>
      <c r="MWV141" s="3"/>
      <c r="MWW141" s="3"/>
      <c r="MWX141" s="3"/>
      <c r="MWY141" s="3"/>
      <c r="MWZ141" s="3"/>
      <c r="MXA141" s="3"/>
      <c r="MXB141" s="3"/>
      <c r="MXC141" s="3"/>
      <c r="MXD141" s="3"/>
      <c r="MXE141" s="3"/>
      <c r="MXF141" s="3"/>
      <c r="MXG141" s="3"/>
      <c r="MXH141" s="3"/>
      <c r="MXI141" s="3"/>
      <c r="MXJ141" s="3"/>
      <c r="MXK141" s="3"/>
      <c r="MXL141" s="3"/>
      <c r="MXM141" s="3"/>
      <c r="MXN141" s="3"/>
      <c r="MXO141" s="3"/>
      <c r="MXP141" s="3"/>
      <c r="MXQ141" s="3"/>
      <c r="MXR141" s="3"/>
      <c r="MXS141" s="3"/>
      <c r="MXT141" s="3"/>
      <c r="MXU141" s="3"/>
      <c r="MXV141" s="3"/>
      <c r="MXW141" s="3"/>
      <c r="MXX141" s="3"/>
      <c r="MXY141" s="3"/>
      <c r="MXZ141" s="3"/>
      <c r="MYA141" s="3"/>
      <c r="MYB141" s="3"/>
      <c r="MYC141" s="3"/>
      <c r="MYD141" s="3"/>
      <c r="MYE141" s="3"/>
      <c r="MYF141" s="3"/>
      <c r="MYG141" s="3"/>
      <c r="MYH141" s="3"/>
      <c r="MYI141" s="3"/>
      <c r="MYJ141" s="3"/>
      <c r="MYK141" s="3"/>
      <c r="MYL141" s="3"/>
      <c r="MYM141" s="3"/>
      <c r="MYN141" s="3"/>
      <c r="MYO141" s="3"/>
      <c r="MYP141" s="3"/>
      <c r="MYQ141" s="3"/>
      <c r="MYR141" s="3"/>
      <c r="MYS141" s="3"/>
      <c r="MYT141" s="3"/>
      <c r="MYU141" s="3"/>
      <c r="MYV141" s="3"/>
      <c r="MYW141" s="3"/>
      <c r="MYX141" s="3"/>
      <c r="MYY141" s="3"/>
      <c r="MYZ141" s="3"/>
      <c r="MZA141" s="3"/>
      <c r="MZB141" s="3"/>
      <c r="MZC141" s="3"/>
      <c r="MZD141" s="3"/>
      <c r="MZE141" s="3"/>
      <c r="MZF141" s="3"/>
      <c r="MZG141" s="3"/>
      <c r="MZH141" s="3"/>
      <c r="MZI141" s="3"/>
      <c r="MZJ141" s="3"/>
      <c r="MZK141" s="3"/>
      <c r="MZL141" s="3"/>
      <c r="MZM141" s="3"/>
      <c r="MZN141" s="3"/>
      <c r="MZO141" s="3"/>
      <c r="MZP141" s="3"/>
      <c r="MZQ141" s="3"/>
      <c r="MZR141" s="3"/>
      <c r="MZS141" s="3"/>
      <c r="MZT141" s="3"/>
      <c r="MZU141" s="3"/>
      <c r="MZV141" s="3"/>
      <c r="MZW141" s="3"/>
      <c r="MZX141" s="3"/>
      <c r="MZY141" s="3"/>
      <c r="MZZ141" s="3"/>
      <c r="NAA141" s="3"/>
      <c r="NAB141" s="3"/>
      <c r="NAC141" s="3"/>
      <c r="NAD141" s="3"/>
      <c r="NAE141" s="3"/>
      <c r="NAF141" s="3"/>
      <c r="NAG141" s="3"/>
      <c r="NAH141" s="3"/>
      <c r="NAI141" s="3"/>
      <c r="NAJ141" s="3"/>
      <c r="NAK141" s="3"/>
      <c r="NAL141" s="3"/>
      <c r="NAM141" s="3"/>
      <c r="NAN141" s="3"/>
      <c r="NAO141" s="3"/>
      <c r="NAP141" s="3"/>
      <c r="NAQ141" s="3"/>
      <c r="NAR141" s="3"/>
      <c r="NAS141" s="3"/>
      <c r="NAT141" s="3"/>
      <c r="NAU141" s="3"/>
      <c r="NAV141" s="3"/>
      <c r="NAW141" s="3"/>
      <c r="NAX141" s="3"/>
      <c r="NAY141" s="3"/>
      <c r="NAZ141" s="3"/>
      <c r="NBA141" s="3"/>
      <c r="NBB141" s="3"/>
      <c r="NBC141" s="3"/>
      <c r="NBD141" s="3"/>
      <c r="NBE141" s="3"/>
      <c r="NBF141" s="3"/>
      <c r="NBG141" s="3"/>
      <c r="NBH141" s="3"/>
      <c r="NBI141" s="3"/>
      <c r="NBJ141" s="3"/>
      <c r="NBK141" s="3"/>
      <c r="NBL141" s="3"/>
      <c r="NBM141" s="3"/>
      <c r="NBN141" s="3"/>
      <c r="NBO141" s="3"/>
      <c r="NBP141" s="3"/>
      <c r="NBQ141" s="3"/>
      <c r="NBR141" s="3"/>
      <c r="NBS141" s="3"/>
      <c r="NBT141" s="3"/>
      <c r="NBU141" s="3"/>
      <c r="NBV141" s="3"/>
      <c r="NBW141" s="3"/>
      <c r="NBX141" s="3"/>
      <c r="NBY141" s="3"/>
      <c r="NBZ141" s="3"/>
      <c r="NCA141" s="3"/>
      <c r="NCB141" s="3"/>
      <c r="NCC141" s="3"/>
      <c r="NCD141" s="3"/>
      <c r="NCE141" s="3"/>
      <c r="NCF141" s="3"/>
      <c r="NCG141" s="3"/>
      <c r="NCH141" s="3"/>
      <c r="NCI141" s="3"/>
      <c r="NCJ141" s="3"/>
      <c r="NCK141" s="3"/>
      <c r="NCL141" s="3"/>
      <c r="NCM141" s="3"/>
      <c r="NCN141" s="3"/>
      <c r="NCO141" s="3"/>
      <c r="NCP141" s="3"/>
      <c r="NCQ141" s="3"/>
      <c r="NCR141" s="3"/>
      <c r="NCS141" s="3"/>
      <c r="NCT141" s="3"/>
      <c r="NCU141" s="3"/>
      <c r="NCV141" s="3"/>
      <c r="NCW141" s="3"/>
      <c r="NCX141" s="3"/>
      <c r="NCY141" s="3"/>
      <c r="NCZ141" s="3"/>
      <c r="NDA141" s="3"/>
      <c r="NDB141" s="3"/>
      <c r="NDC141" s="3"/>
      <c r="NDD141" s="3"/>
      <c r="NDE141" s="3"/>
      <c r="NDF141" s="3"/>
      <c r="NDG141" s="3"/>
      <c r="NDH141" s="3"/>
      <c r="NDI141" s="3"/>
      <c r="NDJ141" s="3"/>
      <c r="NDK141" s="3"/>
      <c r="NDL141" s="3"/>
      <c r="NDM141" s="3"/>
      <c r="NDN141" s="3"/>
      <c r="NDO141" s="3"/>
      <c r="NDP141" s="3"/>
      <c r="NDQ141" s="3"/>
      <c r="NDR141" s="3"/>
      <c r="NDS141" s="3"/>
      <c r="NDT141" s="3"/>
      <c r="NDU141" s="3"/>
      <c r="NDV141" s="3"/>
      <c r="NDW141" s="3"/>
      <c r="NDX141" s="3"/>
      <c r="NDY141" s="3"/>
      <c r="NDZ141" s="3"/>
      <c r="NEA141" s="3"/>
      <c r="NEB141" s="3"/>
      <c r="NEC141" s="3"/>
      <c r="NED141" s="3"/>
      <c r="NEE141" s="3"/>
      <c r="NEF141" s="3"/>
      <c r="NEG141" s="3"/>
      <c r="NEH141" s="3"/>
      <c r="NEI141" s="3"/>
      <c r="NEJ141" s="3"/>
      <c r="NEK141" s="3"/>
      <c r="NEL141" s="3"/>
      <c r="NEM141" s="3"/>
      <c r="NEN141" s="3"/>
      <c r="NEO141" s="3"/>
      <c r="NEP141" s="3"/>
      <c r="NEQ141" s="3"/>
      <c r="NER141" s="3"/>
      <c r="NES141" s="3"/>
      <c r="NET141" s="3"/>
      <c r="NEU141" s="3"/>
      <c r="NEV141" s="3"/>
      <c r="NEW141" s="3"/>
      <c r="NEX141" s="3"/>
      <c r="NEY141" s="3"/>
      <c r="NEZ141" s="3"/>
      <c r="NFA141" s="3"/>
      <c r="NFB141" s="3"/>
      <c r="NFC141" s="3"/>
      <c r="NFD141" s="3"/>
      <c r="NFE141" s="3"/>
      <c r="NFF141" s="3"/>
      <c r="NFG141" s="3"/>
      <c r="NFH141" s="3"/>
      <c r="NFI141" s="3"/>
      <c r="NFJ141" s="3"/>
      <c r="NFK141" s="3"/>
      <c r="NFL141" s="3"/>
      <c r="NFM141" s="3"/>
      <c r="NFN141" s="3"/>
      <c r="NFO141" s="3"/>
      <c r="NFP141" s="3"/>
      <c r="NFQ141" s="3"/>
      <c r="NFR141" s="3"/>
      <c r="NFS141" s="3"/>
      <c r="NFT141" s="3"/>
      <c r="NFU141" s="3"/>
      <c r="NFV141" s="3"/>
      <c r="NFW141" s="3"/>
      <c r="NFX141" s="3"/>
      <c r="NFY141" s="3"/>
      <c r="NFZ141" s="3"/>
      <c r="NGA141" s="3"/>
      <c r="NGB141" s="3"/>
      <c r="NGC141" s="3"/>
      <c r="NGD141" s="3"/>
      <c r="NGE141" s="3"/>
      <c r="NGF141" s="3"/>
      <c r="NGG141" s="3"/>
      <c r="NGH141" s="3"/>
      <c r="NGI141" s="3"/>
      <c r="NGJ141" s="3"/>
      <c r="NGK141" s="3"/>
      <c r="NGL141" s="3"/>
      <c r="NGM141" s="3"/>
      <c r="NGN141" s="3"/>
      <c r="NGO141" s="3"/>
      <c r="NGP141" s="3"/>
      <c r="NGQ141" s="3"/>
      <c r="NGR141" s="3"/>
      <c r="NGS141" s="3"/>
      <c r="NGT141" s="3"/>
      <c r="NGU141" s="3"/>
      <c r="NGV141" s="3"/>
      <c r="NGW141" s="3"/>
      <c r="NGX141" s="3"/>
      <c r="NGY141" s="3"/>
      <c r="NGZ141" s="3"/>
      <c r="NHA141" s="3"/>
      <c r="NHB141" s="3"/>
      <c r="NHC141" s="3"/>
      <c r="NHD141" s="3"/>
      <c r="NHE141" s="3"/>
      <c r="NHF141" s="3"/>
      <c r="NHG141" s="3"/>
      <c r="NHH141" s="3"/>
      <c r="NHI141" s="3"/>
      <c r="NHJ141" s="3"/>
      <c r="NHK141" s="3"/>
      <c r="NHL141" s="3"/>
      <c r="NHM141" s="3"/>
      <c r="NHN141" s="3"/>
      <c r="NHO141" s="3"/>
      <c r="NHP141" s="3"/>
      <c r="NHQ141" s="3"/>
      <c r="NHR141" s="3"/>
      <c r="NHS141" s="3"/>
      <c r="NHT141" s="3"/>
      <c r="NHU141" s="3"/>
      <c r="NHV141" s="3"/>
      <c r="NHW141" s="3"/>
      <c r="NHX141" s="3"/>
      <c r="NHY141" s="3"/>
      <c r="NHZ141" s="3"/>
      <c r="NIA141" s="3"/>
      <c r="NIB141" s="3"/>
      <c r="NIC141" s="3"/>
      <c r="NID141" s="3"/>
      <c r="NIE141" s="3"/>
      <c r="NIF141" s="3"/>
      <c r="NIG141" s="3"/>
      <c r="NIH141" s="3"/>
      <c r="NII141" s="3"/>
      <c r="NIJ141" s="3"/>
      <c r="NIK141" s="3"/>
      <c r="NIL141" s="3"/>
      <c r="NIM141" s="3"/>
      <c r="NIN141" s="3"/>
      <c r="NIO141" s="3"/>
      <c r="NIP141" s="3"/>
      <c r="NIQ141" s="3"/>
      <c r="NIR141" s="3"/>
      <c r="NIS141" s="3"/>
      <c r="NIT141" s="3"/>
      <c r="NIU141" s="3"/>
      <c r="NIV141" s="3"/>
      <c r="NIW141" s="3"/>
      <c r="NIX141" s="3"/>
      <c r="NIY141" s="3"/>
      <c r="NIZ141" s="3"/>
      <c r="NJA141" s="3"/>
      <c r="NJB141" s="3"/>
      <c r="NJC141" s="3"/>
      <c r="NJD141" s="3"/>
      <c r="NJE141" s="3"/>
      <c r="NJF141" s="3"/>
      <c r="NJG141" s="3"/>
      <c r="NJH141" s="3"/>
      <c r="NJI141" s="3"/>
      <c r="NJJ141" s="3"/>
      <c r="NJK141" s="3"/>
      <c r="NJL141" s="3"/>
      <c r="NJM141" s="3"/>
      <c r="NJN141" s="3"/>
      <c r="NJO141" s="3"/>
      <c r="NJP141" s="3"/>
      <c r="NJQ141" s="3"/>
      <c r="NJR141" s="3"/>
      <c r="NJS141" s="3"/>
      <c r="NJT141" s="3"/>
      <c r="NJU141" s="3"/>
      <c r="NJV141" s="3"/>
      <c r="NJW141" s="3"/>
      <c r="NJX141" s="3"/>
      <c r="NJY141" s="3"/>
      <c r="NJZ141" s="3"/>
      <c r="NKA141" s="3"/>
      <c r="NKB141" s="3"/>
      <c r="NKC141" s="3"/>
      <c r="NKD141" s="3"/>
      <c r="NKE141" s="3"/>
      <c r="NKF141" s="3"/>
      <c r="NKG141" s="3"/>
      <c r="NKH141" s="3"/>
      <c r="NKI141" s="3"/>
      <c r="NKJ141" s="3"/>
      <c r="NKK141" s="3"/>
      <c r="NKL141" s="3"/>
      <c r="NKM141" s="3"/>
      <c r="NKN141" s="3"/>
      <c r="NKO141" s="3"/>
      <c r="NKP141" s="3"/>
      <c r="NKQ141" s="3"/>
      <c r="NKR141" s="3"/>
      <c r="NKS141" s="3"/>
      <c r="NKT141" s="3"/>
      <c r="NKU141" s="3"/>
      <c r="NKV141" s="3"/>
      <c r="NKW141" s="3"/>
      <c r="NKX141" s="3"/>
      <c r="NKY141" s="3"/>
      <c r="NKZ141" s="3"/>
      <c r="NLA141" s="3"/>
      <c r="NLB141" s="3"/>
      <c r="NLC141" s="3"/>
      <c r="NLD141" s="3"/>
      <c r="NLE141" s="3"/>
      <c r="NLF141" s="3"/>
      <c r="NLG141" s="3"/>
      <c r="NLH141" s="3"/>
      <c r="NLI141" s="3"/>
      <c r="NLJ141" s="3"/>
      <c r="NLK141" s="3"/>
      <c r="NLL141" s="3"/>
      <c r="NLM141" s="3"/>
      <c r="NLN141" s="3"/>
      <c r="NLO141" s="3"/>
      <c r="NLP141" s="3"/>
      <c r="NLQ141" s="3"/>
      <c r="NLR141" s="3"/>
      <c r="NLS141" s="3"/>
      <c r="NLT141" s="3"/>
      <c r="NLU141" s="3"/>
      <c r="NLV141" s="3"/>
      <c r="NLW141" s="3"/>
      <c r="NLX141" s="3"/>
      <c r="NLY141" s="3"/>
      <c r="NLZ141" s="3"/>
      <c r="NMA141" s="3"/>
      <c r="NMB141" s="3"/>
      <c r="NMC141" s="3"/>
      <c r="NMD141" s="3"/>
      <c r="NME141" s="3"/>
      <c r="NMF141" s="3"/>
      <c r="NMG141" s="3"/>
      <c r="NMH141" s="3"/>
      <c r="NMI141" s="3"/>
      <c r="NMJ141" s="3"/>
      <c r="NMK141" s="3"/>
      <c r="NML141" s="3"/>
      <c r="NMM141" s="3"/>
      <c r="NMN141" s="3"/>
      <c r="NMO141" s="3"/>
      <c r="NMP141" s="3"/>
      <c r="NMQ141" s="3"/>
      <c r="NMR141" s="3"/>
      <c r="NMS141" s="3"/>
      <c r="NMT141" s="3"/>
      <c r="NMU141" s="3"/>
      <c r="NMV141" s="3"/>
      <c r="NMW141" s="3"/>
      <c r="NMX141" s="3"/>
      <c r="NMY141" s="3"/>
      <c r="NMZ141" s="3"/>
      <c r="NNA141" s="3"/>
      <c r="NNB141" s="3"/>
      <c r="NNC141" s="3"/>
      <c r="NND141" s="3"/>
      <c r="NNE141" s="3"/>
      <c r="NNF141" s="3"/>
      <c r="NNG141" s="3"/>
      <c r="NNH141" s="3"/>
      <c r="NNI141" s="3"/>
      <c r="NNJ141" s="3"/>
      <c r="NNK141" s="3"/>
      <c r="NNL141" s="3"/>
      <c r="NNM141" s="3"/>
      <c r="NNN141" s="3"/>
      <c r="NNO141" s="3"/>
      <c r="NNP141" s="3"/>
      <c r="NNQ141" s="3"/>
      <c r="NNR141" s="3"/>
      <c r="NNS141" s="3"/>
      <c r="NNT141" s="3"/>
      <c r="NNU141" s="3"/>
      <c r="NNV141" s="3"/>
      <c r="NNW141" s="3"/>
      <c r="NNX141" s="3"/>
      <c r="NNY141" s="3"/>
      <c r="NNZ141" s="3"/>
      <c r="NOA141" s="3"/>
      <c r="NOB141" s="3"/>
      <c r="NOC141" s="3"/>
      <c r="NOD141" s="3"/>
      <c r="NOE141" s="3"/>
      <c r="NOF141" s="3"/>
      <c r="NOG141" s="3"/>
      <c r="NOH141" s="3"/>
      <c r="NOI141" s="3"/>
      <c r="NOJ141" s="3"/>
      <c r="NOK141" s="3"/>
      <c r="NOL141" s="3"/>
      <c r="NOM141" s="3"/>
      <c r="NON141" s="3"/>
      <c r="NOO141" s="3"/>
      <c r="NOP141" s="3"/>
      <c r="NOQ141" s="3"/>
      <c r="NOR141" s="3"/>
      <c r="NOS141" s="3"/>
      <c r="NOT141" s="3"/>
      <c r="NOU141" s="3"/>
      <c r="NOV141" s="3"/>
      <c r="NOW141" s="3"/>
      <c r="NOX141" s="3"/>
      <c r="NOY141" s="3"/>
      <c r="NOZ141" s="3"/>
      <c r="NPA141" s="3"/>
      <c r="NPB141" s="3"/>
      <c r="NPC141" s="3"/>
      <c r="NPD141" s="3"/>
      <c r="NPE141" s="3"/>
      <c r="NPF141" s="3"/>
      <c r="NPG141" s="3"/>
      <c r="NPH141" s="3"/>
      <c r="NPI141" s="3"/>
      <c r="NPJ141" s="3"/>
      <c r="NPK141" s="3"/>
      <c r="NPL141" s="3"/>
      <c r="NPM141" s="3"/>
      <c r="NPN141" s="3"/>
      <c r="NPO141" s="3"/>
      <c r="NPP141" s="3"/>
      <c r="NPQ141" s="3"/>
      <c r="NPR141" s="3"/>
      <c r="NPS141" s="3"/>
      <c r="NPT141" s="3"/>
      <c r="NPU141" s="3"/>
      <c r="NPV141" s="3"/>
      <c r="NPW141" s="3"/>
      <c r="NPX141" s="3"/>
      <c r="NPY141" s="3"/>
      <c r="NPZ141" s="3"/>
      <c r="NQA141" s="3"/>
      <c r="NQB141" s="3"/>
      <c r="NQC141" s="3"/>
      <c r="NQD141" s="3"/>
      <c r="NQE141" s="3"/>
      <c r="NQF141" s="3"/>
      <c r="NQG141" s="3"/>
      <c r="NQH141" s="3"/>
      <c r="NQI141" s="3"/>
      <c r="NQJ141" s="3"/>
      <c r="NQK141" s="3"/>
      <c r="NQL141" s="3"/>
      <c r="NQM141" s="3"/>
      <c r="NQN141" s="3"/>
      <c r="NQO141" s="3"/>
      <c r="NQP141" s="3"/>
      <c r="NQQ141" s="3"/>
      <c r="NQR141" s="3"/>
      <c r="NQS141" s="3"/>
      <c r="NQT141" s="3"/>
      <c r="NQU141" s="3"/>
      <c r="NQV141" s="3"/>
      <c r="NQW141" s="3"/>
      <c r="NQX141" s="3"/>
      <c r="NQY141" s="3"/>
      <c r="NQZ141" s="3"/>
      <c r="NRA141" s="3"/>
      <c r="NRB141" s="3"/>
      <c r="NRC141" s="3"/>
      <c r="NRD141" s="3"/>
      <c r="NRE141" s="3"/>
      <c r="NRF141" s="3"/>
      <c r="NRG141" s="3"/>
      <c r="NRH141" s="3"/>
      <c r="NRI141" s="3"/>
      <c r="NRJ141" s="3"/>
      <c r="NRK141" s="3"/>
      <c r="NRL141" s="3"/>
      <c r="NRM141" s="3"/>
      <c r="NRN141" s="3"/>
      <c r="NRO141" s="3"/>
      <c r="NRP141" s="3"/>
      <c r="NRQ141" s="3"/>
      <c r="NRR141" s="3"/>
      <c r="NRS141" s="3"/>
      <c r="NRT141" s="3"/>
      <c r="NRU141" s="3"/>
      <c r="NRV141" s="3"/>
      <c r="NRW141" s="3"/>
      <c r="NRX141" s="3"/>
      <c r="NRY141" s="3"/>
      <c r="NRZ141" s="3"/>
      <c r="NSA141" s="3"/>
      <c r="NSB141" s="3"/>
      <c r="NSC141" s="3"/>
      <c r="NSD141" s="3"/>
      <c r="NSE141" s="3"/>
      <c r="NSF141" s="3"/>
      <c r="NSG141" s="3"/>
      <c r="NSH141" s="3"/>
      <c r="NSI141" s="3"/>
      <c r="NSJ141" s="3"/>
      <c r="NSK141" s="3"/>
      <c r="NSL141" s="3"/>
      <c r="NSM141" s="3"/>
      <c r="NSN141" s="3"/>
      <c r="NSO141" s="3"/>
      <c r="NSP141" s="3"/>
      <c r="NSQ141" s="3"/>
      <c r="NSR141" s="3"/>
      <c r="NSS141" s="3"/>
      <c r="NST141" s="3"/>
      <c r="NSU141" s="3"/>
      <c r="NSV141" s="3"/>
      <c r="NSW141" s="3"/>
      <c r="NSX141" s="3"/>
      <c r="NSY141" s="3"/>
      <c r="NSZ141" s="3"/>
      <c r="NTA141" s="3"/>
      <c r="NTB141" s="3"/>
      <c r="NTC141" s="3"/>
      <c r="NTD141" s="3"/>
      <c r="NTE141" s="3"/>
      <c r="NTF141" s="3"/>
      <c r="NTG141" s="3"/>
      <c r="NTH141" s="3"/>
      <c r="NTI141" s="3"/>
      <c r="NTJ141" s="3"/>
      <c r="NTK141" s="3"/>
      <c r="NTL141" s="3"/>
      <c r="NTM141" s="3"/>
      <c r="NTN141" s="3"/>
      <c r="NTO141" s="3"/>
      <c r="NTP141" s="3"/>
      <c r="NTQ141" s="3"/>
      <c r="NTR141" s="3"/>
      <c r="NTS141" s="3"/>
      <c r="NTT141" s="3"/>
      <c r="NTU141" s="3"/>
      <c r="NTV141" s="3"/>
      <c r="NTW141" s="3"/>
      <c r="NTX141" s="3"/>
      <c r="NTY141" s="3"/>
      <c r="NTZ141" s="3"/>
      <c r="NUA141" s="3"/>
      <c r="NUB141" s="3"/>
      <c r="NUC141" s="3"/>
      <c r="NUD141" s="3"/>
      <c r="NUE141" s="3"/>
      <c r="NUF141" s="3"/>
      <c r="NUG141" s="3"/>
      <c r="NUH141" s="3"/>
      <c r="NUI141" s="3"/>
      <c r="NUJ141" s="3"/>
      <c r="NUK141" s="3"/>
      <c r="NUL141" s="3"/>
      <c r="NUM141" s="3"/>
      <c r="NUN141" s="3"/>
      <c r="NUO141" s="3"/>
      <c r="NUP141" s="3"/>
      <c r="NUQ141" s="3"/>
      <c r="NUR141" s="3"/>
      <c r="NUS141" s="3"/>
      <c r="NUT141" s="3"/>
      <c r="NUU141" s="3"/>
      <c r="NUV141" s="3"/>
      <c r="NUW141" s="3"/>
      <c r="NUX141" s="3"/>
      <c r="NUY141" s="3"/>
      <c r="NUZ141" s="3"/>
      <c r="NVA141" s="3"/>
      <c r="NVB141" s="3"/>
      <c r="NVC141" s="3"/>
      <c r="NVD141" s="3"/>
      <c r="NVE141" s="3"/>
      <c r="NVF141" s="3"/>
      <c r="NVG141" s="3"/>
      <c r="NVH141" s="3"/>
      <c r="NVI141" s="3"/>
      <c r="NVJ141" s="3"/>
      <c r="NVK141" s="3"/>
      <c r="NVL141" s="3"/>
      <c r="NVM141" s="3"/>
      <c r="NVN141" s="3"/>
      <c r="NVO141" s="3"/>
      <c r="NVP141" s="3"/>
      <c r="NVQ141" s="3"/>
      <c r="NVR141" s="3"/>
      <c r="NVS141" s="3"/>
      <c r="NVT141" s="3"/>
      <c r="NVU141" s="3"/>
      <c r="NVV141" s="3"/>
      <c r="NVW141" s="3"/>
      <c r="NVX141" s="3"/>
      <c r="NVY141" s="3"/>
      <c r="NVZ141" s="3"/>
      <c r="NWA141" s="3"/>
      <c r="NWB141" s="3"/>
      <c r="NWC141" s="3"/>
      <c r="NWD141" s="3"/>
      <c r="NWE141" s="3"/>
      <c r="NWF141" s="3"/>
      <c r="NWG141" s="3"/>
      <c r="NWH141" s="3"/>
      <c r="NWI141" s="3"/>
      <c r="NWJ141" s="3"/>
      <c r="NWK141" s="3"/>
      <c r="NWL141" s="3"/>
      <c r="NWM141" s="3"/>
      <c r="NWN141" s="3"/>
      <c r="NWO141" s="3"/>
      <c r="NWP141" s="3"/>
      <c r="NWQ141" s="3"/>
      <c r="NWR141" s="3"/>
      <c r="NWS141" s="3"/>
      <c r="NWT141" s="3"/>
      <c r="NWU141" s="3"/>
      <c r="NWV141" s="3"/>
      <c r="NWW141" s="3"/>
      <c r="NWX141" s="3"/>
      <c r="NWY141" s="3"/>
      <c r="NWZ141" s="3"/>
      <c r="NXA141" s="3"/>
      <c r="NXB141" s="3"/>
      <c r="NXC141" s="3"/>
      <c r="NXD141" s="3"/>
      <c r="NXE141" s="3"/>
      <c r="NXF141" s="3"/>
      <c r="NXG141" s="3"/>
      <c r="NXH141" s="3"/>
      <c r="NXI141" s="3"/>
      <c r="NXJ141" s="3"/>
      <c r="NXK141" s="3"/>
      <c r="NXL141" s="3"/>
      <c r="NXM141" s="3"/>
      <c r="NXN141" s="3"/>
      <c r="NXO141" s="3"/>
      <c r="NXP141" s="3"/>
      <c r="NXQ141" s="3"/>
      <c r="NXR141" s="3"/>
      <c r="NXS141" s="3"/>
      <c r="NXT141" s="3"/>
      <c r="NXU141" s="3"/>
      <c r="NXV141" s="3"/>
      <c r="NXW141" s="3"/>
      <c r="NXX141" s="3"/>
      <c r="NXY141" s="3"/>
      <c r="NXZ141" s="3"/>
      <c r="NYA141" s="3"/>
      <c r="NYB141" s="3"/>
      <c r="NYC141" s="3"/>
      <c r="NYD141" s="3"/>
      <c r="NYE141" s="3"/>
      <c r="NYF141" s="3"/>
      <c r="NYG141" s="3"/>
      <c r="NYH141" s="3"/>
      <c r="NYI141" s="3"/>
      <c r="NYJ141" s="3"/>
      <c r="NYK141" s="3"/>
      <c r="NYL141" s="3"/>
      <c r="NYM141" s="3"/>
      <c r="NYN141" s="3"/>
      <c r="NYO141" s="3"/>
      <c r="NYP141" s="3"/>
      <c r="NYQ141" s="3"/>
      <c r="NYR141" s="3"/>
      <c r="NYS141" s="3"/>
      <c r="NYT141" s="3"/>
      <c r="NYU141" s="3"/>
      <c r="NYV141" s="3"/>
      <c r="NYW141" s="3"/>
      <c r="NYX141" s="3"/>
      <c r="NYY141" s="3"/>
      <c r="NYZ141" s="3"/>
      <c r="NZA141" s="3"/>
      <c r="NZB141" s="3"/>
      <c r="NZC141" s="3"/>
      <c r="NZD141" s="3"/>
      <c r="NZE141" s="3"/>
      <c r="NZF141" s="3"/>
      <c r="NZG141" s="3"/>
      <c r="NZH141" s="3"/>
      <c r="NZI141" s="3"/>
      <c r="NZJ141" s="3"/>
      <c r="NZK141" s="3"/>
      <c r="NZL141" s="3"/>
      <c r="NZM141" s="3"/>
      <c r="NZN141" s="3"/>
      <c r="NZO141" s="3"/>
      <c r="NZP141" s="3"/>
      <c r="NZQ141" s="3"/>
      <c r="NZR141" s="3"/>
      <c r="NZS141" s="3"/>
      <c r="NZT141" s="3"/>
      <c r="NZU141" s="3"/>
      <c r="NZV141" s="3"/>
      <c r="NZW141" s="3"/>
      <c r="NZX141" s="3"/>
      <c r="NZY141" s="3"/>
      <c r="NZZ141" s="3"/>
      <c r="OAA141" s="3"/>
      <c r="OAB141" s="3"/>
      <c r="OAC141" s="3"/>
      <c r="OAD141" s="3"/>
      <c r="OAE141" s="3"/>
      <c r="OAF141" s="3"/>
      <c r="OAG141" s="3"/>
      <c r="OAH141" s="3"/>
      <c r="OAI141" s="3"/>
      <c r="OAJ141" s="3"/>
      <c r="OAK141" s="3"/>
      <c r="OAL141" s="3"/>
      <c r="OAM141" s="3"/>
      <c r="OAN141" s="3"/>
      <c r="OAO141" s="3"/>
      <c r="OAP141" s="3"/>
      <c r="OAQ141" s="3"/>
      <c r="OAR141" s="3"/>
      <c r="OAS141" s="3"/>
      <c r="OAT141" s="3"/>
      <c r="OAU141" s="3"/>
      <c r="OAV141" s="3"/>
      <c r="OAW141" s="3"/>
      <c r="OAX141" s="3"/>
      <c r="OAY141" s="3"/>
      <c r="OAZ141" s="3"/>
      <c r="OBA141" s="3"/>
      <c r="OBB141" s="3"/>
      <c r="OBC141" s="3"/>
      <c r="OBD141" s="3"/>
      <c r="OBE141" s="3"/>
      <c r="OBF141" s="3"/>
      <c r="OBG141" s="3"/>
      <c r="OBH141" s="3"/>
      <c r="OBI141" s="3"/>
      <c r="OBJ141" s="3"/>
      <c r="OBK141" s="3"/>
      <c r="OBL141" s="3"/>
      <c r="OBM141" s="3"/>
      <c r="OBN141" s="3"/>
      <c r="OBO141" s="3"/>
      <c r="OBP141" s="3"/>
      <c r="OBQ141" s="3"/>
      <c r="OBR141" s="3"/>
      <c r="OBS141" s="3"/>
      <c r="OBT141" s="3"/>
      <c r="OBU141" s="3"/>
      <c r="OBV141" s="3"/>
      <c r="OBW141" s="3"/>
      <c r="OBX141" s="3"/>
      <c r="OBY141" s="3"/>
      <c r="OBZ141" s="3"/>
      <c r="OCA141" s="3"/>
      <c r="OCB141" s="3"/>
      <c r="OCC141" s="3"/>
      <c r="OCD141" s="3"/>
      <c r="OCE141" s="3"/>
      <c r="OCF141" s="3"/>
      <c r="OCG141" s="3"/>
      <c r="OCH141" s="3"/>
      <c r="OCI141" s="3"/>
      <c r="OCJ141" s="3"/>
      <c r="OCK141" s="3"/>
      <c r="OCL141" s="3"/>
      <c r="OCM141" s="3"/>
      <c r="OCN141" s="3"/>
      <c r="OCO141" s="3"/>
      <c r="OCP141" s="3"/>
      <c r="OCQ141" s="3"/>
      <c r="OCR141" s="3"/>
      <c r="OCS141" s="3"/>
      <c r="OCT141" s="3"/>
      <c r="OCU141" s="3"/>
      <c r="OCV141" s="3"/>
      <c r="OCW141" s="3"/>
      <c r="OCX141" s="3"/>
      <c r="OCY141" s="3"/>
      <c r="OCZ141" s="3"/>
      <c r="ODA141" s="3"/>
      <c r="ODB141" s="3"/>
      <c r="ODC141" s="3"/>
      <c r="ODD141" s="3"/>
      <c r="ODE141" s="3"/>
      <c r="ODF141" s="3"/>
      <c r="ODG141" s="3"/>
      <c r="ODH141" s="3"/>
      <c r="ODI141" s="3"/>
      <c r="ODJ141" s="3"/>
      <c r="ODK141" s="3"/>
      <c r="ODL141" s="3"/>
      <c r="ODM141" s="3"/>
      <c r="ODN141" s="3"/>
      <c r="ODO141" s="3"/>
      <c r="ODP141" s="3"/>
      <c r="ODQ141" s="3"/>
      <c r="ODR141" s="3"/>
      <c r="ODS141" s="3"/>
      <c r="ODT141" s="3"/>
      <c r="ODU141" s="3"/>
      <c r="ODV141" s="3"/>
      <c r="ODW141" s="3"/>
      <c r="ODX141" s="3"/>
      <c r="ODY141" s="3"/>
      <c r="ODZ141" s="3"/>
      <c r="OEA141" s="3"/>
      <c r="OEB141" s="3"/>
      <c r="OEC141" s="3"/>
      <c r="OED141" s="3"/>
      <c r="OEE141" s="3"/>
      <c r="OEF141" s="3"/>
      <c r="OEG141" s="3"/>
      <c r="OEH141" s="3"/>
      <c r="OEI141" s="3"/>
      <c r="OEJ141" s="3"/>
      <c r="OEK141" s="3"/>
      <c r="OEL141" s="3"/>
      <c r="OEM141" s="3"/>
      <c r="OEN141" s="3"/>
      <c r="OEO141" s="3"/>
      <c r="OEP141" s="3"/>
      <c r="OEQ141" s="3"/>
      <c r="OER141" s="3"/>
      <c r="OES141" s="3"/>
      <c r="OET141" s="3"/>
      <c r="OEU141" s="3"/>
      <c r="OEV141" s="3"/>
      <c r="OEW141" s="3"/>
      <c r="OEX141" s="3"/>
      <c r="OEY141" s="3"/>
      <c r="OEZ141" s="3"/>
      <c r="OFA141" s="3"/>
      <c r="OFB141" s="3"/>
      <c r="OFC141" s="3"/>
      <c r="OFD141" s="3"/>
      <c r="OFE141" s="3"/>
      <c r="OFF141" s="3"/>
      <c r="OFG141" s="3"/>
      <c r="OFH141" s="3"/>
      <c r="OFI141" s="3"/>
      <c r="OFJ141" s="3"/>
      <c r="OFK141" s="3"/>
      <c r="OFL141" s="3"/>
      <c r="OFM141" s="3"/>
      <c r="OFN141" s="3"/>
      <c r="OFO141" s="3"/>
      <c r="OFP141" s="3"/>
      <c r="OFQ141" s="3"/>
      <c r="OFR141" s="3"/>
      <c r="OFS141" s="3"/>
      <c r="OFT141" s="3"/>
      <c r="OFU141" s="3"/>
      <c r="OFV141" s="3"/>
      <c r="OFW141" s="3"/>
      <c r="OFX141" s="3"/>
      <c r="OFY141" s="3"/>
      <c r="OFZ141" s="3"/>
      <c r="OGA141" s="3"/>
      <c r="OGB141" s="3"/>
      <c r="OGC141" s="3"/>
      <c r="OGD141" s="3"/>
      <c r="OGE141" s="3"/>
      <c r="OGF141" s="3"/>
      <c r="OGG141" s="3"/>
      <c r="OGH141" s="3"/>
      <c r="OGI141" s="3"/>
      <c r="OGJ141" s="3"/>
      <c r="OGK141" s="3"/>
      <c r="OGL141" s="3"/>
      <c r="OGM141" s="3"/>
      <c r="OGN141" s="3"/>
      <c r="OGO141" s="3"/>
      <c r="OGP141" s="3"/>
      <c r="OGQ141" s="3"/>
      <c r="OGR141" s="3"/>
      <c r="OGS141" s="3"/>
      <c r="OGT141" s="3"/>
      <c r="OGU141" s="3"/>
      <c r="OGV141" s="3"/>
      <c r="OGW141" s="3"/>
      <c r="OGX141" s="3"/>
      <c r="OGY141" s="3"/>
      <c r="OGZ141" s="3"/>
      <c r="OHA141" s="3"/>
      <c r="OHB141" s="3"/>
      <c r="OHC141" s="3"/>
      <c r="OHD141" s="3"/>
      <c r="OHE141" s="3"/>
      <c r="OHF141" s="3"/>
      <c r="OHG141" s="3"/>
      <c r="OHH141" s="3"/>
      <c r="OHI141" s="3"/>
      <c r="OHJ141" s="3"/>
      <c r="OHK141" s="3"/>
      <c r="OHL141" s="3"/>
      <c r="OHM141" s="3"/>
      <c r="OHN141" s="3"/>
      <c r="OHO141" s="3"/>
      <c r="OHP141" s="3"/>
      <c r="OHQ141" s="3"/>
      <c r="OHR141" s="3"/>
      <c r="OHS141" s="3"/>
      <c r="OHT141" s="3"/>
      <c r="OHU141" s="3"/>
      <c r="OHV141" s="3"/>
      <c r="OHW141" s="3"/>
      <c r="OHX141" s="3"/>
      <c r="OHY141" s="3"/>
      <c r="OHZ141" s="3"/>
      <c r="OIA141" s="3"/>
      <c r="OIB141" s="3"/>
      <c r="OIC141" s="3"/>
      <c r="OID141" s="3"/>
      <c r="OIE141" s="3"/>
      <c r="OIF141" s="3"/>
      <c r="OIG141" s="3"/>
      <c r="OIH141" s="3"/>
      <c r="OII141" s="3"/>
      <c r="OIJ141" s="3"/>
      <c r="OIK141" s="3"/>
      <c r="OIL141" s="3"/>
      <c r="OIM141" s="3"/>
      <c r="OIN141" s="3"/>
      <c r="OIO141" s="3"/>
      <c r="OIP141" s="3"/>
      <c r="OIQ141" s="3"/>
      <c r="OIR141" s="3"/>
      <c r="OIS141" s="3"/>
      <c r="OIT141" s="3"/>
      <c r="OIU141" s="3"/>
      <c r="OIV141" s="3"/>
      <c r="OIW141" s="3"/>
      <c r="OIX141" s="3"/>
      <c r="OIY141" s="3"/>
      <c r="OIZ141" s="3"/>
      <c r="OJA141" s="3"/>
      <c r="OJB141" s="3"/>
      <c r="OJC141" s="3"/>
      <c r="OJD141" s="3"/>
      <c r="OJE141" s="3"/>
      <c r="OJF141" s="3"/>
      <c r="OJG141" s="3"/>
      <c r="OJH141" s="3"/>
      <c r="OJI141" s="3"/>
      <c r="OJJ141" s="3"/>
      <c r="OJK141" s="3"/>
      <c r="OJL141" s="3"/>
      <c r="OJM141" s="3"/>
      <c r="OJN141" s="3"/>
      <c r="OJO141" s="3"/>
      <c r="OJP141" s="3"/>
      <c r="OJQ141" s="3"/>
      <c r="OJR141" s="3"/>
      <c r="OJS141" s="3"/>
      <c r="OJT141" s="3"/>
      <c r="OJU141" s="3"/>
      <c r="OJV141" s="3"/>
      <c r="OJW141" s="3"/>
      <c r="OJX141" s="3"/>
      <c r="OJY141" s="3"/>
      <c r="OJZ141" s="3"/>
      <c r="OKA141" s="3"/>
      <c r="OKB141" s="3"/>
      <c r="OKC141" s="3"/>
      <c r="OKD141" s="3"/>
      <c r="OKE141" s="3"/>
      <c r="OKF141" s="3"/>
      <c r="OKG141" s="3"/>
      <c r="OKH141" s="3"/>
      <c r="OKI141" s="3"/>
      <c r="OKJ141" s="3"/>
      <c r="OKK141" s="3"/>
      <c r="OKL141" s="3"/>
      <c r="OKM141" s="3"/>
      <c r="OKN141" s="3"/>
      <c r="OKO141" s="3"/>
      <c r="OKP141" s="3"/>
      <c r="OKQ141" s="3"/>
      <c r="OKR141" s="3"/>
      <c r="OKS141" s="3"/>
      <c r="OKT141" s="3"/>
      <c r="OKU141" s="3"/>
      <c r="OKV141" s="3"/>
      <c r="OKW141" s="3"/>
      <c r="OKX141" s="3"/>
      <c r="OKY141" s="3"/>
      <c r="OKZ141" s="3"/>
      <c r="OLA141" s="3"/>
      <c r="OLB141" s="3"/>
      <c r="OLC141" s="3"/>
      <c r="OLD141" s="3"/>
      <c r="OLE141" s="3"/>
      <c r="OLF141" s="3"/>
      <c r="OLG141" s="3"/>
      <c r="OLH141" s="3"/>
      <c r="OLI141" s="3"/>
      <c r="OLJ141" s="3"/>
      <c r="OLK141" s="3"/>
      <c r="OLL141" s="3"/>
      <c r="OLM141" s="3"/>
      <c r="OLN141" s="3"/>
      <c r="OLO141" s="3"/>
      <c r="OLP141" s="3"/>
      <c r="OLQ141" s="3"/>
      <c r="OLR141" s="3"/>
      <c r="OLS141" s="3"/>
      <c r="OLT141" s="3"/>
      <c r="OLU141" s="3"/>
      <c r="OLV141" s="3"/>
      <c r="OLW141" s="3"/>
      <c r="OLX141" s="3"/>
      <c r="OLY141" s="3"/>
      <c r="OLZ141" s="3"/>
      <c r="OMA141" s="3"/>
      <c r="OMB141" s="3"/>
      <c r="OMC141" s="3"/>
      <c r="OMD141" s="3"/>
      <c r="OME141" s="3"/>
      <c r="OMF141" s="3"/>
      <c r="OMG141" s="3"/>
      <c r="OMH141" s="3"/>
      <c r="OMI141" s="3"/>
      <c r="OMJ141" s="3"/>
      <c r="OMK141" s="3"/>
      <c r="OML141" s="3"/>
      <c r="OMM141" s="3"/>
      <c r="OMN141" s="3"/>
      <c r="OMO141" s="3"/>
      <c r="OMP141" s="3"/>
      <c r="OMQ141" s="3"/>
      <c r="OMR141" s="3"/>
      <c r="OMS141" s="3"/>
      <c r="OMT141" s="3"/>
      <c r="OMU141" s="3"/>
      <c r="OMV141" s="3"/>
      <c r="OMW141" s="3"/>
      <c r="OMX141" s="3"/>
      <c r="OMY141" s="3"/>
      <c r="OMZ141" s="3"/>
      <c r="ONA141" s="3"/>
      <c r="ONB141" s="3"/>
      <c r="ONC141" s="3"/>
      <c r="OND141" s="3"/>
      <c r="ONE141" s="3"/>
      <c r="ONF141" s="3"/>
      <c r="ONG141" s="3"/>
      <c r="ONH141" s="3"/>
      <c r="ONI141" s="3"/>
      <c r="ONJ141" s="3"/>
      <c r="ONK141" s="3"/>
      <c r="ONL141" s="3"/>
      <c r="ONM141" s="3"/>
      <c r="ONN141" s="3"/>
      <c r="ONO141" s="3"/>
      <c r="ONP141" s="3"/>
      <c r="ONQ141" s="3"/>
      <c r="ONR141" s="3"/>
      <c r="ONS141" s="3"/>
      <c r="ONT141" s="3"/>
      <c r="ONU141" s="3"/>
      <c r="ONV141" s="3"/>
      <c r="ONW141" s="3"/>
      <c r="ONX141" s="3"/>
      <c r="ONY141" s="3"/>
      <c r="ONZ141" s="3"/>
      <c r="OOA141" s="3"/>
      <c r="OOB141" s="3"/>
      <c r="OOC141" s="3"/>
      <c r="OOD141" s="3"/>
      <c r="OOE141" s="3"/>
      <c r="OOF141" s="3"/>
      <c r="OOG141" s="3"/>
      <c r="OOH141" s="3"/>
      <c r="OOI141" s="3"/>
      <c r="OOJ141" s="3"/>
      <c r="OOK141" s="3"/>
      <c r="OOL141" s="3"/>
      <c r="OOM141" s="3"/>
      <c r="OON141" s="3"/>
      <c r="OOO141" s="3"/>
      <c r="OOP141" s="3"/>
      <c r="OOQ141" s="3"/>
      <c r="OOR141" s="3"/>
      <c r="OOS141" s="3"/>
      <c r="OOT141" s="3"/>
      <c r="OOU141" s="3"/>
      <c r="OOV141" s="3"/>
      <c r="OOW141" s="3"/>
      <c r="OOX141" s="3"/>
      <c r="OOY141" s="3"/>
      <c r="OOZ141" s="3"/>
      <c r="OPA141" s="3"/>
      <c r="OPB141" s="3"/>
      <c r="OPC141" s="3"/>
      <c r="OPD141" s="3"/>
      <c r="OPE141" s="3"/>
      <c r="OPF141" s="3"/>
      <c r="OPG141" s="3"/>
      <c r="OPH141" s="3"/>
      <c r="OPI141" s="3"/>
      <c r="OPJ141" s="3"/>
      <c r="OPK141" s="3"/>
      <c r="OPL141" s="3"/>
      <c r="OPM141" s="3"/>
      <c r="OPN141" s="3"/>
      <c r="OPO141" s="3"/>
      <c r="OPP141" s="3"/>
      <c r="OPQ141" s="3"/>
      <c r="OPR141" s="3"/>
      <c r="OPS141" s="3"/>
      <c r="OPT141" s="3"/>
      <c r="OPU141" s="3"/>
      <c r="OPV141" s="3"/>
      <c r="OPW141" s="3"/>
      <c r="OPX141" s="3"/>
      <c r="OPY141" s="3"/>
      <c r="OPZ141" s="3"/>
      <c r="OQA141" s="3"/>
      <c r="OQB141" s="3"/>
      <c r="OQC141" s="3"/>
      <c r="OQD141" s="3"/>
      <c r="OQE141" s="3"/>
      <c r="OQF141" s="3"/>
      <c r="OQG141" s="3"/>
      <c r="OQH141" s="3"/>
      <c r="OQI141" s="3"/>
      <c r="OQJ141" s="3"/>
      <c r="OQK141" s="3"/>
      <c r="OQL141" s="3"/>
      <c r="OQM141" s="3"/>
      <c r="OQN141" s="3"/>
      <c r="OQO141" s="3"/>
      <c r="OQP141" s="3"/>
      <c r="OQQ141" s="3"/>
      <c r="OQR141" s="3"/>
      <c r="OQS141" s="3"/>
      <c r="OQT141" s="3"/>
      <c r="OQU141" s="3"/>
      <c r="OQV141" s="3"/>
      <c r="OQW141" s="3"/>
      <c r="OQX141" s="3"/>
      <c r="OQY141" s="3"/>
      <c r="OQZ141" s="3"/>
      <c r="ORA141" s="3"/>
      <c r="ORB141" s="3"/>
      <c r="ORC141" s="3"/>
      <c r="ORD141" s="3"/>
      <c r="ORE141" s="3"/>
      <c r="ORF141" s="3"/>
      <c r="ORG141" s="3"/>
      <c r="ORH141" s="3"/>
      <c r="ORI141" s="3"/>
      <c r="ORJ141" s="3"/>
      <c r="ORK141" s="3"/>
      <c r="ORL141" s="3"/>
      <c r="ORM141" s="3"/>
      <c r="ORN141" s="3"/>
      <c r="ORO141" s="3"/>
      <c r="ORP141" s="3"/>
      <c r="ORQ141" s="3"/>
      <c r="ORR141" s="3"/>
      <c r="ORS141" s="3"/>
      <c r="ORT141" s="3"/>
      <c r="ORU141" s="3"/>
      <c r="ORV141" s="3"/>
      <c r="ORW141" s="3"/>
      <c r="ORX141" s="3"/>
      <c r="ORY141" s="3"/>
      <c r="ORZ141" s="3"/>
      <c r="OSA141" s="3"/>
      <c r="OSB141" s="3"/>
      <c r="OSC141" s="3"/>
      <c r="OSD141" s="3"/>
      <c r="OSE141" s="3"/>
      <c r="OSF141" s="3"/>
      <c r="OSG141" s="3"/>
      <c r="OSH141" s="3"/>
      <c r="OSI141" s="3"/>
      <c r="OSJ141" s="3"/>
      <c r="OSK141" s="3"/>
      <c r="OSL141" s="3"/>
      <c r="OSM141" s="3"/>
      <c r="OSN141" s="3"/>
      <c r="OSO141" s="3"/>
      <c r="OSP141" s="3"/>
      <c r="OSQ141" s="3"/>
      <c r="OSR141" s="3"/>
      <c r="OSS141" s="3"/>
      <c r="OST141" s="3"/>
      <c r="OSU141" s="3"/>
      <c r="OSV141" s="3"/>
      <c r="OSW141" s="3"/>
      <c r="OSX141" s="3"/>
      <c r="OSY141" s="3"/>
      <c r="OSZ141" s="3"/>
      <c r="OTA141" s="3"/>
      <c r="OTB141" s="3"/>
      <c r="OTC141" s="3"/>
      <c r="OTD141" s="3"/>
      <c r="OTE141" s="3"/>
      <c r="OTF141" s="3"/>
      <c r="OTG141" s="3"/>
      <c r="OTH141" s="3"/>
      <c r="OTI141" s="3"/>
      <c r="OTJ141" s="3"/>
      <c r="OTK141" s="3"/>
      <c r="OTL141" s="3"/>
      <c r="OTM141" s="3"/>
      <c r="OTN141" s="3"/>
      <c r="OTO141" s="3"/>
      <c r="OTP141" s="3"/>
      <c r="OTQ141" s="3"/>
      <c r="OTR141" s="3"/>
      <c r="OTS141" s="3"/>
      <c r="OTT141" s="3"/>
      <c r="OTU141" s="3"/>
      <c r="OTV141" s="3"/>
      <c r="OTW141" s="3"/>
      <c r="OTX141" s="3"/>
      <c r="OTY141" s="3"/>
      <c r="OTZ141" s="3"/>
      <c r="OUA141" s="3"/>
      <c r="OUB141" s="3"/>
      <c r="OUC141" s="3"/>
      <c r="OUD141" s="3"/>
      <c r="OUE141" s="3"/>
      <c r="OUF141" s="3"/>
      <c r="OUG141" s="3"/>
      <c r="OUH141" s="3"/>
      <c r="OUI141" s="3"/>
      <c r="OUJ141" s="3"/>
      <c r="OUK141" s="3"/>
      <c r="OUL141" s="3"/>
      <c r="OUM141" s="3"/>
      <c r="OUN141" s="3"/>
      <c r="OUO141" s="3"/>
      <c r="OUP141" s="3"/>
      <c r="OUQ141" s="3"/>
      <c r="OUR141" s="3"/>
      <c r="OUS141" s="3"/>
      <c r="OUT141" s="3"/>
      <c r="OUU141" s="3"/>
      <c r="OUV141" s="3"/>
      <c r="OUW141" s="3"/>
      <c r="OUX141" s="3"/>
      <c r="OUY141" s="3"/>
      <c r="OUZ141" s="3"/>
      <c r="OVA141" s="3"/>
      <c r="OVB141" s="3"/>
      <c r="OVC141" s="3"/>
      <c r="OVD141" s="3"/>
      <c r="OVE141" s="3"/>
      <c r="OVF141" s="3"/>
      <c r="OVG141" s="3"/>
      <c r="OVH141" s="3"/>
      <c r="OVI141" s="3"/>
      <c r="OVJ141" s="3"/>
      <c r="OVK141" s="3"/>
      <c r="OVL141" s="3"/>
      <c r="OVM141" s="3"/>
      <c r="OVN141" s="3"/>
      <c r="OVO141" s="3"/>
      <c r="OVP141" s="3"/>
      <c r="OVQ141" s="3"/>
      <c r="OVR141" s="3"/>
      <c r="OVS141" s="3"/>
      <c r="OVT141" s="3"/>
      <c r="OVU141" s="3"/>
      <c r="OVV141" s="3"/>
      <c r="OVW141" s="3"/>
      <c r="OVX141" s="3"/>
      <c r="OVY141" s="3"/>
      <c r="OVZ141" s="3"/>
      <c r="OWA141" s="3"/>
      <c r="OWB141" s="3"/>
      <c r="OWC141" s="3"/>
      <c r="OWD141" s="3"/>
      <c r="OWE141" s="3"/>
      <c r="OWF141" s="3"/>
      <c r="OWG141" s="3"/>
      <c r="OWH141" s="3"/>
      <c r="OWI141" s="3"/>
      <c r="OWJ141" s="3"/>
      <c r="OWK141" s="3"/>
      <c r="OWL141" s="3"/>
      <c r="OWM141" s="3"/>
      <c r="OWN141" s="3"/>
      <c r="OWO141" s="3"/>
      <c r="OWP141" s="3"/>
      <c r="OWQ141" s="3"/>
      <c r="OWR141" s="3"/>
      <c r="OWS141" s="3"/>
      <c r="OWT141" s="3"/>
      <c r="OWU141" s="3"/>
      <c r="OWV141" s="3"/>
      <c r="OWW141" s="3"/>
      <c r="OWX141" s="3"/>
      <c r="OWY141" s="3"/>
      <c r="OWZ141" s="3"/>
      <c r="OXA141" s="3"/>
      <c r="OXB141" s="3"/>
      <c r="OXC141" s="3"/>
      <c r="OXD141" s="3"/>
      <c r="OXE141" s="3"/>
      <c r="OXF141" s="3"/>
      <c r="OXG141" s="3"/>
      <c r="OXH141" s="3"/>
      <c r="OXI141" s="3"/>
      <c r="OXJ141" s="3"/>
      <c r="OXK141" s="3"/>
      <c r="OXL141" s="3"/>
      <c r="OXM141" s="3"/>
      <c r="OXN141" s="3"/>
      <c r="OXO141" s="3"/>
      <c r="OXP141" s="3"/>
      <c r="OXQ141" s="3"/>
      <c r="OXR141" s="3"/>
      <c r="OXS141" s="3"/>
      <c r="OXT141" s="3"/>
      <c r="OXU141" s="3"/>
      <c r="OXV141" s="3"/>
      <c r="OXW141" s="3"/>
      <c r="OXX141" s="3"/>
      <c r="OXY141" s="3"/>
      <c r="OXZ141" s="3"/>
      <c r="OYA141" s="3"/>
      <c r="OYB141" s="3"/>
      <c r="OYC141" s="3"/>
      <c r="OYD141" s="3"/>
      <c r="OYE141" s="3"/>
      <c r="OYF141" s="3"/>
      <c r="OYG141" s="3"/>
      <c r="OYH141" s="3"/>
      <c r="OYI141" s="3"/>
      <c r="OYJ141" s="3"/>
      <c r="OYK141" s="3"/>
      <c r="OYL141" s="3"/>
      <c r="OYM141" s="3"/>
      <c r="OYN141" s="3"/>
      <c r="OYO141" s="3"/>
      <c r="OYP141" s="3"/>
      <c r="OYQ141" s="3"/>
      <c r="OYR141" s="3"/>
      <c r="OYS141" s="3"/>
      <c r="OYT141" s="3"/>
      <c r="OYU141" s="3"/>
      <c r="OYV141" s="3"/>
      <c r="OYW141" s="3"/>
      <c r="OYX141" s="3"/>
      <c r="OYY141" s="3"/>
      <c r="OYZ141" s="3"/>
      <c r="OZA141" s="3"/>
      <c r="OZB141" s="3"/>
      <c r="OZC141" s="3"/>
      <c r="OZD141" s="3"/>
      <c r="OZE141" s="3"/>
      <c r="OZF141" s="3"/>
      <c r="OZG141" s="3"/>
      <c r="OZH141" s="3"/>
      <c r="OZI141" s="3"/>
      <c r="OZJ141" s="3"/>
      <c r="OZK141" s="3"/>
      <c r="OZL141" s="3"/>
      <c r="OZM141" s="3"/>
      <c r="OZN141" s="3"/>
      <c r="OZO141" s="3"/>
      <c r="OZP141" s="3"/>
      <c r="OZQ141" s="3"/>
      <c r="OZR141" s="3"/>
      <c r="OZS141" s="3"/>
      <c r="OZT141" s="3"/>
      <c r="OZU141" s="3"/>
      <c r="OZV141" s="3"/>
      <c r="OZW141" s="3"/>
      <c r="OZX141" s="3"/>
      <c r="OZY141" s="3"/>
      <c r="OZZ141" s="3"/>
      <c r="PAA141" s="3"/>
      <c r="PAB141" s="3"/>
      <c r="PAC141" s="3"/>
      <c r="PAD141" s="3"/>
      <c r="PAE141" s="3"/>
      <c r="PAF141" s="3"/>
      <c r="PAG141" s="3"/>
      <c r="PAH141" s="3"/>
      <c r="PAI141" s="3"/>
      <c r="PAJ141" s="3"/>
      <c r="PAK141" s="3"/>
      <c r="PAL141" s="3"/>
      <c r="PAM141" s="3"/>
      <c r="PAN141" s="3"/>
      <c r="PAO141" s="3"/>
      <c r="PAP141" s="3"/>
      <c r="PAQ141" s="3"/>
      <c r="PAR141" s="3"/>
      <c r="PAS141" s="3"/>
      <c r="PAT141" s="3"/>
      <c r="PAU141" s="3"/>
      <c r="PAV141" s="3"/>
      <c r="PAW141" s="3"/>
      <c r="PAX141" s="3"/>
      <c r="PAY141" s="3"/>
      <c r="PAZ141" s="3"/>
      <c r="PBA141" s="3"/>
      <c r="PBB141" s="3"/>
      <c r="PBC141" s="3"/>
      <c r="PBD141" s="3"/>
      <c r="PBE141" s="3"/>
      <c r="PBF141" s="3"/>
      <c r="PBG141" s="3"/>
      <c r="PBH141" s="3"/>
      <c r="PBI141" s="3"/>
      <c r="PBJ141" s="3"/>
      <c r="PBK141" s="3"/>
      <c r="PBL141" s="3"/>
      <c r="PBM141" s="3"/>
      <c r="PBN141" s="3"/>
      <c r="PBO141" s="3"/>
      <c r="PBP141" s="3"/>
      <c r="PBQ141" s="3"/>
      <c r="PBR141" s="3"/>
      <c r="PBS141" s="3"/>
      <c r="PBT141" s="3"/>
      <c r="PBU141" s="3"/>
      <c r="PBV141" s="3"/>
      <c r="PBW141" s="3"/>
      <c r="PBX141" s="3"/>
      <c r="PBY141" s="3"/>
      <c r="PBZ141" s="3"/>
      <c r="PCA141" s="3"/>
      <c r="PCB141" s="3"/>
      <c r="PCC141" s="3"/>
      <c r="PCD141" s="3"/>
      <c r="PCE141" s="3"/>
      <c r="PCF141" s="3"/>
      <c r="PCG141" s="3"/>
      <c r="PCH141" s="3"/>
      <c r="PCI141" s="3"/>
      <c r="PCJ141" s="3"/>
      <c r="PCK141" s="3"/>
      <c r="PCL141" s="3"/>
      <c r="PCM141" s="3"/>
      <c r="PCN141" s="3"/>
      <c r="PCO141" s="3"/>
      <c r="PCP141" s="3"/>
      <c r="PCQ141" s="3"/>
      <c r="PCR141" s="3"/>
      <c r="PCS141" s="3"/>
      <c r="PCT141" s="3"/>
      <c r="PCU141" s="3"/>
      <c r="PCV141" s="3"/>
      <c r="PCW141" s="3"/>
      <c r="PCX141" s="3"/>
      <c r="PCY141" s="3"/>
      <c r="PCZ141" s="3"/>
      <c r="PDA141" s="3"/>
      <c r="PDB141" s="3"/>
      <c r="PDC141" s="3"/>
      <c r="PDD141" s="3"/>
      <c r="PDE141" s="3"/>
      <c r="PDF141" s="3"/>
      <c r="PDG141" s="3"/>
      <c r="PDH141" s="3"/>
      <c r="PDI141" s="3"/>
      <c r="PDJ141" s="3"/>
      <c r="PDK141" s="3"/>
      <c r="PDL141" s="3"/>
      <c r="PDM141" s="3"/>
      <c r="PDN141" s="3"/>
      <c r="PDO141" s="3"/>
      <c r="PDP141" s="3"/>
      <c r="PDQ141" s="3"/>
      <c r="PDR141" s="3"/>
      <c r="PDS141" s="3"/>
      <c r="PDT141" s="3"/>
      <c r="PDU141" s="3"/>
      <c r="PDV141" s="3"/>
      <c r="PDW141" s="3"/>
      <c r="PDX141" s="3"/>
      <c r="PDY141" s="3"/>
      <c r="PDZ141" s="3"/>
      <c r="PEA141" s="3"/>
      <c r="PEB141" s="3"/>
      <c r="PEC141" s="3"/>
      <c r="PED141" s="3"/>
      <c r="PEE141" s="3"/>
      <c r="PEF141" s="3"/>
      <c r="PEG141" s="3"/>
      <c r="PEH141" s="3"/>
      <c r="PEI141" s="3"/>
      <c r="PEJ141" s="3"/>
      <c r="PEK141" s="3"/>
      <c r="PEL141" s="3"/>
      <c r="PEM141" s="3"/>
      <c r="PEN141" s="3"/>
      <c r="PEO141" s="3"/>
      <c r="PEP141" s="3"/>
      <c r="PEQ141" s="3"/>
      <c r="PER141" s="3"/>
      <c r="PES141" s="3"/>
      <c r="PET141" s="3"/>
      <c r="PEU141" s="3"/>
      <c r="PEV141" s="3"/>
      <c r="PEW141" s="3"/>
      <c r="PEX141" s="3"/>
      <c r="PEY141" s="3"/>
      <c r="PEZ141" s="3"/>
      <c r="PFA141" s="3"/>
      <c r="PFB141" s="3"/>
      <c r="PFC141" s="3"/>
      <c r="PFD141" s="3"/>
      <c r="PFE141" s="3"/>
      <c r="PFF141" s="3"/>
      <c r="PFG141" s="3"/>
      <c r="PFH141" s="3"/>
      <c r="PFI141" s="3"/>
      <c r="PFJ141" s="3"/>
      <c r="PFK141" s="3"/>
      <c r="PFL141" s="3"/>
      <c r="PFM141" s="3"/>
      <c r="PFN141" s="3"/>
      <c r="PFO141" s="3"/>
      <c r="PFP141" s="3"/>
      <c r="PFQ141" s="3"/>
      <c r="PFR141" s="3"/>
      <c r="PFS141" s="3"/>
      <c r="PFT141" s="3"/>
      <c r="PFU141" s="3"/>
      <c r="PFV141" s="3"/>
      <c r="PFW141" s="3"/>
      <c r="PFX141" s="3"/>
      <c r="PFY141" s="3"/>
      <c r="PFZ141" s="3"/>
      <c r="PGA141" s="3"/>
      <c r="PGB141" s="3"/>
      <c r="PGC141" s="3"/>
      <c r="PGD141" s="3"/>
      <c r="PGE141" s="3"/>
      <c r="PGF141" s="3"/>
      <c r="PGG141" s="3"/>
      <c r="PGH141" s="3"/>
      <c r="PGI141" s="3"/>
      <c r="PGJ141" s="3"/>
      <c r="PGK141" s="3"/>
      <c r="PGL141" s="3"/>
      <c r="PGM141" s="3"/>
      <c r="PGN141" s="3"/>
      <c r="PGO141" s="3"/>
      <c r="PGP141" s="3"/>
      <c r="PGQ141" s="3"/>
      <c r="PGR141" s="3"/>
      <c r="PGS141" s="3"/>
      <c r="PGT141" s="3"/>
      <c r="PGU141" s="3"/>
      <c r="PGV141" s="3"/>
      <c r="PGW141" s="3"/>
      <c r="PGX141" s="3"/>
      <c r="PGY141" s="3"/>
      <c r="PGZ141" s="3"/>
      <c r="PHA141" s="3"/>
      <c r="PHB141" s="3"/>
      <c r="PHC141" s="3"/>
      <c r="PHD141" s="3"/>
      <c r="PHE141" s="3"/>
      <c r="PHF141" s="3"/>
      <c r="PHG141" s="3"/>
      <c r="PHH141" s="3"/>
      <c r="PHI141" s="3"/>
      <c r="PHJ141" s="3"/>
      <c r="PHK141" s="3"/>
      <c r="PHL141" s="3"/>
      <c r="PHM141" s="3"/>
      <c r="PHN141" s="3"/>
      <c r="PHO141" s="3"/>
      <c r="PHP141" s="3"/>
      <c r="PHQ141" s="3"/>
      <c r="PHR141" s="3"/>
      <c r="PHS141" s="3"/>
      <c r="PHT141" s="3"/>
      <c r="PHU141" s="3"/>
      <c r="PHV141" s="3"/>
      <c r="PHW141" s="3"/>
      <c r="PHX141" s="3"/>
      <c r="PHY141" s="3"/>
      <c r="PHZ141" s="3"/>
      <c r="PIA141" s="3"/>
      <c r="PIB141" s="3"/>
      <c r="PIC141" s="3"/>
      <c r="PID141" s="3"/>
      <c r="PIE141" s="3"/>
      <c r="PIF141" s="3"/>
      <c r="PIG141" s="3"/>
      <c r="PIH141" s="3"/>
      <c r="PII141" s="3"/>
      <c r="PIJ141" s="3"/>
      <c r="PIK141" s="3"/>
      <c r="PIL141" s="3"/>
      <c r="PIM141" s="3"/>
      <c r="PIN141" s="3"/>
      <c r="PIO141" s="3"/>
      <c r="PIP141" s="3"/>
      <c r="PIQ141" s="3"/>
      <c r="PIR141" s="3"/>
      <c r="PIS141" s="3"/>
      <c r="PIT141" s="3"/>
      <c r="PIU141" s="3"/>
      <c r="PIV141" s="3"/>
      <c r="PIW141" s="3"/>
      <c r="PIX141" s="3"/>
      <c r="PIY141" s="3"/>
      <c r="PIZ141" s="3"/>
      <c r="PJA141" s="3"/>
      <c r="PJB141" s="3"/>
      <c r="PJC141" s="3"/>
      <c r="PJD141" s="3"/>
      <c r="PJE141" s="3"/>
      <c r="PJF141" s="3"/>
      <c r="PJG141" s="3"/>
      <c r="PJH141" s="3"/>
      <c r="PJI141" s="3"/>
      <c r="PJJ141" s="3"/>
      <c r="PJK141" s="3"/>
      <c r="PJL141" s="3"/>
      <c r="PJM141" s="3"/>
      <c r="PJN141" s="3"/>
      <c r="PJO141" s="3"/>
      <c r="PJP141" s="3"/>
      <c r="PJQ141" s="3"/>
      <c r="PJR141" s="3"/>
      <c r="PJS141" s="3"/>
      <c r="PJT141" s="3"/>
      <c r="PJU141" s="3"/>
      <c r="PJV141" s="3"/>
      <c r="PJW141" s="3"/>
      <c r="PJX141" s="3"/>
      <c r="PJY141" s="3"/>
      <c r="PJZ141" s="3"/>
      <c r="PKA141" s="3"/>
      <c r="PKB141" s="3"/>
      <c r="PKC141" s="3"/>
      <c r="PKD141" s="3"/>
      <c r="PKE141" s="3"/>
      <c r="PKF141" s="3"/>
      <c r="PKG141" s="3"/>
      <c r="PKH141" s="3"/>
      <c r="PKI141" s="3"/>
      <c r="PKJ141" s="3"/>
      <c r="PKK141" s="3"/>
      <c r="PKL141" s="3"/>
      <c r="PKM141" s="3"/>
      <c r="PKN141" s="3"/>
      <c r="PKO141" s="3"/>
      <c r="PKP141" s="3"/>
      <c r="PKQ141" s="3"/>
      <c r="PKR141" s="3"/>
      <c r="PKS141" s="3"/>
      <c r="PKT141" s="3"/>
      <c r="PKU141" s="3"/>
      <c r="PKV141" s="3"/>
      <c r="PKW141" s="3"/>
      <c r="PKX141" s="3"/>
      <c r="PKY141" s="3"/>
      <c r="PKZ141" s="3"/>
      <c r="PLA141" s="3"/>
      <c r="PLB141" s="3"/>
      <c r="PLC141" s="3"/>
      <c r="PLD141" s="3"/>
      <c r="PLE141" s="3"/>
      <c r="PLF141" s="3"/>
      <c r="PLG141" s="3"/>
      <c r="PLH141" s="3"/>
      <c r="PLI141" s="3"/>
      <c r="PLJ141" s="3"/>
      <c r="PLK141" s="3"/>
      <c r="PLL141" s="3"/>
      <c r="PLM141" s="3"/>
      <c r="PLN141" s="3"/>
      <c r="PLO141" s="3"/>
      <c r="PLP141" s="3"/>
      <c r="PLQ141" s="3"/>
      <c r="PLR141" s="3"/>
      <c r="PLS141" s="3"/>
      <c r="PLT141" s="3"/>
      <c r="PLU141" s="3"/>
      <c r="PLV141" s="3"/>
      <c r="PLW141" s="3"/>
      <c r="PLX141" s="3"/>
      <c r="PLY141" s="3"/>
      <c r="PLZ141" s="3"/>
      <c r="PMA141" s="3"/>
      <c r="PMB141" s="3"/>
      <c r="PMC141" s="3"/>
      <c r="PMD141" s="3"/>
      <c r="PME141" s="3"/>
      <c r="PMF141" s="3"/>
      <c r="PMG141" s="3"/>
      <c r="PMH141" s="3"/>
      <c r="PMI141" s="3"/>
      <c r="PMJ141" s="3"/>
      <c r="PMK141" s="3"/>
      <c r="PML141" s="3"/>
      <c r="PMM141" s="3"/>
      <c r="PMN141" s="3"/>
      <c r="PMO141" s="3"/>
      <c r="PMP141" s="3"/>
      <c r="PMQ141" s="3"/>
      <c r="PMR141" s="3"/>
      <c r="PMS141" s="3"/>
      <c r="PMT141" s="3"/>
      <c r="PMU141" s="3"/>
      <c r="PMV141" s="3"/>
      <c r="PMW141" s="3"/>
      <c r="PMX141" s="3"/>
      <c r="PMY141" s="3"/>
      <c r="PMZ141" s="3"/>
      <c r="PNA141" s="3"/>
      <c r="PNB141" s="3"/>
      <c r="PNC141" s="3"/>
      <c r="PND141" s="3"/>
      <c r="PNE141" s="3"/>
      <c r="PNF141" s="3"/>
      <c r="PNG141" s="3"/>
      <c r="PNH141" s="3"/>
      <c r="PNI141" s="3"/>
      <c r="PNJ141" s="3"/>
      <c r="PNK141" s="3"/>
      <c r="PNL141" s="3"/>
      <c r="PNM141" s="3"/>
      <c r="PNN141" s="3"/>
      <c r="PNO141" s="3"/>
      <c r="PNP141" s="3"/>
      <c r="PNQ141" s="3"/>
      <c r="PNR141" s="3"/>
      <c r="PNS141" s="3"/>
      <c r="PNT141" s="3"/>
      <c r="PNU141" s="3"/>
      <c r="PNV141" s="3"/>
      <c r="PNW141" s="3"/>
      <c r="PNX141" s="3"/>
      <c r="PNY141" s="3"/>
      <c r="PNZ141" s="3"/>
      <c r="POA141" s="3"/>
      <c r="POB141" s="3"/>
      <c r="POC141" s="3"/>
      <c r="POD141" s="3"/>
      <c r="POE141" s="3"/>
      <c r="POF141" s="3"/>
      <c r="POG141" s="3"/>
      <c r="POH141" s="3"/>
      <c r="POI141" s="3"/>
      <c r="POJ141" s="3"/>
      <c r="POK141" s="3"/>
      <c r="POL141" s="3"/>
      <c r="POM141" s="3"/>
      <c r="PON141" s="3"/>
      <c r="POO141" s="3"/>
      <c r="POP141" s="3"/>
      <c r="POQ141" s="3"/>
      <c r="POR141" s="3"/>
      <c r="POS141" s="3"/>
      <c r="POT141" s="3"/>
      <c r="POU141" s="3"/>
      <c r="POV141" s="3"/>
      <c r="POW141" s="3"/>
      <c r="POX141" s="3"/>
      <c r="POY141" s="3"/>
      <c r="POZ141" s="3"/>
      <c r="PPA141" s="3"/>
      <c r="PPB141" s="3"/>
      <c r="PPC141" s="3"/>
      <c r="PPD141" s="3"/>
      <c r="PPE141" s="3"/>
      <c r="PPF141" s="3"/>
      <c r="PPG141" s="3"/>
      <c r="PPH141" s="3"/>
      <c r="PPI141" s="3"/>
      <c r="PPJ141" s="3"/>
      <c r="PPK141" s="3"/>
      <c r="PPL141" s="3"/>
      <c r="PPM141" s="3"/>
      <c r="PPN141" s="3"/>
      <c r="PPO141" s="3"/>
      <c r="PPP141" s="3"/>
      <c r="PPQ141" s="3"/>
      <c r="PPR141" s="3"/>
      <c r="PPS141" s="3"/>
      <c r="PPT141" s="3"/>
      <c r="PPU141" s="3"/>
      <c r="PPV141" s="3"/>
      <c r="PPW141" s="3"/>
      <c r="PPX141" s="3"/>
      <c r="PPY141" s="3"/>
      <c r="PPZ141" s="3"/>
      <c r="PQA141" s="3"/>
      <c r="PQB141" s="3"/>
      <c r="PQC141" s="3"/>
      <c r="PQD141" s="3"/>
      <c r="PQE141" s="3"/>
      <c r="PQF141" s="3"/>
      <c r="PQG141" s="3"/>
      <c r="PQH141" s="3"/>
      <c r="PQI141" s="3"/>
      <c r="PQJ141" s="3"/>
      <c r="PQK141" s="3"/>
      <c r="PQL141" s="3"/>
      <c r="PQM141" s="3"/>
      <c r="PQN141" s="3"/>
      <c r="PQO141" s="3"/>
      <c r="PQP141" s="3"/>
      <c r="PQQ141" s="3"/>
      <c r="PQR141" s="3"/>
      <c r="PQS141" s="3"/>
      <c r="PQT141" s="3"/>
      <c r="PQU141" s="3"/>
      <c r="PQV141" s="3"/>
      <c r="PQW141" s="3"/>
      <c r="PQX141" s="3"/>
      <c r="PQY141" s="3"/>
      <c r="PQZ141" s="3"/>
      <c r="PRA141" s="3"/>
      <c r="PRB141" s="3"/>
      <c r="PRC141" s="3"/>
      <c r="PRD141" s="3"/>
      <c r="PRE141" s="3"/>
      <c r="PRF141" s="3"/>
      <c r="PRG141" s="3"/>
      <c r="PRH141" s="3"/>
      <c r="PRI141" s="3"/>
      <c r="PRJ141" s="3"/>
      <c r="PRK141" s="3"/>
      <c r="PRL141" s="3"/>
      <c r="PRM141" s="3"/>
      <c r="PRN141" s="3"/>
      <c r="PRO141" s="3"/>
      <c r="PRP141" s="3"/>
      <c r="PRQ141" s="3"/>
      <c r="PRR141" s="3"/>
      <c r="PRS141" s="3"/>
      <c r="PRT141" s="3"/>
      <c r="PRU141" s="3"/>
      <c r="PRV141" s="3"/>
      <c r="PRW141" s="3"/>
      <c r="PRX141" s="3"/>
      <c r="PRY141" s="3"/>
      <c r="PRZ141" s="3"/>
      <c r="PSA141" s="3"/>
      <c r="PSB141" s="3"/>
      <c r="PSC141" s="3"/>
      <c r="PSD141" s="3"/>
      <c r="PSE141" s="3"/>
      <c r="PSF141" s="3"/>
      <c r="PSG141" s="3"/>
      <c r="PSH141" s="3"/>
      <c r="PSI141" s="3"/>
      <c r="PSJ141" s="3"/>
      <c r="PSK141" s="3"/>
      <c r="PSL141" s="3"/>
      <c r="PSM141" s="3"/>
      <c r="PSN141" s="3"/>
      <c r="PSO141" s="3"/>
      <c r="PSP141" s="3"/>
      <c r="PSQ141" s="3"/>
      <c r="PSR141" s="3"/>
      <c r="PSS141" s="3"/>
      <c r="PST141" s="3"/>
      <c r="PSU141" s="3"/>
      <c r="PSV141" s="3"/>
      <c r="PSW141" s="3"/>
      <c r="PSX141" s="3"/>
      <c r="PSY141" s="3"/>
      <c r="PSZ141" s="3"/>
      <c r="PTA141" s="3"/>
      <c r="PTB141" s="3"/>
      <c r="PTC141" s="3"/>
      <c r="PTD141" s="3"/>
      <c r="PTE141" s="3"/>
      <c r="PTF141" s="3"/>
      <c r="PTG141" s="3"/>
      <c r="PTH141" s="3"/>
      <c r="PTI141" s="3"/>
      <c r="PTJ141" s="3"/>
      <c r="PTK141" s="3"/>
      <c r="PTL141" s="3"/>
      <c r="PTM141" s="3"/>
      <c r="PTN141" s="3"/>
      <c r="PTO141" s="3"/>
      <c r="PTP141" s="3"/>
      <c r="PTQ141" s="3"/>
      <c r="PTR141" s="3"/>
      <c r="PTS141" s="3"/>
      <c r="PTT141" s="3"/>
      <c r="PTU141" s="3"/>
      <c r="PTV141" s="3"/>
      <c r="PTW141" s="3"/>
      <c r="PTX141" s="3"/>
      <c r="PTY141" s="3"/>
      <c r="PTZ141" s="3"/>
      <c r="PUA141" s="3"/>
      <c r="PUB141" s="3"/>
      <c r="PUC141" s="3"/>
      <c r="PUD141" s="3"/>
      <c r="PUE141" s="3"/>
      <c r="PUF141" s="3"/>
      <c r="PUG141" s="3"/>
      <c r="PUH141" s="3"/>
      <c r="PUI141" s="3"/>
      <c r="PUJ141" s="3"/>
      <c r="PUK141" s="3"/>
      <c r="PUL141" s="3"/>
      <c r="PUM141" s="3"/>
      <c r="PUN141" s="3"/>
      <c r="PUO141" s="3"/>
      <c r="PUP141" s="3"/>
      <c r="PUQ141" s="3"/>
      <c r="PUR141" s="3"/>
      <c r="PUS141" s="3"/>
      <c r="PUT141" s="3"/>
      <c r="PUU141" s="3"/>
      <c r="PUV141" s="3"/>
      <c r="PUW141" s="3"/>
      <c r="PUX141" s="3"/>
      <c r="PUY141" s="3"/>
      <c r="PUZ141" s="3"/>
      <c r="PVA141" s="3"/>
      <c r="PVB141" s="3"/>
      <c r="PVC141" s="3"/>
      <c r="PVD141" s="3"/>
      <c r="PVE141" s="3"/>
      <c r="PVF141" s="3"/>
      <c r="PVG141" s="3"/>
      <c r="PVH141" s="3"/>
      <c r="PVI141" s="3"/>
      <c r="PVJ141" s="3"/>
      <c r="PVK141" s="3"/>
      <c r="PVL141" s="3"/>
      <c r="PVM141" s="3"/>
      <c r="PVN141" s="3"/>
      <c r="PVO141" s="3"/>
      <c r="PVP141" s="3"/>
      <c r="PVQ141" s="3"/>
      <c r="PVR141" s="3"/>
      <c r="PVS141" s="3"/>
      <c r="PVT141" s="3"/>
      <c r="PVU141" s="3"/>
      <c r="PVV141" s="3"/>
      <c r="PVW141" s="3"/>
      <c r="PVX141" s="3"/>
      <c r="PVY141" s="3"/>
      <c r="PVZ141" s="3"/>
      <c r="PWA141" s="3"/>
      <c r="PWB141" s="3"/>
      <c r="PWC141" s="3"/>
      <c r="PWD141" s="3"/>
      <c r="PWE141" s="3"/>
      <c r="PWF141" s="3"/>
      <c r="PWG141" s="3"/>
      <c r="PWH141" s="3"/>
      <c r="PWI141" s="3"/>
      <c r="PWJ141" s="3"/>
      <c r="PWK141" s="3"/>
      <c r="PWL141" s="3"/>
      <c r="PWM141" s="3"/>
      <c r="PWN141" s="3"/>
      <c r="PWO141" s="3"/>
      <c r="PWP141" s="3"/>
      <c r="PWQ141" s="3"/>
      <c r="PWR141" s="3"/>
      <c r="PWS141" s="3"/>
      <c r="PWT141" s="3"/>
      <c r="PWU141" s="3"/>
      <c r="PWV141" s="3"/>
      <c r="PWW141" s="3"/>
      <c r="PWX141" s="3"/>
      <c r="PWY141" s="3"/>
      <c r="PWZ141" s="3"/>
      <c r="PXA141" s="3"/>
      <c r="PXB141" s="3"/>
      <c r="PXC141" s="3"/>
      <c r="PXD141" s="3"/>
      <c r="PXE141" s="3"/>
      <c r="PXF141" s="3"/>
      <c r="PXG141" s="3"/>
      <c r="PXH141" s="3"/>
      <c r="PXI141" s="3"/>
      <c r="PXJ141" s="3"/>
      <c r="PXK141" s="3"/>
      <c r="PXL141" s="3"/>
      <c r="PXM141" s="3"/>
      <c r="PXN141" s="3"/>
      <c r="PXO141" s="3"/>
      <c r="PXP141" s="3"/>
      <c r="PXQ141" s="3"/>
      <c r="PXR141" s="3"/>
      <c r="PXS141" s="3"/>
      <c r="PXT141" s="3"/>
      <c r="PXU141" s="3"/>
      <c r="PXV141" s="3"/>
      <c r="PXW141" s="3"/>
      <c r="PXX141" s="3"/>
      <c r="PXY141" s="3"/>
      <c r="PXZ141" s="3"/>
      <c r="PYA141" s="3"/>
      <c r="PYB141" s="3"/>
      <c r="PYC141" s="3"/>
      <c r="PYD141" s="3"/>
      <c r="PYE141" s="3"/>
      <c r="PYF141" s="3"/>
      <c r="PYG141" s="3"/>
      <c r="PYH141" s="3"/>
      <c r="PYI141" s="3"/>
      <c r="PYJ141" s="3"/>
      <c r="PYK141" s="3"/>
      <c r="PYL141" s="3"/>
      <c r="PYM141" s="3"/>
      <c r="PYN141" s="3"/>
      <c r="PYO141" s="3"/>
      <c r="PYP141" s="3"/>
      <c r="PYQ141" s="3"/>
      <c r="PYR141" s="3"/>
      <c r="PYS141" s="3"/>
      <c r="PYT141" s="3"/>
      <c r="PYU141" s="3"/>
      <c r="PYV141" s="3"/>
      <c r="PYW141" s="3"/>
      <c r="PYX141" s="3"/>
      <c r="PYY141" s="3"/>
      <c r="PYZ141" s="3"/>
      <c r="PZA141" s="3"/>
      <c r="PZB141" s="3"/>
      <c r="PZC141" s="3"/>
      <c r="PZD141" s="3"/>
      <c r="PZE141" s="3"/>
      <c r="PZF141" s="3"/>
      <c r="PZG141" s="3"/>
      <c r="PZH141" s="3"/>
      <c r="PZI141" s="3"/>
      <c r="PZJ141" s="3"/>
      <c r="PZK141" s="3"/>
      <c r="PZL141" s="3"/>
      <c r="PZM141" s="3"/>
      <c r="PZN141" s="3"/>
      <c r="PZO141" s="3"/>
      <c r="PZP141" s="3"/>
      <c r="PZQ141" s="3"/>
      <c r="PZR141" s="3"/>
      <c r="PZS141" s="3"/>
      <c r="PZT141" s="3"/>
      <c r="PZU141" s="3"/>
      <c r="PZV141" s="3"/>
      <c r="PZW141" s="3"/>
      <c r="PZX141" s="3"/>
      <c r="PZY141" s="3"/>
      <c r="PZZ141" s="3"/>
      <c r="QAA141" s="3"/>
      <c r="QAB141" s="3"/>
      <c r="QAC141" s="3"/>
      <c r="QAD141" s="3"/>
      <c r="QAE141" s="3"/>
      <c r="QAF141" s="3"/>
      <c r="QAG141" s="3"/>
      <c r="QAH141" s="3"/>
      <c r="QAI141" s="3"/>
      <c r="QAJ141" s="3"/>
      <c r="QAK141" s="3"/>
      <c r="QAL141" s="3"/>
      <c r="QAM141" s="3"/>
      <c r="QAN141" s="3"/>
      <c r="QAO141" s="3"/>
      <c r="QAP141" s="3"/>
      <c r="QAQ141" s="3"/>
      <c r="QAR141" s="3"/>
      <c r="QAS141" s="3"/>
      <c r="QAT141" s="3"/>
      <c r="QAU141" s="3"/>
      <c r="QAV141" s="3"/>
      <c r="QAW141" s="3"/>
      <c r="QAX141" s="3"/>
      <c r="QAY141" s="3"/>
      <c r="QAZ141" s="3"/>
      <c r="QBA141" s="3"/>
      <c r="QBB141" s="3"/>
      <c r="QBC141" s="3"/>
      <c r="QBD141" s="3"/>
      <c r="QBE141" s="3"/>
      <c r="QBF141" s="3"/>
      <c r="QBG141" s="3"/>
      <c r="QBH141" s="3"/>
      <c r="QBI141" s="3"/>
      <c r="QBJ141" s="3"/>
      <c r="QBK141" s="3"/>
      <c r="QBL141" s="3"/>
      <c r="QBM141" s="3"/>
      <c r="QBN141" s="3"/>
      <c r="QBO141" s="3"/>
      <c r="QBP141" s="3"/>
      <c r="QBQ141" s="3"/>
      <c r="QBR141" s="3"/>
      <c r="QBS141" s="3"/>
      <c r="QBT141" s="3"/>
      <c r="QBU141" s="3"/>
      <c r="QBV141" s="3"/>
      <c r="QBW141" s="3"/>
      <c r="QBX141" s="3"/>
      <c r="QBY141" s="3"/>
      <c r="QBZ141" s="3"/>
      <c r="QCA141" s="3"/>
      <c r="QCB141" s="3"/>
      <c r="QCC141" s="3"/>
      <c r="QCD141" s="3"/>
      <c r="QCE141" s="3"/>
      <c r="QCF141" s="3"/>
      <c r="QCG141" s="3"/>
      <c r="QCH141" s="3"/>
      <c r="QCI141" s="3"/>
      <c r="QCJ141" s="3"/>
      <c r="QCK141" s="3"/>
      <c r="QCL141" s="3"/>
      <c r="QCM141" s="3"/>
      <c r="QCN141" s="3"/>
      <c r="QCO141" s="3"/>
      <c r="QCP141" s="3"/>
      <c r="QCQ141" s="3"/>
      <c r="QCR141" s="3"/>
      <c r="QCS141" s="3"/>
      <c r="QCT141" s="3"/>
      <c r="QCU141" s="3"/>
      <c r="QCV141" s="3"/>
      <c r="QCW141" s="3"/>
      <c r="QCX141" s="3"/>
      <c r="QCY141" s="3"/>
      <c r="QCZ141" s="3"/>
      <c r="QDA141" s="3"/>
      <c r="QDB141" s="3"/>
      <c r="QDC141" s="3"/>
      <c r="QDD141" s="3"/>
      <c r="QDE141" s="3"/>
      <c r="QDF141" s="3"/>
      <c r="QDG141" s="3"/>
      <c r="QDH141" s="3"/>
      <c r="QDI141" s="3"/>
      <c r="QDJ141" s="3"/>
      <c r="QDK141" s="3"/>
      <c r="QDL141" s="3"/>
      <c r="QDM141" s="3"/>
      <c r="QDN141" s="3"/>
      <c r="QDO141" s="3"/>
      <c r="QDP141" s="3"/>
      <c r="QDQ141" s="3"/>
      <c r="QDR141" s="3"/>
      <c r="QDS141" s="3"/>
      <c r="QDT141" s="3"/>
      <c r="QDU141" s="3"/>
      <c r="QDV141" s="3"/>
      <c r="QDW141" s="3"/>
      <c r="QDX141" s="3"/>
      <c r="QDY141" s="3"/>
      <c r="QDZ141" s="3"/>
      <c r="QEA141" s="3"/>
      <c r="QEB141" s="3"/>
      <c r="QEC141" s="3"/>
      <c r="QED141" s="3"/>
      <c r="QEE141" s="3"/>
      <c r="QEF141" s="3"/>
      <c r="QEG141" s="3"/>
      <c r="QEH141" s="3"/>
      <c r="QEI141" s="3"/>
      <c r="QEJ141" s="3"/>
      <c r="QEK141" s="3"/>
      <c r="QEL141" s="3"/>
      <c r="QEM141" s="3"/>
      <c r="QEN141" s="3"/>
      <c r="QEO141" s="3"/>
      <c r="QEP141" s="3"/>
      <c r="QEQ141" s="3"/>
      <c r="QER141" s="3"/>
      <c r="QES141" s="3"/>
      <c r="QET141" s="3"/>
      <c r="QEU141" s="3"/>
      <c r="QEV141" s="3"/>
      <c r="QEW141" s="3"/>
      <c r="QEX141" s="3"/>
      <c r="QEY141" s="3"/>
      <c r="QEZ141" s="3"/>
      <c r="QFA141" s="3"/>
      <c r="QFB141" s="3"/>
      <c r="QFC141" s="3"/>
      <c r="QFD141" s="3"/>
      <c r="QFE141" s="3"/>
      <c r="QFF141" s="3"/>
      <c r="QFG141" s="3"/>
      <c r="QFH141" s="3"/>
      <c r="QFI141" s="3"/>
      <c r="QFJ141" s="3"/>
      <c r="QFK141" s="3"/>
      <c r="QFL141" s="3"/>
      <c r="QFM141" s="3"/>
      <c r="QFN141" s="3"/>
      <c r="QFO141" s="3"/>
      <c r="QFP141" s="3"/>
      <c r="QFQ141" s="3"/>
      <c r="QFR141" s="3"/>
      <c r="QFS141" s="3"/>
      <c r="QFT141" s="3"/>
      <c r="QFU141" s="3"/>
      <c r="QFV141" s="3"/>
      <c r="QFW141" s="3"/>
      <c r="QFX141" s="3"/>
      <c r="QFY141" s="3"/>
      <c r="QFZ141" s="3"/>
      <c r="QGA141" s="3"/>
      <c r="QGB141" s="3"/>
      <c r="QGC141" s="3"/>
      <c r="QGD141" s="3"/>
      <c r="QGE141" s="3"/>
      <c r="QGF141" s="3"/>
      <c r="QGG141" s="3"/>
      <c r="QGH141" s="3"/>
      <c r="QGI141" s="3"/>
      <c r="QGJ141" s="3"/>
      <c r="QGK141" s="3"/>
      <c r="QGL141" s="3"/>
      <c r="QGM141" s="3"/>
      <c r="QGN141" s="3"/>
      <c r="QGO141" s="3"/>
      <c r="QGP141" s="3"/>
      <c r="QGQ141" s="3"/>
      <c r="QGR141" s="3"/>
      <c r="QGS141" s="3"/>
      <c r="QGT141" s="3"/>
      <c r="QGU141" s="3"/>
      <c r="QGV141" s="3"/>
      <c r="QGW141" s="3"/>
      <c r="QGX141" s="3"/>
      <c r="QGY141" s="3"/>
      <c r="QGZ141" s="3"/>
      <c r="QHA141" s="3"/>
      <c r="QHB141" s="3"/>
      <c r="QHC141" s="3"/>
      <c r="QHD141" s="3"/>
      <c r="QHE141" s="3"/>
      <c r="QHF141" s="3"/>
      <c r="QHG141" s="3"/>
      <c r="QHH141" s="3"/>
      <c r="QHI141" s="3"/>
      <c r="QHJ141" s="3"/>
      <c r="QHK141" s="3"/>
      <c r="QHL141" s="3"/>
      <c r="QHM141" s="3"/>
      <c r="QHN141" s="3"/>
      <c r="QHO141" s="3"/>
      <c r="QHP141" s="3"/>
      <c r="QHQ141" s="3"/>
      <c r="QHR141" s="3"/>
      <c r="QHS141" s="3"/>
      <c r="QHT141" s="3"/>
      <c r="QHU141" s="3"/>
      <c r="QHV141" s="3"/>
      <c r="QHW141" s="3"/>
      <c r="QHX141" s="3"/>
      <c r="QHY141" s="3"/>
      <c r="QHZ141" s="3"/>
      <c r="QIA141" s="3"/>
      <c r="QIB141" s="3"/>
      <c r="QIC141" s="3"/>
      <c r="QID141" s="3"/>
      <c r="QIE141" s="3"/>
      <c r="QIF141" s="3"/>
      <c r="QIG141" s="3"/>
      <c r="QIH141" s="3"/>
      <c r="QII141" s="3"/>
      <c r="QIJ141" s="3"/>
      <c r="QIK141" s="3"/>
      <c r="QIL141" s="3"/>
      <c r="QIM141" s="3"/>
      <c r="QIN141" s="3"/>
      <c r="QIO141" s="3"/>
      <c r="QIP141" s="3"/>
      <c r="QIQ141" s="3"/>
      <c r="QIR141" s="3"/>
      <c r="QIS141" s="3"/>
      <c r="QIT141" s="3"/>
      <c r="QIU141" s="3"/>
      <c r="QIV141" s="3"/>
      <c r="QIW141" s="3"/>
      <c r="QIX141" s="3"/>
      <c r="QIY141" s="3"/>
      <c r="QIZ141" s="3"/>
      <c r="QJA141" s="3"/>
      <c r="QJB141" s="3"/>
      <c r="QJC141" s="3"/>
      <c r="QJD141" s="3"/>
      <c r="QJE141" s="3"/>
      <c r="QJF141" s="3"/>
      <c r="QJG141" s="3"/>
      <c r="QJH141" s="3"/>
      <c r="QJI141" s="3"/>
      <c r="QJJ141" s="3"/>
      <c r="QJK141" s="3"/>
      <c r="QJL141" s="3"/>
      <c r="QJM141" s="3"/>
      <c r="QJN141" s="3"/>
      <c r="QJO141" s="3"/>
      <c r="QJP141" s="3"/>
      <c r="QJQ141" s="3"/>
      <c r="QJR141" s="3"/>
      <c r="QJS141" s="3"/>
      <c r="QJT141" s="3"/>
      <c r="QJU141" s="3"/>
      <c r="QJV141" s="3"/>
      <c r="QJW141" s="3"/>
      <c r="QJX141" s="3"/>
      <c r="QJY141" s="3"/>
      <c r="QJZ141" s="3"/>
      <c r="QKA141" s="3"/>
      <c r="QKB141" s="3"/>
      <c r="QKC141" s="3"/>
      <c r="QKD141" s="3"/>
      <c r="QKE141" s="3"/>
      <c r="QKF141" s="3"/>
      <c r="QKG141" s="3"/>
      <c r="QKH141" s="3"/>
      <c r="QKI141" s="3"/>
      <c r="QKJ141" s="3"/>
      <c r="QKK141" s="3"/>
      <c r="QKL141" s="3"/>
      <c r="QKM141" s="3"/>
      <c r="QKN141" s="3"/>
      <c r="QKO141" s="3"/>
      <c r="QKP141" s="3"/>
      <c r="QKQ141" s="3"/>
      <c r="QKR141" s="3"/>
      <c r="QKS141" s="3"/>
      <c r="QKT141" s="3"/>
      <c r="QKU141" s="3"/>
      <c r="QKV141" s="3"/>
      <c r="QKW141" s="3"/>
      <c r="QKX141" s="3"/>
      <c r="QKY141" s="3"/>
      <c r="QKZ141" s="3"/>
      <c r="QLA141" s="3"/>
      <c r="QLB141" s="3"/>
      <c r="QLC141" s="3"/>
      <c r="QLD141" s="3"/>
      <c r="QLE141" s="3"/>
      <c r="QLF141" s="3"/>
      <c r="QLG141" s="3"/>
      <c r="QLH141" s="3"/>
      <c r="QLI141" s="3"/>
      <c r="QLJ141" s="3"/>
      <c r="QLK141" s="3"/>
      <c r="QLL141" s="3"/>
      <c r="QLM141" s="3"/>
      <c r="QLN141" s="3"/>
      <c r="QLO141" s="3"/>
      <c r="QLP141" s="3"/>
      <c r="QLQ141" s="3"/>
      <c r="QLR141" s="3"/>
      <c r="QLS141" s="3"/>
      <c r="QLT141" s="3"/>
      <c r="QLU141" s="3"/>
      <c r="QLV141" s="3"/>
      <c r="QLW141" s="3"/>
      <c r="QLX141" s="3"/>
      <c r="QLY141" s="3"/>
      <c r="QLZ141" s="3"/>
      <c r="QMA141" s="3"/>
      <c r="QMB141" s="3"/>
      <c r="QMC141" s="3"/>
      <c r="QMD141" s="3"/>
      <c r="QME141" s="3"/>
      <c r="QMF141" s="3"/>
      <c r="QMG141" s="3"/>
      <c r="QMH141" s="3"/>
      <c r="QMI141" s="3"/>
      <c r="QMJ141" s="3"/>
      <c r="QMK141" s="3"/>
      <c r="QML141" s="3"/>
      <c r="QMM141" s="3"/>
      <c r="QMN141" s="3"/>
      <c r="QMO141" s="3"/>
      <c r="QMP141" s="3"/>
      <c r="QMQ141" s="3"/>
      <c r="QMR141" s="3"/>
      <c r="QMS141" s="3"/>
      <c r="QMT141" s="3"/>
      <c r="QMU141" s="3"/>
      <c r="QMV141" s="3"/>
      <c r="QMW141" s="3"/>
      <c r="QMX141" s="3"/>
      <c r="QMY141" s="3"/>
      <c r="QMZ141" s="3"/>
      <c r="QNA141" s="3"/>
      <c r="QNB141" s="3"/>
      <c r="QNC141" s="3"/>
      <c r="QND141" s="3"/>
      <c r="QNE141" s="3"/>
      <c r="QNF141" s="3"/>
      <c r="QNG141" s="3"/>
      <c r="QNH141" s="3"/>
      <c r="QNI141" s="3"/>
      <c r="QNJ141" s="3"/>
      <c r="QNK141" s="3"/>
      <c r="QNL141" s="3"/>
      <c r="QNM141" s="3"/>
      <c r="QNN141" s="3"/>
      <c r="QNO141" s="3"/>
      <c r="QNP141" s="3"/>
      <c r="QNQ141" s="3"/>
      <c r="QNR141" s="3"/>
      <c r="QNS141" s="3"/>
      <c r="QNT141" s="3"/>
      <c r="QNU141" s="3"/>
      <c r="QNV141" s="3"/>
      <c r="QNW141" s="3"/>
      <c r="QNX141" s="3"/>
      <c r="QNY141" s="3"/>
      <c r="QNZ141" s="3"/>
      <c r="QOA141" s="3"/>
      <c r="QOB141" s="3"/>
      <c r="QOC141" s="3"/>
      <c r="QOD141" s="3"/>
      <c r="QOE141" s="3"/>
      <c r="QOF141" s="3"/>
      <c r="QOG141" s="3"/>
      <c r="QOH141" s="3"/>
      <c r="QOI141" s="3"/>
      <c r="QOJ141" s="3"/>
      <c r="QOK141" s="3"/>
      <c r="QOL141" s="3"/>
      <c r="QOM141" s="3"/>
      <c r="QON141" s="3"/>
      <c r="QOO141" s="3"/>
      <c r="QOP141" s="3"/>
      <c r="QOQ141" s="3"/>
      <c r="QOR141" s="3"/>
      <c r="QOS141" s="3"/>
      <c r="QOT141" s="3"/>
      <c r="QOU141" s="3"/>
      <c r="QOV141" s="3"/>
      <c r="QOW141" s="3"/>
      <c r="QOX141" s="3"/>
      <c r="QOY141" s="3"/>
      <c r="QOZ141" s="3"/>
      <c r="QPA141" s="3"/>
      <c r="QPB141" s="3"/>
      <c r="QPC141" s="3"/>
      <c r="QPD141" s="3"/>
      <c r="QPE141" s="3"/>
      <c r="QPF141" s="3"/>
      <c r="QPG141" s="3"/>
      <c r="QPH141" s="3"/>
      <c r="QPI141" s="3"/>
      <c r="QPJ141" s="3"/>
      <c r="QPK141" s="3"/>
      <c r="QPL141" s="3"/>
      <c r="QPM141" s="3"/>
      <c r="QPN141" s="3"/>
      <c r="QPO141" s="3"/>
      <c r="QPP141" s="3"/>
      <c r="QPQ141" s="3"/>
      <c r="QPR141" s="3"/>
      <c r="QPS141" s="3"/>
      <c r="QPT141" s="3"/>
      <c r="QPU141" s="3"/>
      <c r="QPV141" s="3"/>
      <c r="QPW141" s="3"/>
      <c r="QPX141" s="3"/>
      <c r="QPY141" s="3"/>
      <c r="QPZ141" s="3"/>
      <c r="QQA141" s="3"/>
      <c r="QQB141" s="3"/>
      <c r="QQC141" s="3"/>
      <c r="QQD141" s="3"/>
      <c r="QQE141" s="3"/>
      <c r="QQF141" s="3"/>
      <c r="QQG141" s="3"/>
      <c r="QQH141" s="3"/>
      <c r="QQI141" s="3"/>
      <c r="QQJ141" s="3"/>
      <c r="QQK141" s="3"/>
      <c r="QQL141" s="3"/>
      <c r="QQM141" s="3"/>
      <c r="QQN141" s="3"/>
      <c r="QQO141" s="3"/>
      <c r="QQP141" s="3"/>
      <c r="QQQ141" s="3"/>
      <c r="QQR141" s="3"/>
      <c r="QQS141" s="3"/>
      <c r="QQT141" s="3"/>
      <c r="QQU141" s="3"/>
      <c r="QQV141" s="3"/>
      <c r="QQW141" s="3"/>
      <c r="QQX141" s="3"/>
      <c r="QQY141" s="3"/>
      <c r="QQZ141" s="3"/>
      <c r="QRA141" s="3"/>
      <c r="QRB141" s="3"/>
      <c r="QRC141" s="3"/>
      <c r="QRD141" s="3"/>
      <c r="QRE141" s="3"/>
      <c r="QRF141" s="3"/>
      <c r="QRG141" s="3"/>
      <c r="QRH141" s="3"/>
      <c r="QRI141" s="3"/>
      <c r="QRJ141" s="3"/>
      <c r="QRK141" s="3"/>
      <c r="QRL141" s="3"/>
      <c r="QRM141" s="3"/>
      <c r="QRN141" s="3"/>
      <c r="QRO141" s="3"/>
      <c r="QRP141" s="3"/>
      <c r="QRQ141" s="3"/>
      <c r="QRR141" s="3"/>
      <c r="QRS141" s="3"/>
      <c r="QRT141" s="3"/>
      <c r="QRU141" s="3"/>
      <c r="QRV141" s="3"/>
      <c r="QRW141" s="3"/>
      <c r="QRX141" s="3"/>
      <c r="QRY141" s="3"/>
      <c r="QRZ141" s="3"/>
      <c r="QSA141" s="3"/>
      <c r="QSB141" s="3"/>
      <c r="QSC141" s="3"/>
      <c r="QSD141" s="3"/>
      <c r="QSE141" s="3"/>
      <c r="QSF141" s="3"/>
      <c r="QSG141" s="3"/>
      <c r="QSH141" s="3"/>
      <c r="QSI141" s="3"/>
      <c r="QSJ141" s="3"/>
      <c r="QSK141" s="3"/>
      <c r="QSL141" s="3"/>
      <c r="QSM141" s="3"/>
      <c r="QSN141" s="3"/>
      <c r="QSO141" s="3"/>
      <c r="QSP141" s="3"/>
      <c r="QSQ141" s="3"/>
      <c r="QSR141" s="3"/>
      <c r="QSS141" s="3"/>
      <c r="QST141" s="3"/>
      <c r="QSU141" s="3"/>
      <c r="QSV141" s="3"/>
      <c r="QSW141" s="3"/>
      <c r="QSX141" s="3"/>
      <c r="QSY141" s="3"/>
      <c r="QSZ141" s="3"/>
      <c r="QTA141" s="3"/>
      <c r="QTB141" s="3"/>
      <c r="QTC141" s="3"/>
      <c r="QTD141" s="3"/>
      <c r="QTE141" s="3"/>
      <c r="QTF141" s="3"/>
      <c r="QTG141" s="3"/>
      <c r="QTH141" s="3"/>
      <c r="QTI141" s="3"/>
      <c r="QTJ141" s="3"/>
      <c r="QTK141" s="3"/>
      <c r="QTL141" s="3"/>
      <c r="QTM141" s="3"/>
      <c r="QTN141" s="3"/>
      <c r="QTO141" s="3"/>
      <c r="QTP141" s="3"/>
      <c r="QTQ141" s="3"/>
      <c r="QTR141" s="3"/>
      <c r="QTS141" s="3"/>
      <c r="QTT141" s="3"/>
      <c r="QTU141" s="3"/>
      <c r="QTV141" s="3"/>
      <c r="QTW141" s="3"/>
      <c r="QTX141" s="3"/>
      <c r="QTY141" s="3"/>
      <c r="QTZ141" s="3"/>
      <c r="QUA141" s="3"/>
      <c r="QUB141" s="3"/>
      <c r="QUC141" s="3"/>
      <c r="QUD141" s="3"/>
      <c r="QUE141" s="3"/>
      <c r="QUF141" s="3"/>
      <c r="QUG141" s="3"/>
      <c r="QUH141" s="3"/>
      <c r="QUI141" s="3"/>
      <c r="QUJ141" s="3"/>
      <c r="QUK141" s="3"/>
      <c r="QUL141" s="3"/>
      <c r="QUM141" s="3"/>
      <c r="QUN141" s="3"/>
      <c r="QUO141" s="3"/>
      <c r="QUP141" s="3"/>
      <c r="QUQ141" s="3"/>
      <c r="QUR141" s="3"/>
      <c r="QUS141" s="3"/>
      <c r="QUT141" s="3"/>
      <c r="QUU141" s="3"/>
      <c r="QUV141" s="3"/>
      <c r="QUW141" s="3"/>
      <c r="QUX141" s="3"/>
      <c r="QUY141" s="3"/>
      <c r="QUZ141" s="3"/>
      <c r="QVA141" s="3"/>
      <c r="QVB141" s="3"/>
      <c r="QVC141" s="3"/>
      <c r="QVD141" s="3"/>
      <c r="QVE141" s="3"/>
      <c r="QVF141" s="3"/>
      <c r="QVG141" s="3"/>
      <c r="QVH141" s="3"/>
      <c r="QVI141" s="3"/>
      <c r="QVJ141" s="3"/>
      <c r="QVK141" s="3"/>
      <c r="QVL141" s="3"/>
      <c r="QVM141" s="3"/>
      <c r="QVN141" s="3"/>
      <c r="QVO141" s="3"/>
      <c r="QVP141" s="3"/>
      <c r="QVQ141" s="3"/>
      <c r="QVR141" s="3"/>
      <c r="QVS141" s="3"/>
      <c r="QVT141" s="3"/>
      <c r="QVU141" s="3"/>
      <c r="QVV141" s="3"/>
      <c r="QVW141" s="3"/>
      <c r="QVX141" s="3"/>
      <c r="QVY141" s="3"/>
      <c r="QVZ141" s="3"/>
      <c r="QWA141" s="3"/>
      <c r="QWB141" s="3"/>
      <c r="QWC141" s="3"/>
      <c r="QWD141" s="3"/>
      <c r="QWE141" s="3"/>
      <c r="QWF141" s="3"/>
      <c r="QWG141" s="3"/>
      <c r="QWH141" s="3"/>
      <c r="QWI141" s="3"/>
      <c r="QWJ141" s="3"/>
      <c r="QWK141" s="3"/>
      <c r="QWL141" s="3"/>
      <c r="QWM141" s="3"/>
      <c r="QWN141" s="3"/>
      <c r="QWO141" s="3"/>
      <c r="QWP141" s="3"/>
      <c r="QWQ141" s="3"/>
      <c r="QWR141" s="3"/>
      <c r="QWS141" s="3"/>
      <c r="QWT141" s="3"/>
      <c r="QWU141" s="3"/>
      <c r="QWV141" s="3"/>
      <c r="QWW141" s="3"/>
      <c r="QWX141" s="3"/>
      <c r="QWY141" s="3"/>
      <c r="QWZ141" s="3"/>
      <c r="QXA141" s="3"/>
      <c r="QXB141" s="3"/>
      <c r="QXC141" s="3"/>
      <c r="QXD141" s="3"/>
      <c r="QXE141" s="3"/>
      <c r="QXF141" s="3"/>
      <c r="QXG141" s="3"/>
      <c r="QXH141" s="3"/>
      <c r="QXI141" s="3"/>
      <c r="QXJ141" s="3"/>
      <c r="QXK141" s="3"/>
      <c r="QXL141" s="3"/>
      <c r="QXM141" s="3"/>
      <c r="QXN141" s="3"/>
      <c r="QXO141" s="3"/>
      <c r="QXP141" s="3"/>
      <c r="QXQ141" s="3"/>
      <c r="QXR141" s="3"/>
      <c r="QXS141" s="3"/>
      <c r="QXT141" s="3"/>
      <c r="QXU141" s="3"/>
      <c r="QXV141" s="3"/>
      <c r="QXW141" s="3"/>
      <c r="QXX141" s="3"/>
      <c r="QXY141" s="3"/>
      <c r="QXZ141" s="3"/>
      <c r="QYA141" s="3"/>
      <c r="QYB141" s="3"/>
      <c r="QYC141" s="3"/>
      <c r="QYD141" s="3"/>
      <c r="QYE141" s="3"/>
      <c r="QYF141" s="3"/>
      <c r="QYG141" s="3"/>
      <c r="QYH141" s="3"/>
      <c r="QYI141" s="3"/>
      <c r="QYJ141" s="3"/>
      <c r="QYK141" s="3"/>
      <c r="QYL141" s="3"/>
      <c r="QYM141" s="3"/>
      <c r="QYN141" s="3"/>
      <c r="QYO141" s="3"/>
      <c r="QYP141" s="3"/>
      <c r="QYQ141" s="3"/>
      <c r="QYR141" s="3"/>
      <c r="QYS141" s="3"/>
      <c r="QYT141" s="3"/>
      <c r="QYU141" s="3"/>
      <c r="QYV141" s="3"/>
      <c r="QYW141" s="3"/>
      <c r="QYX141" s="3"/>
      <c r="QYY141" s="3"/>
      <c r="QYZ141" s="3"/>
      <c r="QZA141" s="3"/>
      <c r="QZB141" s="3"/>
      <c r="QZC141" s="3"/>
      <c r="QZD141" s="3"/>
      <c r="QZE141" s="3"/>
      <c r="QZF141" s="3"/>
      <c r="QZG141" s="3"/>
      <c r="QZH141" s="3"/>
      <c r="QZI141" s="3"/>
      <c r="QZJ141" s="3"/>
      <c r="QZK141" s="3"/>
      <c r="QZL141" s="3"/>
      <c r="QZM141" s="3"/>
      <c r="QZN141" s="3"/>
      <c r="QZO141" s="3"/>
      <c r="QZP141" s="3"/>
      <c r="QZQ141" s="3"/>
      <c r="QZR141" s="3"/>
      <c r="QZS141" s="3"/>
      <c r="QZT141" s="3"/>
      <c r="QZU141" s="3"/>
      <c r="QZV141" s="3"/>
      <c r="QZW141" s="3"/>
      <c r="QZX141" s="3"/>
      <c r="QZY141" s="3"/>
      <c r="QZZ141" s="3"/>
      <c r="RAA141" s="3"/>
      <c r="RAB141" s="3"/>
      <c r="RAC141" s="3"/>
      <c r="RAD141" s="3"/>
      <c r="RAE141" s="3"/>
      <c r="RAF141" s="3"/>
      <c r="RAG141" s="3"/>
      <c r="RAH141" s="3"/>
      <c r="RAI141" s="3"/>
      <c r="RAJ141" s="3"/>
      <c r="RAK141" s="3"/>
      <c r="RAL141" s="3"/>
      <c r="RAM141" s="3"/>
      <c r="RAN141" s="3"/>
      <c r="RAO141" s="3"/>
      <c r="RAP141" s="3"/>
      <c r="RAQ141" s="3"/>
      <c r="RAR141" s="3"/>
      <c r="RAS141" s="3"/>
      <c r="RAT141" s="3"/>
      <c r="RAU141" s="3"/>
      <c r="RAV141" s="3"/>
      <c r="RAW141" s="3"/>
      <c r="RAX141" s="3"/>
      <c r="RAY141" s="3"/>
      <c r="RAZ141" s="3"/>
      <c r="RBA141" s="3"/>
      <c r="RBB141" s="3"/>
      <c r="RBC141" s="3"/>
      <c r="RBD141" s="3"/>
      <c r="RBE141" s="3"/>
      <c r="RBF141" s="3"/>
      <c r="RBG141" s="3"/>
      <c r="RBH141" s="3"/>
      <c r="RBI141" s="3"/>
      <c r="RBJ141" s="3"/>
      <c r="RBK141" s="3"/>
      <c r="RBL141" s="3"/>
      <c r="RBM141" s="3"/>
      <c r="RBN141" s="3"/>
      <c r="RBO141" s="3"/>
      <c r="RBP141" s="3"/>
      <c r="RBQ141" s="3"/>
      <c r="RBR141" s="3"/>
      <c r="RBS141" s="3"/>
      <c r="RBT141" s="3"/>
      <c r="RBU141" s="3"/>
      <c r="RBV141" s="3"/>
      <c r="RBW141" s="3"/>
      <c r="RBX141" s="3"/>
      <c r="RBY141" s="3"/>
      <c r="RBZ141" s="3"/>
      <c r="RCA141" s="3"/>
      <c r="RCB141" s="3"/>
      <c r="RCC141" s="3"/>
      <c r="RCD141" s="3"/>
      <c r="RCE141" s="3"/>
      <c r="RCF141" s="3"/>
      <c r="RCG141" s="3"/>
      <c r="RCH141" s="3"/>
      <c r="RCI141" s="3"/>
      <c r="RCJ141" s="3"/>
      <c r="RCK141" s="3"/>
      <c r="RCL141" s="3"/>
      <c r="RCM141" s="3"/>
      <c r="RCN141" s="3"/>
      <c r="RCO141" s="3"/>
      <c r="RCP141" s="3"/>
      <c r="RCQ141" s="3"/>
      <c r="RCR141" s="3"/>
      <c r="RCS141" s="3"/>
      <c r="RCT141" s="3"/>
      <c r="RCU141" s="3"/>
      <c r="RCV141" s="3"/>
      <c r="RCW141" s="3"/>
      <c r="RCX141" s="3"/>
      <c r="RCY141" s="3"/>
      <c r="RCZ141" s="3"/>
      <c r="RDA141" s="3"/>
      <c r="RDB141" s="3"/>
      <c r="RDC141" s="3"/>
      <c r="RDD141" s="3"/>
      <c r="RDE141" s="3"/>
      <c r="RDF141" s="3"/>
      <c r="RDG141" s="3"/>
      <c r="RDH141" s="3"/>
      <c r="RDI141" s="3"/>
      <c r="RDJ141" s="3"/>
      <c r="RDK141" s="3"/>
      <c r="RDL141" s="3"/>
      <c r="RDM141" s="3"/>
      <c r="RDN141" s="3"/>
      <c r="RDO141" s="3"/>
      <c r="RDP141" s="3"/>
      <c r="RDQ141" s="3"/>
      <c r="RDR141" s="3"/>
      <c r="RDS141" s="3"/>
      <c r="RDT141" s="3"/>
      <c r="RDU141" s="3"/>
      <c r="RDV141" s="3"/>
      <c r="RDW141" s="3"/>
      <c r="RDX141" s="3"/>
      <c r="RDY141" s="3"/>
      <c r="RDZ141" s="3"/>
      <c r="REA141" s="3"/>
      <c r="REB141" s="3"/>
      <c r="REC141" s="3"/>
      <c r="RED141" s="3"/>
      <c r="REE141" s="3"/>
      <c r="REF141" s="3"/>
      <c r="REG141" s="3"/>
      <c r="REH141" s="3"/>
      <c r="REI141" s="3"/>
      <c r="REJ141" s="3"/>
      <c r="REK141" s="3"/>
      <c r="REL141" s="3"/>
      <c r="REM141" s="3"/>
      <c r="REN141" s="3"/>
      <c r="REO141" s="3"/>
      <c r="REP141" s="3"/>
      <c r="REQ141" s="3"/>
      <c r="RER141" s="3"/>
      <c r="RES141" s="3"/>
      <c r="RET141" s="3"/>
      <c r="REU141" s="3"/>
      <c r="REV141" s="3"/>
      <c r="REW141" s="3"/>
      <c r="REX141" s="3"/>
      <c r="REY141" s="3"/>
      <c r="REZ141" s="3"/>
      <c r="RFA141" s="3"/>
      <c r="RFB141" s="3"/>
      <c r="RFC141" s="3"/>
      <c r="RFD141" s="3"/>
      <c r="RFE141" s="3"/>
      <c r="RFF141" s="3"/>
      <c r="RFG141" s="3"/>
      <c r="RFH141" s="3"/>
      <c r="RFI141" s="3"/>
      <c r="RFJ141" s="3"/>
      <c r="RFK141" s="3"/>
      <c r="RFL141" s="3"/>
      <c r="RFM141" s="3"/>
      <c r="RFN141" s="3"/>
      <c r="RFO141" s="3"/>
      <c r="RFP141" s="3"/>
      <c r="RFQ141" s="3"/>
      <c r="RFR141" s="3"/>
      <c r="RFS141" s="3"/>
      <c r="RFT141" s="3"/>
      <c r="RFU141" s="3"/>
      <c r="RFV141" s="3"/>
      <c r="RFW141" s="3"/>
      <c r="RFX141" s="3"/>
      <c r="RFY141" s="3"/>
      <c r="RFZ141" s="3"/>
      <c r="RGA141" s="3"/>
      <c r="RGB141" s="3"/>
      <c r="RGC141" s="3"/>
      <c r="RGD141" s="3"/>
      <c r="RGE141" s="3"/>
      <c r="RGF141" s="3"/>
      <c r="RGG141" s="3"/>
      <c r="RGH141" s="3"/>
      <c r="RGI141" s="3"/>
      <c r="RGJ141" s="3"/>
      <c r="RGK141" s="3"/>
      <c r="RGL141" s="3"/>
      <c r="RGM141" s="3"/>
      <c r="RGN141" s="3"/>
      <c r="RGO141" s="3"/>
      <c r="RGP141" s="3"/>
      <c r="RGQ141" s="3"/>
      <c r="RGR141" s="3"/>
      <c r="RGS141" s="3"/>
      <c r="RGT141" s="3"/>
      <c r="RGU141" s="3"/>
      <c r="RGV141" s="3"/>
      <c r="RGW141" s="3"/>
      <c r="RGX141" s="3"/>
      <c r="RGY141" s="3"/>
      <c r="RGZ141" s="3"/>
      <c r="RHA141" s="3"/>
      <c r="RHB141" s="3"/>
      <c r="RHC141" s="3"/>
      <c r="RHD141" s="3"/>
      <c r="RHE141" s="3"/>
      <c r="RHF141" s="3"/>
      <c r="RHG141" s="3"/>
      <c r="RHH141" s="3"/>
      <c r="RHI141" s="3"/>
      <c r="RHJ141" s="3"/>
      <c r="RHK141" s="3"/>
      <c r="RHL141" s="3"/>
      <c r="RHM141" s="3"/>
      <c r="RHN141" s="3"/>
      <c r="RHO141" s="3"/>
      <c r="RHP141" s="3"/>
      <c r="RHQ141" s="3"/>
      <c r="RHR141" s="3"/>
      <c r="RHS141" s="3"/>
      <c r="RHT141" s="3"/>
      <c r="RHU141" s="3"/>
      <c r="RHV141" s="3"/>
      <c r="RHW141" s="3"/>
      <c r="RHX141" s="3"/>
      <c r="RHY141" s="3"/>
      <c r="RHZ141" s="3"/>
      <c r="RIA141" s="3"/>
      <c r="RIB141" s="3"/>
      <c r="RIC141" s="3"/>
      <c r="RID141" s="3"/>
      <c r="RIE141" s="3"/>
      <c r="RIF141" s="3"/>
      <c r="RIG141" s="3"/>
      <c r="RIH141" s="3"/>
      <c r="RII141" s="3"/>
      <c r="RIJ141" s="3"/>
      <c r="RIK141" s="3"/>
      <c r="RIL141" s="3"/>
      <c r="RIM141" s="3"/>
      <c r="RIN141" s="3"/>
      <c r="RIO141" s="3"/>
      <c r="RIP141" s="3"/>
      <c r="RIQ141" s="3"/>
      <c r="RIR141" s="3"/>
      <c r="RIS141" s="3"/>
      <c r="RIT141" s="3"/>
      <c r="RIU141" s="3"/>
      <c r="RIV141" s="3"/>
      <c r="RIW141" s="3"/>
      <c r="RIX141" s="3"/>
      <c r="RIY141" s="3"/>
      <c r="RIZ141" s="3"/>
      <c r="RJA141" s="3"/>
      <c r="RJB141" s="3"/>
      <c r="RJC141" s="3"/>
      <c r="RJD141" s="3"/>
      <c r="RJE141" s="3"/>
      <c r="RJF141" s="3"/>
      <c r="RJG141" s="3"/>
      <c r="RJH141" s="3"/>
      <c r="RJI141" s="3"/>
      <c r="RJJ141" s="3"/>
      <c r="RJK141" s="3"/>
      <c r="RJL141" s="3"/>
      <c r="RJM141" s="3"/>
      <c r="RJN141" s="3"/>
      <c r="RJO141" s="3"/>
      <c r="RJP141" s="3"/>
      <c r="RJQ141" s="3"/>
      <c r="RJR141" s="3"/>
      <c r="RJS141" s="3"/>
      <c r="RJT141" s="3"/>
      <c r="RJU141" s="3"/>
      <c r="RJV141" s="3"/>
      <c r="RJW141" s="3"/>
      <c r="RJX141" s="3"/>
      <c r="RJY141" s="3"/>
      <c r="RJZ141" s="3"/>
      <c r="RKA141" s="3"/>
      <c r="RKB141" s="3"/>
      <c r="RKC141" s="3"/>
      <c r="RKD141" s="3"/>
      <c r="RKE141" s="3"/>
      <c r="RKF141" s="3"/>
      <c r="RKG141" s="3"/>
      <c r="RKH141" s="3"/>
      <c r="RKI141" s="3"/>
      <c r="RKJ141" s="3"/>
      <c r="RKK141" s="3"/>
      <c r="RKL141" s="3"/>
      <c r="RKM141" s="3"/>
      <c r="RKN141" s="3"/>
      <c r="RKO141" s="3"/>
      <c r="RKP141" s="3"/>
      <c r="RKQ141" s="3"/>
      <c r="RKR141" s="3"/>
      <c r="RKS141" s="3"/>
      <c r="RKT141" s="3"/>
      <c r="RKU141" s="3"/>
      <c r="RKV141" s="3"/>
      <c r="RKW141" s="3"/>
      <c r="RKX141" s="3"/>
      <c r="RKY141" s="3"/>
      <c r="RKZ141" s="3"/>
      <c r="RLA141" s="3"/>
      <c r="RLB141" s="3"/>
      <c r="RLC141" s="3"/>
      <c r="RLD141" s="3"/>
      <c r="RLE141" s="3"/>
      <c r="RLF141" s="3"/>
      <c r="RLG141" s="3"/>
      <c r="RLH141" s="3"/>
      <c r="RLI141" s="3"/>
      <c r="RLJ141" s="3"/>
      <c r="RLK141" s="3"/>
      <c r="RLL141" s="3"/>
      <c r="RLM141" s="3"/>
      <c r="RLN141" s="3"/>
      <c r="RLO141" s="3"/>
      <c r="RLP141" s="3"/>
      <c r="RLQ141" s="3"/>
      <c r="RLR141" s="3"/>
      <c r="RLS141" s="3"/>
      <c r="RLT141" s="3"/>
      <c r="RLU141" s="3"/>
      <c r="RLV141" s="3"/>
      <c r="RLW141" s="3"/>
      <c r="RLX141" s="3"/>
      <c r="RLY141" s="3"/>
      <c r="RLZ141" s="3"/>
      <c r="RMA141" s="3"/>
      <c r="RMB141" s="3"/>
      <c r="RMC141" s="3"/>
      <c r="RMD141" s="3"/>
      <c r="RME141" s="3"/>
      <c r="RMF141" s="3"/>
      <c r="RMG141" s="3"/>
      <c r="RMH141" s="3"/>
      <c r="RMI141" s="3"/>
      <c r="RMJ141" s="3"/>
      <c r="RMK141" s="3"/>
      <c r="RML141" s="3"/>
      <c r="RMM141" s="3"/>
      <c r="RMN141" s="3"/>
      <c r="RMO141" s="3"/>
      <c r="RMP141" s="3"/>
      <c r="RMQ141" s="3"/>
      <c r="RMR141" s="3"/>
      <c r="RMS141" s="3"/>
      <c r="RMT141" s="3"/>
      <c r="RMU141" s="3"/>
      <c r="RMV141" s="3"/>
      <c r="RMW141" s="3"/>
      <c r="RMX141" s="3"/>
      <c r="RMY141" s="3"/>
      <c r="RMZ141" s="3"/>
      <c r="RNA141" s="3"/>
      <c r="RNB141" s="3"/>
      <c r="RNC141" s="3"/>
      <c r="RND141" s="3"/>
      <c r="RNE141" s="3"/>
      <c r="RNF141" s="3"/>
      <c r="RNG141" s="3"/>
      <c r="RNH141" s="3"/>
      <c r="RNI141" s="3"/>
      <c r="RNJ141" s="3"/>
      <c r="RNK141" s="3"/>
      <c r="RNL141" s="3"/>
      <c r="RNM141" s="3"/>
      <c r="RNN141" s="3"/>
      <c r="RNO141" s="3"/>
      <c r="RNP141" s="3"/>
      <c r="RNQ141" s="3"/>
      <c r="RNR141" s="3"/>
      <c r="RNS141" s="3"/>
      <c r="RNT141" s="3"/>
      <c r="RNU141" s="3"/>
      <c r="RNV141" s="3"/>
      <c r="RNW141" s="3"/>
      <c r="RNX141" s="3"/>
      <c r="RNY141" s="3"/>
      <c r="RNZ141" s="3"/>
      <c r="ROA141" s="3"/>
      <c r="ROB141" s="3"/>
      <c r="ROC141" s="3"/>
      <c r="ROD141" s="3"/>
      <c r="ROE141" s="3"/>
      <c r="ROF141" s="3"/>
      <c r="ROG141" s="3"/>
      <c r="ROH141" s="3"/>
      <c r="ROI141" s="3"/>
      <c r="ROJ141" s="3"/>
      <c r="ROK141" s="3"/>
      <c r="ROL141" s="3"/>
      <c r="ROM141" s="3"/>
      <c r="RON141" s="3"/>
      <c r="ROO141" s="3"/>
      <c r="ROP141" s="3"/>
      <c r="ROQ141" s="3"/>
      <c r="ROR141" s="3"/>
      <c r="ROS141" s="3"/>
      <c r="ROT141" s="3"/>
      <c r="ROU141" s="3"/>
      <c r="ROV141" s="3"/>
      <c r="ROW141" s="3"/>
      <c r="ROX141" s="3"/>
      <c r="ROY141" s="3"/>
      <c r="ROZ141" s="3"/>
      <c r="RPA141" s="3"/>
      <c r="RPB141" s="3"/>
      <c r="RPC141" s="3"/>
      <c r="RPD141" s="3"/>
      <c r="RPE141" s="3"/>
      <c r="RPF141" s="3"/>
      <c r="RPG141" s="3"/>
      <c r="RPH141" s="3"/>
      <c r="RPI141" s="3"/>
      <c r="RPJ141" s="3"/>
      <c r="RPK141" s="3"/>
      <c r="RPL141" s="3"/>
      <c r="RPM141" s="3"/>
      <c r="RPN141" s="3"/>
      <c r="RPO141" s="3"/>
      <c r="RPP141" s="3"/>
      <c r="RPQ141" s="3"/>
      <c r="RPR141" s="3"/>
      <c r="RPS141" s="3"/>
      <c r="RPT141" s="3"/>
      <c r="RPU141" s="3"/>
      <c r="RPV141" s="3"/>
      <c r="RPW141" s="3"/>
      <c r="RPX141" s="3"/>
      <c r="RPY141" s="3"/>
      <c r="RPZ141" s="3"/>
      <c r="RQA141" s="3"/>
      <c r="RQB141" s="3"/>
      <c r="RQC141" s="3"/>
      <c r="RQD141" s="3"/>
      <c r="RQE141" s="3"/>
      <c r="RQF141" s="3"/>
      <c r="RQG141" s="3"/>
      <c r="RQH141" s="3"/>
      <c r="RQI141" s="3"/>
      <c r="RQJ141" s="3"/>
      <c r="RQK141" s="3"/>
      <c r="RQL141" s="3"/>
      <c r="RQM141" s="3"/>
      <c r="RQN141" s="3"/>
      <c r="RQO141" s="3"/>
      <c r="RQP141" s="3"/>
      <c r="RQQ141" s="3"/>
      <c r="RQR141" s="3"/>
      <c r="RQS141" s="3"/>
      <c r="RQT141" s="3"/>
      <c r="RQU141" s="3"/>
      <c r="RQV141" s="3"/>
      <c r="RQW141" s="3"/>
      <c r="RQX141" s="3"/>
      <c r="RQY141" s="3"/>
      <c r="RQZ141" s="3"/>
      <c r="RRA141" s="3"/>
      <c r="RRB141" s="3"/>
      <c r="RRC141" s="3"/>
      <c r="RRD141" s="3"/>
      <c r="RRE141" s="3"/>
      <c r="RRF141" s="3"/>
      <c r="RRG141" s="3"/>
      <c r="RRH141" s="3"/>
      <c r="RRI141" s="3"/>
      <c r="RRJ141" s="3"/>
      <c r="RRK141" s="3"/>
      <c r="RRL141" s="3"/>
      <c r="RRM141" s="3"/>
      <c r="RRN141" s="3"/>
      <c r="RRO141" s="3"/>
      <c r="RRP141" s="3"/>
      <c r="RRQ141" s="3"/>
      <c r="RRR141" s="3"/>
      <c r="RRS141" s="3"/>
      <c r="RRT141" s="3"/>
      <c r="RRU141" s="3"/>
      <c r="RRV141" s="3"/>
      <c r="RRW141" s="3"/>
      <c r="RRX141" s="3"/>
      <c r="RRY141" s="3"/>
      <c r="RRZ141" s="3"/>
      <c r="RSA141" s="3"/>
      <c r="RSB141" s="3"/>
      <c r="RSC141" s="3"/>
      <c r="RSD141" s="3"/>
      <c r="RSE141" s="3"/>
      <c r="RSF141" s="3"/>
      <c r="RSG141" s="3"/>
      <c r="RSH141" s="3"/>
      <c r="RSI141" s="3"/>
      <c r="RSJ141" s="3"/>
      <c r="RSK141" s="3"/>
      <c r="RSL141" s="3"/>
      <c r="RSM141" s="3"/>
      <c r="RSN141" s="3"/>
      <c r="RSO141" s="3"/>
      <c r="RSP141" s="3"/>
      <c r="RSQ141" s="3"/>
      <c r="RSR141" s="3"/>
      <c r="RSS141" s="3"/>
      <c r="RST141" s="3"/>
      <c r="RSU141" s="3"/>
      <c r="RSV141" s="3"/>
      <c r="RSW141" s="3"/>
      <c r="RSX141" s="3"/>
      <c r="RSY141" s="3"/>
      <c r="RSZ141" s="3"/>
      <c r="RTA141" s="3"/>
      <c r="RTB141" s="3"/>
      <c r="RTC141" s="3"/>
      <c r="RTD141" s="3"/>
      <c r="RTE141" s="3"/>
      <c r="RTF141" s="3"/>
      <c r="RTG141" s="3"/>
      <c r="RTH141" s="3"/>
      <c r="RTI141" s="3"/>
      <c r="RTJ141" s="3"/>
      <c r="RTK141" s="3"/>
      <c r="RTL141" s="3"/>
      <c r="RTM141" s="3"/>
      <c r="RTN141" s="3"/>
      <c r="RTO141" s="3"/>
      <c r="RTP141" s="3"/>
      <c r="RTQ141" s="3"/>
      <c r="RTR141" s="3"/>
      <c r="RTS141" s="3"/>
      <c r="RTT141" s="3"/>
      <c r="RTU141" s="3"/>
      <c r="RTV141" s="3"/>
      <c r="RTW141" s="3"/>
      <c r="RTX141" s="3"/>
      <c r="RTY141" s="3"/>
      <c r="RTZ141" s="3"/>
      <c r="RUA141" s="3"/>
      <c r="RUB141" s="3"/>
      <c r="RUC141" s="3"/>
      <c r="RUD141" s="3"/>
      <c r="RUE141" s="3"/>
      <c r="RUF141" s="3"/>
      <c r="RUG141" s="3"/>
      <c r="RUH141" s="3"/>
      <c r="RUI141" s="3"/>
      <c r="RUJ141" s="3"/>
      <c r="RUK141" s="3"/>
      <c r="RUL141" s="3"/>
      <c r="RUM141" s="3"/>
      <c r="RUN141" s="3"/>
      <c r="RUO141" s="3"/>
      <c r="RUP141" s="3"/>
      <c r="RUQ141" s="3"/>
      <c r="RUR141" s="3"/>
      <c r="RUS141" s="3"/>
      <c r="RUT141" s="3"/>
      <c r="RUU141" s="3"/>
      <c r="RUV141" s="3"/>
      <c r="RUW141" s="3"/>
      <c r="RUX141" s="3"/>
      <c r="RUY141" s="3"/>
      <c r="RUZ141" s="3"/>
      <c r="RVA141" s="3"/>
      <c r="RVB141" s="3"/>
      <c r="RVC141" s="3"/>
      <c r="RVD141" s="3"/>
      <c r="RVE141" s="3"/>
      <c r="RVF141" s="3"/>
      <c r="RVG141" s="3"/>
      <c r="RVH141" s="3"/>
      <c r="RVI141" s="3"/>
      <c r="RVJ141" s="3"/>
      <c r="RVK141" s="3"/>
      <c r="RVL141" s="3"/>
      <c r="RVM141" s="3"/>
      <c r="RVN141" s="3"/>
      <c r="RVO141" s="3"/>
      <c r="RVP141" s="3"/>
      <c r="RVQ141" s="3"/>
      <c r="RVR141" s="3"/>
      <c r="RVS141" s="3"/>
      <c r="RVT141" s="3"/>
      <c r="RVU141" s="3"/>
      <c r="RVV141" s="3"/>
      <c r="RVW141" s="3"/>
      <c r="RVX141" s="3"/>
      <c r="RVY141" s="3"/>
      <c r="RVZ141" s="3"/>
      <c r="RWA141" s="3"/>
      <c r="RWB141" s="3"/>
      <c r="RWC141" s="3"/>
      <c r="RWD141" s="3"/>
      <c r="RWE141" s="3"/>
      <c r="RWF141" s="3"/>
      <c r="RWG141" s="3"/>
      <c r="RWH141" s="3"/>
      <c r="RWI141" s="3"/>
      <c r="RWJ141" s="3"/>
      <c r="RWK141" s="3"/>
      <c r="RWL141" s="3"/>
      <c r="RWM141" s="3"/>
      <c r="RWN141" s="3"/>
      <c r="RWO141" s="3"/>
      <c r="RWP141" s="3"/>
      <c r="RWQ141" s="3"/>
      <c r="RWR141" s="3"/>
      <c r="RWS141" s="3"/>
      <c r="RWT141" s="3"/>
      <c r="RWU141" s="3"/>
      <c r="RWV141" s="3"/>
      <c r="RWW141" s="3"/>
      <c r="RWX141" s="3"/>
      <c r="RWY141" s="3"/>
      <c r="RWZ141" s="3"/>
      <c r="RXA141" s="3"/>
      <c r="RXB141" s="3"/>
      <c r="RXC141" s="3"/>
      <c r="RXD141" s="3"/>
      <c r="RXE141" s="3"/>
      <c r="RXF141" s="3"/>
      <c r="RXG141" s="3"/>
      <c r="RXH141" s="3"/>
      <c r="RXI141" s="3"/>
      <c r="RXJ141" s="3"/>
      <c r="RXK141" s="3"/>
      <c r="RXL141" s="3"/>
      <c r="RXM141" s="3"/>
      <c r="RXN141" s="3"/>
      <c r="RXO141" s="3"/>
      <c r="RXP141" s="3"/>
      <c r="RXQ141" s="3"/>
      <c r="RXR141" s="3"/>
      <c r="RXS141" s="3"/>
      <c r="RXT141" s="3"/>
      <c r="RXU141" s="3"/>
      <c r="RXV141" s="3"/>
      <c r="RXW141" s="3"/>
      <c r="RXX141" s="3"/>
      <c r="RXY141" s="3"/>
      <c r="RXZ141" s="3"/>
      <c r="RYA141" s="3"/>
      <c r="RYB141" s="3"/>
      <c r="RYC141" s="3"/>
      <c r="RYD141" s="3"/>
      <c r="RYE141" s="3"/>
      <c r="RYF141" s="3"/>
      <c r="RYG141" s="3"/>
      <c r="RYH141" s="3"/>
      <c r="RYI141" s="3"/>
      <c r="RYJ141" s="3"/>
      <c r="RYK141" s="3"/>
      <c r="RYL141" s="3"/>
      <c r="RYM141" s="3"/>
      <c r="RYN141" s="3"/>
      <c r="RYO141" s="3"/>
      <c r="RYP141" s="3"/>
      <c r="RYQ141" s="3"/>
      <c r="RYR141" s="3"/>
      <c r="RYS141" s="3"/>
      <c r="RYT141" s="3"/>
      <c r="RYU141" s="3"/>
      <c r="RYV141" s="3"/>
      <c r="RYW141" s="3"/>
      <c r="RYX141" s="3"/>
      <c r="RYY141" s="3"/>
      <c r="RYZ141" s="3"/>
      <c r="RZA141" s="3"/>
      <c r="RZB141" s="3"/>
      <c r="RZC141" s="3"/>
      <c r="RZD141" s="3"/>
      <c r="RZE141" s="3"/>
      <c r="RZF141" s="3"/>
      <c r="RZG141" s="3"/>
      <c r="RZH141" s="3"/>
      <c r="RZI141" s="3"/>
      <c r="RZJ141" s="3"/>
      <c r="RZK141" s="3"/>
      <c r="RZL141" s="3"/>
      <c r="RZM141" s="3"/>
      <c r="RZN141" s="3"/>
      <c r="RZO141" s="3"/>
      <c r="RZP141" s="3"/>
      <c r="RZQ141" s="3"/>
      <c r="RZR141" s="3"/>
      <c r="RZS141" s="3"/>
      <c r="RZT141" s="3"/>
      <c r="RZU141" s="3"/>
      <c r="RZV141" s="3"/>
      <c r="RZW141" s="3"/>
      <c r="RZX141" s="3"/>
      <c r="RZY141" s="3"/>
      <c r="RZZ141" s="3"/>
      <c r="SAA141" s="3"/>
      <c r="SAB141" s="3"/>
      <c r="SAC141" s="3"/>
      <c r="SAD141" s="3"/>
      <c r="SAE141" s="3"/>
      <c r="SAF141" s="3"/>
      <c r="SAG141" s="3"/>
      <c r="SAH141" s="3"/>
      <c r="SAI141" s="3"/>
      <c r="SAJ141" s="3"/>
      <c r="SAK141" s="3"/>
      <c r="SAL141" s="3"/>
      <c r="SAM141" s="3"/>
      <c r="SAN141" s="3"/>
      <c r="SAO141" s="3"/>
      <c r="SAP141" s="3"/>
      <c r="SAQ141" s="3"/>
      <c r="SAR141" s="3"/>
      <c r="SAS141" s="3"/>
      <c r="SAT141" s="3"/>
      <c r="SAU141" s="3"/>
      <c r="SAV141" s="3"/>
      <c r="SAW141" s="3"/>
      <c r="SAX141" s="3"/>
      <c r="SAY141" s="3"/>
      <c r="SAZ141" s="3"/>
      <c r="SBA141" s="3"/>
      <c r="SBB141" s="3"/>
      <c r="SBC141" s="3"/>
      <c r="SBD141" s="3"/>
      <c r="SBE141" s="3"/>
      <c r="SBF141" s="3"/>
      <c r="SBG141" s="3"/>
      <c r="SBH141" s="3"/>
      <c r="SBI141" s="3"/>
      <c r="SBJ141" s="3"/>
      <c r="SBK141" s="3"/>
      <c r="SBL141" s="3"/>
      <c r="SBM141" s="3"/>
      <c r="SBN141" s="3"/>
      <c r="SBO141" s="3"/>
      <c r="SBP141" s="3"/>
      <c r="SBQ141" s="3"/>
      <c r="SBR141" s="3"/>
      <c r="SBS141" s="3"/>
      <c r="SBT141" s="3"/>
      <c r="SBU141" s="3"/>
      <c r="SBV141" s="3"/>
      <c r="SBW141" s="3"/>
      <c r="SBX141" s="3"/>
      <c r="SBY141" s="3"/>
      <c r="SBZ141" s="3"/>
      <c r="SCA141" s="3"/>
      <c r="SCB141" s="3"/>
      <c r="SCC141" s="3"/>
      <c r="SCD141" s="3"/>
      <c r="SCE141" s="3"/>
      <c r="SCF141" s="3"/>
      <c r="SCG141" s="3"/>
      <c r="SCH141" s="3"/>
      <c r="SCI141" s="3"/>
      <c r="SCJ141" s="3"/>
      <c r="SCK141" s="3"/>
      <c r="SCL141" s="3"/>
      <c r="SCM141" s="3"/>
      <c r="SCN141" s="3"/>
      <c r="SCO141" s="3"/>
      <c r="SCP141" s="3"/>
      <c r="SCQ141" s="3"/>
      <c r="SCR141" s="3"/>
      <c r="SCS141" s="3"/>
      <c r="SCT141" s="3"/>
      <c r="SCU141" s="3"/>
      <c r="SCV141" s="3"/>
      <c r="SCW141" s="3"/>
      <c r="SCX141" s="3"/>
      <c r="SCY141" s="3"/>
      <c r="SCZ141" s="3"/>
      <c r="SDA141" s="3"/>
      <c r="SDB141" s="3"/>
      <c r="SDC141" s="3"/>
      <c r="SDD141" s="3"/>
      <c r="SDE141" s="3"/>
      <c r="SDF141" s="3"/>
      <c r="SDG141" s="3"/>
      <c r="SDH141" s="3"/>
      <c r="SDI141" s="3"/>
      <c r="SDJ141" s="3"/>
      <c r="SDK141" s="3"/>
      <c r="SDL141" s="3"/>
      <c r="SDM141" s="3"/>
      <c r="SDN141" s="3"/>
      <c r="SDO141" s="3"/>
      <c r="SDP141" s="3"/>
      <c r="SDQ141" s="3"/>
      <c r="SDR141" s="3"/>
      <c r="SDS141" s="3"/>
      <c r="SDT141" s="3"/>
      <c r="SDU141" s="3"/>
      <c r="SDV141" s="3"/>
      <c r="SDW141" s="3"/>
      <c r="SDX141" s="3"/>
      <c r="SDY141" s="3"/>
      <c r="SDZ141" s="3"/>
      <c r="SEA141" s="3"/>
      <c r="SEB141" s="3"/>
      <c r="SEC141" s="3"/>
      <c r="SED141" s="3"/>
      <c r="SEE141" s="3"/>
      <c r="SEF141" s="3"/>
      <c r="SEG141" s="3"/>
      <c r="SEH141" s="3"/>
      <c r="SEI141" s="3"/>
      <c r="SEJ141" s="3"/>
      <c r="SEK141" s="3"/>
      <c r="SEL141" s="3"/>
      <c r="SEM141" s="3"/>
      <c r="SEN141" s="3"/>
      <c r="SEO141" s="3"/>
      <c r="SEP141" s="3"/>
      <c r="SEQ141" s="3"/>
      <c r="SER141" s="3"/>
      <c r="SES141" s="3"/>
      <c r="SET141" s="3"/>
      <c r="SEU141" s="3"/>
      <c r="SEV141" s="3"/>
      <c r="SEW141" s="3"/>
      <c r="SEX141" s="3"/>
      <c r="SEY141" s="3"/>
      <c r="SEZ141" s="3"/>
      <c r="SFA141" s="3"/>
      <c r="SFB141" s="3"/>
      <c r="SFC141" s="3"/>
      <c r="SFD141" s="3"/>
      <c r="SFE141" s="3"/>
      <c r="SFF141" s="3"/>
      <c r="SFG141" s="3"/>
      <c r="SFH141" s="3"/>
      <c r="SFI141" s="3"/>
      <c r="SFJ141" s="3"/>
      <c r="SFK141" s="3"/>
      <c r="SFL141" s="3"/>
      <c r="SFM141" s="3"/>
      <c r="SFN141" s="3"/>
      <c r="SFO141" s="3"/>
      <c r="SFP141" s="3"/>
      <c r="SFQ141" s="3"/>
      <c r="SFR141" s="3"/>
      <c r="SFS141" s="3"/>
      <c r="SFT141" s="3"/>
      <c r="SFU141" s="3"/>
      <c r="SFV141" s="3"/>
      <c r="SFW141" s="3"/>
      <c r="SFX141" s="3"/>
      <c r="SFY141" s="3"/>
      <c r="SFZ141" s="3"/>
      <c r="SGA141" s="3"/>
      <c r="SGB141" s="3"/>
      <c r="SGC141" s="3"/>
      <c r="SGD141" s="3"/>
      <c r="SGE141" s="3"/>
      <c r="SGF141" s="3"/>
      <c r="SGG141" s="3"/>
      <c r="SGH141" s="3"/>
      <c r="SGI141" s="3"/>
      <c r="SGJ141" s="3"/>
      <c r="SGK141" s="3"/>
      <c r="SGL141" s="3"/>
      <c r="SGM141" s="3"/>
      <c r="SGN141" s="3"/>
      <c r="SGO141" s="3"/>
      <c r="SGP141" s="3"/>
      <c r="SGQ141" s="3"/>
      <c r="SGR141" s="3"/>
      <c r="SGS141" s="3"/>
      <c r="SGT141" s="3"/>
      <c r="SGU141" s="3"/>
      <c r="SGV141" s="3"/>
      <c r="SGW141" s="3"/>
      <c r="SGX141" s="3"/>
      <c r="SGY141" s="3"/>
      <c r="SGZ141" s="3"/>
      <c r="SHA141" s="3"/>
      <c r="SHB141" s="3"/>
      <c r="SHC141" s="3"/>
      <c r="SHD141" s="3"/>
      <c r="SHE141" s="3"/>
      <c r="SHF141" s="3"/>
      <c r="SHG141" s="3"/>
      <c r="SHH141" s="3"/>
      <c r="SHI141" s="3"/>
      <c r="SHJ141" s="3"/>
      <c r="SHK141" s="3"/>
      <c r="SHL141" s="3"/>
      <c r="SHM141" s="3"/>
      <c r="SHN141" s="3"/>
      <c r="SHO141" s="3"/>
      <c r="SHP141" s="3"/>
      <c r="SHQ141" s="3"/>
      <c r="SHR141" s="3"/>
      <c r="SHS141" s="3"/>
      <c r="SHT141" s="3"/>
      <c r="SHU141" s="3"/>
      <c r="SHV141" s="3"/>
      <c r="SHW141" s="3"/>
      <c r="SHX141" s="3"/>
      <c r="SHY141" s="3"/>
      <c r="SHZ141" s="3"/>
      <c r="SIA141" s="3"/>
      <c r="SIB141" s="3"/>
      <c r="SIC141" s="3"/>
      <c r="SID141" s="3"/>
      <c r="SIE141" s="3"/>
      <c r="SIF141" s="3"/>
      <c r="SIG141" s="3"/>
      <c r="SIH141" s="3"/>
      <c r="SII141" s="3"/>
      <c r="SIJ141" s="3"/>
      <c r="SIK141" s="3"/>
      <c r="SIL141" s="3"/>
      <c r="SIM141" s="3"/>
      <c r="SIN141" s="3"/>
      <c r="SIO141" s="3"/>
      <c r="SIP141" s="3"/>
      <c r="SIQ141" s="3"/>
      <c r="SIR141" s="3"/>
      <c r="SIS141" s="3"/>
      <c r="SIT141" s="3"/>
      <c r="SIU141" s="3"/>
      <c r="SIV141" s="3"/>
      <c r="SIW141" s="3"/>
      <c r="SIX141" s="3"/>
      <c r="SIY141" s="3"/>
      <c r="SIZ141" s="3"/>
      <c r="SJA141" s="3"/>
      <c r="SJB141" s="3"/>
      <c r="SJC141" s="3"/>
      <c r="SJD141" s="3"/>
      <c r="SJE141" s="3"/>
      <c r="SJF141" s="3"/>
      <c r="SJG141" s="3"/>
      <c r="SJH141" s="3"/>
      <c r="SJI141" s="3"/>
      <c r="SJJ141" s="3"/>
      <c r="SJK141" s="3"/>
      <c r="SJL141" s="3"/>
      <c r="SJM141" s="3"/>
      <c r="SJN141" s="3"/>
      <c r="SJO141" s="3"/>
      <c r="SJP141" s="3"/>
      <c r="SJQ141" s="3"/>
      <c r="SJR141" s="3"/>
      <c r="SJS141" s="3"/>
      <c r="SJT141" s="3"/>
      <c r="SJU141" s="3"/>
      <c r="SJV141" s="3"/>
      <c r="SJW141" s="3"/>
      <c r="SJX141" s="3"/>
      <c r="SJY141" s="3"/>
      <c r="SJZ141" s="3"/>
      <c r="SKA141" s="3"/>
      <c r="SKB141" s="3"/>
      <c r="SKC141" s="3"/>
      <c r="SKD141" s="3"/>
      <c r="SKE141" s="3"/>
      <c r="SKF141" s="3"/>
      <c r="SKG141" s="3"/>
      <c r="SKH141" s="3"/>
      <c r="SKI141" s="3"/>
      <c r="SKJ141" s="3"/>
      <c r="SKK141" s="3"/>
      <c r="SKL141" s="3"/>
      <c r="SKM141" s="3"/>
      <c r="SKN141" s="3"/>
      <c r="SKO141" s="3"/>
      <c r="SKP141" s="3"/>
      <c r="SKQ141" s="3"/>
      <c r="SKR141" s="3"/>
      <c r="SKS141" s="3"/>
      <c r="SKT141" s="3"/>
      <c r="SKU141" s="3"/>
      <c r="SKV141" s="3"/>
      <c r="SKW141" s="3"/>
      <c r="SKX141" s="3"/>
      <c r="SKY141" s="3"/>
      <c r="SKZ141" s="3"/>
      <c r="SLA141" s="3"/>
      <c r="SLB141" s="3"/>
      <c r="SLC141" s="3"/>
      <c r="SLD141" s="3"/>
      <c r="SLE141" s="3"/>
      <c r="SLF141" s="3"/>
      <c r="SLG141" s="3"/>
      <c r="SLH141" s="3"/>
      <c r="SLI141" s="3"/>
      <c r="SLJ141" s="3"/>
      <c r="SLK141" s="3"/>
      <c r="SLL141" s="3"/>
      <c r="SLM141" s="3"/>
      <c r="SLN141" s="3"/>
      <c r="SLO141" s="3"/>
      <c r="SLP141" s="3"/>
      <c r="SLQ141" s="3"/>
      <c r="SLR141" s="3"/>
      <c r="SLS141" s="3"/>
      <c r="SLT141" s="3"/>
      <c r="SLU141" s="3"/>
      <c r="SLV141" s="3"/>
      <c r="SLW141" s="3"/>
      <c r="SLX141" s="3"/>
      <c r="SLY141" s="3"/>
      <c r="SLZ141" s="3"/>
      <c r="SMA141" s="3"/>
      <c r="SMB141" s="3"/>
      <c r="SMC141" s="3"/>
      <c r="SMD141" s="3"/>
      <c r="SME141" s="3"/>
      <c r="SMF141" s="3"/>
      <c r="SMG141" s="3"/>
      <c r="SMH141" s="3"/>
      <c r="SMI141" s="3"/>
      <c r="SMJ141" s="3"/>
      <c r="SMK141" s="3"/>
      <c r="SML141" s="3"/>
      <c r="SMM141" s="3"/>
      <c r="SMN141" s="3"/>
      <c r="SMO141" s="3"/>
      <c r="SMP141" s="3"/>
      <c r="SMQ141" s="3"/>
      <c r="SMR141" s="3"/>
      <c r="SMS141" s="3"/>
      <c r="SMT141" s="3"/>
      <c r="SMU141" s="3"/>
      <c r="SMV141" s="3"/>
      <c r="SMW141" s="3"/>
      <c r="SMX141" s="3"/>
      <c r="SMY141" s="3"/>
      <c r="SMZ141" s="3"/>
      <c r="SNA141" s="3"/>
      <c r="SNB141" s="3"/>
      <c r="SNC141" s="3"/>
      <c r="SND141" s="3"/>
      <c r="SNE141" s="3"/>
      <c r="SNF141" s="3"/>
      <c r="SNG141" s="3"/>
      <c r="SNH141" s="3"/>
      <c r="SNI141" s="3"/>
      <c r="SNJ141" s="3"/>
      <c r="SNK141" s="3"/>
      <c r="SNL141" s="3"/>
      <c r="SNM141" s="3"/>
      <c r="SNN141" s="3"/>
      <c r="SNO141" s="3"/>
      <c r="SNP141" s="3"/>
      <c r="SNQ141" s="3"/>
      <c r="SNR141" s="3"/>
      <c r="SNS141" s="3"/>
      <c r="SNT141" s="3"/>
      <c r="SNU141" s="3"/>
      <c r="SNV141" s="3"/>
      <c r="SNW141" s="3"/>
      <c r="SNX141" s="3"/>
      <c r="SNY141" s="3"/>
      <c r="SNZ141" s="3"/>
      <c r="SOA141" s="3"/>
      <c r="SOB141" s="3"/>
      <c r="SOC141" s="3"/>
      <c r="SOD141" s="3"/>
      <c r="SOE141" s="3"/>
      <c r="SOF141" s="3"/>
      <c r="SOG141" s="3"/>
      <c r="SOH141" s="3"/>
      <c r="SOI141" s="3"/>
      <c r="SOJ141" s="3"/>
      <c r="SOK141" s="3"/>
      <c r="SOL141" s="3"/>
      <c r="SOM141" s="3"/>
      <c r="SON141" s="3"/>
      <c r="SOO141" s="3"/>
      <c r="SOP141" s="3"/>
      <c r="SOQ141" s="3"/>
      <c r="SOR141" s="3"/>
      <c r="SOS141" s="3"/>
      <c r="SOT141" s="3"/>
      <c r="SOU141" s="3"/>
      <c r="SOV141" s="3"/>
      <c r="SOW141" s="3"/>
      <c r="SOX141" s="3"/>
      <c r="SOY141" s="3"/>
      <c r="SOZ141" s="3"/>
      <c r="SPA141" s="3"/>
      <c r="SPB141" s="3"/>
      <c r="SPC141" s="3"/>
      <c r="SPD141" s="3"/>
      <c r="SPE141" s="3"/>
      <c r="SPF141" s="3"/>
      <c r="SPG141" s="3"/>
      <c r="SPH141" s="3"/>
      <c r="SPI141" s="3"/>
      <c r="SPJ141" s="3"/>
      <c r="SPK141" s="3"/>
      <c r="SPL141" s="3"/>
      <c r="SPM141" s="3"/>
      <c r="SPN141" s="3"/>
      <c r="SPO141" s="3"/>
      <c r="SPP141" s="3"/>
      <c r="SPQ141" s="3"/>
      <c r="SPR141" s="3"/>
      <c r="SPS141" s="3"/>
      <c r="SPT141" s="3"/>
      <c r="SPU141" s="3"/>
      <c r="SPV141" s="3"/>
      <c r="SPW141" s="3"/>
      <c r="SPX141" s="3"/>
      <c r="SPY141" s="3"/>
      <c r="SPZ141" s="3"/>
      <c r="SQA141" s="3"/>
      <c r="SQB141" s="3"/>
      <c r="SQC141" s="3"/>
      <c r="SQD141" s="3"/>
      <c r="SQE141" s="3"/>
      <c r="SQF141" s="3"/>
      <c r="SQG141" s="3"/>
      <c r="SQH141" s="3"/>
      <c r="SQI141" s="3"/>
      <c r="SQJ141" s="3"/>
      <c r="SQK141" s="3"/>
      <c r="SQL141" s="3"/>
      <c r="SQM141" s="3"/>
      <c r="SQN141" s="3"/>
      <c r="SQO141" s="3"/>
      <c r="SQP141" s="3"/>
      <c r="SQQ141" s="3"/>
      <c r="SQR141" s="3"/>
      <c r="SQS141" s="3"/>
      <c r="SQT141" s="3"/>
      <c r="SQU141" s="3"/>
      <c r="SQV141" s="3"/>
      <c r="SQW141" s="3"/>
      <c r="SQX141" s="3"/>
      <c r="SQY141" s="3"/>
      <c r="SQZ141" s="3"/>
      <c r="SRA141" s="3"/>
      <c r="SRB141" s="3"/>
      <c r="SRC141" s="3"/>
      <c r="SRD141" s="3"/>
      <c r="SRE141" s="3"/>
      <c r="SRF141" s="3"/>
      <c r="SRG141" s="3"/>
      <c r="SRH141" s="3"/>
      <c r="SRI141" s="3"/>
      <c r="SRJ141" s="3"/>
      <c r="SRK141" s="3"/>
      <c r="SRL141" s="3"/>
      <c r="SRM141" s="3"/>
      <c r="SRN141" s="3"/>
      <c r="SRO141" s="3"/>
      <c r="SRP141" s="3"/>
      <c r="SRQ141" s="3"/>
      <c r="SRR141" s="3"/>
      <c r="SRS141" s="3"/>
      <c r="SRT141" s="3"/>
      <c r="SRU141" s="3"/>
      <c r="SRV141" s="3"/>
      <c r="SRW141" s="3"/>
      <c r="SRX141" s="3"/>
      <c r="SRY141" s="3"/>
      <c r="SRZ141" s="3"/>
      <c r="SSA141" s="3"/>
      <c r="SSB141" s="3"/>
      <c r="SSC141" s="3"/>
      <c r="SSD141" s="3"/>
      <c r="SSE141" s="3"/>
      <c r="SSF141" s="3"/>
      <c r="SSG141" s="3"/>
      <c r="SSH141" s="3"/>
      <c r="SSI141" s="3"/>
      <c r="SSJ141" s="3"/>
      <c r="SSK141" s="3"/>
      <c r="SSL141" s="3"/>
      <c r="SSM141" s="3"/>
      <c r="SSN141" s="3"/>
      <c r="SSO141" s="3"/>
      <c r="SSP141" s="3"/>
      <c r="SSQ141" s="3"/>
      <c r="SSR141" s="3"/>
      <c r="SSS141" s="3"/>
      <c r="SST141" s="3"/>
      <c r="SSU141" s="3"/>
      <c r="SSV141" s="3"/>
      <c r="SSW141" s="3"/>
      <c r="SSX141" s="3"/>
      <c r="SSY141" s="3"/>
      <c r="SSZ141" s="3"/>
      <c r="STA141" s="3"/>
      <c r="STB141" s="3"/>
      <c r="STC141" s="3"/>
      <c r="STD141" s="3"/>
      <c r="STE141" s="3"/>
      <c r="STF141" s="3"/>
      <c r="STG141" s="3"/>
      <c r="STH141" s="3"/>
      <c r="STI141" s="3"/>
      <c r="STJ141" s="3"/>
      <c r="STK141" s="3"/>
      <c r="STL141" s="3"/>
      <c r="STM141" s="3"/>
      <c r="STN141" s="3"/>
      <c r="STO141" s="3"/>
      <c r="STP141" s="3"/>
      <c r="STQ141" s="3"/>
      <c r="STR141" s="3"/>
      <c r="STS141" s="3"/>
      <c r="STT141" s="3"/>
      <c r="STU141" s="3"/>
      <c r="STV141" s="3"/>
      <c r="STW141" s="3"/>
      <c r="STX141" s="3"/>
      <c r="STY141" s="3"/>
      <c r="STZ141" s="3"/>
      <c r="SUA141" s="3"/>
      <c r="SUB141" s="3"/>
      <c r="SUC141" s="3"/>
      <c r="SUD141" s="3"/>
      <c r="SUE141" s="3"/>
      <c r="SUF141" s="3"/>
      <c r="SUG141" s="3"/>
      <c r="SUH141" s="3"/>
      <c r="SUI141" s="3"/>
      <c r="SUJ141" s="3"/>
      <c r="SUK141" s="3"/>
      <c r="SUL141" s="3"/>
      <c r="SUM141" s="3"/>
      <c r="SUN141" s="3"/>
      <c r="SUO141" s="3"/>
      <c r="SUP141" s="3"/>
      <c r="SUQ141" s="3"/>
      <c r="SUR141" s="3"/>
      <c r="SUS141" s="3"/>
      <c r="SUT141" s="3"/>
      <c r="SUU141" s="3"/>
      <c r="SUV141" s="3"/>
      <c r="SUW141" s="3"/>
      <c r="SUX141" s="3"/>
      <c r="SUY141" s="3"/>
      <c r="SUZ141" s="3"/>
      <c r="SVA141" s="3"/>
      <c r="SVB141" s="3"/>
      <c r="SVC141" s="3"/>
      <c r="SVD141" s="3"/>
      <c r="SVE141" s="3"/>
      <c r="SVF141" s="3"/>
      <c r="SVG141" s="3"/>
      <c r="SVH141" s="3"/>
      <c r="SVI141" s="3"/>
      <c r="SVJ141" s="3"/>
      <c r="SVK141" s="3"/>
      <c r="SVL141" s="3"/>
      <c r="SVM141" s="3"/>
      <c r="SVN141" s="3"/>
      <c r="SVO141" s="3"/>
      <c r="SVP141" s="3"/>
      <c r="SVQ141" s="3"/>
      <c r="SVR141" s="3"/>
      <c r="SVS141" s="3"/>
      <c r="SVT141" s="3"/>
      <c r="SVU141" s="3"/>
      <c r="SVV141" s="3"/>
      <c r="SVW141" s="3"/>
      <c r="SVX141" s="3"/>
      <c r="SVY141" s="3"/>
      <c r="SVZ141" s="3"/>
      <c r="SWA141" s="3"/>
      <c r="SWB141" s="3"/>
      <c r="SWC141" s="3"/>
      <c r="SWD141" s="3"/>
      <c r="SWE141" s="3"/>
      <c r="SWF141" s="3"/>
      <c r="SWG141" s="3"/>
      <c r="SWH141" s="3"/>
      <c r="SWI141" s="3"/>
      <c r="SWJ141" s="3"/>
      <c r="SWK141" s="3"/>
      <c r="SWL141" s="3"/>
      <c r="SWM141" s="3"/>
      <c r="SWN141" s="3"/>
      <c r="SWO141" s="3"/>
      <c r="SWP141" s="3"/>
      <c r="SWQ141" s="3"/>
      <c r="SWR141" s="3"/>
      <c r="SWS141" s="3"/>
      <c r="SWT141" s="3"/>
      <c r="SWU141" s="3"/>
      <c r="SWV141" s="3"/>
      <c r="SWW141" s="3"/>
      <c r="SWX141" s="3"/>
      <c r="SWY141" s="3"/>
      <c r="SWZ141" s="3"/>
      <c r="SXA141" s="3"/>
      <c r="SXB141" s="3"/>
      <c r="SXC141" s="3"/>
      <c r="SXD141" s="3"/>
      <c r="SXE141" s="3"/>
      <c r="SXF141" s="3"/>
      <c r="SXG141" s="3"/>
      <c r="SXH141" s="3"/>
      <c r="SXI141" s="3"/>
      <c r="SXJ141" s="3"/>
      <c r="SXK141" s="3"/>
      <c r="SXL141" s="3"/>
      <c r="SXM141" s="3"/>
      <c r="SXN141" s="3"/>
      <c r="SXO141" s="3"/>
      <c r="SXP141" s="3"/>
      <c r="SXQ141" s="3"/>
      <c r="SXR141" s="3"/>
      <c r="SXS141" s="3"/>
      <c r="SXT141" s="3"/>
      <c r="SXU141" s="3"/>
      <c r="SXV141" s="3"/>
      <c r="SXW141" s="3"/>
      <c r="SXX141" s="3"/>
      <c r="SXY141" s="3"/>
      <c r="SXZ141" s="3"/>
      <c r="SYA141" s="3"/>
      <c r="SYB141" s="3"/>
      <c r="SYC141" s="3"/>
      <c r="SYD141" s="3"/>
      <c r="SYE141" s="3"/>
      <c r="SYF141" s="3"/>
      <c r="SYG141" s="3"/>
      <c r="SYH141" s="3"/>
      <c r="SYI141" s="3"/>
      <c r="SYJ141" s="3"/>
      <c r="SYK141" s="3"/>
      <c r="SYL141" s="3"/>
      <c r="SYM141" s="3"/>
      <c r="SYN141" s="3"/>
      <c r="SYO141" s="3"/>
      <c r="SYP141" s="3"/>
      <c r="SYQ141" s="3"/>
      <c r="SYR141" s="3"/>
      <c r="SYS141" s="3"/>
      <c r="SYT141" s="3"/>
      <c r="SYU141" s="3"/>
      <c r="SYV141" s="3"/>
      <c r="SYW141" s="3"/>
      <c r="SYX141" s="3"/>
      <c r="SYY141" s="3"/>
      <c r="SYZ141" s="3"/>
      <c r="SZA141" s="3"/>
      <c r="SZB141" s="3"/>
      <c r="SZC141" s="3"/>
      <c r="SZD141" s="3"/>
      <c r="SZE141" s="3"/>
      <c r="SZF141" s="3"/>
      <c r="SZG141" s="3"/>
      <c r="SZH141" s="3"/>
      <c r="SZI141" s="3"/>
      <c r="SZJ141" s="3"/>
      <c r="SZK141" s="3"/>
      <c r="SZL141" s="3"/>
      <c r="SZM141" s="3"/>
      <c r="SZN141" s="3"/>
      <c r="SZO141" s="3"/>
      <c r="SZP141" s="3"/>
      <c r="SZQ141" s="3"/>
      <c r="SZR141" s="3"/>
      <c r="SZS141" s="3"/>
      <c r="SZT141" s="3"/>
      <c r="SZU141" s="3"/>
      <c r="SZV141" s="3"/>
      <c r="SZW141" s="3"/>
      <c r="SZX141" s="3"/>
      <c r="SZY141" s="3"/>
      <c r="SZZ141" s="3"/>
      <c r="TAA141" s="3"/>
      <c r="TAB141" s="3"/>
      <c r="TAC141" s="3"/>
      <c r="TAD141" s="3"/>
      <c r="TAE141" s="3"/>
      <c r="TAF141" s="3"/>
      <c r="TAG141" s="3"/>
      <c r="TAH141" s="3"/>
      <c r="TAI141" s="3"/>
      <c r="TAJ141" s="3"/>
      <c r="TAK141" s="3"/>
      <c r="TAL141" s="3"/>
      <c r="TAM141" s="3"/>
      <c r="TAN141" s="3"/>
      <c r="TAO141" s="3"/>
      <c r="TAP141" s="3"/>
      <c r="TAQ141" s="3"/>
      <c r="TAR141" s="3"/>
      <c r="TAS141" s="3"/>
      <c r="TAT141" s="3"/>
      <c r="TAU141" s="3"/>
      <c r="TAV141" s="3"/>
      <c r="TAW141" s="3"/>
      <c r="TAX141" s="3"/>
      <c r="TAY141" s="3"/>
      <c r="TAZ141" s="3"/>
      <c r="TBA141" s="3"/>
      <c r="TBB141" s="3"/>
      <c r="TBC141" s="3"/>
      <c r="TBD141" s="3"/>
      <c r="TBE141" s="3"/>
      <c r="TBF141" s="3"/>
      <c r="TBG141" s="3"/>
      <c r="TBH141" s="3"/>
      <c r="TBI141" s="3"/>
      <c r="TBJ141" s="3"/>
      <c r="TBK141" s="3"/>
      <c r="TBL141" s="3"/>
      <c r="TBM141" s="3"/>
      <c r="TBN141" s="3"/>
      <c r="TBO141" s="3"/>
      <c r="TBP141" s="3"/>
      <c r="TBQ141" s="3"/>
      <c r="TBR141" s="3"/>
      <c r="TBS141" s="3"/>
      <c r="TBT141" s="3"/>
      <c r="TBU141" s="3"/>
      <c r="TBV141" s="3"/>
      <c r="TBW141" s="3"/>
      <c r="TBX141" s="3"/>
      <c r="TBY141" s="3"/>
      <c r="TBZ141" s="3"/>
      <c r="TCA141" s="3"/>
      <c r="TCB141" s="3"/>
      <c r="TCC141" s="3"/>
      <c r="TCD141" s="3"/>
      <c r="TCE141" s="3"/>
      <c r="TCF141" s="3"/>
      <c r="TCG141" s="3"/>
      <c r="TCH141" s="3"/>
      <c r="TCI141" s="3"/>
      <c r="TCJ141" s="3"/>
      <c r="TCK141" s="3"/>
      <c r="TCL141" s="3"/>
      <c r="TCM141" s="3"/>
      <c r="TCN141" s="3"/>
      <c r="TCO141" s="3"/>
      <c r="TCP141" s="3"/>
      <c r="TCQ141" s="3"/>
      <c r="TCR141" s="3"/>
      <c r="TCS141" s="3"/>
      <c r="TCT141" s="3"/>
      <c r="TCU141" s="3"/>
      <c r="TCV141" s="3"/>
      <c r="TCW141" s="3"/>
      <c r="TCX141" s="3"/>
      <c r="TCY141" s="3"/>
      <c r="TCZ141" s="3"/>
      <c r="TDA141" s="3"/>
      <c r="TDB141" s="3"/>
      <c r="TDC141" s="3"/>
      <c r="TDD141" s="3"/>
      <c r="TDE141" s="3"/>
      <c r="TDF141" s="3"/>
      <c r="TDG141" s="3"/>
      <c r="TDH141" s="3"/>
      <c r="TDI141" s="3"/>
      <c r="TDJ141" s="3"/>
      <c r="TDK141" s="3"/>
      <c r="TDL141" s="3"/>
      <c r="TDM141" s="3"/>
      <c r="TDN141" s="3"/>
      <c r="TDO141" s="3"/>
      <c r="TDP141" s="3"/>
      <c r="TDQ141" s="3"/>
      <c r="TDR141" s="3"/>
      <c r="TDS141" s="3"/>
      <c r="TDT141" s="3"/>
      <c r="TDU141" s="3"/>
      <c r="TDV141" s="3"/>
      <c r="TDW141" s="3"/>
      <c r="TDX141" s="3"/>
      <c r="TDY141" s="3"/>
      <c r="TDZ141" s="3"/>
      <c r="TEA141" s="3"/>
      <c r="TEB141" s="3"/>
      <c r="TEC141" s="3"/>
      <c r="TED141" s="3"/>
      <c r="TEE141" s="3"/>
      <c r="TEF141" s="3"/>
      <c r="TEG141" s="3"/>
      <c r="TEH141" s="3"/>
      <c r="TEI141" s="3"/>
      <c r="TEJ141" s="3"/>
      <c r="TEK141" s="3"/>
      <c r="TEL141" s="3"/>
      <c r="TEM141" s="3"/>
      <c r="TEN141" s="3"/>
      <c r="TEO141" s="3"/>
      <c r="TEP141" s="3"/>
      <c r="TEQ141" s="3"/>
      <c r="TER141" s="3"/>
      <c r="TES141" s="3"/>
      <c r="TET141" s="3"/>
      <c r="TEU141" s="3"/>
      <c r="TEV141" s="3"/>
      <c r="TEW141" s="3"/>
      <c r="TEX141" s="3"/>
      <c r="TEY141" s="3"/>
      <c r="TEZ141" s="3"/>
      <c r="TFA141" s="3"/>
      <c r="TFB141" s="3"/>
      <c r="TFC141" s="3"/>
      <c r="TFD141" s="3"/>
      <c r="TFE141" s="3"/>
      <c r="TFF141" s="3"/>
      <c r="TFG141" s="3"/>
      <c r="TFH141" s="3"/>
      <c r="TFI141" s="3"/>
      <c r="TFJ141" s="3"/>
      <c r="TFK141" s="3"/>
      <c r="TFL141" s="3"/>
      <c r="TFM141" s="3"/>
      <c r="TFN141" s="3"/>
      <c r="TFO141" s="3"/>
      <c r="TFP141" s="3"/>
      <c r="TFQ141" s="3"/>
      <c r="TFR141" s="3"/>
      <c r="TFS141" s="3"/>
      <c r="TFT141" s="3"/>
      <c r="TFU141" s="3"/>
      <c r="TFV141" s="3"/>
      <c r="TFW141" s="3"/>
      <c r="TFX141" s="3"/>
      <c r="TFY141" s="3"/>
      <c r="TFZ141" s="3"/>
      <c r="TGA141" s="3"/>
      <c r="TGB141" s="3"/>
      <c r="TGC141" s="3"/>
      <c r="TGD141" s="3"/>
      <c r="TGE141" s="3"/>
      <c r="TGF141" s="3"/>
      <c r="TGG141" s="3"/>
      <c r="TGH141" s="3"/>
      <c r="TGI141" s="3"/>
      <c r="TGJ141" s="3"/>
      <c r="TGK141" s="3"/>
      <c r="TGL141" s="3"/>
      <c r="TGM141" s="3"/>
      <c r="TGN141" s="3"/>
      <c r="TGO141" s="3"/>
      <c r="TGP141" s="3"/>
      <c r="TGQ141" s="3"/>
      <c r="TGR141" s="3"/>
      <c r="TGS141" s="3"/>
      <c r="TGT141" s="3"/>
      <c r="TGU141" s="3"/>
      <c r="TGV141" s="3"/>
      <c r="TGW141" s="3"/>
      <c r="TGX141" s="3"/>
      <c r="TGY141" s="3"/>
      <c r="TGZ141" s="3"/>
      <c r="THA141" s="3"/>
      <c r="THB141" s="3"/>
      <c r="THC141" s="3"/>
      <c r="THD141" s="3"/>
      <c r="THE141" s="3"/>
      <c r="THF141" s="3"/>
      <c r="THG141" s="3"/>
      <c r="THH141" s="3"/>
      <c r="THI141" s="3"/>
      <c r="THJ141" s="3"/>
      <c r="THK141" s="3"/>
      <c r="THL141" s="3"/>
      <c r="THM141" s="3"/>
      <c r="THN141" s="3"/>
      <c r="THO141" s="3"/>
      <c r="THP141" s="3"/>
      <c r="THQ141" s="3"/>
      <c r="THR141" s="3"/>
      <c r="THS141" s="3"/>
      <c r="THT141" s="3"/>
      <c r="THU141" s="3"/>
      <c r="THV141" s="3"/>
      <c r="THW141" s="3"/>
      <c r="THX141" s="3"/>
      <c r="THY141" s="3"/>
      <c r="THZ141" s="3"/>
      <c r="TIA141" s="3"/>
      <c r="TIB141" s="3"/>
      <c r="TIC141" s="3"/>
      <c r="TID141" s="3"/>
      <c r="TIE141" s="3"/>
      <c r="TIF141" s="3"/>
      <c r="TIG141" s="3"/>
      <c r="TIH141" s="3"/>
      <c r="TII141" s="3"/>
      <c r="TIJ141" s="3"/>
      <c r="TIK141" s="3"/>
      <c r="TIL141" s="3"/>
      <c r="TIM141" s="3"/>
      <c r="TIN141" s="3"/>
      <c r="TIO141" s="3"/>
      <c r="TIP141" s="3"/>
      <c r="TIQ141" s="3"/>
      <c r="TIR141" s="3"/>
      <c r="TIS141" s="3"/>
      <c r="TIT141" s="3"/>
      <c r="TIU141" s="3"/>
      <c r="TIV141" s="3"/>
      <c r="TIW141" s="3"/>
      <c r="TIX141" s="3"/>
      <c r="TIY141" s="3"/>
      <c r="TIZ141" s="3"/>
      <c r="TJA141" s="3"/>
      <c r="TJB141" s="3"/>
      <c r="TJC141" s="3"/>
      <c r="TJD141" s="3"/>
      <c r="TJE141" s="3"/>
      <c r="TJF141" s="3"/>
      <c r="TJG141" s="3"/>
      <c r="TJH141" s="3"/>
      <c r="TJI141" s="3"/>
      <c r="TJJ141" s="3"/>
      <c r="TJK141" s="3"/>
      <c r="TJL141" s="3"/>
      <c r="TJM141" s="3"/>
      <c r="TJN141" s="3"/>
      <c r="TJO141" s="3"/>
      <c r="TJP141" s="3"/>
      <c r="TJQ141" s="3"/>
      <c r="TJR141" s="3"/>
      <c r="TJS141" s="3"/>
      <c r="TJT141" s="3"/>
      <c r="TJU141" s="3"/>
      <c r="TJV141" s="3"/>
      <c r="TJW141" s="3"/>
      <c r="TJX141" s="3"/>
      <c r="TJY141" s="3"/>
      <c r="TJZ141" s="3"/>
      <c r="TKA141" s="3"/>
      <c r="TKB141" s="3"/>
      <c r="TKC141" s="3"/>
      <c r="TKD141" s="3"/>
      <c r="TKE141" s="3"/>
      <c r="TKF141" s="3"/>
      <c r="TKG141" s="3"/>
      <c r="TKH141" s="3"/>
      <c r="TKI141" s="3"/>
      <c r="TKJ141" s="3"/>
      <c r="TKK141" s="3"/>
      <c r="TKL141" s="3"/>
      <c r="TKM141" s="3"/>
      <c r="TKN141" s="3"/>
      <c r="TKO141" s="3"/>
      <c r="TKP141" s="3"/>
      <c r="TKQ141" s="3"/>
      <c r="TKR141" s="3"/>
      <c r="TKS141" s="3"/>
      <c r="TKT141" s="3"/>
      <c r="TKU141" s="3"/>
      <c r="TKV141" s="3"/>
      <c r="TKW141" s="3"/>
      <c r="TKX141" s="3"/>
      <c r="TKY141" s="3"/>
      <c r="TKZ141" s="3"/>
      <c r="TLA141" s="3"/>
      <c r="TLB141" s="3"/>
      <c r="TLC141" s="3"/>
      <c r="TLD141" s="3"/>
      <c r="TLE141" s="3"/>
      <c r="TLF141" s="3"/>
      <c r="TLG141" s="3"/>
      <c r="TLH141" s="3"/>
      <c r="TLI141" s="3"/>
      <c r="TLJ141" s="3"/>
      <c r="TLK141" s="3"/>
      <c r="TLL141" s="3"/>
      <c r="TLM141" s="3"/>
      <c r="TLN141" s="3"/>
      <c r="TLO141" s="3"/>
      <c r="TLP141" s="3"/>
      <c r="TLQ141" s="3"/>
      <c r="TLR141" s="3"/>
      <c r="TLS141" s="3"/>
      <c r="TLT141" s="3"/>
      <c r="TLU141" s="3"/>
      <c r="TLV141" s="3"/>
      <c r="TLW141" s="3"/>
      <c r="TLX141" s="3"/>
      <c r="TLY141" s="3"/>
      <c r="TLZ141" s="3"/>
      <c r="TMA141" s="3"/>
      <c r="TMB141" s="3"/>
      <c r="TMC141" s="3"/>
      <c r="TMD141" s="3"/>
      <c r="TME141" s="3"/>
      <c r="TMF141" s="3"/>
      <c r="TMG141" s="3"/>
      <c r="TMH141" s="3"/>
      <c r="TMI141" s="3"/>
      <c r="TMJ141" s="3"/>
      <c r="TMK141" s="3"/>
      <c r="TML141" s="3"/>
      <c r="TMM141" s="3"/>
      <c r="TMN141" s="3"/>
      <c r="TMO141" s="3"/>
      <c r="TMP141" s="3"/>
      <c r="TMQ141" s="3"/>
      <c r="TMR141" s="3"/>
      <c r="TMS141" s="3"/>
      <c r="TMT141" s="3"/>
      <c r="TMU141" s="3"/>
      <c r="TMV141" s="3"/>
      <c r="TMW141" s="3"/>
      <c r="TMX141" s="3"/>
      <c r="TMY141" s="3"/>
      <c r="TMZ141" s="3"/>
      <c r="TNA141" s="3"/>
      <c r="TNB141" s="3"/>
      <c r="TNC141" s="3"/>
      <c r="TND141" s="3"/>
      <c r="TNE141" s="3"/>
      <c r="TNF141" s="3"/>
      <c r="TNG141" s="3"/>
      <c r="TNH141" s="3"/>
      <c r="TNI141" s="3"/>
      <c r="TNJ141" s="3"/>
      <c r="TNK141" s="3"/>
      <c r="TNL141" s="3"/>
      <c r="TNM141" s="3"/>
      <c r="TNN141" s="3"/>
      <c r="TNO141" s="3"/>
      <c r="TNP141" s="3"/>
      <c r="TNQ141" s="3"/>
      <c r="TNR141" s="3"/>
      <c r="TNS141" s="3"/>
      <c r="TNT141" s="3"/>
      <c r="TNU141" s="3"/>
      <c r="TNV141" s="3"/>
      <c r="TNW141" s="3"/>
      <c r="TNX141" s="3"/>
      <c r="TNY141" s="3"/>
      <c r="TNZ141" s="3"/>
      <c r="TOA141" s="3"/>
      <c r="TOB141" s="3"/>
      <c r="TOC141" s="3"/>
      <c r="TOD141" s="3"/>
      <c r="TOE141" s="3"/>
      <c r="TOF141" s="3"/>
      <c r="TOG141" s="3"/>
      <c r="TOH141" s="3"/>
      <c r="TOI141" s="3"/>
      <c r="TOJ141" s="3"/>
      <c r="TOK141" s="3"/>
      <c r="TOL141" s="3"/>
      <c r="TOM141" s="3"/>
      <c r="TON141" s="3"/>
      <c r="TOO141" s="3"/>
      <c r="TOP141" s="3"/>
      <c r="TOQ141" s="3"/>
      <c r="TOR141" s="3"/>
      <c r="TOS141" s="3"/>
      <c r="TOT141" s="3"/>
      <c r="TOU141" s="3"/>
      <c r="TOV141" s="3"/>
      <c r="TOW141" s="3"/>
      <c r="TOX141" s="3"/>
      <c r="TOY141" s="3"/>
      <c r="TOZ141" s="3"/>
      <c r="TPA141" s="3"/>
      <c r="TPB141" s="3"/>
      <c r="TPC141" s="3"/>
      <c r="TPD141" s="3"/>
      <c r="TPE141" s="3"/>
      <c r="TPF141" s="3"/>
      <c r="TPG141" s="3"/>
      <c r="TPH141" s="3"/>
      <c r="TPI141" s="3"/>
      <c r="TPJ141" s="3"/>
      <c r="TPK141" s="3"/>
      <c r="TPL141" s="3"/>
      <c r="TPM141" s="3"/>
      <c r="TPN141" s="3"/>
      <c r="TPO141" s="3"/>
      <c r="TPP141" s="3"/>
      <c r="TPQ141" s="3"/>
      <c r="TPR141" s="3"/>
      <c r="TPS141" s="3"/>
      <c r="TPT141" s="3"/>
      <c r="TPU141" s="3"/>
      <c r="TPV141" s="3"/>
      <c r="TPW141" s="3"/>
      <c r="TPX141" s="3"/>
      <c r="TPY141" s="3"/>
      <c r="TPZ141" s="3"/>
      <c r="TQA141" s="3"/>
      <c r="TQB141" s="3"/>
      <c r="TQC141" s="3"/>
      <c r="TQD141" s="3"/>
      <c r="TQE141" s="3"/>
      <c r="TQF141" s="3"/>
      <c r="TQG141" s="3"/>
      <c r="TQH141" s="3"/>
      <c r="TQI141" s="3"/>
      <c r="TQJ141" s="3"/>
      <c r="TQK141" s="3"/>
      <c r="TQL141" s="3"/>
      <c r="TQM141" s="3"/>
      <c r="TQN141" s="3"/>
      <c r="TQO141" s="3"/>
      <c r="TQP141" s="3"/>
      <c r="TQQ141" s="3"/>
      <c r="TQR141" s="3"/>
      <c r="TQS141" s="3"/>
      <c r="TQT141" s="3"/>
      <c r="TQU141" s="3"/>
      <c r="TQV141" s="3"/>
      <c r="TQW141" s="3"/>
      <c r="TQX141" s="3"/>
      <c r="TQY141" s="3"/>
      <c r="TQZ141" s="3"/>
      <c r="TRA141" s="3"/>
      <c r="TRB141" s="3"/>
      <c r="TRC141" s="3"/>
      <c r="TRD141" s="3"/>
      <c r="TRE141" s="3"/>
      <c r="TRF141" s="3"/>
      <c r="TRG141" s="3"/>
      <c r="TRH141" s="3"/>
      <c r="TRI141" s="3"/>
      <c r="TRJ141" s="3"/>
      <c r="TRK141" s="3"/>
      <c r="TRL141" s="3"/>
      <c r="TRM141" s="3"/>
      <c r="TRN141" s="3"/>
      <c r="TRO141" s="3"/>
      <c r="TRP141" s="3"/>
      <c r="TRQ141" s="3"/>
      <c r="TRR141" s="3"/>
      <c r="TRS141" s="3"/>
      <c r="TRT141" s="3"/>
      <c r="TRU141" s="3"/>
      <c r="TRV141" s="3"/>
      <c r="TRW141" s="3"/>
      <c r="TRX141" s="3"/>
      <c r="TRY141" s="3"/>
      <c r="TRZ141" s="3"/>
      <c r="TSA141" s="3"/>
      <c r="TSB141" s="3"/>
      <c r="TSC141" s="3"/>
      <c r="TSD141" s="3"/>
      <c r="TSE141" s="3"/>
      <c r="TSF141" s="3"/>
      <c r="TSG141" s="3"/>
      <c r="TSH141" s="3"/>
      <c r="TSI141" s="3"/>
      <c r="TSJ141" s="3"/>
      <c r="TSK141" s="3"/>
      <c r="TSL141" s="3"/>
      <c r="TSM141" s="3"/>
      <c r="TSN141" s="3"/>
      <c r="TSO141" s="3"/>
      <c r="TSP141" s="3"/>
      <c r="TSQ141" s="3"/>
      <c r="TSR141" s="3"/>
      <c r="TSS141" s="3"/>
      <c r="TST141" s="3"/>
      <c r="TSU141" s="3"/>
      <c r="TSV141" s="3"/>
      <c r="TSW141" s="3"/>
      <c r="TSX141" s="3"/>
      <c r="TSY141" s="3"/>
      <c r="TSZ141" s="3"/>
      <c r="TTA141" s="3"/>
      <c r="TTB141" s="3"/>
      <c r="TTC141" s="3"/>
      <c r="TTD141" s="3"/>
      <c r="TTE141" s="3"/>
      <c r="TTF141" s="3"/>
      <c r="TTG141" s="3"/>
      <c r="TTH141" s="3"/>
      <c r="TTI141" s="3"/>
      <c r="TTJ141" s="3"/>
      <c r="TTK141" s="3"/>
      <c r="TTL141" s="3"/>
      <c r="TTM141" s="3"/>
      <c r="TTN141" s="3"/>
      <c r="TTO141" s="3"/>
      <c r="TTP141" s="3"/>
      <c r="TTQ141" s="3"/>
      <c r="TTR141" s="3"/>
      <c r="TTS141" s="3"/>
      <c r="TTT141" s="3"/>
      <c r="TTU141" s="3"/>
      <c r="TTV141" s="3"/>
      <c r="TTW141" s="3"/>
      <c r="TTX141" s="3"/>
      <c r="TTY141" s="3"/>
      <c r="TTZ141" s="3"/>
      <c r="TUA141" s="3"/>
      <c r="TUB141" s="3"/>
      <c r="TUC141" s="3"/>
      <c r="TUD141" s="3"/>
      <c r="TUE141" s="3"/>
      <c r="TUF141" s="3"/>
      <c r="TUG141" s="3"/>
      <c r="TUH141" s="3"/>
      <c r="TUI141" s="3"/>
      <c r="TUJ141" s="3"/>
      <c r="TUK141" s="3"/>
      <c r="TUL141" s="3"/>
      <c r="TUM141" s="3"/>
      <c r="TUN141" s="3"/>
      <c r="TUO141" s="3"/>
      <c r="TUP141" s="3"/>
      <c r="TUQ141" s="3"/>
      <c r="TUR141" s="3"/>
      <c r="TUS141" s="3"/>
      <c r="TUT141" s="3"/>
      <c r="TUU141" s="3"/>
      <c r="TUV141" s="3"/>
      <c r="TUW141" s="3"/>
      <c r="TUX141" s="3"/>
      <c r="TUY141" s="3"/>
      <c r="TUZ141" s="3"/>
      <c r="TVA141" s="3"/>
      <c r="TVB141" s="3"/>
      <c r="TVC141" s="3"/>
      <c r="TVD141" s="3"/>
      <c r="TVE141" s="3"/>
      <c r="TVF141" s="3"/>
      <c r="TVG141" s="3"/>
      <c r="TVH141" s="3"/>
      <c r="TVI141" s="3"/>
      <c r="TVJ141" s="3"/>
      <c r="TVK141" s="3"/>
      <c r="TVL141" s="3"/>
      <c r="TVM141" s="3"/>
      <c r="TVN141" s="3"/>
      <c r="TVO141" s="3"/>
      <c r="TVP141" s="3"/>
      <c r="TVQ141" s="3"/>
      <c r="TVR141" s="3"/>
      <c r="TVS141" s="3"/>
      <c r="TVT141" s="3"/>
      <c r="TVU141" s="3"/>
      <c r="TVV141" s="3"/>
      <c r="TVW141" s="3"/>
      <c r="TVX141" s="3"/>
      <c r="TVY141" s="3"/>
      <c r="TVZ141" s="3"/>
      <c r="TWA141" s="3"/>
      <c r="TWB141" s="3"/>
      <c r="TWC141" s="3"/>
      <c r="TWD141" s="3"/>
      <c r="TWE141" s="3"/>
      <c r="TWF141" s="3"/>
      <c r="TWG141" s="3"/>
      <c r="TWH141" s="3"/>
      <c r="TWI141" s="3"/>
      <c r="TWJ141" s="3"/>
      <c r="TWK141" s="3"/>
      <c r="TWL141" s="3"/>
      <c r="TWM141" s="3"/>
      <c r="TWN141" s="3"/>
      <c r="TWO141" s="3"/>
      <c r="TWP141" s="3"/>
      <c r="TWQ141" s="3"/>
      <c r="TWR141" s="3"/>
      <c r="TWS141" s="3"/>
      <c r="TWT141" s="3"/>
      <c r="TWU141" s="3"/>
      <c r="TWV141" s="3"/>
      <c r="TWW141" s="3"/>
      <c r="TWX141" s="3"/>
      <c r="TWY141" s="3"/>
      <c r="TWZ141" s="3"/>
      <c r="TXA141" s="3"/>
      <c r="TXB141" s="3"/>
      <c r="TXC141" s="3"/>
      <c r="TXD141" s="3"/>
      <c r="TXE141" s="3"/>
      <c r="TXF141" s="3"/>
      <c r="TXG141" s="3"/>
      <c r="TXH141" s="3"/>
      <c r="TXI141" s="3"/>
      <c r="TXJ141" s="3"/>
      <c r="TXK141" s="3"/>
      <c r="TXL141" s="3"/>
      <c r="TXM141" s="3"/>
      <c r="TXN141" s="3"/>
      <c r="TXO141" s="3"/>
      <c r="TXP141" s="3"/>
      <c r="TXQ141" s="3"/>
      <c r="TXR141" s="3"/>
      <c r="TXS141" s="3"/>
      <c r="TXT141" s="3"/>
      <c r="TXU141" s="3"/>
      <c r="TXV141" s="3"/>
      <c r="TXW141" s="3"/>
      <c r="TXX141" s="3"/>
      <c r="TXY141" s="3"/>
      <c r="TXZ141" s="3"/>
      <c r="TYA141" s="3"/>
      <c r="TYB141" s="3"/>
      <c r="TYC141" s="3"/>
      <c r="TYD141" s="3"/>
      <c r="TYE141" s="3"/>
      <c r="TYF141" s="3"/>
      <c r="TYG141" s="3"/>
      <c r="TYH141" s="3"/>
      <c r="TYI141" s="3"/>
      <c r="TYJ141" s="3"/>
      <c r="TYK141" s="3"/>
      <c r="TYL141" s="3"/>
      <c r="TYM141" s="3"/>
      <c r="TYN141" s="3"/>
      <c r="TYO141" s="3"/>
      <c r="TYP141" s="3"/>
      <c r="TYQ141" s="3"/>
      <c r="TYR141" s="3"/>
      <c r="TYS141" s="3"/>
      <c r="TYT141" s="3"/>
      <c r="TYU141" s="3"/>
      <c r="TYV141" s="3"/>
      <c r="TYW141" s="3"/>
      <c r="TYX141" s="3"/>
      <c r="TYY141" s="3"/>
      <c r="TYZ141" s="3"/>
      <c r="TZA141" s="3"/>
      <c r="TZB141" s="3"/>
      <c r="TZC141" s="3"/>
      <c r="TZD141" s="3"/>
      <c r="TZE141" s="3"/>
      <c r="TZF141" s="3"/>
      <c r="TZG141" s="3"/>
      <c r="TZH141" s="3"/>
      <c r="TZI141" s="3"/>
      <c r="TZJ141" s="3"/>
      <c r="TZK141" s="3"/>
      <c r="TZL141" s="3"/>
      <c r="TZM141" s="3"/>
      <c r="TZN141" s="3"/>
      <c r="TZO141" s="3"/>
      <c r="TZP141" s="3"/>
      <c r="TZQ141" s="3"/>
      <c r="TZR141" s="3"/>
      <c r="TZS141" s="3"/>
      <c r="TZT141" s="3"/>
      <c r="TZU141" s="3"/>
      <c r="TZV141" s="3"/>
      <c r="TZW141" s="3"/>
      <c r="TZX141" s="3"/>
      <c r="TZY141" s="3"/>
      <c r="TZZ141" s="3"/>
      <c r="UAA141" s="3"/>
      <c r="UAB141" s="3"/>
      <c r="UAC141" s="3"/>
      <c r="UAD141" s="3"/>
      <c r="UAE141" s="3"/>
      <c r="UAF141" s="3"/>
      <c r="UAG141" s="3"/>
      <c r="UAH141" s="3"/>
      <c r="UAI141" s="3"/>
      <c r="UAJ141" s="3"/>
      <c r="UAK141" s="3"/>
      <c r="UAL141" s="3"/>
      <c r="UAM141" s="3"/>
      <c r="UAN141" s="3"/>
      <c r="UAO141" s="3"/>
      <c r="UAP141" s="3"/>
      <c r="UAQ141" s="3"/>
      <c r="UAR141" s="3"/>
      <c r="UAS141" s="3"/>
      <c r="UAT141" s="3"/>
      <c r="UAU141" s="3"/>
      <c r="UAV141" s="3"/>
      <c r="UAW141" s="3"/>
      <c r="UAX141" s="3"/>
      <c r="UAY141" s="3"/>
      <c r="UAZ141" s="3"/>
      <c r="UBA141" s="3"/>
      <c r="UBB141" s="3"/>
      <c r="UBC141" s="3"/>
      <c r="UBD141" s="3"/>
      <c r="UBE141" s="3"/>
      <c r="UBF141" s="3"/>
      <c r="UBG141" s="3"/>
      <c r="UBH141" s="3"/>
      <c r="UBI141" s="3"/>
      <c r="UBJ141" s="3"/>
      <c r="UBK141" s="3"/>
      <c r="UBL141" s="3"/>
      <c r="UBM141" s="3"/>
      <c r="UBN141" s="3"/>
      <c r="UBO141" s="3"/>
      <c r="UBP141" s="3"/>
      <c r="UBQ141" s="3"/>
      <c r="UBR141" s="3"/>
      <c r="UBS141" s="3"/>
      <c r="UBT141" s="3"/>
      <c r="UBU141" s="3"/>
      <c r="UBV141" s="3"/>
      <c r="UBW141" s="3"/>
      <c r="UBX141" s="3"/>
      <c r="UBY141" s="3"/>
      <c r="UBZ141" s="3"/>
      <c r="UCA141" s="3"/>
      <c r="UCB141" s="3"/>
      <c r="UCC141" s="3"/>
      <c r="UCD141" s="3"/>
      <c r="UCE141" s="3"/>
      <c r="UCF141" s="3"/>
      <c r="UCG141" s="3"/>
      <c r="UCH141" s="3"/>
      <c r="UCI141" s="3"/>
      <c r="UCJ141" s="3"/>
      <c r="UCK141" s="3"/>
      <c r="UCL141" s="3"/>
      <c r="UCM141" s="3"/>
      <c r="UCN141" s="3"/>
      <c r="UCO141" s="3"/>
      <c r="UCP141" s="3"/>
      <c r="UCQ141" s="3"/>
      <c r="UCR141" s="3"/>
      <c r="UCS141" s="3"/>
      <c r="UCT141" s="3"/>
      <c r="UCU141" s="3"/>
      <c r="UCV141" s="3"/>
      <c r="UCW141" s="3"/>
      <c r="UCX141" s="3"/>
      <c r="UCY141" s="3"/>
      <c r="UCZ141" s="3"/>
      <c r="UDA141" s="3"/>
      <c r="UDB141" s="3"/>
      <c r="UDC141" s="3"/>
      <c r="UDD141" s="3"/>
      <c r="UDE141" s="3"/>
      <c r="UDF141" s="3"/>
      <c r="UDG141" s="3"/>
      <c r="UDH141" s="3"/>
      <c r="UDI141" s="3"/>
      <c r="UDJ141" s="3"/>
      <c r="UDK141" s="3"/>
      <c r="UDL141" s="3"/>
      <c r="UDM141" s="3"/>
      <c r="UDN141" s="3"/>
      <c r="UDO141" s="3"/>
      <c r="UDP141" s="3"/>
      <c r="UDQ141" s="3"/>
      <c r="UDR141" s="3"/>
      <c r="UDS141" s="3"/>
      <c r="UDT141" s="3"/>
      <c r="UDU141" s="3"/>
      <c r="UDV141" s="3"/>
      <c r="UDW141" s="3"/>
      <c r="UDX141" s="3"/>
      <c r="UDY141" s="3"/>
      <c r="UDZ141" s="3"/>
      <c r="UEA141" s="3"/>
      <c r="UEB141" s="3"/>
      <c r="UEC141" s="3"/>
      <c r="UED141" s="3"/>
      <c r="UEE141" s="3"/>
      <c r="UEF141" s="3"/>
      <c r="UEG141" s="3"/>
      <c r="UEH141" s="3"/>
      <c r="UEI141" s="3"/>
      <c r="UEJ141" s="3"/>
      <c r="UEK141" s="3"/>
      <c r="UEL141" s="3"/>
      <c r="UEM141" s="3"/>
      <c r="UEN141" s="3"/>
      <c r="UEO141" s="3"/>
      <c r="UEP141" s="3"/>
      <c r="UEQ141" s="3"/>
      <c r="UER141" s="3"/>
      <c r="UES141" s="3"/>
      <c r="UET141" s="3"/>
      <c r="UEU141" s="3"/>
      <c r="UEV141" s="3"/>
      <c r="UEW141" s="3"/>
      <c r="UEX141" s="3"/>
      <c r="UEY141" s="3"/>
      <c r="UEZ141" s="3"/>
      <c r="UFA141" s="3"/>
      <c r="UFB141" s="3"/>
      <c r="UFC141" s="3"/>
      <c r="UFD141" s="3"/>
      <c r="UFE141" s="3"/>
      <c r="UFF141" s="3"/>
      <c r="UFG141" s="3"/>
      <c r="UFH141" s="3"/>
      <c r="UFI141" s="3"/>
      <c r="UFJ141" s="3"/>
      <c r="UFK141" s="3"/>
      <c r="UFL141" s="3"/>
      <c r="UFM141" s="3"/>
      <c r="UFN141" s="3"/>
      <c r="UFO141" s="3"/>
      <c r="UFP141" s="3"/>
      <c r="UFQ141" s="3"/>
      <c r="UFR141" s="3"/>
      <c r="UFS141" s="3"/>
      <c r="UFT141" s="3"/>
      <c r="UFU141" s="3"/>
      <c r="UFV141" s="3"/>
      <c r="UFW141" s="3"/>
      <c r="UFX141" s="3"/>
      <c r="UFY141" s="3"/>
      <c r="UFZ141" s="3"/>
      <c r="UGA141" s="3"/>
      <c r="UGB141" s="3"/>
      <c r="UGC141" s="3"/>
      <c r="UGD141" s="3"/>
      <c r="UGE141" s="3"/>
      <c r="UGF141" s="3"/>
      <c r="UGG141" s="3"/>
      <c r="UGH141" s="3"/>
      <c r="UGI141" s="3"/>
      <c r="UGJ141" s="3"/>
      <c r="UGK141" s="3"/>
      <c r="UGL141" s="3"/>
      <c r="UGM141" s="3"/>
      <c r="UGN141" s="3"/>
      <c r="UGO141" s="3"/>
      <c r="UGP141" s="3"/>
      <c r="UGQ141" s="3"/>
      <c r="UGR141" s="3"/>
      <c r="UGS141" s="3"/>
      <c r="UGT141" s="3"/>
      <c r="UGU141" s="3"/>
      <c r="UGV141" s="3"/>
      <c r="UGW141" s="3"/>
      <c r="UGX141" s="3"/>
      <c r="UGY141" s="3"/>
      <c r="UGZ141" s="3"/>
      <c r="UHA141" s="3"/>
      <c r="UHB141" s="3"/>
      <c r="UHC141" s="3"/>
      <c r="UHD141" s="3"/>
      <c r="UHE141" s="3"/>
      <c r="UHF141" s="3"/>
      <c r="UHG141" s="3"/>
      <c r="UHH141" s="3"/>
      <c r="UHI141" s="3"/>
      <c r="UHJ141" s="3"/>
      <c r="UHK141" s="3"/>
      <c r="UHL141" s="3"/>
      <c r="UHM141" s="3"/>
      <c r="UHN141" s="3"/>
      <c r="UHO141" s="3"/>
      <c r="UHP141" s="3"/>
      <c r="UHQ141" s="3"/>
      <c r="UHR141" s="3"/>
      <c r="UHS141" s="3"/>
      <c r="UHT141" s="3"/>
      <c r="UHU141" s="3"/>
      <c r="UHV141" s="3"/>
      <c r="UHW141" s="3"/>
      <c r="UHX141" s="3"/>
      <c r="UHY141" s="3"/>
      <c r="UHZ141" s="3"/>
      <c r="UIA141" s="3"/>
      <c r="UIB141" s="3"/>
      <c r="UIC141" s="3"/>
      <c r="UID141" s="3"/>
      <c r="UIE141" s="3"/>
      <c r="UIF141" s="3"/>
      <c r="UIG141" s="3"/>
      <c r="UIH141" s="3"/>
      <c r="UII141" s="3"/>
      <c r="UIJ141" s="3"/>
      <c r="UIK141" s="3"/>
      <c r="UIL141" s="3"/>
      <c r="UIM141" s="3"/>
      <c r="UIN141" s="3"/>
      <c r="UIO141" s="3"/>
      <c r="UIP141" s="3"/>
      <c r="UIQ141" s="3"/>
      <c r="UIR141" s="3"/>
      <c r="UIS141" s="3"/>
      <c r="UIT141" s="3"/>
      <c r="UIU141" s="3"/>
      <c r="UIV141" s="3"/>
      <c r="UIW141" s="3"/>
      <c r="UIX141" s="3"/>
      <c r="UIY141" s="3"/>
      <c r="UIZ141" s="3"/>
      <c r="UJA141" s="3"/>
      <c r="UJB141" s="3"/>
      <c r="UJC141" s="3"/>
      <c r="UJD141" s="3"/>
      <c r="UJE141" s="3"/>
      <c r="UJF141" s="3"/>
      <c r="UJG141" s="3"/>
      <c r="UJH141" s="3"/>
      <c r="UJI141" s="3"/>
      <c r="UJJ141" s="3"/>
      <c r="UJK141" s="3"/>
      <c r="UJL141" s="3"/>
      <c r="UJM141" s="3"/>
      <c r="UJN141" s="3"/>
      <c r="UJO141" s="3"/>
      <c r="UJP141" s="3"/>
      <c r="UJQ141" s="3"/>
      <c r="UJR141" s="3"/>
      <c r="UJS141" s="3"/>
      <c r="UJT141" s="3"/>
      <c r="UJU141" s="3"/>
      <c r="UJV141" s="3"/>
      <c r="UJW141" s="3"/>
      <c r="UJX141" s="3"/>
      <c r="UJY141" s="3"/>
      <c r="UJZ141" s="3"/>
      <c r="UKA141" s="3"/>
      <c r="UKB141" s="3"/>
      <c r="UKC141" s="3"/>
      <c r="UKD141" s="3"/>
      <c r="UKE141" s="3"/>
      <c r="UKF141" s="3"/>
      <c r="UKG141" s="3"/>
      <c r="UKH141" s="3"/>
      <c r="UKI141" s="3"/>
      <c r="UKJ141" s="3"/>
      <c r="UKK141" s="3"/>
      <c r="UKL141" s="3"/>
      <c r="UKM141" s="3"/>
      <c r="UKN141" s="3"/>
      <c r="UKO141" s="3"/>
      <c r="UKP141" s="3"/>
      <c r="UKQ141" s="3"/>
      <c r="UKR141" s="3"/>
      <c r="UKS141" s="3"/>
      <c r="UKT141" s="3"/>
      <c r="UKU141" s="3"/>
      <c r="UKV141" s="3"/>
      <c r="UKW141" s="3"/>
      <c r="UKX141" s="3"/>
      <c r="UKY141" s="3"/>
      <c r="UKZ141" s="3"/>
      <c r="ULA141" s="3"/>
      <c r="ULB141" s="3"/>
      <c r="ULC141" s="3"/>
      <c r="ULD141" s="3"/>
      <c r="ULE141" s="3"/>
      <c r="ULF141" s="3"/>
      <c r="ULG141" s="3"/>
      <c r="ULH141" s="3"/>
      <c r="ULI141" s="3"/>
      <c r="ULJ141" s="3"/>
      <c r="ULK141" s="3"/>
      <c r="ULL141" s="3"/>
      <c r="ULM141" s="3"/>
      <c r="ULN141" s="3"/>
      <c r="ULO141" s="3"/>
      <c r="ULP141" s="3"/>
      <c r="ULQ141" s="3"/>
      <c r="ULR141" s="3"/>
      <c r="ULS141" s="3"/>
      <c r="ULT141" s="3"/>
      <c r="ULU141" s="3"/>
      <c r="ULV141" s="3"/>
      <c r="ULW141" s="3"/>
      <c r="ULX141" s="3"/>
      <c r="ULY141" s="3"/>
      <c r="ULZ141" s="3"/>
      <c r="UMA141" s="3"/>
      <c r="UMB141" s="3"/>
      <c r="UMC141" s="3"/>
      <c r="UMD141" s="3"/>
      <c r="UME141" s="3"/>
      <c r="UMF141" s="3"/>
      <c r="UMG141" s="3"/>
      <c r="UMH141" s="3"/>
      <c r="UMI141" s="3"/>
      <c r="UMJ141" s="3"/>
      <c r="UMK141" s="3"/>
      <c r="UML141" s="3"/>
      <c r="UMM141" s="3"/>
      <c r="UMN141" s="3"/>
      <c r="UMO141" s="3"/>
      <c r="UMP141" s="3"/>
      <c r="UMQ141" s="3"/>
      <c r="UMR141" s="3"/>
      <c r="UMS141" s="3"/>
      <c r="UMT141" s="3"/>
      <c r="UMU141" s="3"/>
      <c r="UMV141" s="3"/>
      <c r="UMW141" s="3"/>
      <c r="UMX141" s="3"/>
      <c r="UMY141" s="3"/>
      <c r="UMZ141" s="3"/>
      <c r="UNA141" s="3"/>
      <c r="UNB141" s="3"/>
      <c r="UNC141" s="3"/>
      <c r="UND141" s="3"/>
      <c r="UNE141" s="3"/>
      <c r="UNF141" s="3"/>
      <c r="UNG141" s="3"/>
      <c r="UNH141" s="3"/>
      <c r="UNI141" s="3"/>
      <c r="UNJ141" s="3"/>
      <c r="UNK141" s="3"/>
      <c r="UNL141" s="3"/>
      <c r="UNM141" s="3"/>
      <c r="UNN141" s="3"/>
      <c r="UNO141" s="3"/>
      <c r="UNP141" s="3"/>
      <c r="UNQ141" s="3"/>
      <c r="UNR141" s="3"/>
      <c r="UNS141" s="3"/>
      <c r="UNT141" s="3"/>
      <c r="UNU141" s="3"/>
      <c r="UNV141" s="3"/>
      <c r="UNW141" s="3"/>
      <c r="UNX141" s="3"/>
      <c r="UNY141" s="3"/>
      <c r="UNZ141" s="3"/>
      <c r="UOA141" s="3"/>
      <c r="UOB141" s="3"/>
      <c r="UOC141" s="3"/>
      <c r="UOD141" s="3"/>
      <c r="UOE141" s="3"/>
      <c r="UOF141" s="3"/>
      <c r="UOG141" s="3"/>
      <c r="UOH141" s="3"/>
      <c r="UOI141" s="3"/>
      <c r="UOJ141" s="3"/>
      <c r="UOK141" s="3"/>
      <c r="UOL141" s="3"/>
      <c r="UOM141" s="3"/>
      <c r="UON141" s="3"/>
      <c r="UOO141" s="3"/>
      <c r="UOP141" s="3"/>
      <c r="UOQ141" s="3"/>
      <c r="UOR141" s="3"/>
      <c r="UOS141" s="3"/>
      <c r="UOT141" s="3"/>
      <c r="UOU141" s="3"/>
      <c r="UOV141" s="3"/>
      <c r="UOW141" s="3"/>
      <c r="UOX141" s="3"/>
      <c r="UOY141" s="3"/>
      <c r="UOZ141" s="3"/>
      <c r="UPA141" s="3"/>
      <c r="UPB141" s="3"/>
      <c r="UPC141" s="3"/>
      <c r="UPD141" s="3"/>
      <c r="UPE141" s="3"/>
      <c r="UPF141" s="3"/>
      <c r="UPG141" s="3"/>
      <c r="UPH141" s="3"/>
      <c r="UPI141" s="3"/>
      <c r="UPJ141" s="3"/>
      <c r="UPK141" s="3"/>
      <c r="UPL141" s="3"/>
      <c r="UPM141" s="3"/>
      <c r="UPN141" s="3"/>
      <c r="UPO141" s="3"/>
      <c r="UPP141" s="3"/>
      <c r="UPQ141" s="3"/>
      <c r="UPR141" s="3"/>
      <c r="UPS141" s="3"/>
      <c r="UPT141" s="3"/>
      <c r="UPU141" s="3"/>
      <c r="UPV141" s="3"/>
      <c r="UPW141" s="3"/>
      <c r="UPX141" s="3"/>
      <c r="UPY141" s="3"/>
      <c r="UPZ141" s="3"/>
      <c r="UQA141" s="3"/>
      <c r="UQB141" s="3"/>
      <c r="UQC141" s="3"/>
      <c r="UQD141" s="3"/>
      <c r="UQE141" s="3"/>
      <c r="UQF141" s="3"/>
      <c r="UQG141" s="3"/>
      <c r="UQH141" s="3"/>
      <c r="UQI141" s="3"/>
      <c r="UQJ141" s="3"/>
      <c r="UQK141" s="3"/>
      <c r="UQL141" s="3"/>
      <c r="UQM141" s="3"/>
      <c r="UQN141" s="3"/>
      <c r="UQO141" s="3"/>
      <c r="UQP141" s="3"/>
      <c r="UQQ141" s="3"/>
      <c r="UQR141" s="3"/>
      <c r="UQS141" s="3"/>
      <c r="UQT141" s="3"/>
      <c r="UQU141" s="3"/>
      <c r="UQV141" s="3"/>
      <c r="UQW141" s="3"/>
      <c r="UQX141" s="3"/>
      <c r="UQY141" s="3"/>
      <c r="UQZ141" s="3"/>
      <c r="URA141" s="3"/>
      <c r="URB141" s="3"/>
      <c r="URC141" s="3"/>
      <c r="URD141" s="3"/>
      <c r="URE141" s="3"/>
      <c r="URF141" s="3"/>
      <c r="URG141" s="3"/>
      <c r="URH141" s="3"/>
      <c r="URI141" s="3"/>
      <c r="URJ141" s="3"/>
      <c r="URK141" s="3"/>
      <c r="URL141" s="3"/>
      <c r="URM141" s="3"/>
      <c r="URN141" s="3"/>
      <c r="URO141" s="3"/>
      <c r="URP141" s="3"/>
      <c r="URQ141" s="3"/>
      <c r="URR141" s="3"/>
      <c r="URS141" s="3"/>
      <c r="URT141" s="3"/>
      <c r="URU141" s="3"/>
      <c r="URV141" s="3"/>
      <c r="URW141" s="3"/>
      <c r="URX141" s="3"/>
      <c r="URY141" s="3"/>
      <c r="URZ141" s="3"/>
      <c r="USA141" s="3"/>
      <c r="USB141" s="3"/>
      <c r="USC141" s="3"/>
      <c r="USD141" s="3"/>
      <c r="USE141" s="3"/>
      <c r="USF141" s="3"/>
      <c r="USG141" s="3"/>
      <c r="USH141" s="3"/>
      <c r="USI141" s="3"/>
      <c r="USJ141" s="3"/>
      <c r="USK141" s="3"/>
      <c r="USL141" s="3"/>
      <c r="USM141" s="3"/>
      <c r="USN141" s="3"/>
      <c r="USO141" s="3"/>
      <c r="USP141" s="3"/>
      <c r="USQ141" s="3"/>
      <c r="USR141" s="3"/>
      <c r="USS141" s="3"/>
      <c r="UST141" s="3"/>
      <c r="USU141" s="3"/>
      <c r="USV141" s="3"/>
      <c r="USW141" s="3"/>
      <c r="USX141" s="3"/>
      <c r="USY141" s="3"/>
      <c r="USZ141" s="3"/>
      <c r="UTA141" s="3"/>
      <c r="UTB141" s="3"/>
      <c r="UTC141" s="3"/>
      <c r="UTD141" s="3"/>
      <c r="UTE141" s="3"/>
      <c r="UTF141" s="3"/>
      <c r="UTG141" s="3"/>
      <c r="UTH141" s="3"/>
      <c r="UTI141" s="3"/>
      <c r="UTJ141" s="3"/>
      <c r="UTK141" s="3"/>
      <c r="UTL141" s="3"/>
      <c r="UTM141" s="3"/>
      <c r="UTN141" s="3"/>
      <c r="UTO141" s="3"/>
      <c r="UTP141" s="3"/>
      <c r="UTQ141" s="3"/>
      <c r="UTR141" s="3"/>
      <c r="UTS141" s="3"/>
      <c r="UTT141" s="3"/>
      <c r="UTU141" s="3"/>
      <c r="UTV141" s="3"/>
      <c r="UTW141" s="3"/>
      <c r="UTX141" s="3"/>
      <c r="UTY141" s="3"/>
      <c r="UTZ141" s="3"/>
      <c r="UUA141" s="3"/>
      <c r="UUB141" s="3"/>
      <c r="UUC141" s="3"/>
      <c r="UUD141" s="3"/>
      <c r="UUE141" s="3"/>
      <c r="UUF141" s="3"/>
      <c r="UUG141" s="3"/>
      <c r="UUH141" s="3"/>
      <c r="UUI141" s="3"/>
      <c r="UUJ141" s="3"/>
      <c r="UUK141" s="3"/>
      <c r="UUL141" s="3"/>
      <c r="UUM141" s="3"/>
      <c r="UUN141" s="3"/>
      <c r="UUO141" s="3"/>
      <c r="UUP141" s="3"/>
      <c r="UUQ141" s="3"/>
      <c r="UUR141" s="3"/>
      <c r="UUS141" s="3"/>
      <c r="UUT141" s="3"/>
      <c r="UUU141" s="3"/>
      <c r="UUV141" s="3"/>
      <c r="UUW141" s="3"/>
      <c r="UUX141" s="3"/>
      <c r="UUY141" s="3"/>
      <c r="UUZ141" s="3"/>
      <c r="UVA141" s="3"/>
      <c r="UVB141" s="3"/>
      <c r="UVC141" s="3"/>
      <c r="UVD141" s="3"/>
      <c r="UVE141" s="3"/>
      <c r="UVF141" s="3"/>
      <c r="UVG141" s="3"/>
      <c r="UVH141" s="3"/>
      <c r="UVI141" s="3"/>
      <c r="UVJ141" s="3"/>
      <c r="UVK141" s="3"/>
      <c r="UVL141" s="3"/>
      <c r="UVM141" s="3"/>
      <c r="UVN141" s="3"/>
      <c r="UVO141" s="3"/>
      <c r="UVP141" s="3"/>
      <c r="UVQ141" s="3"/>
      <c r="UVR141" s="3"/>
      <c r="UVS141" s="3"/>
      <c r="UVT141" s="3"/>
      <c r="UVU141" s="3"/>
      <c r="UVV141" s="3"/>
      <c r="UVW141" s="3"/>
      <c r="UVX141" s="3"/>
      <c r="UVY141" s="3"/>
      <c r="UVZ141" s="3"/>
      <c r="UWA141" s="3"/>
      <c r="UWB141" s="3"/>
      <c r="UWC141" s="3"/>
      <c r="UWD141" s="3"/>
      <c r="UWE141" s="3"/>
      <c r="UWF141" s="3"/>
      <c r="UWG141" s="3"/>
      <c r="UWH141" s="3"/>
      <c r="UWI141" s="3"/>
      <c r="UWJ141" s="3"/>
      <c r="UWK141" s="3"/>
      <c r="UWL141" s="3"/>
      <c r="UWM141" s="3"/>
      <c r="UWN141" s="3"/>
      <c r="UWO141" s="3"/>
      <c r="UWP141" s="3"/>
      <c r="UWQ141" s="3"/>
      <c r="UWR141" s="3"/>
      <c r="UWS141" s="3"/>
      <c r="UWT141" s="3"/>
      <c r="UWU141" s="3"/>
      <c r="UWV141" s="3"/>
      <c r="UWW141" s="3"/>
      <c r="UWX141" s="3"/>
      <c r="UWY141" s="3"/>
      <c r="UWZ141" s="3"/>
      <c r="UXA141" s="3"/>
      <c r="UXB141" s="3"/>
      <c r="UXC141" s="3"/>
      <c r="UXD141" s="3"/>
      <c r="UXE141" s="3"/>
      <c r="UXF141" s="3"/>
      <c r="UXG141" s="3"/>
      <c r="UXH141" s="3"/>
      <c r="UXI141" s="3"/>
      <c r="UXJ141" s="3"/>
      <c r="UXK141" s="3"/>
      <c r="UXL141" s="3"/>
      <c r="UXM141" s="3"/>
      <c r="UXN141" s="3"/>
      <c r="UXO141" s="3"/>
      <c r="UXP141" s="3"/>
      <c r="UXQ141" s="3"/>
      <c r="UXR141" s="3"/>
      <c r="UXS141" s="3"/>
      <c r="UXT141" s="3"/>
      <c r="UXU141" s="3"/>
      <c r="UXV141" s="3"/>
      <c r="UXW141" s="3"/>
      <c r="UXX141" s="3"/>
      <c r="UXY141" s="3"/>
      <c r="UXZ141" s="3"/>
      <c r="UYA141" s="3"/>
      <c r="UYB141" s="3"/>
      <c r="UYC141" s="3"/>
      <c r="UYD141" s="3"/>
      <c r="UYE141" s="3"/>
      <c r="UYF141" s="3"/>
      <c r="UYG141" s="3"/>
      <c r="UYH141" s="3"/>
      <c r="UYI141" s="3"/>
      <c r="UYJ141" s="3"/>
      <c r="UYK141" s="3"/>
      <c r="UYL141" s="3"/>
      <c r="UYM141" s="3"/>
      <c r="UYN141" s="3"/>
      <c r="UYO141" s="3"/>
      <c r="UYP141" s="3"/>
      <c r="UYQ141" s="3"/>
      <c r="UYR141" s="3"/>
      <c r="UYS141" s="3"/>
      <c r="UYT141" s="3"/>
      <c r="UYU141" s="3"/>
      <c r="UYV141" s="3"/>
      <c r="UYW141" s="3"/>
      <c r="UYX141" s="3"/>
      <c r="UYY141" s="3"/>
      <c r="UYZ141" s="3"/>
      <c r="UZA141" s="3"/>
      <c r="UZB141" s="3"/>
      <c r="UZC141" s="3"/>
      <c r="UZD141" s="3"/>
      <c r="UZE141" s="3"/>
      <c r="UZF141" s="3"/>
      <c r="UZG141" s="3"/>
      <c r="UZH141" s="3"/>
      <c r="UZI141" s="3"/>
      <c r="UZJ141" s="3"/>
      <c r="UZK141" s="3"/>
      <c r="UZL141" s="3"/>
      <c r="UZM141" s="3"/>
      <c r="UZN141" s="3"/>
      <c r="UZO141" s="3"/>
      <c r="UZP141" s="3"/>
      <c r="UZQ141" s="3"/>
      <c r="UZR141" s="3"/>
      <c r="UZS141" s="3"/>
      <c r="UZT141" s="3"/>
      <c r="UZU141" s="3"/>
      <c r="UZV141" s="3"/>
      <c r="UZW141" s="3"/>
      <c r="UZX141" s="3"/>
      <c r="UZY141" s="3"/>
      <c r="UZZ141" s="3"/>
      <c r="VAA141" s="3"/>
      <c r="VAB141" s="3"/>
      <c r="VAC141" s="3"/>
      <c r="VAD141" s="3"/>
      <c r="VAE141" s="3"/>
      <c r="VAF141" s="3"/>
      <c r="VAG141" s="3"/>
      <c r="VAH141" s="3"/>
      <c r="VAI141" s="3"/>
      <c r="VAJ141" s="3"/>
      <c r="VAK141" s="3"/>
      <c r="VAL141" s="3"/>
      <c r="VAM141" s="3"/>
      <c r="VAN141" s="3"/>
      <c r="VAO141" s="3"/>
      <c r="VAP141" s="3"/>
      <c r="VAQ141" s="3"/>
      <c r="VAR141" s="3"/>
      <c r="VAS141" s="3"/>
      <c r="VAT141" s="3"/>
      <c r="VAU141" s="3"/>
      <c r="VAV141" s="3"/>
      <c r="VAW141" s="3"/>
      <c r="VAX141" s="3"/>
      <c r="VAY141" s="3"/>
      <c r="VAZ141" s="3"/>
      <c r="VBA141" s="3"/>
      <c r="VBB141" s="3"/>
      <c r="VBC141" s="3"/>
      <c r="VBD141" s="3"/>
      <c r="VBE141" s="3"/>
      <c r="VBF141" s="3"/>
      <c r="VBG141" s="3"/>
      <c r="VBH141" s="3"/>
      <c r="VBI141" s="3"/>
      <c r="VBJ141" s="3"/>
      <c r="VBK141" s="3"/>
      <c r="VBL141" s="3"/>
      <c r="VBM141" s="3"/>
      <c r="VBN141" s="3"/>
      <c r="VBO141" s="3"/>
      <c r="VBP141" s="3"/>
      <c r="VBQ141" s="3"/>
      <c r="VBR141" s="3"/>
      <c r="VBS141" s="3"/>
      <c r="VBT141" s="3"/>
      <c r="VBU141" s="3"/>
      <c r="VBV141" s="3"/>
      <c r="VBW141" s="3"/>
      <c r="VBX141" s="3"/>
      <c r="VBY141" s="3"/>
      <c r="VBZ141" s="3"/>
      <c r="VCA141" s="3"/>
      <c r="VCB141" s="3"/>
      <c r="VCC141" s="3"/>
      <c r="VCD141" s="3"/>
      <c r="VCE141" s="3"/>
      <c r="VCF141" s="3"/>
      <c r="VCG141" s="3"/>
      <c r="VCH141" s="3"/>
      <c r="VCI141" s="3"/>
      <c r="VCJ141" s="3"/>
      <c r="VCK141" s="3"/>
      <c r="VCL141" s="3"/>
      <c r="VCM141" s="3"/>
      <c r="VCN141" s="3"/>
      <c r="VCO141" s="3"/>
      <c r="VCP141" s="3"/>
      <c r="VCQ141" s="3"/>
      <c r="VCR141" s="3"/>
      <c r="VCS141" s="3"/>
      <c r="VCT141" s="3"/>
      <c r="VCU141" s="3"/>
      <c r="VCV141" s="3"/>
      <c r="VCW141" s="3"/>
      <c r="VCX141" s="3"/>
      <c r="VCY141" s="3"/>
      <c r="VCZ141" s="3"/>
      <c r="VDA141" s="3"/>
      <c r="VDB141" s="3"/>
      <c r="VDC141" s="3"/>
      <c r="VDD141" s="3"/>
      <c r="VDE141" s="3"/>
      <c r="VDF141" s="3"/>
      <c r="VDG141" s="3"/>
      <c r="VDH141" s="3"/>
      <c r="VDI141" s="3"/>
      <c r="VDJ141" s="3"/>
      <c r="VDK141" s="3"/>
      <c r="VDL141" s="3"/>
      <c r="VDM141" s="3"/>
      <c r="VDN141" s="3"/>
      <c r="VDO141" s="3"/>
      <c r="VDP141" s="3"/>
      <c r="VDQ141" s="3"/>
      <c r="VDR141" s="3"/>
      <c r="VDS141" s="3"/>
      <c r="VDT141" s="3"/>
      <c r="VDU141" s="3"/>
      <c r="VDV141" s="3"/>
      <c r="VDW141" s="3"/>
      <c r="VDX141" s="3"/>
      <c r="VDY141" s="3"/>
      <c r="VDZ141" s="3"/>
      <c r="VEA141" s="3"/>
      <c r="VEB141" s="3"/>
      <c r="VEC141" s="3"/>
      <c r="VED141" s="3"/>
      <c r="VEE141" s="3"/>
      <c r="VEF141" s="3"/>
      <c r="VEG141" s="3"/>
      <c r="VEH141" s="3"/>
      <c r="VEI141" s="3"/>
      <c r="VEJ141" s="3"/>
      <c r="VEK141" s="3"/>
      <c r="VEL141" s="3"/>
      <c r="VEM141" s="3"/>
      <c r="VEN141" s="3"/>
      <c r="VEO141" s="3"/>
      <c r="VEP141" s="3"/>
      <c r="VEQ141" s="3"/>
      <c r="VER141" s="3"/>
      <c r="VES141" s="3"/>
      <c r="VET141" s="3"/>
      <c r="VEU141" s="3"/>
      <c r="VEV141" s="3"/>
      <c r="VEW141" s="3"/>
      <c r="VEX141" s="3"/>
      <c r="VEY141" s="3"/>
      <c r="VEZ141" s="3"/>
      <c r="VFA141" s="3"/>
      <c r="VFB141" s="3"/>
      <c r="VFC141" s="3"/>
      <c r="VFD141" s="3"/>
      <c r="VFE141" s="3"/>
      <c r="VFF141" s="3"/>
      <c r="VFG141" s="3"/>
      <c r="VFH141" s="3"/>
      <c r="VFI141" s="3"/>
      <c r="VFJ141" s="3"/>
      <c r="VFK141" s="3"/>
      <c r="VFL141" s="3"/>
      <c r="VFM141" s="3"/>
      <c r="VFN141" s="3"/>
      <c r="VFO141" s="3"/>
      <c r="VFP141" s="3"/>
      <c r="VFQ141" s="3"/>
      <c r="VFR141" s="3"/>
      <c r="VFS141" s="3"/>
      <c r="VFT141" s="3"/>
      <c r="VFU141" s="3"/>
      <c r="VFV141" s="3"/>
      <c r="VFW141" s="3"/>
      <c r="VFX141" s="3"/>
      <c r="VFY141" s="3"/>
      <c r="VFZ141" s="3"/>
      <c r="VGA141" s="3"/>
      <c r="VGB141" s="3"/>
      <c r="VGC141" s="3"/>
      <c r="VGD141" s="3"/>
      <c r="VGE141" s="3"/>
      <c r="VGF141" s="3"/>
      <c r="VGG141" s="3"/>
      <c r="VGH141" s="3"/>
      <c r="VGI141" s="3"/>
      <c r="VGJ141" s="3"/>
      <c r="VGK141" s="3"/>
      <c r="VGL141" s="3"/>
      <c r="VGM141" s="3"/>
      <c r="VGN141" s="3"/>
      <c r="VGO141" s="3"/>
      <c r="VGP141" s="3"/>
      <c r="VGQ141" s="3"/>
      <c r="VGR141" s="3"/>
      <c r="VGS141" s="3"/>
      <c r="VGT141" s="3"/>
      <c r="VGU141" s="3"/>
      <c r="VGV141" s="3"/>
      <c r="VGW141" s="3"/>
      <c r="VGX141" s="3"/>
      <c r="VGY141" s="3"/>
      <c r="VGZ141" s="3"/>
      <c r="VHA141" s="3"/>
      <c r="VHB141" s="3"/>
      <c r="VHC141" s="3"/>
      <c r="VHD141" s="3"/>
      <c r="VHE141" s="3"/>
      <c r="VHF141" s="3"/>
      <c r="VHG141" s="3"/>
      <c r="VHH141" s="3"/>
      <c r="VHI141" s="3"/>
      <c r="VHJ141" s="3"/>
      <c r="VHK141" s="3"/>
      <c r="VHL141" s="3"/>
      <c r="VHM141" s="3"/>
      <c r="VHN141" s="3"/>
      <c r="VHO141" s="3"/>
      <c r="VHP141" s="3"/>
      <c r="VHQ141" s="3"/>
      <c r="VHR141" s="3"/>
      <c r="VHS141" s="3"/>
      <c r="VHT141" s="3"/>
      <c r="VHU141" s="3"/>
      <c r="VHV141" s="3"/>
      <c r="VHW141" s="3"/>
      <c r="VHX141" s="3"/>
      <c r="VHY141" s="3"/>
      <c r="VHZ141" s="3"/>
      <c r="VIA141" s="3"/>
      <c r="VIB141" s="3"/>
      <c r="VIC141" s="3"/>
      <c r="VID141" s="3"/>
      <c r="VIE141" s="3"/>
      <c r="VIF141" s="3"/>
      <c r="VIG141" s="3"/>
      <c r="VIH141" s="3"/>
      <c r="VII141" s="3"/>
      <c r="VIJ141" s="3"/>
      <c r="VIK141" s="3"/>
      <c r="VIL141" s="3"/>
      <c r="VIM141" s="3"/>
      <c r="VIN141" s="3"/>
      <c r="VIO141" s="3"/>
      <c r="VIP141" s="3"/>
      <c r="VIQ141" s="3"/>
      <c r="VIR141" s="3"/>
      <c r="VIS141" s="3"/>
      <c r="VIT141" s="3"/>
      <c r="VIU141" s="3"/>
      <c r="VIV141" s="3"/>
      <c r="VIW141" s="3"/>
      <c r="VIX141" s="3"/>
      <c r="VIY141" s="3"/>
      <c r="VIZ141" s="3"/>
      <c r="VJA141" s="3"/>
      <c r="VJB141" s="3"/>
      <c r="VJC141" s="3"/>
      <c r="VJD141" s="3"/>
      <c r="VJE141" s="3"/>
      <c r="VJF141" s="3"/>
      <c r="VJG141" s="3"/>
      <c r="VJH141" s="3"/>
      <c r="VJI141" s="3"/>
      <c r="VJJ141" s="3"/>
      <c r="VJK141" s="3"/>
      <c r="VJL141" s="3"/>
      <c r="VJM141" s="3"/>
      <c r="VJN141" s="3"/>
      <c r="VJO141" s="3"/>
      <c r="VJP141" s="3"/>
      <c r="VJQ141" s="3"/>
      <c r="VJR141" s="3"/>
      <c r="VJS141" s="3"/>
      <c r="VJT141" s="3"/>
      <c r="VJU141" s="3"/>
      <c r="VJV141" s="3"/>
      <c r="VJW141" s="3"/>
      <c r="VJX141" s="3"/>
      <c r="VJY141" s="3"/>
      <c r="VJZ141" s="3"/>
      <c r="VKA141" s="3"/>
      <c r="VKB141" s="3"/>
      <c r="VKC141" s="3"/>
      <c r="VKD141" s="3"/>
      <c r="VKE141" s="3"/>
      <c r="VKF141" s="3"/>
      <c r="VKG141" s="3"/>
      <c r="VKH141" s="3"/>
      <c r="VKI141" s="3"/>
      <c r="VKJ141" s="3"/>
      <c r="VKK141" s="3"/>
      <c r="VKL141" s="3"/>
      <c r="VKM141" s="3"/>
      <c r="VKN141" s="3"/>
      <c r="VKO141" s="3"/>
      <c r="VKP141" s="3"/>
      <c r="VKQ141" s="3"/>
      <c r="VKR141" s="3"/>
      <c r="VKS141" s="3"/>
      <c r="VKT141" s="3"/>
      <c r="VKU141" s="3"/>
      <c r="VKV141" s="3"/>
      <c r="VKW141" s="3"/>
      <c r="VKX141" s="3"/>
      <c r="VKY141" s="3"/>
      <c r="VKZ141" s="3"/>
      <c r="VLA141" s="3"/>
      <c r="VLB141" s="3"/>
      <c r="VLC141" s="3"/>
      <c r="VLD141" s="3"/>
      <c r="VLE141" s="3"/>
      <c r="VLF141" s="3"/>
      <c r="VLG141" s="3"/>
      <c r="VLH141" s="3"/>
      <c r="VLI141" s="3"/>
      <c r="VLJ141" s="3"/>
      <c r="VLK141" s="3"/>
      <c r="VLL141" s="3"/>
      <c r="VLM141" s="3"/>
      <c r="VLN141" s="3"/>
      <c r="VLO141" s="3"/>
      <c r="VLP141" s="3"/>
      <c r="VLQ141" s="3"/>
      <c r="VLR141" s="3"/>
      <c r="VLS141" s="3"/>
      <c r="VLT141" s="3"/>
      <c r="VLU141" s="3"/>
      <c r="VLV141" s="3"/>
      <c r="VLW141" s="3"/>
      <c r="VLX141" s="3"/>
      <c r="VLY141" s="3"/>
      <c r="VLZ141" s="3"/>
      <c r="VMA141" s="3"/>
      <c r="VMB141" s="3"/>
      <c r="VMC141" s="3"/>
      <c r="VMD141" s="3"/>
      <c r="VME141" s="3"/>
      <c r="VMF141" s="3"/>
      <c r="VMG141" s="3"/>
      <c r="VMH141" s="3"/>
      <c r="VMI141" s="3"/>
      <c r="VMJ141" s="3"/>
      <c r="VMK141" s="3"/>
      <c r="VML141" s="3"/>
      <c r="VMM141" s="3"/>
      <c r="VMN141" s="3"/>
      <c r="VMO141" s="3"/>
      <c r="VMP141" s="3"/>
      <c r="VMQ141" s="3"/>
      <c r="VMR141" s="3"/>
      <c r="VMS141" s="3"/>
      <c r="VMT141" s="3"/>
      <c r="VMU141" s="3"/>
      <c r="VMV141" s="3"/>
      <c r="VMW141" s="3"/>
      <c r="VMX141" s="3"/>
      <c r="VMY141" s="3"/>
      <c r="VMZ141" s="3"/>
      <c r="VNA141" s="3"/>
      <c r="VNB141" s="3"/>
      <c r="VNC141" s="3"/>
      <c r="VND141" s="3"/>
      <c r="VNE141" s="3"/>
      <c r="VNF141" s="3"/>
      <c r="VNG141" s="3"/>
      <c r="VNH141" s="3"/>
      <c r="VNI141" s="3"/>
      <c r="VNJ141" s="3"/>
      <c r="VNK141" s="3"/>
      <c r="VNL141" s="3"/>
      <c r="VNM141" s="3"/>
      <c r="VNN141" s="3"/>
      <c r="VNO141" s="3"/>
      <c r="VNP141" s="3"/>
      <c r="VNQ141" s="3"/>
      <c r="VNR141" s="3"/>
      <c r="VNS141" s="3"/>
      <c r="VNT141" s="3"/>
      <c r="VNU141" s="3"/>
      <c r="VNV141" s="3"/>
      <c r="VNW141" s="3"/>
      <c r="VNX141" s="3"/>
      <c r="VNY141" s="3"/>
      <c r="VNZ141" s="3"/>
      <c r="VOA141" s="3"/>
      <c r="VOB141" s="3"/>
      <c r="VOC141" s="3"/>
      <c r="VOD141" s="3"/>
      <c r="VOE141" s="3"/>
      <c r="VOF141" s="3"/>
      <c r="VOG141" s="3"/>
      <c r="VOH141" s="3"/>
      <c r="VOI141" s="3"/>
      <c r="VOJ141" s="3"/>
      <c r="VOK141" s="3"/>
      <c r="VOL141" s="3"/>
      <c r="VOM141" s="3"/>
      <c r="VON141" s="3"/>
      <c r="VOO141" s="3"/>
      <c r="VOP141" s="3"/>
      <c r="VOQ141" s="3"/>
      <c r="VOR141" s="3"/>
      <c r="VOS141" s="3"/>
      <c r="VOT141" s="3"/>
      <c r="VOU141" s="3"/>
      <c r="VOV141" s="3"/>
      <c r="VOW141" s="3"/>
      <c r="VOX141" s="3"/>
      <c r="VOY141" s="3"/>
      <c r="VOZ141" s="3"/>
      <c r="VPA141" s="3"/>
      <c r="VPB141" s="3"/>
      <c r="VPC141" s="3"/>
      <c r="VPD141" s="3"/>
      <c r="VPE141" s="3"/>
      <c r="VPF141" s="3"/>
      <c r="VPG141" s="3"/>
      <c r="VPH141" s="3"/>
      <c r="VPI141" s="3"/>
      <c r="VPJ141" s="3"/>
      <c r="VPK141" s="3"/>
      <c r="VPL141" s="3"/>
      <c r="VPM141" s="3"/>
      <c r="VPN141" s="3"/>
      <c r="VPO141" s="3"/>
      <c r="VPP141" s="3"/>
      <c r="VPQ141" s="3"/>
      <c r="VPR141" s="3"/>
      <c r="VPS141" s="3"/>
      <c r="VPT141" s="3"/>
      <c r="VPU141" s="3"/>
      <c r="VPV141" s="3"/>
      <c r="VPW141" s="3"/>
      <c r="VPX141" s="3"/>
      <c r="VPY141" s="3"/>
      <c r="VPZ141" s="3"/>
      <c r="VQA141" s="3"/>
      <c r="VQB141" s="3"/>
      <c r="VQC141" s="3"/>
      <c r="VQD141" s="3"/>
      <c r="VQE141" s="3"/>
      <c r="VQF141" s="3"/>
      <c r="VQG141" s="3"/>
      <c r="VQH141" s="3"/>
      <c r="VQI141" s="3"/>
      <c r="VQJ141" s="3"/>
      <c r="VQK141" s="3"/>
      <c r="VQL141" s="3"/>
      <c r="VQM141" s="3"/>
      <c r="VQN141" s="3"/>
      <c r="VQO141" s="3"/>
      <c r="VQP141" s="3"/>
      <c r="VQQ141" s="3"/>
      <c r="VQR141" s="3"/>
      <c r="VQS141" s="3"/>
      <c r="VQT141" s="3"/>
      <c r="VQU141" s="3"/>
      <c r="VQV141" s="3"/>
      <c r="VQW141" s="3"/>
      <c r="VQX141" s="3"/>
      <c r="VQY141" s="3"/>
      <c r="VQZ141" s="3"/>
      <c r="VRA141" s="3"/>
      <c r="VRB141" s="3"/>
      <c r="VRC141" s="3"/>
      <c r="VRD141" s="3"/>
      <c r="VRE141" s="3"/>
      <c r="VRF141" s="3"/>
      <c r="VRG141" s="3"/>
      <c r="VRH141" s="3"/>
      <c r="VRI141" s="3"/>
      <c r="VRJ141" s="3"/>
      <c r="VRK141" s="3"/>
      <c r="VRL141" s="3"/>
      <c r="VRM141" s="3"/>
      <c r="VRN141" s="3"/>
      <c r="VRO141" s="3"/>
      <c r="VRP141" s="3"/>
      <c r="VRQ141" s="3"/>
      <c r="VRR141" s="3"/>
      <c r="VRS141" s="3"/>
      <c r="VRT141" s="3"/>
      <c r="VRU141" s="3"/>
      <c r="VRV141" s="3"/>
      <c r="VRW141" s="3"/>
      <c r="VRX141" s="3"/>
      <c r="VRY141" s="3"/>
      <c r="VRZ141" s="3"/>
      <c r="VSA141" s="3"/>
      <c r="VSB141" s="3"/>
      <c r="VSC141" s="3"/>
      <c r="VSD141" s="3"/>
      <c r="VSE141" s="3"/>
      <c r="VSF141" s="3"/>
      <c r="VSG141" s="3"/>
      <c r="VSH141" s="3"/>
      <c r="VSI141" s="3"/>
      <c r="VSJ141" s="3"/>
      <c r="VSK141" s="3"/>
      <c r="VSL141" s="3"/>
      <c r="VSM141" s="3"/>
      <c r="VSN141" s="3"/>
      <c r="VSO141" s="3"/>
      <c r="VSP141" s="3"/>
      <c r="VSQ141" s="3"/>
      <c r="VSR141" s="3"/>
      <c r="VSS141" s="3"/>
      <c r="VST141" s="3"/>
      <c r="VSU141" s="3"/>
      <c r="VSV141" s="3"/>
      <c r="VSW141" s="3"/>
      <c r="VSX141" s="3"/>
      <c r="VSY141" s="3"/>
      <c r="VSZ141" s="3"/>
      <c r="VTA141" s="3"/>
      <c r="VTB141" s="3"/>
      <c r="VTC141" s="3"/>
      <c r="VTD141" s="3"/>
      <c r="VTE141" s="3"/>
      <c r="VTF141" s="3"/>
      <c r="VTG141" s="3"/>
      <c r="VTH141" s="3"/>
      <c r="VTI141" s="3"/>
      <c r="VTJ141" s="3"/>
      <c r="VTK141" s="3"/>
      <c r="VTL141" s="3"/>
      <c r="VTM141" s="3"/>
      <c r="VTN141" s="3"/>
      <c r="VTO141" s="3"/>
      <c r="VTP141" s="3"/>
      <c r="VTQ141" s="3"/>
      <c r="VTR141" s="3"/>
      <c r="VTS141" s="3"/>
      <c r="VTT141" s="3"/>
      <c r="VTU141" s="3"/>
      <c r="VTV141" s="3"/>
      <c r="VTW141" s="3"/>
      <c r="VTX141" s="3"/>
      <c r="VTY141" s="3"/>
      <c r="VTZ141" s="3"/>
      <c r="VUA141" s="3"/>
      <c r="VUB141" s="3"/>
      <c r="VUC141" s="3"/>
      <c r="VUD141" s="3"/>
      <c r="VUE141" s="3"/>
      <c r="VUF141" s="3"/>
      <c r="VUG141" s="3"/>
      <c r="VUH141" s="3"/>
      <c r="VUI141" s="3"/>
      <c r="VUJ141" s="3"/>
      <c r="VUK141" s="3"/>
      <c r="VUL141" s="3"/>
      <c r="VUM141" s="3"/>
      <c r="VUN141" s="3"/>
      <c r="VUO141" s="3"/>
      <c r="VUP141" s="3"/>
      <c r="VUQ141" s="3"/>
      <c r="VUR141" s="3"/>
      <c r="VUS141" s="3"/>
      <c r="VUT141" s="3"/>
      <c r="VUU141" s="3"/>
      <c r="VUV141" s="3"/>
      <c r="VUW141" s="3"/>
      <c r="VUX141" s="3"/>
      <c r="VUY141" s="3"/>
      <c r="VUZ141" s="3"/>
      <c r="VVA141" s="3"/>
      <c r="VVB141" s="3"/>
      <c r="VVC141" s="3"/>
      <c r="VVD141" s="3"/>
      <c r="VVE141" s="3"/>
      <c r="VVF141" s="3"/>
      <c r="VVG141" s="3"/>
      <c r="VVH141" s="3"/>
      <c r="VVI141" s="3"/>
      <c r="VVJ141" s="3"/>
      <c r="VVK141" s="3"/>
      <c r="VVL141" s="3"/>
      <c r="VVM141" s="3"/>
      <c r="VVN141" s="3"/>
      <c r="VVO141" s="3"/>
      <c r="VVP141" s="3"/>
      <c r="VVQ141" s="3"/>
      <c r="VVR141" s="3"/>
      <c r="VVS141" s="3"/>
      <c r="VVT141" s="3"/>
      <c r="VVU141" s="3"/>
      <c r="VVV141" s="3"/>
      <c r="VVW141" s="3"/>
      <c r="VVX141" s="3"/>
      <c r="VVY141" s="3"/>
      <c r="VVZ141" s="3"/>
      <c r="VWA141" s="3"/>
      <c r="VWB141" s="3"/>
      <c r="VWC141" s="3"/>
      <c r="VWD141" s="3"/>
      <c r="VWE141" s="3"/>
      <c r="VWF141" s="3"/>
      <c r="VWG141" s="3"/>
      <c r="VWH141" s="3"/>
      <c r="VWI141" s="3"/>
      <c r="VWJ141" s="3"/>
      <c r="VWK141" s="3"/>
      <c r="VWL141" s="3"/>
      <c r="VWM141" s="3"/>
      <c r="VWN141" s="3"/>
      <c r="VWO141" s="3"/>
      <c r="VWP141" s="3"/>
      <c r="VWQ141" s="3"/>
      <c r="VWR141" s="3"/>
      <c r="VWS141" s="3"/>
      <c r="VWT141" s="3"/>
      <c r="VWU141" s="3"/>
      <c r="VWV141" s="3"/>
      <c r="VWW141" s="3"/>
      <c r="VWX141" s="3"/>
      <c r="VWY141" s="3"/>
      <c r="VWZ141" s="3"/>
      <c r="VXA141" s="3"/>
      <c r="VXB141" s="3"/>
      <c r="VXC141" s="3"/>
      <c r="VXD141" s="3"/>
      <c r="VXE141" s="3"/>
      <c r="VXF141" s="3"/>
      <c r="VXG141" s="3"/>
      <c r="VXH141" s="3"/>
      <c r="VXI141" s="3"/>
      <c r="VXJ141" s="3"/>
      <c r="VXK141" s="3"/>
      <c r="VXL141" s="3"/>
      <c r="VXM141" s="3"/>
      <c r="VXN141" s="3"/>
      <c r="VXO141" s="3"/>
      <c r="VXP141" s="3"/>
      <c r="VXQ141" s="3"/>
      <c r="VXR141" s="3"/>
      <c r="VXS141" s="3"/>
      <c r="VXT141" s="3"/>
      <c r="VXU141" s="3"/>
      <c r="VXV141" s="3"/>
      <c r="VXW141" s="3"/>
      <c r="VXX141" s="3"/>
      <c r="VXY141" s="3"/>
      <c r="VXZ141" s="3"/>
      <c r="VYA141" s="3"/>
      <c r="VYB141" s="3"/>
      <c r="VYC141" s="3"/>
      <c r="VYD141" s="3"/>
      <c r="VYE141" s="3"/>
      <c r="VYF141" s="3"/>
      <c r="VYG141" s="3"/>
      <c r="VYH141" s="3"/>
      <c r="VYI141" s="3"/>
      <c r="VYJ141" s="3"/>
      <c r="VYK141" s="3"/>
      <c r="VYL141" s="3"/>
      <c r="VYM141" s="3"/>
      <c r="VYN141" s="3"/>
      <c r="VYO141" s="3"/>
      <c r="VYP141" s="3"/>
      <c r="VYQ141" s="3"/>
      <c r="VYR141" s="3"/>
      <c r="VYS141" s="3"/>
      <c r="VYT141" s="3"/>
      <c r="VYU141" s="3"/>
      <c r="VYV141" s="3"/>
      <c r="VYW141" s="3"/>
      <c r="VYX141" s="3"/>
      <c r="VYY141" s="3"/>
      <c r="VYZ141" s="3"/>
      <c r="VZA141" s="3"/>
      <c r="VZB141" s="3"/>
      <c r="VZC141" s="3"/>
      <c r="VZD141" s="3"/>
      <c r="VZE141" s="3"/>
      <c r="VZF141" s="3"/>
      <c r="VZG141" s="3"/>
      <c r="VZH141" s="3"/>
      <c r="VZI141" s="3"/>
      <c r="VZJ141" s="3"/>
      <c r="VZK141" s="3"/>
      <c r="VZL141" s="3"/>
      <c r="VZM141" s="3"/>
      <c r="VZN141" s="3"/>
      <c r="VZO141" s="3"/>
      <c r="VZP141" s="3"/>
      <c r="VZQ141" s="3"/>
      <c r="VZR141" s="3"/>
      <c r="VZS141" s="3"/>
      <c r="VZT141" s="3"/>
      <c r="VZU141" s="3"/>
      <c r="VZV141" s="3"/>
      <c r="VZW141" s="3"/>
      <c r="VZX141" s="3"/>
      <c r="VZY141" s="3"/>
      <c r="VZZ141" s="3"/>
      <c r="WAA141" s="3"/>
      <c r="WAB141" s="3"/>
      <c r="WAC141" s="3"/>
      <c r="WAD141" s="3"/>
      <c r="WAE141" s="3"/>
      <c r="WAF141" s="3"/>
      <c r="WAG141" s="3"/>
      <c r="WAH141" s="3"/>
      <c r="WAI141" s="3"/>
      <c r="WAJ141" s="3"/>
      <c r="WAK141" s="3"/>
      <c r="WAL141" s="3"/>
      <c r="WAM141" s="3"/>
      <c r="WAN141" s="3"/>
      <c r="WAO141" s="3"/>
      <c r="WAP141" s="3"/>
      <c r="WAQ141" s="3"/>
      <c r="WAR141" s="3"/>
      <c r="WAS141" s="3"/>
      <c r="WAT141" s="3"/>
      <c r="WAU141" s="3"/>
      <c r="WAV141" s="3"/>
      <c r="WAW141" s="3"/>
      <c r="WAX141" s="3"/>
      <c r="WAY141" s="3"/>
      <c r="WAZ141" s="3"/>
      <c r="WBA141" s="3"/>
      <c r="WBB141" s="3"/>
      <c r="WBC141" s="3"/>
      <c r="WBD141" s="3"/>
      <c r="WBE141" s="3"/>
      <c r="WBF141" s="3"/>
      <c r="WBG141" s="3"/>
      <c r="WBH141" s="3"/>
      <c r="WBI141" s="3"/>
      <c r="WBJ141" s="3"/>
      <c r="WBK141" s="3"/>
      <c r="WBL141" s="3"/>
      <c r="WBM141" s="3"/>
      <c r="WBN141" s="3"/>
      <c r="WBO141" s="3"/>
      <c r="WBP141" s="3"/>
      <c r="WBQ141" s="3"/>
      <c r="WBR141" s="3"/>
      <c r="WBS141" s="3"/>
      <c r="WBT141" s="3"/>
      <c r="WBU141" s="3"/>
      <c r="WBV141" s="3"/>
      <c r="WBW141" s="3"/>
      <c r="WBX141" s="3"/>
      <c r="WBY141" s="3"/>
      <c r="WBZ141" s="3"/>
      <c r="WCA141" s="3"/>
      <c r="WCB141" s="3"/>
      <c r="WCC141" s="3"/>
      <c r="WCD141" s="3"/>
      <c r="WCE141" s="3"/>
      <c r="WCF141" s="3"/>
      <c r="WCG141" s="3"/>
      <c r="WCH141" s="3"/>
      <c r="WCI141" s="3"/>
      <c r="WCJ141" s="3"/>
      <c r="WCK141" s="3"/>
      <c r="WCL141" s="3"/>
      <c r="WCM141" s="3"/>
      <c r="WCN141" s="3"/>
      <c r="WCO141" s="3"/>
      <c r="WCP141" s="3"/>
      <c r="WCQ141" s="3"/>
      <c r="WCR141" s="3"/>
      <c r="WCS141" s="3"/>
      <c r="WCT141" s="3"/>
      <c r="WCU141" s="3"/>
      <c r="WCV141" s="3"/>
      <c r="WCW141" s="3"/>
      <c r="WCX141" s="3"/>
      <c r="WCY141" s="3"/>
      <c r="WCZ141" s="3"/>
      <c r="WDA141" s="3"/>
      <c r="WDB141" s="3"/>
      <c r="WDC141" s="3"/>
      <c r="WDD141" s="3"/>
      <c r="WDE141" s="3"/>
      <c r="WDF141" s="3"/>
      <c r="WDG141" s="3"/>
      <c r="WDH141" s="3"/>
      <c r="WDI141" s="3"/>
      <c r="WDJ141" s="3"/>
      <c r="WDK141" s="3"/>
      <c r="WDL141" s="3"/>
      <c r="WDM141" s="3"/>
      <c r="WDN141" s="3"/>
      <c r="WDO141" s="3"/>
      <c r="WDP141" s="3"/>
      <c r="WDQ141" s="3"/>
      <c r="WDR141" s="3"/>
      <c r="WDS141" s="3"/>
      <c r="WDT141" s="3"/>
      <c r="WDU141" s="3"/>
      <c r="WDV141" s="3"/>
      <c r="WDW141" s="3"/>
      <c r="WDX141" s="3"/>
      <c r="WDY141" s="3"/>
      <c r="WDZ141" s="3"/>
      <c r="WEA141" s="3"/>
      <c r="WEB141" s="3"/>
      <c r="WEC141" s="3"/>
      <c r="WED141" s="3"/>
      <c r="WEE141" s="3"/>
      <c r="WEF141" s="3"/>
      <c r="WEG141" s="3"/>
      <c r="WEH141" s="3"/>
      <c r="WEI141" s="3"/>
      <c r="WEJ141" s="3"/>
      <c r="WEK141" s="3"/>
      <c r="WEL141" s="3"/>
      <c r="WEM141" s="3"/>
      <c r="WEN141" s="3"/>
      <c r="WEO141" s="3"/>
      <c r="WEP141" s="3"/>
      <c r="WEQ141" s="3"/>
      <c r="WER141" s="3"/>
      <c r="WES141" s="3"/>
      <c r="WET141" s="3"/>
      <c r="WEU141" s="3"/>
      <c r="WEV141" s="3"/>
      <c r="WEW141" s="3"/>
      <c r="WEX141" s="3"/>
      <c r="WEY141" s="3"/>
      <c r="WEZ141" s="3"/>
      <c r="WFA141" s="3"/>
      <c r="WFB141" s="3"/>
      <c r="WFC141" s="3"/>
      <c r="WFD141" s="3"/>
      <c r="WFE141" s="3"/>
      <c r="WFF141" s="3"/>
      <c r="WFG141" s="3"/>
      <c r="WFH141" s="3"/>
      <c r="WFI141" s="3"/>
      <c r="WFJ141" s="3"/>
      <c r="WFK141" s="3"/>
      <c r="WFL141" s="3"/>
      <c r="WFM141" s="3"/>
      <c r="WFN141" s="3"/>
      <c r="WFO141" s="3"/>
      <c r="WFP141" s="3"/>
      <c r="WFQ141" s="3"/>
      <c r="WFR141" s="3"/>
      <c r="WFS141" s="3"/>
      <c r="WFT141" s="3"/>
      <c r="WFU141" s="3"/>
      <c r="WFV141" s="3"/>
      <c r="WFW141" s="3"/>
      <c r="WFX141" s="3"/>
      <c r="WFY141" s="3"/>
      <c r="WFZ141" s="3"/>
      <c r="WGA141" s="3"/>
      <c r="WGB141" s="3"/>
      <c r="WGC141" s="3"/>
      <c r="WGD141" s="3"/>
      <c r="WGE141" s="3"/>
      <c r="WGF141" s="3"/>
      <c r="WGG141" s="3"/>
      <c r="WGH141" s="3"/>
      <c r="WGI141" s="3"/>
      <c r="WGJ141" s="3"/>
      <c r="WGK141" s="3"/>
      <c r="WGL141" s="3"/>
      <c r="WGM141" s="3"/>
      <c r="WGN141" s="3"/>
      <c r="WGO141" s="3"/>
      <c r="WGP141" s="3"/>
      <c r="WGQ141" s="3"/>
      <c r="WGR141" s="3"/>
      <c r="WGS141" s="3"/>
      <c r="WGT141" s="3"/>
      <c r="WGU141" s="3"/>
      <c r="WGV141" s="3"/>
      <c r="WGW141" s="3"/>
      <c r="WGX141" s="3"/>
      <c r="WGY141" s="3"/>
      <c r="WGZ141" s="3"/>
      <c r="WHA141" s="3"/>
      <c r="WHB141" s="3"/>
      <c r="WHC141" s="3"/>
      <c r="WHD141" s="3"/>
      <c r="WHE141" s="3"/>
      <c r="WHF141" s="3"/>
      <c r="WHG141" s="3"/>
      <c r="WHH141" s="3"/>
      <c r="WHI141" s="3"/>
      <c r="WHJ141" s="3"/>
      <c r="WHK141" s="3"/>
      <c r="WHL141" s="3"/>
      <c r="WHM141" s="3"/>
      <c r="WHN141" s="3"/>
      <c r="WHO141" s="3"/>
      <c r="WHP141" s="3"/>
      <c r="WHQ141" s="3"/>
      <c r="WHR141" s="3"/>
      <c r="WHS141" s="3"/>
      <c r="WHT141" s="3"/>
      <c r="WHU141" s="3"/>
      <c r="WHV141" s="3"/>
      <c r="WHW141" s="3"/>
      <c r="WHX141" s="3"/>
      <c r="WHY141" s="3"/>
      <c r="WHZ141" s="3"/>
      <c r="WIA141" s="3"/>
      <c r="WIB141" s="3"/>
      <c r="WIC141" s="3"/>
      <c r="WID141" s="3"/>
      <c r="WIE141" s="3"/>
      <c r="WIF141" s="3"/>
      <c r="WIG141" s="3"/>
      <c r="WIH141" s="3"/>
      <c r="WII141" s="3"/>
      <c r="WIJ141" s="3"/>
      <c r="WIK141" s="3"/>
      <c r="WIL141" s="3"/>
      <c r="WIM141" s="3"/>
      <c r="WIN141" s="3"/>
      <c r="WIO141" s="3"/>
      <c r="WIP141" s="3"/>
      <c r="WIQ141" s="3"/>
      <c r="WIR141" s="3"/>
      <c r="WIS141" s="3"/>
      <c r="WIT141" s="3"/>
      <c r="WIU141" s="3"/>
      <c r="WIV141" s="3"/>
      <c r="WIW141" s="3"/>
      <c r="WIX141" s="3"/>
      <c r="WIY141" s="3"/>
      <c r="WIZ141" s="3"/>
      <c r="WJA141" s="3"/>
      <c r="WJB141" s="3"/>
      <c r="WJC141" s="3"/>
      <c r="WJD141" s="3"/>
      <c r="WJE141" s="3"/>
      <c r="WJF141" s="3"/>
      <c r="WJG141" s="3"/>
      <c r="WJH141" s="3"/>
      <c r="WJI141" s="3"/>
      <c r="WJJ141" s="3"/>
      <c r="WJK141" s="3"/>
      <c r="WJL141" s="3"/>
      <c r="WJM141" s="3"/>
      <c r="WJN141" s="3"/>
      <c r="WJO141" s="3"/>
      <c r="WJP141" s="3"/>
      <c r="WJQ141" s="3"/>
      <c r="WJR141" s="3"/>
      <c r="WJS141" s="3"/>
      <c r="WJT141" s="3"/>
      <c r="WJU141" s="3"/>
      <c r="WJV141" s="3"/>
      <c r="WJW141" s="3"/>
      <c r="WJX141" s="3"/>
      <c r="WJY141" s="3"/>
      <c r="WJZ141" s="3"/>
      <c r="WKA141" s="3"/>
      <c r="WKB141" s="3"/>
      <c r="WKC141" s="3"/>
      <c r="WKD141" s="3"/>
      <c r="WKE141" s="3"/>
      <c r="WKF141" s="3"/>
      <c r="WKG141" s="3"/>
      <c r="WKH141" s="3"/>
      <c r="WKI141" s="3"/>
      <c r="WKJ141" s="3"/>
      <c r="WKK141" s="3"/>
      <c r="WKL141" s="3"/>
      <c r="WKM141" s="3"/>
      <c r="WKN141" s="3"/>
      <c r="WKO141" s="3"/>
      <c r="WKP141" s="3"/>
      <c r="WKQ141" s="3"/>
      <c r="WKR141" s="3"/>
      <c r="WKS141" s="3"/>
      <c r="WKT141" s="3"/>
      <c r="WKU141" s="3"/>
      <c r="WKV141" s="3"/>
      <c r="WKW141" s="3"/>
      <c r="WKX141" s="3"/>
      <c r="WKY141" s="3"/>
      <c r="WKZ141" s="3"/>
      <c r="WLA141" s="3"/>
      <c r="WLB141" s="3"/>
      <c r="WLC141" s="3"/>
      <c r="WLD141" s="3"/>
      <c r="WLE141" s="3"/>
      <c r="WLF141" s="3"/>
      <c r="WLG141" s="3"/>
      <c r="WLH141" s="3"/>
      <c r="WLI141" s="3"/>
      <c r="WLJ141" s="3"/>
      <c r="WLK141" s="3"/>
      <c r="WLL141" s="3"/>
      <c r="WLM141" s="3"/>
      <c r="WLN141" s="3"/>
      <c r="WLO141" s="3"/>
      <c r="WLP141" s="3"/>
      <c r="WLQ141" s="3"/>
      <c r="WLR141" s="3"/>
      <c r="WLS141" s="3"/>
      <c r="WLT141" s="3"/>
      <c r="WLU141" s="3"/>
      <c r="WLV141" s="3"/>
      <c r="WLW141" s="3"/>
      <c r="WLX141" s="3"/>
      <c r="WLY141" s="3"/>
      <c r="WLZ141" s="3"/>
      <c r="WMA141" s="3"/>
      <c r="WMB141" s="3"/>
      <c r="WMC141" s="3"/>
      <c r="WMD141" s="3"/>
      <c r="WME141" s="3"/>
      <c r="WMF141" s="3"/>
      <c r="WMG141" s="3"/>
      <c r="WMH141" s="3"/>
      <c r="WMI141" s="3"/>
      <c r="WMJ141" s="3"/>
      <c r="WMK141" s="3"/>
      <c r="WML141" s="3"/>
      <c r="WMM141" s="3"/>
      <c r="WMN141" s="3"/>
      <c r="WMO141" s="3"/>
      <c r="WMP141" s="3"/>
      <c r="WMQ141" s="3"/>
      <c r="WMR141" s="3"/>
      <c r="WMS141" s="3"/>
      <c r="WMT141" s="3"/>
      <c r="WMU141" s="3"/>
      <c r="WMV141" s="3"/>
      <c r="WMW141" s="3"/>
      <c r="WMX141" s="3"/>
      <c r="WMY141" s="3"/>
      <c r="WMZ141" s="3"/>
      <c r="WNA141" s="3"/>
      <c r="WNB141" s="3"/>
      <c r="WNC141" s="3"/>
      <c r="WND141" s="3"/>
      <c r="WNE141" s="3"/>
      <c r="WNF141" s="3"/>
      <c r="WNG141" s="3"/>
      <c r="WNH141" s="3"/>
      <c r="WNI141" s="3"/>
      <c r="WNJ141" s="3"/>
      <c r="WNK141" s="3"/>
      <c r="WNL141" s="3"/>
      <c r="WNM141" s="3"/>
      <c r="WNN141" s="3"/>
      <c r="WNO141" s="3"/>
      <c r="WNP141" s="3"/>
      <c r="WNQ141" s="3"/>
      <c r="WNR141" s="3"/>
      <c r="WNS141" s="3"/>
      <c r="WNT141" s="3"/>
      <c r="WNU141" s="3"/>
      <c r="WNV141" s="3"/>
      <c r="WNW141" s="3"/>
      <c r="WNX141" s="3"/>
      <c r="WNY141" s="3"/>
      <c r="WNZ141" s="3"/>
      <c r="WOA141" s="3"/>
      <c r="WOB141" s="3"/>
      <c r="WOC141" s="3"/>
      <c r="WOD141" s="3"/>
      <c r="WOE141" s="3"/>
      <c r="WOF141" s="3"/>
      <c r="WOG141" s="3"/>
      <c r="WOH141" s="3"/>
      <c r="WOI141" s="3"/>
      <c r="WOJ141" s="3"/>
      <c r="WOK141" s="3"/>
      <c r="WOL141" s="3"/>
      <c r="WOM141" s="3"/>
      <c r="WON141" s="3"/>
      <c r="WOO141" s="3"/>
      <c r="WOP141" s="3"/>
      <c r="WOQ141" s="3"/>
      <c r="WOR141" s="3"/>
      <c r="WOS141" s="3"/>
      <c r="WOT141" s="3"/>
      <c r="WOU141" s="3"/>
      <c r="WOV141" s="3"/>
      <c r="WOW141" s="3"/>
      <c r="WOX141" s="3"/>
      <c r="WOY141" s="3"/>
      <c r="WOZ141" s="3"/>
      <c r="WPA141" s="3"/>
      <c r="WPB141" s="3"/>
      <c r="WPC141" s="3"/>
      <c r="WPD141" s="3"/>
      <c r="WPE141" s="3"/>
      <c r="WPF141" s="3"/>
      <c r="WPG141" s="3"/>
      <c r="WPH141" s="3"/>
      <c r="WPI141" s="3"/>
      <c r="WPJ141" s="3"/>
      <c r="WPK141" s="3"/>
      <c r="WPL141" s="3"/>
      <c r="WPM141" s="3"/>
      <c r="WPN141" s="3"/>
      <c r="WPO141" s="3"/>
      <c r="WPP141" s="3"/>
      <c r="WPQ141" s="3"/>
      <c r="WPR141" s="3"/>
      <c r="WPS141" s="3"/>
      <c r="WPT141" s="3"/>
      <c r="WPU141" s="3"/>
      <c r="WPV141" s="3"/>
      <c r="WPW141" s="3"/>
      <c r="WPX141" s="3"/>
      <c r="WPY141" s="3"/>
      <c r="WPZ141" s="3"/>
      <c r="WQA141" s="3"/>
      <c r="WQB141" s="3"/>
      <c r="WQC141" s="3"/>
      <c r="WQD141" s="3"/>
      <c r="WQE141" s="3"/>
      <c r="WQF141" s="3"/>
      <c r="WQG141" s="3"/>
      <c r="WQH141" s="3"/>
      <c r="WQI141" s="3"/>
      <c r="WQJ141" s="3"/>
      <c r="WQK141" s="3"/>
      <c r="WQL141" s="3"/>
      <c r="WQM141" s="3"/>
      <c r="WQN141" s="3"/>
      <c r="WQO141" s="3"/>
      <c r="WQP141" s="3"/>
      <c r="WQQ141" s="3"/>
      <c r="WQR141" s="3"/>
      <c r="WQS141" s="3"/>
      <c r="WQT141" s="3"/>
      <c r="WQU141" s="3"/>
      <c r="WQV141" s="3"/>
      <c r="WQW141" s="3"/>
      <c r="WQX141" s="3"/>
      <c r="WQY141" s="3"/>
      <c r="WQZ141" s="3"/>
      <c r="WRA141" s="3"/>
      <c r="WRB141" s="3"/>
      <c r="WRC141" s="3"/>
      <c r="WRD141" s="3"/>
      <c r="WRE141" s="3"/>
      <c r="WRF141" s="3"/>
      <c r="WRG141" s="3"/>
      <c r="WRH141" s="3"/>
      <c r="WRI141" s="3"/>
      <c r="WRJ141" s="3"/>
      <c r="WRK141" s="3"/>
      <c r="WRL141" s="3"/>
      <c r="WRM141" s="3"/>
      <c r="WRN141" s="3"/>
      <c r="WRO141" s="3"/>
      <c r="WRP141" s="3"/>
      <c r="WRQ141" s="3"/>
      <c r="WRR141" s="3"/>
      <c r="WRS141" s="3"/>
      <c r="WRT141" s="3"/>
      <c r="WRU141" s="3"/>
      <c r="WRV141" s="3"/>
      <c r="WRW141" s="3"/>
      <c r="WRX141" s="3"/>
      <c r="WRY141" s="3"/>
      <c r="WRZ141" s="3"/>
      <c r="WSA141" s="3"/>
      <c r="WSB141" s="3"/>
      <c r="WSC141" s="3"/>
      <c r="WSD141" s="3"/>
      <c r="WSE141" s="3"/>
      <c r="WSF141" s="3"/>
      <c r="WSG141" s="3"/>
      <c r="WSH141" s="3"/>
      <c r="WSI141" s="3"/>
      <c r="WSJ141" s="3"/>
      <c r="WSK141" s="3"/>
      <c r="WSL141" s="3"/>
      <c r="WSM141" s="3"/>
      <c r="WSN141" s="3"/>
      <c r="WSO141" s="3"/>
      <c r="WSP141" s="3"/>
      <c r="WSQ141" s="3"/>
      <c r="WSR141" s="3"/>
      <c r="WSS141" s="3"/>
      <c r="WST141" s="3"/>
      <c r="WSU141" s="3"/>
      <c r="WSV141" s="3"/>
      <c r="WSW141" s="3"/>
      <c r="WSX141" s="3"/>
      <c r="WSY141" s="3"/>
      <c r="WSZ141" s="3"/>
      <c r="WTA141" s="3"/>
      <c r="WTB141" s="3"/>
      <c r="WTC141" s="3"/>
      <c r="WTD141" s="3"/>
      <c r="WTE141" s="3"/>
      <c r="WTF141" s="3"/>
      <c r="WTG141" s="3"/>
      <c r="WTH141" s="3"/>
      <c r="WTI141" s="3"/>
      <c r="WTJ141" s="3"/>
      <c r="WTK141" s="3"/>
      <c r="WTL141" s="3"/>
      <c r="WTM141" s="3"/>
      <c r="WTN141" s="3"/>
      <c r="WTO141" s="3"/>
      <c r="WTP141" s="3"/>
      <c r="WTQ141" s="3"/>
      <c r="WTR141" s="3"/>
      <c r="WTS141" s="3"/>
      <c r="WTT141" s="3"/>
      <c r="WTU141" s="3"/>
      <c r="WTV141" s="3"/>
      <c r="WTW141" s="3"/>
      <c r="WTX141" s="3"/>
      <c r="WTY141" s="3"/>
      <c r="WTZ141" s="3"/>
      <c r="WUA141" s="3"/>
      <c r="WUB141" s="3"/>
      <c r="WUC141" s="3"/>
      <c r="WUD141" s="3"/>
      <c r="WUE141" s="3"/>
      <c r="WUF141" s="3"/>
      <c r="WUG141" s="3"/>
      <c r="WUH141" s="3"/>
      <c r="WUI141" s="3"/>
      <c r="WUJ141" s="3"/>
      <c r="WUK141" s="3"/>
      <c r="WUL141" s="3"/>
      <c r="WUM141" s="3"/>
      <c r="WUN141" s="3"/>
      <c r="WUO141" s="3"/>
      <c r="WUP141" s="3"/>
      <c r="WUQ141" s="3"/>
      <c r="WUR141" s="3"/>
      <c r="WUS141" s="3"/>
      <c r="WUT141" s="3"/>
      <c r="WUU141" s="3"/>
      <c r="WUV141" s="3"/>
      <c r="WUW141" s="3"/>
      <c r="WUX141" s="3"/>
      <c r="WUY141" s="3"/>
      <c r="WUZ141" s="3"/>
      <c r="WVA141" s="3"/>
      <c r="WVB141" s="3"/>
      <c r="WVC141" s="3"/>
      <c r="WVD141" s="3"/>
      <c r="WVE141" s="3"/>
      <c r="WVF141" s="3"/>
      <c r="WVG141" s="3"/>
      <c r="WVH141" s="3"/>
      <c r="WVI141" s="3"/>
      <c r="WVJ141" s="3"/>
      <c r="WVK141" s="3"/>
      <c r="WVL141" s="3"/>
      <c r="WVM141" s="3"/>
      <c r="WVN141" s="3"/>
      <c r="WVO141" s="3"/>
      <c r="WVP141" s="3"/>
      <c r="WVQ141" s="3"/>
      <c r="WVR141" s="3"/>
      <c r="WVS141" s="3"/>
      <c r="WVT141" s="3"/>
      <c r="WVU141" s="3"/>
      <c r="WVV141" s="3"/>
      <c r="WVW141" s="3"/>
      <c r="WVX141" s="3"/>
      <c r="WVY141" s="3"/>
      <c r="WVZ141" s="3"/>
      <c r="WWA141" s="3"/>
      <c r="WWB141" s="3"/>
      <c r="WWC141" s="3"/>
      <c r="WWD141" s="3"/>
      <c r="WWE141" s="3"/>
      <c r="WWF141" s="3"/>
      <c r="WWG141" s="3"/>
      <c r="WWH141" s="3"/>
      <c r="WWI141" s="3"/>
      <c r="WWJ141" s="3"/>
      <c r="WWK141" s="3"/>
      <c r="WWL141" s="3"/>
      <c r="WWM141" s="3"/>
      <c r="WWN141" s="3"/>
      <c r="WWO141" s="3"/>
      <c r="WWP141" s="3"/>
      <c r="WWQ141" s="3"/>
      <c r="WWR141" s="3"/>
      <c r="WWS141" s="3"/>
      <c r="WWT141" s="3"/>
      <c r="WWU141" s="3"/>
      <c r="WWV141" s="3"/>
      <c r="WWW141" s="3"/>
      <c r="WWX141" s="3"/>
      <c r="WWY141" s="3"/>
      <c r="WWZ141" s="3"/>
      <c r="WXA141" s="3"/>
      <c r="WXB141" s="3"/>
      <c r="WXC141" s="3"/>
      <c r="WXD141" s="3"/>
      <c r="WXE141" s="3"/>
      <c r="WXF141" s="3"/>
      <c r="WXG141" s="3"/>
      <c r="WXH141" s="3"/>
      <c r="WXI141" s="3"/>
      <c r="WXJ141" s="3"/>
      <c r="WXK141" s="3"/>
      <c r="WXL141" s="3"/>
      <c r="WXM141" s="3"/>
      <c r="WXN141" s="3"/>
      <c r="WXO141" s="3"/>
      <c r="WXP141" s="3"/>
      <c r="WXQ141" s="3"/>
      <c r="WXR141" s="3"/>
      <c r="WXS141" s="3"/>
      <c r="WXT141" s="3"/>
      <c r="WXU141" s="3"/>
      <c r="WXV141" s="3"/>
      <c r="WXW141" s="3"/>
      <c r="WXX141" s="3"/>
      <c r="WXY141" s="3"/>
      <c r="WXZ141" s="3"/>
      <c r="WYA141" s="3"/>
      <c r="WYB141" s="3"/>
      <c r="WYC141" s="3"/>
      <c r="WYD141" s="3"/>
      <c r="WYE141" s="3"/>
      <c r="WYF141" s="3"/>
      <c r="WYG141" s="3"/>
      <c r="WYH141" s="3"/>
      <c r="WYI141" s="3"/>
      <c r="WYJ141" s="3"/>
      <c r="WYK141" s="3"/>
      <c r="WYL141" s="3"/>
      <c r="WYM141" s="3"/>
      <c r="WYN141" s="3"/>
      <c r="WYO141" s="3"/>
      <c r="WYP141" s="3"/>
      <c r="WYQ141" s="3"/>
      <c r="WYR141" s="3"/>
      <c r="WYS141" s="3"/>
      <c r="WYT141" s="3"/>
      <c r="WYU141" s="3"/>
      <c r="WYV141" s="3"/>
      <c r="WYW141" s="3"/>
      <c r="WYX141" s="3"/>
      <c r="WYY141" s="3"/>
      <c r="WYZ141" s="3"/>
      <c r="WZA141" s="3"/>
      <c r="WZB141" s="3"/>
      <c r="WZC141" s="3"/>
      <c r="WZD141" s="3"/>
      <c r="WZE141" s="3"/>
      <c r="WZF141" s="3"/>
      <c r="WZG141" s="3"/>
      <c r="WZH141" s="3"/>
      <c r="WZI141" s="3"/>
      <c r="WZJ141" s="3"/>
      <c r="WZK141" s="3"/>
      <c r="WZL141" s="3"/>
      <c r="WZM141" s="3"/>
      <c r="WZN141" s="3"/>
      <c r="WZO141" s="3"/>
      <c r="WZP141" s="3"/>
      <c r="WZQ141" s="3"/>
      <c r="WZR141" s="3"/>
      <c r="WZS141" s="3"/>
      <c r="WZT141" s="3"/>
      <c r="WZU141" s="3"/>
      <c r="WZV141" s="3"/>
      <c r="WZW141" s="3"/>
      <c r="WZX141" s="3"/>
      <c r="WZY141" s="3"/>
      <c r="WZZ141" s="3"/>
      <c r="XAA141" s="3"/>
      <c r="XAB141" s="3"/>
      <c r="XAC141" s="3"/>
      <c r="XAD141" s="3"/>
      <c r="XAE141" s="3"/>
      <c r="XAF141" s="3"/>
      <c r="XAG141" s="3"/>
      <c r="XAH141" s="3"/>
      <c r="XAI141" s="3"/>
      <c r="XAJ141" s="3"/>
      <c r="XAK141" s="3"/>
      <c r="XAL141" s="3"/>
      <c r="XAM141" s="3"/>
      <c r="XAN141" s="3"/>
      <c r="XAO141" s="3"/>
      <c r="XAP141" s="3"/>
      <c r="XAQ141" s="3"/>
      <c r="XAR141" s="3"/>
      <c r="XAS141" s="3"/>
      <c r="XAT141" s="3"/>
      <c r="XAU141" s="3"/>
      <c r="XAV141" s="3"/>
      <c r="XAW141" s="3"/>
      <c r="XAX141" s="3"/>
      <c r="XAY141" s="3"/>
      <c r="XAZ141" s="3"/>
      <c r="XBA141" s="3"/>
      <c r="XBB141" s="3"/>
      <c r="XBC141" s="3"/>
      <c r="XBD141" s="3"/>
      <c r="XBE141" s="3"/>
      <c r="XBF141" s="3"/>
      <c r="XBG141" s="3"/>
      <c r="XBH141" s="3"/>
      <c r="XBI141" s="3"/>
      <c r="XBJ141" s="3"/>
      <c r="XBK141" s="3"/>
      <c r="XBL141" s="3"/>
      <c r="XBM141" s="3"/>
      <c r="XBN141" s="3"/>
      <c r="XBO141" s="3"/>
      <c r="XBP141" s="3"/>
      <c r="XBQ141" s="3"/>
      <c r="XBR141" s="3"/>
      <c r="XBS141" s="3"/>
      <c r="XBT141" s="3"/>
      <c r="XBU141" s="3"/>
      <c r="XBV141" s="3"/>
      <c r="XBW141" s="3"/>
      <c r="XBX141" s="3"/>
      <c r="XBY141" s="3"/>
      <c r="XBZ141" s="3"/>
      <c r="XCA141" s="3"/>
      <c r="XCB141" s="3"/>
      <c r="XCC141" s="3"/>
      <c r="XCD141" s="3"/>
      <c r="XCE141" s="3"/>
      <c r="XCF141" s="3"/>
      <c r="XCG141" s="3"/>
      <c r="XCH141" s="3"/>
      <c r="XCI141" s="3"/>
      <c r="XCJ141" s="3"/>
      <c r="XCK141" s="3"/>
      <c r="XCL141" s="3"/>
      <c r="XCM141" s="3"/>
      <c r="XCN141" s="3"/>
      <c r="XCO141" s="3"/>
      <c r="XCP141" s="3"/>
      <c r="XCQ141" s="3"/>
      <c r="XCR141" s="3"/>
      <c r="XCS141" s="3"/>
      <c r="XCT141" s="3"/>
      <c r="XCU141" s="3"/>
      <c r="XCV141" s="3"/>
      <c r="XCW141" s="3"/>
      <c r="XCX141" s="3"/>
      <c r="XCY141" s="3"/>
      <c r="XCZ141" s="3"/>
      <c r="XDA141" s="3"/>
      <c r="XDB141" s="3"/>
      <c r="XDC141" s="3"/>
      <c r="XDD141" s="3"/>
      <c r="XDE141" s="3"/>
      <c r="XDF141" s="3"/>
      <c r="XDG141" s="3"/>
      <c r="XDH141" s="3"/>
      <c r="XDI141" s="3"/>
      <c r="XDJ141" s="3"/>
      <c r="XDK141" s="3"/>
      <c r="XDL141" s="3"/>
      <c r="XDM141" s="3"/>
      <c r="XDN141" s="3"/>
      <c r="XDO141" s="3"/>
      <c r="XDP141" s="3"/>
      <c r="XDQ141" s="3"/>
      <c r="XDR141" s="3"/>
      <c r="XDS141" s="3"/>
      <c r="XDT141" s="3"/>
      <c r="XDU141" s="3"/>
      <c r="XDV141" s="3"/>
      <c r="XDW141" s="3"/>
      <c r="XDX141" s="3"/>
      <c r="XDY141" s="3"/>
      <c r="XDZ141" s="3"/>
      <c r="XEA141" s="3"/>
      <c r="XEB141" s="3"/>
      <c r="XEC141" s="3"/>
      <c r="XED141" s="3"/>
      <c r="XEE141" s="3"/>
      <c r="XEF141" s="3"/>
      <c r="XEG141" s="3"/>
      <c r="XEH141" s="3"/>
      <c r="XEI141" s="3"/>
      <c r="XEJ141" s="3"/>
      <c r="XEK141" s="3"/>
      <c r="XEL141" s="3"/>
      <c r="XEM141" s="3"/>
      <c r="XEN141" s="3"/>
      <c r="XEO141" s="3"/>
      <c r="XEP141" s="3"/>
      <c r="XEQ141" s="3"/>
      <c r="XER141" s="3"/>
      <c r="XES141" s="3"/>
      <c r="XET141" s="3"/>
    </row>
    <row r="142" spans="1:16374" s="129" customFormat="1" ht="24.95" customHeight="1">
      <c r="A142" s="226" t="s">
        <v>2844</v>
      </c>
      <c r="B142" s="221" t="s">
        <v>416</v>
      </c>
      <c r="C142" s="221" t="s">
        <v>1937</v>
      </c>
      <c r="D142" s="163" t="s">
        <v>603</v>
      </c>
      <c r="E142" s="227" t="s">
        <v>1938</v>
      </c>
      <c r="F142" s="221" t="s">
        <v>2840</v>
      </c>
      <c r="G142" s="165"/>
      <c r="H142" s="228" t="s">
        <v>351</v>
      </c>
      <c r="I142" s="228"/>
      <c r="J142" s="221" t="s">
        <v>2841</v>
      </c>
      <c r="K142" s="221" t="s">
        <v>411</v>
      </c>
      <c r="L142" s="221"/>
      <c r="M142" s="221"/>
      <c r="N142" s="226"/>
      <c r="O142" s="226"/>
      <c r="P142" s="221" t="s">
        <v>411</v>
      </c>
      <c r="Q142" s="221"/>
      <c r="R142" s="229"/>
      <c r="S142" s="221"/>
      <c r="T142" s="221"/>
      <c r="U142" s="221"/>
      <c r="V142" s="221"/>
      <c r="W142" s="221"/>
      <c r="X142" s="221"/>
      <c r="Y142" s="221"/>
      <c r="Z142" s="221"/>
      <c r="AA142" s="221"/>
      <c r="AB142" s="221"/>
      <c r="AC142" s="221"/>
      <c r="AD142" s="221"/>
      <c r="AE142" s="221"/>
      <c r="AF142" s="221"/>
      <c r="AG142" s="221"/>
      <c r="AH142" s="221"/>
      <c r="AI142" s="221"/>
      <c r="AJ142" s="221"/>
      <c r="AK142" s="221"/>
      <c r="AL142" s="221"/>
      <c r="AM142" s="221"/>
      <c r="AN142" s="221"/>
      <c r="AO142" s="221"/>
      <c r="AP142" s="221"/>
      <c r="AQ142" s="221"/>
      <c r="AR142" s="221"/>
      <c r="AS142" s="221"/>
      <c r="AT142" s="221"/>
      <c r="AU142" s="221"/>
      <c r="AV142" s="221"/>
      <c r="AW142" s="221"/>
      <c r="AX142" s="221"/>
      <c r="AY142" s="221"/>
      <c r="AZ142" s="221"/>
      <c r="BA142" s="221"/>
      <c r="BB142" s="221"/>
      <c r="BC142" s="221"/>
      <c r="BD142" s="221"/>
      <c r="BE142" s="221"/>
      <c r="BF142" s="221"/>
      <c r="BG142" s="221"/>
      <c r="BH142" s="221"/>
      <c r="BI142" s="221"/>
      <c r="BJ142" s="221"/>
      <c r="BK142" s="221"/>
      <c r="BL142" s="221"/>
      <c r="BM142" s="221"/>
      <c r="BN142" s="221"/>
      <c r="BO142" s="221"/>
      <c r="BP142" s="221"/>
      <c r="BQ142" s="221"/>
      <c r="BR142" s="221"/>
      <c r="BS142" s="221"/>
      <c r="BT142" s="221"/>
      <c r="BU142" s="221"/>
      <c r="BV142" s="221"/>
      <c r="BW142" s="221"/>
      <c r="BX142" s="221"/>
      <c r="BY142" s="221"/>
      <c r="BZ142" s="221"/>
      <c r="CA142" s="221"/>
      <c r="CB142" s="221"/>
      <c r="CC142" s="221"/>
      <c r="CD142" s="221"/>
      <c r="CE142" s="221"/>
      <c r="CF142" s="221"/>
      <c r="CG142" s="221"/>
      <c r="CH142" s="221"/>
      <c r="CI142" s="221"/>
      <c r="CJ142" s="221"/>
      <c r="CK142" s="221"/>
      <c r="CL142" s="221"/>
      <c r="CM142" s="221"/>
      <c r="CN142" s="221"/>
      <c r="CO142" s="221"/>
      <c r="CP142" s="221"/>
      <c r="CQ142" s="221"/>
      <c r="CR142" s="221"/>
      <c r="CS142" s="221"/>
      <c r="CT142" s="221"/>
      <c r="CU142" s="221"/>
      <c r="CV142" s="221"/>
      <c r="CW142" s="221"/>
      <c r="CX142" s="221"/>
      <c r="CY142" s="221"/>
      <c r="CZ142" s="221"/>
      <c r="DA142" s="221"/>
      <c r="DB142" s="221"/>
      <c r="DC142" s="221"/>
      <c r="DD142" s="221"/>
      <c r="DE142" s="221"/>
      <c r="DF142" s="221"/>
      <c r="DG142" s="221"/>
      <c r="DH142" s="221"/>
      <c r="DI142" s="221"/>
      <c r="DJ142" s="221"/>
      <c r="DK142" s="221"/>
      <c r="DL142" s="221"/>
      <c r="DM142" s="221"/>
      <c r="DN142" s="221"/>
      <c r="DO142" s="221"/>
      <c r="DP142" s="221"/>
      <c r="DQ142" s="221"/>
      <c r="DR142" s="221"/>
      <c r="DS142" s="221"/>
      <c r="DT142" s="221"/>
      <c r="DU142" s="221"/>
      <c r="DV142" s="221"/>
      <c r="DW142" s="221"/>
      <c r="DX142" s="221"/>
      <c r="DY142" s="221"/>
      <c r="DZ142" s="221"/>
      <c r="EA142" s="221"/>
      <c r="EB142" s="221"/>
      <c r="EC142" s="221"/>
      <c r="ED142" s="221"/>
      <c r="EE142" s="221"/>
      <c r="EF142" s="221"/>
      <c r="EG142" s="221"/>
      <c r="EH142" s="221"/>
      <c r="EI142" s="221"/>
      <c r="EJ142" s="221"/>
      <c r="EK142" s="221"/>
      <c r="EL142" s="221"/>
      <c r="EM142" s="221"/>
      <c r="EN142" s="221"/>
      <c r="EO142" s="221"/>
      <c r="EP142" s="221"/>
      <c r="EQ142" s="221"/>
      <c r="ER142" s="221"/>
      <c r="ES142" s="221"/>
      <c r="ET142" s="221"/>
      <c r="EU142" s="221"/>
      <c r="EV142" s="221"/>
      <c r="EW142" s="221"/>
      <c r="EX142" s="221"/>
      <c r="EY142" s="221"/>
      <c r="EZ142" s="221"/>
      <c r="FA142" s="221"/>
      <c r="FB142" s="221"/>
      <c r="FC142" s="221"/>
      <c r="FD142" s="221"/>
      <c r="FE142" s="221"/>
      <c r="FF142" s="221"/>
      <c r="FG142" s="221"/>
      <c r="FH142" s="221"/>
      <c r="FI142" s="221"/>
      <c r="FJ142" s="221"/>
      <c r="FK142" s="221"/>
      <c r="FL142" s="221"/>
      <c r="FM142" s="221"/>
      <c r="FN142" s="221"/>
      <c r="FO142" s="221"/>
      <c r="FP142" s="221"/>
      <c r="FQ142" s="221"/>
      <c r="FR142" s="221"/>
      <c r="FS142" s="221"/>
      <c r="FT142" s="221"/>
      <c r="FU142" s="221"/>
      <c r="FV142" s="221"/>
      <c r="FW142" s="221"/>
      <c r="FX142" s="221"/>
      <c r="FY142" s="221"/>
      <c r="FZ142" s="221"/>
      <c r="GA142" s="221"/>
      <c r="GB142" s="221"/>
      <c r="GC142" s="221"/>
      <c r="GD142" s="221"/>
      <c r="GE142" s="221"/>
      <c r="GF142" s="221"/>
      <c r="GG142" s="221"/>
      <c r="GH142" s="221"/>
      <c r="GI142" s="221"/>
      <c r="GJ142" s="221"/>
      <c r="GK142" s="221"/>
      <c r="GL142" s="221"/>
      <c r="GM142" s="221"/>
      <c r="GN142" s="221"/>
      <c r="GO142" s="221"/>
      <c r="GP142" s="221"/>
      <c r="GQ142" s="221"/>
      <c r="GR142" s="221"/>
      <c r="GS142" s="221"/>
      <c r="GT142" s="221"/>
      <c r="GU142" s="221"/>
      <c r="GV142" s="221"/>
      <c r="GW142" s="221"/>
      <c r="GX142" s="221"/>
      <c r="GY142" s="221"/>
      <c r="GZ142" s="221"/>
      <c r="HA142" s="221"/>
      <c r="HB142" s="221"/>
      <c r="HC142" s="221"/>
      <c r="HD142" s="221"/>
      <c r="HE142" s="221"/>
      <c r="HF142" s="221"/>
      <c r="HG142" s="221"/>
      <c r="HH142" s="221"/>
      <c r="HI142" s="221"/>
      <c r="HJ142" s="221"/>
      <c r="HK142" s="221"/>
      <c r="HL142" s="221"/>
      <c r="HM142" s="221"/>
      <c r="HN142" s="221"/>
      <c r="HO142" s="221"/>
      <c r="HP142" s="221"/>
      <c r="HQ142" s="221"/>
      <c r="HR142" s="221"/>
      <c r="HS142" s="221"/>
      <c r="HT142" s="221"/>
      <c r="HU142" s="221"/>
      <c r="HV142" s="221"/>
      <c r="HW142" s="221"/>
      <c r="HX142" s="221"/>
      <c r="HY142" s="221"/>
      <c r="HZ142" s="221"/>
      <c r="IA142" s="221"/>
      <c r="IB142" s="221"/>
      <c r="IC142" s="221"/>
      <c r="ID142" s="221"/>
      <c r="IE142" s="221"/>
      <c r="IF142" s="221"/>
      <c r="IG142" s="221"/>
      <c r="IH142" s="221"/>
      <c r="II142" s="221"/>
      <c r="IJ142" s="221"/>
      <c r="IK142" s="221"/>
      <c r="IL142" s="221"/>
      <c r="IM142" s="221"/>
      <c r="IN142" s="221"/>
      <c r="IO142" s="221"/>
      <c r="IP142" s="221"/>
      <c r="IQ142" s="221"/>
      <c r="IR142" s="221"/>
      <c r="IS142" s="221"/>
      <c r="IT142" s="221"/>
      <c r="IU142" s="221"/>
      <c r="IV142" s="221"/>
      <c r="IW142" s="221"/>
      <c r="IX142" s="221"/>
      <c r="IY142" s="221"/>
      <c r="IZ142" s="221"/>
      <c r="JA142" s="221"/>
      <c r="JB142" s="221"/>
      <c r="JC142" s="221"/>
      <c r="JD142" s="221"/>
      <c r="JE142" s="221"/>
      <c r="JF142" s="221"/>
      <c r="JG142" s="221"/>
      <c r="JH142" s="221"/>
      <c r="JI142" s="221"/>
      <c r="JJ142" s="221"/>
      <c r="JK142" s="221"/>
      <c r="JL142" s="221"/>
      <c r="JM142" s="221"/>
      <c r="JN142" s="221"/>
      <c r="JO142" s="221"/>
      <c r="JP142" s="221"/>
      <c r="JQ142" s="221"/>
      <c r="JR142" s="221"/>
      <c r="JS142" s="221"/>
      <c r="JT142" s="221"/>
      <c r="JU142" s="221"/>
      <c r="JV142" s="221"/>
      <c r="JW142" s="221"/>
      <c r="JX142" s="221"/>
      <c r="JY142" s="221"/>
      <c r="JZ142" s="221"/>
      <c r="KA142" s="221"/>
      <c r="KB142" s="221"/>
      <c r="KC142" s="221"/>
      <c r="KD142" s="221"/>
      <c r="KE142" s="221"/>
      <c r="KF142" s="221"/>
      <c r="KG142" s="221"/>
      <c r="KH142" s="221"/>
      <c r="KI142" s="221"/>
      <c r="KJ142" s="221"/>
      <c r="KK142" s="221"/>
      <c r="KL142" s="221"/>
      <c r="KM142" s="221"/>
      <c r="KN142" s="221"/>
      <c r="KO142" s="221"/>
      <c r="KP142" s="221"/>
      <c r="KQ142" s="221"/>
      <c r="KR142" s="221"/>
      <c r="KS142" s="221"/>
      <c r="KT142" s="221"/>
      <c r="KU142" s="221"/>
      <c r="KV142" s="221"/>
      <c r="KW142" s="221"/>
      <c r="KX142" s="221"/>
      <c r="KY142" s="221"/>
      <c r="KZ142" s="221"/>
      <c r="LA142" s="221"/>
      <c r="LB142" s="221"/>
      <c r="LC142" s="221"/>
      <c r="LD142" s="221"/>
      <c r="LE142" s="221"/>
      <c r="LF142" s="221"/>
      <c r="LG142" s="221"/>
      <c r="LH142" s="221"/>
      <c r="LI142" s="221"/>
      <c r="LJ142" s="221"/>
      <c r="LK142" s="221"/>
      <c r="LL142" s="221"/>
      <c r="LM142" s="221"/>
      <c r="LN142" s="221"/>
      <c r="LO142" s="221"/>
      <c r="LP142" s="221"/>
      <c r="LQ142" s="221"/>
      <c r="LR142" s="221"/>
      <c r="LS142" s="221"/>
      <c r="LT142" s="221"/>
      <c r="LU142" s="221"/>
      <c r="LV142" s="221"/>
      <c r="LW142" s="221"/>
      <c r="LX142" s="221"/>
      <c r="LY142" s="221"/>
      <c r="LZ142" s="221"/>
      <c r="MA142" s="221"/>
      <c r="MB142" s="221"/>
      <c r="MC142" s="221"/>
      <c r="MD142" s="221"/>
      <c r="ME142" s="221"/>
      <c r="MF142" s="221"/>
      <c r="MG142" s="221"/>
      <c r="MH142" s="221"/>
      <c r="MI142" s="221"/>
      <c r="MJ142" s="221"/>
      <c r="MK142" s="221"/>
      <c r="ML142" s="221"/>
      <c r="MM142" s="221"/>
      <c r="MN142" s="221"/>
      <c r="MO142" s="221"/>
      <c r="MP142" s="221"/>
      <c r="MQ142" s="221"/>
      <c r="MR142" s="221"/>
      <c r="MS142" s="221"/>
      <c r="MT142" s="221"/>
      <c r="MU142" s="221"/>
      <c r="MV142" s="221"/>
      <c r="MW142" s="221"/>
      <c r="MX142" s="221"/>
      <c r="MY142" s="221"/>
      <c r="MZ142" s="221"/>
      <c r="NA142" s="221"/>
      <c r="NB142" s="221"/>
      <c r="NC142" s="221"/>
      <c r="ND142" s="221"/>
      <c r="NE142" s="221"/>
      <c r="NF142" s="221"/>
      <c r="NG142" s="221"/>
      <c r="NH142" s="221"/>
      <c r="NI142" s="221"/>
      <c r="NJ142" s="221"/>
      <c r="NK142" s="221"/>
      <c r="NL142" s="221"/>
      <c r="NM142" s="221"/>
      <c r="NN142" s="221"/>
      <c r="NO142" s="221"/>
      <c r="NP142" s="221"/>
      <c r="NQ142" s="221"/>
      <c r="NR142" s="221"/>
      <c r="NS142" s="221"/>
      <c r="NT142" s="221"/>
      <c r="NU142" s="221"/>
      <c r="NV142" s="221"/>
      <c r="NW142" s="221"/>
      <c r="NX142" s="221"/>
      <c r="NY142" s="221"/>
      <c r="NZ142" s="221"/>
      <c r="OA142" s="221"/>
      <c r="OB142" s="221"/>
      <c r="OC142" s="221"/>
      <c r="OD142" s="221"/>
      <c r="OE142" s="221"/>
      <c r="OF142" s="221"/>
      <c r="OG142" s="221"/>
      <c r="OH142" s="221"/>
      <c r="OI142" s="221"/>
      <c r="OJ142" s="221"/>
      <c r="OK142" s="221"/>
      <c r="OL142" s="221"/>
      <c r="OM142" s="221"/>
      <c r="ON142" s="221"/>
      <c r="OO142" s="221"/>
      <c r="OP142" s="221"/>
      <c r="OQ142" s="221"/>
      <c r="OR142" s="221"/>
      <c r="OS142" s="221"/>
      <c r="OT142" s="221"/>
      <c r="OU142" s="221"/>
      <c r="OV142" s="221"/>
      <c r="OW142" s="221"/>
      <c r="OX142" s="221"/>
      <c r="OY142" s="221"/>
      <c r="OZ142" s="221"/>
      <c r="PA142" s="221"/>
      <c r="PB142" s="221"/>
      <c r="PC142" s="221"/>
      <c r="PD142" s="221"/>
      <c r="PE142" s="221"/>
      <c r="PF142" s="221"/>
      <c r="PG142" s="221"/>
      <c r="PH142" s="221"/>
      <c r="PI142" s="221"/>
      <c r="PJ142" s="221"/>
      <c r="PK142" s="221"/>
      <c r="PL142" s="221"/>
      <c r="PM142" s="221"/>
      <c r="PN142" s="221"/>
      <c r="PO142" s="221"/>
      <c r="PP142" s="221"/>
      <c r="PQ142" s="221"/>
      <c r="PR142" s="221"/>
      <c r="PS142" s="221"/>
      <c r="PT142" s="221"/>
      <c r="PU142" s="221"/>
      <c r="PV142" s="221"/>
      <c r="PW142" s="221"/>
      <c r="PX142" s="221"/>
      <c r="PY142" s="221"/>
      <c r="PZ142" s="221"/>
      <c r="QA142" s="221"/>
      <c r="QB142" s="221"/>
      <c r="QC142" s="221"/>
      <c r="QD142" s="221"/>
      <c r="QE142" s="221"/>
      <c r="QF142" s="221"/>
      <c r="QG142" s="221"/>
      <c r="QH142" s="221"/>
      <c r="QI142" s="221"/>
      <c r="QJ142" s="221"/>
      <c r="QK142" s="221"/>
      <c r="QL142" s="221"/>
      <c r="QM142" s="221"/>
      <c r="QN142" s="221"/>
      <c r="QO142" s="221"/>
      <c r="QP142" s="221"/>
      <c r="QQ142" s="221"/>
      <c r="QR142" s="221"/>
      <c r="QS142" s="221"/>
      <c r="QT142" s="221"/>
      <c r="QU142" s="221"/>
      <c r="QV142" s="221"/>
      <c r="QW142" s="221"/>
      <c r="QX142" s="221"/>
      <c r="QY142" s="221"/>
      <c r="QZ142" s="221"/>
      <c r="RA142" s="221"/>
      <c r="RB142" s="221"/>
      <c r="RC142" s="221"/>
      <c r="RD142" s="221"/>
      <c r="RE142" s="221"/>
      <c r="RF142" s="221"/>
      <c r="RG142" s="221"/>
      <c r="RH142" s="221"/>
      <c r="RI142" s="221"/>
      <c r="RJ142" s="221"/>
      <c r="RK142" s="221"/>
      <c r="RL142" s="221"/>
      <c r="RM142" s="221"/>
      <c r="RN142" s="221"/>
      <c r="RO142" s="221"/>
      <c r="RP142" s="221"/>
      <c r="RQ142" s="221"/>
      <c r="RR142" s="221"/>
      <c r="RS142" s="221"/>
      <c r="RT142" s="221"/>
      <c r="RU142" s="221"/>
      <c r="RV142" s="221"/>
      <c r="RW142" s="221"/>
      <c r="RX142" s="221"/>
      <c r="RY142" s="221"/>
      <c r="RZ142" s="221"/>
      <c r="SA142" s="221"/>
      <c r="SB142" s="221"/>
      <c r="SC142" s="221"/>
      <c r="SD142" s="221"/>
      <c r="SE142" s="221"/>
      <c r="SF142" s="221"/>
      <c r="SG142" s="221"/>
      <c r="SH142" s="221"/>
      <c r="SI142" s="221"/>
      <c r="SJ142" s="221"/>
      <c r="SK142" s="221"/>
      <c r="SL142" s="221"/>
      <c r="SM142" s="221"/>
      <c r="SN142" s="221"/>
      <c r="SO142" s="221"/>
      <c r="SP142" s="221"/>
      <c r="SQ142" s="221"/>
      <c r="SR142" s="221"/>
      <c r="SS142" s="221"/>
      <c r="ST142" s="221"/>
      <c r="SU142" s="221"/>
      <c r="SV142" s="221"/>
      <c r="SW142" s="221"/>
      <c r="SX142" s="221"/>
      <c r="SY142" s="221"/>
      <c r="SZ142" s="221"/>
      <c r="TA142" s="221"/>
      <c r="TB142" s="221"/>
      <c r="TC142" s="221"/>
      <c r="TD142" s="221"/>
      <c r="TE142" s="221"/>
      <c r="TF142" s="221"/>
      <c r="TG142" s="221"/>
      <c r="TH142" s="221"/>
      <c r="TI142" s="221"/>
      <c r="TJ142" s="221"/>
      <c r="TK142" s="221"/>
      <c r="TL142" s="221"/>
      <c r="TM142" s="221"/>
      <c r="TN142" s="221"/>
      <c r="TO142" s="221"/>
      <c r="TP142" s="221"/>
      <c r="TQ142" s="221"/>
      <c r="TR142" s="221"/>
      <c r="TS142" s="221"/>
      <c r="TT142" s="221"/>
      <c r="TU142" s="221"/>
      <c r="TV142" s="221"/>
      <c r="TW142" s="221"/>
      <c r="TX142" s="221"/>
      <c r="TY142" s="221"/>
      <c r="TZ142" s="221"/>
      <c r="UA142" s="221"/>
      <c r="UB142" s="221"/>
      <c r="UC142" s="221"/>
      <c r="UD142" s="221"/>
      <c r="UE142" s="221"/>
      <c r="UF142" s="221"/>
      <c r="UG142" s="221"/>
      <c r="UH142" s="221"/>
      <c r="UI142" s="221"/>
      <c r="UJ142" s="221"/>
      <c r="UK142" s="221"/>
      <c r="UL142" s="221"/>
      <c r="UM142" s="221"/>
      <c r="UN142" s="221"/>
      <c r="UO142" s="221"/>
      <c r="UP142" s="221"/>
      <c r="UQ142" s="221"/>
      <c r="UR142" s="221"/>
      <c r="US142" s="221"/>
      <c r="UT142" s="221"/>
      <c r="UU142" s="221"/>
      <c r="UV142" s="221"/>
      <c r="UW142" s="221"/>
      <c r="UX142" s="221"/>
      <c r="UY142" s="221"/>
      <c r="UZ142" s="221"/>
      <c r="VA142" s="221"/>
      <c r="VB142" s="221"/>
      <c r="VC142" s="221"/>
      <c r="VD142" s="221"/>
      <c r="VE142" s="221"/>
      <c r="VF142" s="221"/>
      <c r="VG142" s="221"/>
      <c r="VH142" s="221"/>
      <c r="VI142" s="221"/>
      <c r="VJ142" s="221"/>
      <c r="VK142" s="221"/>
      <c r="VL142" s="221"/>
      <c r="VM142" s="221"/>
      <c r="VN142" s="221"/>
      <c r="VO142" s="221"/>
      <c r="VP142" s="221"/>
      <c r="VQ142" s="221"/>
      <c r="VR142" s="221"/>
      <c r="VS142" s="221"/>
      <c r="VT142" s="221"/>
      <c r="VU142" s="221"/>
      <c r="VV142" s="221"/>
      <c r="VW142" s="221"/>
      <c r="VX142" s="221"/>
      <c r="VY142" s="221"/>
      <c r="VZ142" s="221"/>
      <c r="WA142" s="221"/>
      <c r="WB142" s="221"/>
      <c r="WC142" s="221"/>
      <c r="WD142" s="221"/>
      <c r="WE142" s="221"/>
      <c r="WF142" s="221"/>
      <c r="WG142" s="221"/>
      <c r="WH142" s="221"/>
      <c r="WI142" s="221"/>
      <c r="WJ142" s="221"/>
      <c r="WK142" s="221"/>
      <c r="WL142" s="221"/>
      <c r="WM142" s="221"/>
      <c r="WN142" s="221"/>
      <c r="WO142" s="221"/>
      <c r="WP142" s="221"/>
      <c r="WQ142" s="221"/>
      <c r="WR142" s="221"/>
      <c r="WS142" s="221"/>
      <c r="WT142" s="221"/>
      <c r="WU142" s="221"/>
      <c r="WV142" s="221"/>
      <c r="WW142" s="221"/>
      <c r="WX142" s="221"/>
      <c r="WY142" s="221"/>
      <c r="WZ142" s="221"/>
      <c r="XA142" s="221"/>
      <c r="XB142" s="221"/>
      <c r="XC142" s="221"/>
      <c r="XD142" s="221"/>
      <c r="XE142" s="221"/>
      <c r="XF142" s="221"/>
      <c r="XG142" s="221"/>
      <c r="XH142" s="221"/>
      <c r="XI142" s="221"/>
      <c r="XJ142" s="221"/>
      <c r="XK142" s="221"/>
      <c r="XL142" s="221"/>
      <c r="XM142" s="221"/>
      <c r="XN142" s="221"/>
      <c r="XO142" s="221"/>
      <c r="XP142" s="221"/>
      <c r="XQ142" s="221"/>
      <c r="XR142" s="221"/>
      <c r="XS142" s="221"/>
      <c r="XT142" s="221"/>
      <c r="XU142" s="221"/>
      <c r="XV142" s="221"/>
      <c r="XW142" s="221"/>
      <c r="XX142" s="221"/>
      <c r="XY142" s="221"/>
      <c r="XZ142" s="221"/>
      <c r="YA142" s="221"/>
      <c r="YB142" s="221"/>
      <c r="YC142" s="221"/>
      <c r="YD142" s="221"/>
      <c r="YE142" s="221"/>
      <c r="YF142" s="221"/>
      <c r="YG142" s="221"/>
      <c r="YH142" s="221"/>
      <c r="YI142" s="221"/>
      <c r="YJ142" s="221"/>
      <c r="YK142" s="221"/>
      <c r="YL142" s="221"/>
      <c r="YM142" s="221"/>
      <c r="YN142" s="221"/>
      <c r="YO142" s="221"/>
      <c r="YP142" s="221"/>
      <c r="YQ142" s="221"/>
      <c r="YR142" s="221"/>
      <c r="YS142" s="221"/>
      <c r="YT142" s="221"/>
      <c r="YU142" s="221"/>
      <c r="YV142" s="221"/>
      <c r="YW142" s="221"/>
      <c r="YX142" s="221"/>
      <c r="YY142" s="221"/>
      <c r="YZ142" s="221"/>
      <c r="ZA142" s="221"/>
      <c r="ZB142" s="221"/>
      <c r="ZC142" s="221"/>
      <c r="ZD142" s="221"/>
      <c r="ZE142" s="221"/>
      <c r="ZF142" s="221"/>
      <c r="ZG142" s="221"/>
      <c r="ZH142" s="221"/>
      <c r="ZI142" s="221"/>
      <c r="ZJ142" s="221"/>
      <c r="ZK142" s="221"/>
      <c r="ZL142" s="221"/>
      <c r="ZM142" s="221"/>
      <c r="ZN142" s="221"/>
      <c r="ZO142" s="221"/>
      <c r="ZP142" s="221"/>
      <c r="ZQ142" s="221"/>
      <c r="ZR142" s="221"/>
      <c r="ZS142" s="221"/>
      <c r="ZT142" s="221"/>
      <c r="ZU142" s="221"/>
      <c r="ZV142" s="221"/>
      <c r="ZW142" s="221"/>
      <c r="ZX142" s="221"/>
      <c r="ZY142" s="221"/>
      <c r="ZZ142" s="221"/>
      <c r="AAA142" s="221"/>
      <c r="AAB142" s="221"/>
      <c r="AAC142" s="221"/>
      <c r="AAD142" s="221"/>
      <c r="AAE142" s="221"/>
      <c r="AAF142" s="221"/>
      <c r="AAG142" s="221"/>
      <c r="AAH142" s="221"/>
      <c r="AAI142" s="221"/>
      <c r="AAJ142" s="221"/>
      <c r="AAK142" s="221"/>
      <c r="AAL142" s="221"/>
      <c r="AAM142" s="221"/>
      <c r="AAN142" s="221"/>
      <c r="AAO142" s="221"/>
      <c r="AAP142" s="221"/>
      <c r="AAQ142" s="221"/>
      <c r="AAR142" s="221"/>
      <c r="AAS142" s="221"/>
      <c r="AAT142" s="221"/>
      <c r="AAU142" s="221"/>
      <c r="AAV142" s="221"/>
      <c r="AAW142" s="221"/>
      <c r="AAX142" s="221"/>
      <c r="AAY142" s="221"/>
      <c r="AAZ142" s="221"/>
      <c r="ABA142" s="221"/>
      <c r="ABB142" s="221"/>
      <c r="ABC142" s="221"/>
      <c r="ABD142" s="221"/>
      <c r="ABE142" s="221"/>
      <c r="ABF142" s="221"/>
      <c r="ABG142" s="221"/>
      <c r="ABH142" s="221"/>
      <c r="ABI142" s="221"/>
      <c r="ABJ142" s="221"/>
      <c r="ABK142" s="221"/>
      <c r="ABL142" s="221"/>
      <c r="ABM142" s="221"/>
      <c r="ABN142" s="221"/>
      <c r="ABO142" s="221"/>
      <c r="ABP142" s="221"/>
      <c r="ABQ142" s="221"/>
      <c r="ABR142" s="221"/>
      <c r="ABS142" s="221"/>
      <c r="ABT142" s="221"/>
      <c r="ABU142" s="221"/>
      <c r="ABV142" s="221"/>
      <c r="ABW142" s="221"/>
      <c r="ABX142" s="221"/>
      <c r="ABY142" s="221"/>
      <c r="ABZ142" s="221"/>
      <c r="ACA142" s="221"/>
      <c r="ACB142" s="221"/>
      <c r="ACC142" s="221"/>
      <c r="ACD142" s="221"/>
      <c r="ACE142" s="221"/>
      <c r="ACF142" s="221"/>
      <c r="ACG142" s="221"/>
      <c r="ACH142" s="221"/>
      <c r="ACI142" s="221"/>
      <c r="ACJ142" s="221"/>
      <c r="ACK142" s="221"/>
      <c r="ACL142" s="221"/>
      <c r="ACM142" s="221"/>
      <c r="ACN142" s="221"/>
      <c r="ACO142" s="221"/>
      <c r="ACP142" s="221"/>
      <c r="ACQ142" s="221"/>
      <c r="ACR142" s="221"/>
      <c r="ACS142" s="221"/>
      <c r="ACT142" s="221"/>
      <c r="ACU142" s="221"/>
      <c r="ACV142" s="221"/>
      <c r="ACW142" s="221"/>
      <c r="ACX142" s="221"/>
      <c r="ACY142" s="221"/>
      <c r="ACZ142" s="221"/>
      <c r="ADA142" s="221"/>
      <c r="ADB142" s="221"/>
      <c r="ADC142" s="221"/>
      <c r="ADD142" s="221"/>
      <c r="ADE142" s="221"/>
      <c r="ADF142" s="221"/>
      <c r="ADG142" s="221"/>
      <c r="ADH142" s="221"/>
      <c r="ADI142" s="221"/>
      <c r="ADJ142" s="221"/>
      <c r="ADK142" s="221"/>
      <c r="ADL142" s="221"/>
      <c r="ADM142" s="221"/>
      <c r="ADN142" s="221"/>
      <c r="ADO142" s="221"/>
      <c r="ADP142" s="221"/>
      <c r="ADQ142" s="221"/>
      <c r="ADR142" s="221"/>
      <c r="ADS142" s="221"/>
      <c r="ADT142" s="221"/>
      <c r="ADU142" s="221"/>
      <c r="ADV142" s="221"/>
      <c r="ADW142" s="221"/>
      <c r="ADX142" s="221"/>
      <c r="ADY142" s="221"/>
      <c r="ADZ142" s="221"/>
      <c r="AEA142" s="221"/>
      <c r="AEB142" s="221"/>
      <c r="AEC142" s="221"/>
      <c r="AED142" s="221"/>
      <c r="AEE142" s="221"/>
      <c r="AEF142" s="221"/>
      <c r="AEG142" s="221"/>
      <c r="AEH142" s="221"/>
      <c r="AEI142" s="221"/>
      <c r="AEJ142" s="221"/>
      <c r="AEK142" s="221"/>
      <c r="AEL142" s="221"/>
      <c r="AEM142" s="221"/>
      <c r="AEN142" s="221"/>
      <c r="AEO142" s="221"/>
      <c r="AEP142" s="221"/>
      <c r="AEQ142" s="221"/>
      <c r="AER142" s="221"/>
      <c r="AES142" s="221"/>
      <c r="AET142" s="221"/>
      <c r="AEU142" s="221"/>
      <c r="AEV142" s="221"/>
      <c r="AEW142" s="221"/>
      <c r="AEX142" s="221"/>
      <c r="AEY142" s="221"/>
      <c r="AEZ142" s="221"/>
      <c r="AFA142" s="221"/>
      <c r="AFB142" s="221"/>
      <c r="AFC142" s="221"/>
      <c r="AFD142" s="221"/>
      <c r="AFE142" s="221"/>
      <c r="AFF142" s="221"/>
      <c r="AFG142" s="221"/>
      <c r="AFH142" s="221"/>
      <c r="AFI142" s="221"/>
      <c r="AFJ142" s="221"/>
      <c r="AFK142" s="221"/>
      <c r="AFL142" s="221"/>
      <c r="AFM142" s="221"/>
      <c r="AFN142" s="221"/>
      <c r="AFO142" s="221"/>
      <c r="AFP142" s="221"/>
      <c r="AFQ142" s="221"/>
      <c r="AFR142" s="221"/>
      <c r="AFS142" s="221"/>
      <c r="AFT142" s="221"/>
      <c r="AFU142" s="221"/>
      <c r="AFV142" s="221"/>
      <c r="AFW142" s="221"/>
      <c r="AFX142" s="221"/>
      <c r="AFY142" s="221"/>
      <c r="AFZ142" s="221"/>
      <c r="AGA142" s="221"/>
      <c r="AGB142" s="221"/>
      <c r="AGC142" s="221"/>
      <c r="AGD142" s="221"/>
      <c r="AGE142" s="221"/>
      <c r="AGF142" s="221"/>
      <c r="AGG142" s="221"/>
      <c r="AGH142" s="221"/>
      <c r="AGI142" s="221"/>
      <c r="AGJ142" s="221"/>
      <c r="AGK142" s="221"/>
      <c r="AGL142" s="221"/>
      <c r="AGM142" s="221"/>
      <c r="AGN142" s="221"/>
      <c r="AGO142" s="221"/>
      <c r="AGP142" s="221"/>
      <c r="AGQ142" s="221"/>
      <c r="AGR142" s="221"/>
      <c r="AGS142" s="221"/>
      <c r="AGT142" s="221"/>
      <c r="AGU142" s="221"/>
      <c r="AGV142" s="221"/>
      <c r="AGW142" s="221"/>
      <c r="AGX142" s="221"/>
      <c r="AGY142" s="221"/>
      <c r="AGZ142" s="221"/>
      <c r="AHA142" s="221"/>
      <c r="AHB142" s="221"/>
      <c r="AHC142" s="221"/>
      <c r="AHD142" s="221"/>
      <c r="AHE142" s="221"/>
      <c r="AHF142" s="221"/>
      <c r="AHG142" s="221"/>
      <c r="AHH142" s="221"/>
      <c r="AHI142" s="221"/>
      <c r="AHJ142" s="221"/>
      <c r="AHK142" s="221"/>
      <c r="AHL142" s="221"/>
      <c r="AHM142" s="221"/>
      <c r="AHN142" s="221"/>
      <c r="AHO142" s="221"/>
      <c r="AHP142" s="221"/>
      <c r="AHQ142" s="221"/>
      <c r="AHR142" s="221"/>
      <c r="AHS142" s="221"/>
      <c r="AHT142" s="221"/>
      <c r="AHU142" s="221"/>
      <c r="AHV142" s="221"/>
      <c r="AHW142" s="221"/>
      <c r="AHX142" s="221"/>
      <c r="AHY142" s="221"/>
      <c r="AHZ142" s="221"/>
      <c r="AIA142" s="221"/>
      <c r="AIB142" s="221"/>
      <c r="AIC142" s="221"/>
      <c r="AID142" s="221"/>
      <c r="AIE142" s="221"/>
      <c r="AIF142" s="221"/>
      <c r="AIG142" s="221"/>
      <c r="AIH142" s="221"/>
      <c r="AII142" s="221"/>
      <c r="AIJ142" s="221"/>
      <c r="AIK142" s="221"/>
      <c r="AIL142" s="221"/>
      <c r="AIM142" s="221"/>
      <c r="AIN142" s="221"/>
      <c r="AIO142" s="221"/>
      <c r="AIP142" s="221"/>
      <c r="AIQ142" s="221"/>
      <c r="AIR142" s="221"/>
      <c r="AIS142" s="221"/>
      <c r="AIT142" s="221"/>
      <c r="AIU142" s="221"/>
      <c r="AIV142" s="221"/>
      <c r="AIW142" s="221"/>
      <c r="AIX142" s="221"/>
      <c r="AIY142" s="221"/>
      <c r="AIZ142" s="221"/>
      <c r="AJA142" s="221"/>
      <c r="AJB142" s="221"/>
      <c r="AJC142" s="221"/>
      <c r="AJD142" s="221"/>
      <c r="AJE142" s="221"/>
      <c r="AJF142" s="221"/>
      <c r="AJG142" s="221"/>
      <c r="AJH142" s="221"/>
      <c r="AJI142" s="221"/>
      <c r="AJJ142" s="221"/>
      <c r="AJK142" s="221"/>
      <c r="AJL142" s="221"/>
      <c r="AJM142" s="221"/>
      <c r="AJN142" s="221"/>
      <c r="AJO142" s="221"/>
      <c r="AJP142" s="221"/>
      <c r="AJQ142" s="221"/>
      <c r="AJR142" s="221"/>
      <c r="AJS142" s="221"/>
      <c r="AJT142" s="221"/>
      <c r="AJU142" s="221"/>
      <c r="AJV142" s="221"/>
      <c r="AJW142" s="221"/>
      <c r="AJX142" s="221"/>
      <c r="AJY142" s="221"/>
      <c r="AJZ142" s="221"/>
      <c r="AKA142" s="221"/>
      <c r="AKB142" s="221"/>
      <c r="AKC142" s="221"/>
      <c r="AKD142" s="221"/>
      <c r="AKE142" s="221"/>
      <c r="AKF142" s="221"/>
      <c r="AKG142" s="221"/>
      <c r="AKH142" s="221"/>
      <c r="AKI142" s="221"/>
      <c r="AKJ142" s="221"/>
      <c r="AKK142" s="221"/>
      <c r="AKL142" s="221"/>
      <c r="AKM142" s="221"/>
      <c r="AKN142" s="221"/>
      <c r="AKO142" s="221"/>
      <c r="AKP142" s="221"/>
      <c r="AKQ142" s="221"/>
      <c r="AKR142" s="221"/>
      <c r="AKS142" s="221"/>
      <c r="AKT142" s="221"/>
      <c r="AKU142" s="221"/>
      <c r="AKV142" s="221"/>
      <c r="AKW142" s="221"/>
      <c r="AKX142" s="221"/>
      <c r="AKY142" s="221"/>
      <c r="AKZ142" s="221"/>
      <c r="ALA142" s="221"/>
      <c r="ALB142" s="221"/>
      <c r="ALC142" s="221"/>
      <c r="ALD142" s="221"/>
      <c r="ALE142" s="221"/>
      <c r="ALF142" s="221"/>
      <c r="ALG142" s="221"/>
      <c r="ALH142" s="221"/>
      <c r="ALI142" s="221"/>
      <c r="ALJ142" s="221"/>
      <c r="ALK142" s="221"/>
      <c r="ALL142" s="221"/>
      <c r="ALM142" s="221"/>
      <c r="ALN142" s="221"/>
      <c r="ALO142" s="221"/>
      <c r="ALP142" s="221"/>
      <c r="ALQ142" s="221"/>
      <c r="ALR142" s="221"/>
      <c r="ALS142" s="221"/>
      <c r="ALT142" s="221"/>
      <c r="ALU142" s="221"/>
      <c r="ALV142" s="221"/>
      <c r="ALW142" s="221"/>
      <c r="ALX142" s="221"/>
      <c r="ALY142" s="221"/>
      <c r="ALZ142" s="221"/>
      <c r="AMA142" s="221"/>
      <c r="AMB142" s="221"/>
      <c r="AMC142" s="221"/>
      <c r="AMD142" s="221"/>
      <c r="AME142" s="221"/>
      <c r="AMF142" s="221"/>
      <c r="AMG142" s="221"/>
      <c r="AMH142" s="221"/>
      <c r="AMI142" s="221"/>
      <c r="AMJ142" s="221"/>
      <c r="AMK142" s="221"/>
      <c r="AML142" s="221"/>
      <c r="AMM142" s="221"/>
      <c r="AMN142" s="221"/>
      <c r="AMO142" s="221"/>
      <c r="AMP142" s="221"/>
      <c r="AMQ142" s="221"/>
      <c r="AMR142" s="221"/>
      <c r="AMS142" s="221"/>
      <c r="AMT142" s="221"/>
      <c r="AMU142" s="221"/>
      <c r="AMV142" s="221"/>
      <c r="AMW142" s="221"/>
      <c r="AMX142" s="221"/>
      <c r="AMY142" s="221"/>
      <c r="AMZ142" s="221"/>
      <c r="ANA142" s="221"/>
      <c r="ANB142" s="221"/>
      <c r="ANC142" s="221"/>
      <c r="AND142" s="221"/>
      <c r="ANE142" s="221"/>
      <c r="ANF142" s="221"/>
      <c r="ANG142" s="221"/>
      <c r="ANH142" s="221"/>
      <c r="ANI142" s="221"/>
      <c r="ANJ142" s="221"/>
      <c r="ANK142" s="221"/>
      <c r="ANL142" s="221"/>
      <c r="ANM142" s="221"/>
      <c r="ANN142" s="221"/>
      <c r="ANO142" s="221"/>
      <c r="ANP142" s="221"/>
      <c r="ANQ142" s="221"/>
      <c r="ANR142" s="221"/>
      <c r="ANS142" s="221"/>
      <c r="ANT142" s="221"/>
      <c r="ANU142" s="221"/>
      <c r="ANV142" s="221"/>
      <c r="ANW142" s="221"/>
      <c r="ANX142" s="221"/>
      <c r="ANY142" s="221"/>
      <c r="ANZ142" s="221"/>
      <c r="AOA142" s="221"/>
      <c r="AOB142" s="221"/>
      <c r="AOC142" s="221"/>
      <c r="AOD142" s="221"/>
      <c r="AOE142" s="221"/>
      <c r="AOF142" s="221"/>
      <c r="AOG142" s="221"/>
      <c r="AOH142" s="221"/>
      <c r="AOI142" s="221"/>
      <c r="AOJ142" s="221"/>
      <c r="AOK142" s="221"/>
      <c r="AOL142" s="221"/>
      <c r="AOM142" s="221"/>
      <c r="AON142" s="221"/>
      <c r="AOO142" s="221"/>
      <c r="AOP142" s="221"/>
      <c r="AOQ142" s="221"/>
      <c r="AOR142" s="221"/>
      <c r="AOS142" s="221"/>
      <c r="AOT142" s="221"/>
      <c r="AOU142" s="221"/>
      <c r="AOV142" s="221"/>
      <c r="AOW142" s="221"/>
      <c r="AOX142" s="221"/>
      <c r="AOY142" s="221"/>
      <c r="AOZ142" s="221"/>
      <c r="APA142" s="221"/>
      <c r="APB142" s="221"/>
      <c r="APC142" s="221"/>
      <c r="APD142" s="221"/>
      <c r="APE142" s="221"/>
      <c r="APF142" s="221"/>
      <c r="APG142" s="221"/>
      <c r="APH142" s="221"/>
      <c r="API142" s="221"/>
      <c r="APJ142" s="221"/>
      <c r="APK142" s="221"/>
      <c r="APL142" s="221"/>
      <c r="APM142" s="221"/>
      <c r="APN142" s="221"/>
      <c r="APO142" s="221"/>
      <c r="APP142" s="221"/>
      <c r="APQ142" s="221"/>
      <c r="APR142" s="221"/>
      <c r="APS142" s="221"/>
      <c r="APT142" s="221"/>
      <c r="APU142" s="221"/>
      <c r="APV142" s="221"/>
      <c r="APW142" s="221"/>
      <c r="APX142" s="221"/>
      <c r="APY142" s="221"/>
      <c r="APZ142" s="221"/>
      <c r="AQA142" s="221"/>
      <c r="AQB142" s="221"/>
      <c r="AQC142" s="221"/>
      <c r="AQD142" s="221"/>
      <c r="AQE142" s="221"/>
      <c r="AQF142" s="221"/>
      <c r="AQG142" s="221"/>
      <c r="AQH142" s="221"/>
      <c r="AQI142" s="221"/>
      <c r="AQJ142" s="221"/>
      <c r="AQK142" s="221"/>
      <c r="AQL142" s="221"/>
      <c r="AQM142" s="221"/>
      <c r="AQN142" s="221"/>
      <c r="AQO142" s="221"/>
      <c r="AQP142" s="221"/>
      <c r="AQQ142" s="221"/>
      <c r="AQR142" s="221"/>
      <c r="AQS142" s="221"/>
      <c r="AQT142" s="221"/>
      <c r="AQU142" s="221"/>
      <c r="AQV142" s="221"/>
      <c r="AQW142" s="221"/>
      <c r="AQX142" s="221"/>
      <c r="AQY142" s="221"/>
      <c r="AQZ142" s="221"/>
      <c r="ARA142" s="221"/>
      <c r="ARB142" s="221"/>
      <c r="ARC142" s="221"/>
      <c r="ARD142" s="221"/>
      <c r="ARE142" s="221"/>
      <c r="ARF142" s="221"/>
      <c r="ARG142" s="221"/>
      <c r="ARH142" s="221"/>
      <c r="ARI142" s="221"/>
      <c r="ARJ142" s="221"/>
      <c r="ARK142" s="221"/>
      <c r="ARL142" s="221"/>
      <c r="ARM142" s="221"/>
      <c r="ARN142" s="221"/>
      <c r="ARO142" s="221"/>
      <c r="ARP142" s="221"/>
      <c r="ARQ142" s="221"/>
      <c r="ARR142" s="221"/>
      <c r="ARS142" s="221"/>
      <c r="ART142" s="221"/>
      <c r="ARU142" s="221"/>
      <c r="ARV142" s="221"/>
      <c r="ARW142" s="221"/>
      <c r="ARX142" s="221"/>
      <c r="ARY142" s="221"/>
      <c r="ARZ142" s="221"/>
      <c r="ASA142" s="221"/>
      <c r="ASB142" s="221"/>
      <c r="ASC142" s="221"/>
      <c r="ASD142" s="221"/>
      <c r="ASE142" s="221"/>
      <c r="ASF142" s="221"/>
      <c r="ASG142" s="221"/>
      <c r="ASH142" s="221"/>
      <c r="ASI142" s="221"/>
      <c r="ASJ142" s="221"/>
      <c r="ASK142" s="221"/>
      <c r="ASL142" s="221"/>
      <c r="ASM142" s="221"/>
      <c r="ASN142" s="221"/>
      <c r="ASO142" s="221"/>
      <c r="ASP142" s="221"/>
      <c r="ASQ142" s="221"/>
      <c r="ASR142" s="221"/>
      <c r="ASS142" s="221"/>
      <c r="AST142" s="221"/>
      <c r="ASU142" s="221"/>
      <c r="ASV142" s="221"/>
      <c r="ASW142" s="221"/>
      <c r="ASX142" s="221"/>
      <c r="ASY142" s="221"/>
      <c r="ASZ142" s="221"/>
      <c r="ATA142" s="221"/>
      <c r="ATB142" s="221"/>
      <c r="ATC142" s="221"/>
      <c r="ATD142" s="221"/>
      <c r="ATE142" s="221"/>
      <c r="ATF142" s="221"/>
      <c r="ATG142" s="221"/>
      <c r="ATH142" s="221"/>
      <c r="ATI142" s="221"/>
      <c r="ATJ142" s="221"/>
      <c r="ATK142" s="221"/>
      <c r="ATL142" s="221"/>
      <c r="ATM142" s="221"/>
      <c r="ATN142" s="221"/>
      <c r="ATO142" s="221"/>
      <c r="ATP142" s="221"/>
      <c r="ATQ142" s="221"/>
      <c r="ATR142" s="221"/>
      <c r="ATS142" s="221"/>
      <c r="ATT142" s="221"/>
      <c r="ATU142" s="221"/>
      <c r="ATV142" s="221"/>
      <c r="ATW142" s="221"/>
      <c r="ATX142" s="221"/>
      <c r="ATY142" s="221"/>
      <c r="ATZ142" s="221"/>
      <c r="AUA142" s="221"/>
      <c r="AUB142" s="221"/>
      <c r="AUC142" s="221"/>
      <c r="AUD142" s="221"/>
      <c r="AUE142" s="221"/>
      <c r="AUF142" s="221"/>
      <c r="AUG142" s="221"/>
      <c r="AUH142" s="221"/>
      <c r="AUI142" s="221"/>
      <c r="AUJ142" s="221"/>
      <c r="AUK142" s="221"/>
      <c r="AUL142" s="221"/>
      <c r="AUM142" s="221"/>
      <c r="AUN142" s="221"/>
      <c r="AUO142" s="221"/>
      <c r="AUP142" s="221"/>
      <c r="AUQ142" s="221"/>
      <c r="AUR142" s="221"/>
      <c r="AUS142" s="221"/>
      <c r="AUT142" s="221"/>
      <c r="AUU142" s="221"/>
      <c r="AUV142" s="221"/>
      <c r="AUW142" s="221"/>
      <c r="AUX142" s="221"/>
      <c r="AUY142" s="221"/>
      <c r="AUZ142" s="221"/>
      <c r="AVA142" s="221"/>
      <c r="AVB142" s="221"/>
      <c r="AVC142" s="221"/>
      <c r="AVD142" s="221"/>
      <c r="AVE142" s="221"/>
      <c r="AVF142" s="221"/>
      <c r="AVG142" s="221"/>
      <c r="AVH142" s="221"/>
      <c r="AVI142" s="221"/>
      <c r="AVJ142" s="221"/>
      <c r="AVK142" s="221"/>
      <c r="AVL142" s="221"/>
      <c r="AVM142" s="221"/>
      <c r="AVN142" s="221"/>
      <c r="AVO142" s="221"/>
      <c r="AVP142" s="221"/>
      <c r="AVQ142" s="221"/>
      <c r="AVR142" s="221"/>
      <c r="AVS142" s="221"/>
      <c r="AVT142" s="221"/>
      <c r="AVU142" s="221"/>
      <c r="AVV142" s="221"/>
      <c r="AVW142" s="221"/>
      <c r="AVX142" s="221"/>
      <c r="AVY142" s="221"/>
      <c r="AVZ142" s="221"/>
      <c r="AWA142" s="221"/>
      <c r="AWB142" s="221"/>
      <c r="AWC142" s="221"/>
      <c r="AWD142" s="221"/>
      <c r="AWE142" s="221"/>
      <c r="AWF142" s="221"/>
      <c r="AWG142" s="221"/>
      <c r="AWH142" s="221"/>
      <c r="AWI142" s="221"/>
      <c r="AWJ142" s="221"/>
      <c r="AWK142" s="221"/>
      <c r="AWL142" s="221"/>
      <c r="AWM142" s="221"/>
      <c r="AWN142" s="221"/>
      <c r="AWO142" s="221"/>
      <c r="AWP142" s="221"/>
      <c r="AWQ142" s="221"/>
      <c r="AWR142" s="221"/>
      <c r="AWS142" s="221"/>
      <c r="AWT142" s="221"/>
      <c r="AWU142" s="221"/>
      <c r="AWV142" s="221"/>
      <c r="AWW142" s="221"/>
      <c r="AWX142" s="221"/>
      <c r="AWY142" s="221"/>
      <c r="AWZ142" s="221"/>
      <c r="AXA142" s="221"/>
      <c r="AXB142" s="221"/>
      <c r="AXC142" s="221"/>
      <c r="AXD142" s="221"/>
      <c r="AXE142" s="221"/>
      <c r="AXF142" s="221"/>
      <c r="AXG142" s="221"/>
      <c r="AXH142" s="221"/>
      <c r="AXI142" s="221"/>
      <c r="AXJ142" s="221"/>
      <c r="AXK142" s="221"/>
      <c r="AXL142" s="221"/>
      <c r="AXM142" s="221"/>
      <c r="AXN142" s="221"/>
      <c r="AXO142" s="221"/>
      <c r="AXP142" s="221"/>
      <c r="AXQ142" s="221"/>
      <c r="AXR142" s="221"/>
      <c r="AXS142" s="221"/>
      <c r="AXT142" s="221"/>
      <c r="AXU142" s="221"/>
      <c r="AXV142" s="221"/>
      <c r="AXW142" s="221"/>
      <c r="AXX142" s="221"/>
      <c r="AXY142" s="221"/>
      <c r="AXZ142" s="221"/>
      <c r="AYA142" s="221"/>
      <c r="AYB142" s="221"/>
      <c r="AYC142" s="221"/>
      <c r="AYD142" s="221"/>
      <c r="AYE142" s="221"/>
      <c r="AYF142" s="221"/>
      <c r="AYG142" s="221"/>
      <c r="AYH142" s="221"/>
      <c r="AYI142" s="221"/>
      <c r="AYJ142" s="221"/>
      <c r="AYK142" s="221"/>
      <c r="AYL142" s="221"/>
      <c r="AYM142" s="221"/>
      <c r="AYN142" s="221"/>
      <c r="AYO142" s="221"/>
      <c r="AYP142" s="221"/>
      <c r="AYQ142" s="221"/>
      <c r="AYR142" s="221"/>
      <c r="AYS142" s="221"/>
      <c r="AYT142" s="221"/>
      <c r="AYU142" s="221"/>
      <c r="AYV142" s="221"/>
      <c r="AYW142" s="221"/>
      <c r="AYX142" s="221"/>
      <c r="AYY142" s="221"/>
      <c r="AYZ142" s="221"/>
      <c r="AZA142" s="221"/>
      <c r="AZB142" s="221"/>
      <c r="AZC142" s="221"/>
      <c r="AZD142" s="221"/>
      <c r="AZE142" s="221"/>
      <c r="AZF142" s="221"/>
      <c r="AZG142" s="221"/>
      <c r="AZH142" s="221"/>
      <c r="AZI142" s="221"/>
      <c r="AZJ142" s="221"/>
      <c r="AZK142" s="221"/>
      <c r="AZL142" s="221"/>
      <c r="AZM142" s="221"/>
      <c r="AZN142" s="221"/>
      <c r="AZO142" s="221"/>
      <c r="AZP142" s="221"/>
      <c r="AZQ142" s="221"/>
      <c r="AZR142" s="221"/>
      <c r="AZS142" s="221"/>
      <c r="AZT142" s="221"/>
      <c r="AZU142" s="221"/>
      <c r="AZV142" s="221"/>
      <c r="AZW142" s="221"/>
      <c r="AZX142" s="221"/>
      <c r="AZY142" s="221"/>
      <c r="AZZ142" s="221"/>
      <c r="BAA142" s="221"/>
      <c r="BAB142" s="221"/>
      <c r="BAC142" s="221"/>
      <c r="BAD142" s="221"/>
      <c r="BAE142" s="221"/>
      <c r="BAF142" s="221"/>
      <c r="BAG142" s="221"/>
      <c r="BAH142" s="221"/>
      <c r="BAI142" s="221"/>
      <c r="BAJ142" s="221"/>
      <c r="BAK142" s="221"/>
      <c r="BAL142" s="221"/>
      <c r="BAM142" s="221"/>
      <c r="BAN142" s="221"/>
      <c r="BAO142" s="221"/>
      <c r="BAP142" s="221"/>
      <c r="BAQ142" s="221"/>
      <c r="BAR142" s="221"/>
      <c r="BAS142" s="221"/>
      <c r="BAT142" s="221"/>
      <c r="BAU142" s="221"/>
      <c r="BAV142" s="221"/>
      <c r="BAW142" s="221"/>
      <c r="BAX142" s="221"/>
      <c r="BAY142" s="221"/>
      <c r="BAZ142" s="221"/>
      <c r="BBA142" s="221"/>
      <c r="BBB142" s="221"/>
      <c r="BBC142" s="221"/>
      <c r="BBD142" s="221"/>
      <c r="BBE142" s="221"/>
      <c r="BBF142" s="221"/>
      <c r="BBG142" s="221"/>
      <c r="BBH142" s="221"/>
      <c r="BBI142" s="221"/>
      <c r="BBJ142" s="221"/>
      <c r="BBK142" s="221"/>
      <c r="BBL142" s="221"/>
      <c r="BBM142" s="221"/>
      <c r="BBN142" s="221"/>
      <c r="BBO142" s="221"/>
      <c r="BBP142" s="221"/>
      <c r="BBQ142" s="221"/>
      <c r="BBR142" s="221"/>
      <c r="BBS142" s="221"/>
      <c r="BBT142" s="221"/>
      <c r="BBU142" s="221"/>
      <c r="BBV142" s="221"/>
      <c r="BBW142" s="221"/>
      <c r="BBX142" s="221"/>
      <c r="BBY142" s="221"/>
      <c r="BBZ142" s="221"/>
      <c r="BCA142" s="221"/>
      <c r="BCB142" s="221"/>
      <c r="BCC142" s="221"/>
      <c r="BCD142" s="221"/>
      <c r="BCE142" s="221"/>
      <c r="BCF142" s="221"/>
      <c r="BCG142" s="221"/>
      <c r="BCH142" s="221"/>
      <c r="BCI142" s="221"/>
      <c r="BCJ142" s="221"/>
      <c r="BCK142" s="221"/>
      <c r="BCL142" s="221"/>
      <c r="BCM142" s="221"/>
      <c r="BCN142" s="221"/>
      <c r="BCO142" s="221"/>
      <c r="BCP142" s="221"/>
      <c r="BCQ142" s="221"/>
      <c r="BCR142" s="221"/>
      <c r="BCS142" s="221"/>
      <c r="BCT142" s="221"/>
      <c r="BCU142" s="221"/>
      <c r="BCV142" s="221"/>
      <c r="BCW142" s="221"/>
      <c r="BCX142" s="221"/>
      <c r="BCY142" s="221"/>
      <c r="BCZ142" s="221"/>
      <c r="BDA142" s="221"/>
      <c r="BDB142" s="221"/>
      <c r="BDC142" s="221"/>
      <c r="BDD142" s="221"/>
      <c r="BDE142" s="221"/>
      <c r="BDF142" s="221"/>
      <c r="BDG142" s="221"/>
      <c r="BDH142" s="221"/>
      <c r="BDI142" s="221"/>
      <c r="BDJ142" s="221"/>
      <c r="BDK142" s="221"/>
      <c r="BDL142" s="221"/>
      <c r="BDM142" s="221"/>
      <c r="BDN142" s="221"/>
      <c r="BDO142" s="221"/>
      <c r="BDP142" s="221"/>
      <c r="BDQ142" s="221"/>
      <c r="BDR142" s="221"/>
      <c r="BDS142" s="221"/>
      <c r="BDT142" s="221"/>
      <c r="BDU142" s="221"/>
      <c r="BDV142" s="221"/>
      <c r="BDW142" s="221"/>
      <c r="BDX142" s="221"/>
      <c r="BDY142" s="221"/>
      <c r="BDZ142" s="221"/>
      <c r="BEA142" s="221"/>
      <c r="BEB142" s="221"/>
      <c r="BEC142" s="221"/>
      <c r="BED142" s="221"/>
      <c r="BEE142" s="221"/>
      <c r="BEF142" s="221"/>
      <c r="BEG142" s="221"/>
      <c r="BEH142" s="221"/>
      <c r="BEI142" s="221"/>
      <c r="BEJ142" s="221"/>
      <c r="BEK142" s="221"/>
      <c r="BEL142" s="221"/>
      <c r="BEM142" s="221"/>
      <c r="BEN142" s="221"/>
      <c r="BEO142" s="221"/>
      <c r="BEP142" s="221"/>
      <c r="BEQ142" s="221"/>
      <c r="BER142" s="221"/>
      <c r="BES142" s="221"/>
      <c r="BET142" s="221"/>
      <c r="BEU142" s="221"/>
      <c r="BEV142" s="221"/>
      <c r="BEW142" s="221"/>
      <c r="BEX142" s="221"/>
      <c r="BEY142" s="221"/>
      <c r="BEZ142" s="221"/>
      <c r="BFA142" s="221"/>
      <c r="BFB142" s="221"/>
      <c r="BFC142" s="221"/>
      <c r="BFD142" s="221"/>
      <c r="BFE142" s="221"/>
      <c r="BFF142" s="221"/>
      <c r="BFG142" s="221"/>
      <c r="BFH142" s="221"/>
      <c r="BFI142" s="221"/>
      <c r="BFJ142" s="221"/>
      <c r="BFK142" s="221"/>
      <c r="BFL142" s="221"/>
      <c r="BFM142" s="221"/>
      <c r="BFN142" s="221"/>
      <c r="BFO142" s="221"/>
      <c r="BFP142" s="221"/>
      <c r="BFQ142" s="221"/>
      <c r="BFR142" s="221"/>
      <c r="BFS142" s="221"/>
      <c r="BFT142" s="221"/>
      <c r="BFU142" s="221"/>
      <c r="BFV142" s="221"/>
      <c r="BFW142" s="221"/>
      <c r="BFX142" s="221"/>
      <c r="BFY142" s="221"/>
      <c r="BFZ142" s="221"/>
      <c r="BGA142" s="221"/>
      <c r="BGB142" s="221"/>
      <c r="BGC142" s="221"/>
      <c r="BGD142" s="221"/>
      <c r="BGE142" s="221"/>
      <c r="BGF142" s="221"/>
      <c r="BGG142" s="221"/>
      <c r="BGH142" s="221"/>
      <c r="BGI142" s="221"/>
      <c r="BGJ142" s="221"/>
      <c r="BGK142" s="221"/>
      <c r="BGL142" s="221"/>
      <c r="BGM142" s="221"/>
      <c r="BGN142" s="221"/>
      <c r="BGO142" s="221"/>
      <c r="BGP142" s="221"/>
      <c r="BGQ142" s="221"/>
      <c r="BGR142" s="221"/>
      <c r="BGS142" s="221"/>
      <c r="BGT142" s="221"/>
      <c r="BGU142" s="221"/>
      <c r="BGV142" s="221"/>
      <c r="BGW142" s="221"/>
      <c r="BGX142" s="221"/>
      <c r="BGY142" s="221"/>
      <c r="BGZ142" s="221"/>
      <c r="BHA142" s="221"/>
      <c r="BHB142" s="221"/>
      <c r="BHC142" s="221"/>
      <c r="BHD142" s="221"/>
      <c r="BHE142" s="221"/>
      <c r="BHF142" s="221"/>
      <c r="BHG142" s="221"/>
      <c r="BHH142" s="221"/>
      <c r="BHI142" s="221"/>
      <c r="BHJ142" s="221"/>
      <c r="BHK142" s="221"/>
      <c r="BHL142" s="221"/>
      <c r="BHM142" s="221"/>
      <c r="BHN142" s="221"/>
      <c r="BHO142" s="221"/>
      <c r="BHP142" s="221"/>
      <c r="BHQ142" s="221"/>
      <c r="BHR142" s="221"/>
      <c r="BHS142" s="221"/>
      <c r="BHT142" s="221"/>
      <c r="BHU142" s="221"/>
      <c r="BHV142" s="221"/>
      <c r="BHW142" s="221"/>
      <c r="BHX142" s="221"/>
      <c r="BHY142" s="221"/>
      <c r="BHZ142" s="221"/>
      <c r="BIA142" s="221"/>
      <c r="BIB142" s="221"/>
      <c r="BIC142" s="221"/>
      <c r="BID142" s="221"/>
      <c r="BIE142" s="221"/>
      <c r="BIF142" s="221"/>
      <c r="BIG142" s="221"/>
      <c r="BIH142" s="221"/>
      <c r="BII142" s="221"/>
      <c r="BIJ142" s="221"/>
      <c r="BIK142" s="221"/>
      <c r="BIL142" s="221"/>
      <c r="BIM142" s="221"/>
      <c r="BIN142" s="221"/>
      <c r="BIO142" s="221"/>
      <c r="BIP142" s="221"/>
      <c r="BIQ142" s="221"/>
      <c r="BIR142" s="221"/>
      <c r="BIS142" s="221"/>
      <c r="BIT142" s="221"/>
      <c r="BIU142" s="221"/>
      <c r="BIV142" s="221"/>
      <c r="BIW142" s="221"/>
      <c r="BIX142" s="221"/>
      <c r="BIY142" s="221"/>
      <c r="BIZ142" s="221"/>
      <c r="BJA142" s="221"/>
      <c r="BJB142" s="221"/>
      <c r="BJC142" s="221"/>
      <c r="BJD142" s="221"/>
      <c r="BJE142" s="221"/>
      <c r="BJF142" s="221"/>
      <c r="BJG142" s="221"/>
      <c r="BJH142" s="221"/>
      <c r="BJI142" s="221"/>
      <c r="BJJ142" s="221"/>
      <c r="BJK142" s="221"/>
      <c r="BJL142" s="221"/>
      <c r="BJM142" s="221"/>
      <c r="BJN142" s="221"/>
      <c r="BJO142" s="221"/>
      <c r="BJP142" s="221"/>
      <c r="BJQ142" s="221"/>
      <c r="BJR142" s="221"/>
      <c r="BJS142" s="221"/>
      <c r="BJT142" s="221"/>
      <c r="BJU142" s="221"/>
      <c r="BJV142" s="221"/>
      <c r="BJW142" s="221"/>
      <c r="BJX142" s="221"/>
      <c r="BJY142" s="221"/>
      <c r="BJZ142" s="221"/>
      <c r="BKA142" s="221"/>
      <c r="BKB142" s="221"/>
      <c r="BKC142" s="221"/>
      <c r="BKD142" s="221"/>
      <c r="BKE142" s="221"/>
      <c r="BKF142" s="221"/>
      <c r="BKG142" s="221"/>
      <c r="BKH142" s="221"/>
      <c r="BKI142" s="221"/>
      <c r="BKJ142" s="221"/>
      <c r="BKK142" s="221"/>
      <c r="BKL142" s="221"/>
      <c r="BKM142" s="221"/>
      <c r="BKN142" s="221"/>
      <c r="BKO142" s="221"/>
      <c r="BKP142" s="221"/>
      <c r="BKQ142" s="221"/>
      <c r="BKR142" s="221"/>
      <c r="BKS142" s="221"/>
      <c r="BKT142" s="221"/>
      <c r="BKU142" s="221"/>
      <c r="BKV142" s="221"/>
      <c r="BKW142" s="221"/>
      <c r="BKX142" s="221"/>
      <c r="BKY142" s="221"/>
      <c r="BKZ142" s="221"/>
      <c r="BLA142" s="221"/>
      <c r="BLB142" s="221"/>
      <c r="BLC142" s="221"/>
      <c r="BLD142" s="221"/>
      <c r="BLE142" s="221"/>
      <c r="BLF142" s="221"/>
      <c r="BLG142" s="221"/>
      <c r="BLH142" s="221"/>
      <c r="BLI142" s="221"/>
      <c r="BLJ142" s="221"/>
      <c r="BLK142" s="221"/>
      <c r="BLL142" s="221"/>
      <c r="BLM142" s="221"/>
      <c r="BLN142" s="221"/>
      <c r="BLO142" s="221"/>
      <c r="BLP142" s="221"/>
      <c r="BLQ142" s="221"/>
      <c r="BLR142" s="221"/>
      <c r="BLS142" s="221"/>
      <c r="BLT142" s="221"/>
      <c r="BLU142" s="221"/>
      <c r="BLV142" s="221"/>
      <c r="BLW142" s="221"/>
      <c r="BLX142" s="221"/>
      <c r="BLY142" s="221"/>
      <c r="BLZ142" s="221"/>
      <c r="BMA142" s="221"/>
      <c r="BMB142" s="221"/>
      <c r="BMC142" s="221"/>
      <c r="BMD142" s="221"/>
      <c r="BME142" s="221"/>
      <c r="BMF142" s="221"/>
      <c r="BMG142" s="221"/>
      <c r="BMH142" s="221"/>
      <c r="BMI142" s="221"/>
      <c r="BMJ142" s="221"/>
      <c r="BMK142" s="221"/>
      <c r="BML142" s="221"/>
      <c r="BMM142" s="221"/>
      <c r="BMN142" s="221"/>
      <c r="BMO142" s="221"/>
      <c r="BMP142" s="221"/>
      <c r="BMQ142" s="221"/>
      <c r="BMR142" s="221"/>
      <c r="BMS142" s="221"/>
      <c r="BMT142" s="221"/>
      <c r="BMU142" s="221"/>
      <c r="BMV142" s="221"/>
      <c r="BMW142" s="221"/>
      <c r="BMX142" s="221"/>
      <c r="BMY142" s="221"/>
      <c r="BMZ142" s="221"/>
      <c r="BNA142" s="221"/>
      <c r="BNB142" s="221"/>
      <c r="BNC142" s="221"/>
      <c r="BND142" s="221"/>
      <c r="BNE142" s="221"/>
      <c r="BNF142" s="221"/>
      <c r="BNG142" s="221"/>
      <c r="BNH142" s="221"/>
      <c r="BNI142" s="221"/>
      <c r="BNJ142" s="221"/>
      <c r="BNK142" s="221"/>
      <c r="BNL142" s="221"/>
      <c r="BNM142" s="221"/>
      <c r="BNN142" s="221"/>
      <c r="BNO142" s="221"/>
      <c r="BNP142" s="221"/>
      <c r="BNQ142" s="221"/>
      <c r="BNR142" s="221"/>
      <c r="BNS142" s="221"/>
      <c r="BNT142" s="221"/>
      <c r="BNU142" s="221"/>
      <c r="BNV142" s="221"/>
      <c r="BNW142" s="221"/>
      <c r="BNX142" s="221"/>
      <c r="BNY142" s="221"/>
      <c r="BNZ142" s="221"/>
      <c r="BOA142" s="221"/>
      <c r="BOB142" s="221"/>
      <c r="BOC142" s="221"/>
      <c r="BOD142" s="221"/>
      <c r="BOE142" s="221"/>
      <c r="BOF142" s="221"/>
      <c r="BOG142" s="221"/>
      <c r="BOH142" s="221"/>
      <c r="BOI142" s="221"/>
      <c r="BOJ142" s="221"/>
      <c r="BOK142" s="221"/>
      <c r="BOL142" s="221"/>
      <c r="BOM142" s="221"/>
      <c r="BON142" s="221"/>
      <c r="BOO142" s="221"/>
      <c r="BOP142" s="221"/>
      <c r="BOQ142" s="221"/>
      <c r="BOR142" s="221"/>
      <c r="BOS142" s="221"/>
      <c r="BOT142" s="221"/>
      <c r="BOU142" s="221"/>
      <c r="BOV142" s="221"/>
      <c r="BOW142" s="221"/>
      <c r="BOX142" s="221"/>
      <c r="BOY142" s="221"/>
      <c r="BOZ142" s="221"/>
      <c r="BPA142" s="221"/>
      <c r="BPB142" s="221"/>
      <c r="BPC142" s="221"/>
      <c r="BPD142" s="221"/>
      <c r="BPE142" s="221"/>
      <c r="BPF142" s="221"/>
      <c r="BPG142" s="221"/>
      <c r="BPH142" s="221"/>
      <c r="BPI142" s="221"/>
      <c r="BPJ142" s="221"/>
      <c r="BPK142" s="221"/>
      <c r="BPL142" s="221"/>
      <c r="BPM142" s="221"/>
      <c r="BPN142" s="221"/>
      <c r="BPO142" s="221"/>
      <c r="BPP142" s="221"/>
      <c r="BPQ142" s="221"/>
      <c r="BPR142" s="221"/>
      <c r="BPS142" s="221"/>
      <c r="BPT142" s="221"/>
      <c r="BPU142" s="221"/>
      <c r="BPV142" s="221"/>
      <c r="BPW142" s="221"/>
      <c r="BPX142" s="221"/>
      <c r="BPY142" s="221"/>
      <c r="BPZ142" s="221"/>
      <c r="BQA142" s="221"/>
      <c r="BQB142" s="221"/>
      <c r="BQC142" s="221"/>
      <c r="BQD142" s="221"/>
      <c r="BQE142" s="221"/>
      <c r="BQF142" s="221"/>
      <c r="BQG142" s="221"/>
      <c r="BQH142" s="221"/>
      <c r="BQI142" s="221"/>
      <c r="BQJ142" s="221"/>
      <c r="BQK142" s="221"/>
      <c r="BQL142" s="221"/>
      <c r="BQM142" s="221"/>
      <c r="BQN142" s="221"/>
      <c r="BQO142" s="221"/>
      <c r="BQP142" s="221"/>
      <c r="BQQ142" s="221"/>
      <c r="BQR142" s="221"/>
      <c r="BQS142" s="221"/>
      <c r="BQT142" s="221"/>
      <c r="BQU142" s="221"/>
      <c r="BQV142" s="221"/>
      <c r="BQW142" s="221"/>
      <c r="BQX142" s="221"/>
      <c r="BQY142" s="221"/>
      <c r="BQZ142" s="221"/>
      <c r="BRA142" s="221"/>
      <c r="BRB142" s="221"/>
      <c r="BRC142" s="221"/>
      <c r="BRD142" s="221"/>
      <c r="BRE142" s="221"/>
      <c r="BRF142" s="221"/>
      <c r="BRG142" s="221"/>
      <c r="BRH142" s="221"/>
      <c r="BRI142" s="221"/>
      <c r="BRJ142" s="221"/>
      <c r="BRK142" s="221"/>
      <c r="BRL142" s="221"/>
      <c r="BRM142" s="221"/>
      <c r="BRN142" s="221"/>
      <c r="BRO142" s="221"/>
      <c r="BRP142" s="221"/>
      <c r="BRQ142" s="221"/>
      <c r="BRR142" s="221"/>
      <c r="BRS142" s="221"/>
      <c r="BRT142" s="221"/>
      <c r="BRU142" s="221"/>
      <c r="BRV142" s="221"/>
      <c r="BRW142" s="221"/>
      <c r="BRX142" s="221"/>
      <c r="BRY142" s="221"/>
      <c r="BRZ142" s="221"/>
      <c r="BSA142" s="221"/>
      <c r="BSB142" s="221"/>
      <c r="BSC142" s="221"/>
      <c r="BSD142" s="221"/>
      <c r="BSE142" s="221"/>
      <c r="BSF142" s="221"/>
      <c r="BSG142" s="221"/>
      <c r="BSH142" s="221"/>
      <c r="BSI142" s="221"/>
      <c r="BSJ142" s="221"/>
      <c r="BSK142" s="221"/>
      <c r="BSL142" s="221"/>
      <c r="BSM142" s="221"/>
      <c r="BSN142" s="221"/>
      <c r="BSO142" s="221"/>
      <c r="BSP142" s="221"/>
      <c r="BSQ142" s="221"/>
      <c r="BSR142" s="221"/>
      <c r="BSS142" s="221"/>
      <c r="BST142" s="221"/>
      <c r="BSU142" s="221"/>
      <c r="BSV142" s="221"/>
      <c r="BSW142" s="221"/>
      <c r="BSX142" s="221"/>
      <c r="BSY142" s="221"/>
      <c r="BSZ142" s="221"/>
      <c r="BTA142" s="221"/>
      <c r="BTB142" s="221"/>
      <c r="BTC142" s="221"/>
      <c r="BTD142" s="221"/>
      <c r="BTE142" s="221"/>
      <c r="BTF142" s="221"/>
      <c r="BTG142" s="221"/>
      <c r="BTH142" s="221"/>
      <c r="BTI142" s="221"/>
      <c r="BTJ142" s="221"/>
      <c r="BTK142" s="221"/>
      <c r="BTL142" s="221"/>
      <c r="BTM142" s="221"/>
      <c r="BTN142" s="221"/>
      <c r="BTO142" s="221"/>
      <c r="BTP142" s="221"/>
      <c r="BTQ142" s="221"/>
      <c r="BTR142" s="221"/>
      <c r="BTS142" s="221"/>
      <c r="BTT142" s="221"/>
      <c r="BTU142" s="221"/>
      <c r="BTV142" s="221"/>
      <c r="BTW142" s="221"/>
      <c r="BTX142" s="221"/>
      <c r="BTY142" s="221"/>
      <c r="BTZ142" s="221"/>
      <c r="BUA142" s="221"/>
      <c r="BUB142" s="221"/>
      <c r="BUC142" s="221"/>
      <c r="BUD142" s="221"/>
      <c r="BUE142" s="221"/>
      <c r="BUF142" s="221"/>
      <c r="BUG142" s="221"/>
      <c r="BUH142" s="221"/>
      <c r="BUI142" s="221"/>
      <c r="BUJ142" s="221"/>
      <c r="BUK142" s="221"/>
      <c r="BUL142" s="221"/>
      <c r="BUM142" s="221"/>
      <c r="BUN142" s="221"/>
      <c r="BUO142" s="221"/>
      <c r="BUP142" s="221"/>
      <c r="BUQ142" s="221"/>
      <c r="BUR142" s="221"/>
      <c r="BUS142" s="221"/>
      <c r="BUT142" s="221"/>
      <c r="BUU142" s="221"/>
      <c r="BUV142" s="221"/>
      <c r="BUW142" s="221"/>
      <c r="BUX142" s="221"/>
      <c r="BUY142" s="221"/>
      <c r="BUZ142" s="221"/>
      <c r="BVA142" s="221"/>
      <c r="BVB142" s="221"/>
      <c r="BVC142" s="221"/>
      <c r="BVD142" s="221"/>
      <c r="BVE142" s="221"/>
      <c r="BVF142" s="221"/>
      <c r="BVG142" s="221"/>
      <c r="BVH142" s="221"/>
      <c r="BVI142" s="221"/>
      <c r="BVJ142" s="221"/>
      <c r="BVK142" s="221"/>
      <c r="BVL142" s="221"/>
      <c r="BVM142" s="221"/>
      <c r="BVN142" s="221"/>
      <c r="BVO142" s="221"/>
      <c r="BVP142" s="221"/>
      <c r="BVQ142" s="221"/>
      <c r="BVR142" s="221"/>
      <c r="BVS142" s="221"/>
      <c r="BVT142" s="221"/>
      <c r="BVU142" s="221"/>
      <c r="BVV142" s="221"/>
      <c r="BVW142" s="221"/>
      <c r="BVX142" s="221"/>
      <c r="BVY142" s="221"/>
      <c r="BVZ142" s="221"/>
      <c r="BWA142" s="221"/>
      <c r="BWB142" s="221"/>
      <c r="BWC142" s="221"/>
      <c r="BWD142" s="221"/>
      <c r="BWE142" s="221"/>
      <c r="BWF142" s="221"/>
      <c r="BWG142" s="221"/>
      <c r="BWH142" s="221"/>
      <c r="BWI142" s="221"/>
      <c r="BWJ142" s="221"/>
      <c r="BWK142" s="221"/>
      <c r="BWL142" s="221"/>
      <c r="BWM142" s="221"/>
      <c r="BWN142" s="221"/>
      <c r="BWO142" s="221"/>
      <c r="BWP142" s="221"/>
      <c r="BWQ142" s="221"/>
      <c r="BWR142" s="221"/>
      <c r="BWS142" s="221"/>
      <c r="BWT142" s="221"/>
      <c r="BWU142" s="221"/>
      <c r="BWV142" s="221"/>
      <c r="BWW142" s="221"/>
      <c r="BWX142" s="221"/>
      <c r="BWY142" s="221"/>
      <c r="BWZ142" s="221"/>
      <c r="BXA142" s="221"/>
      <c r="BXB142" s="221"/>
      <c r="BXC142" s="221"/>
      <c r="BXD142" s="221"/>
      <c r="BXE142" s="221"/>
      <c r="BXF142" s="221"/>
      <c r="BXG142" s="221"/>
      <c r="BXH142" s="221"/>
      <c r="BXI142" s="221"/>
      <c r="BXJ142" s="221"/>
      <c r="BXK142" s="221"/>
      <c r="BXL142" s="221"/>
      <c r="BXM142" s="221"/>
      <c r="BXN142" s="221"/>
      <c r="BXO142" s="221"/>
      <c r="BXP142" s="221"/>
      <c r="BXQ142" s="221"/>
      <c r="BXR142" s="221"/>
      <c r="BXS142" s="221"/>
      <c r="BXT142" s="221"/>
      <c r="BXU142" s="221"/>
      <c r="BXV142" s="221"/>
      <c r="BXW142" s="221"/>
      <c r="BXX142" s="221"/>
      <c r="BXY142" s="221"/>
      <c r="BXZ142" s="221"/>
      <c r="BYA142" s="221"/>
      <c r="BYB142" s="221"/>
      <c r="BYC142" s="221"/>
      <c r="BYD142" s="221"/>
      <c r="BYE142" s="221"/>
      <c r="BYF142" s="221"/>
      <c r="BYG142" s="221"/>
      <c r="BYH142" s="221"/>
      <c r="BYI142" s="221"/>
      <c r="BYJ142" s="221"/>
      <c r="BYK142" s="221"/>
      <c r="BYL142" s="221"/>
      <c r="BYM142" s="221"/>
      <c r="BYN142" s="221"/>
      <c r="BYO142" s="221"/>
      <c r="BYP142" s="221"/>
      <c r="BYQ142" s="221"/>
      <c r="BYR142" s="221"/>
      <c r="BYS142" s="221"/>
      <c r="BYT142" s="221"/>
      <c r="BYU142" s="221"/>
      <c r="BYV142" s="221"/>
      <c r="BYW142" s="221"/>
      <c r="BYX142" s="221"/>
      <c r="BYY142" s="221"/>
      <c r="BYZ142" s="221"/>
      <c r="BZA142" s="221"/>
      <c r="BZB142" s="221"/>
      <c r="BZC142" s="221"/>
      <c r="BZD142" s="221"/>
      <c r="BZE142" s="221"/>
      <c r="BZF142" s="221"/>
      <c r="BZG142" s="221"/>
      <c r="BZH142" s="221"/>
      <c r="BZI142" s="221"/>
      <c r="BZJ142" s="221"/>
      <c r="BZK142" s="221"/>
      <c r="BZL142" s="221"/>
      <c r="BZM142" s="221"/>
      <c r="BZN142" s="221"/>
      <c r="BZO142" s="221"/>
      <c r="BZP142" s="221"/>
      <c r="BZQ142" s="221"/>
      <c r="BZR142" s="221"/>
      <c r="BZS142" s="221"/>
      <c r="BZT142" s="221"/>
      <c r="BZU142" s="221"/>
      <c r="BZV142" s="221"/>
      <c r="BZW142" s="221"/>
      <c r="BZX142" s="221"/>
      <c r="BZY142" s="221"/>
      <c r="BZZ142" s="221"/>
      <c r="CAA142" s="221"/>
      <c r="CAB142" s="221"/>
      <c r="CAC142" s="221"/>
      <c r="CAD142" s="221"/>
      <c r="CAE142" s="221"/>
      <c r="CAF142" s="221"/>
      <c r="CAG142" s="221"/>
      <c r="CAH142" s="221"/>
      <c r="CAI142" s="221"/>
      <c r="CAJ142" s="221"/>
      <c r="CAK142" s="221"/>
      <c r="CAL142" s="221"/>
      <c r="CAM142" s="221"/>
      <c r="CAN142" s="221"/>
      <c r="CAO142" s="221"/>
      <c r="CAP142" s="221"/>
      <c r="CAQ142" s="221"/>
      <c r="CAR142" s="221"/>
      <c r="CAS142" s="221"/>
      <c r="CAT142" s="221"/>
      <c r="CAU142" s="221"/>
      <c r="CAV142" s="221"/>
      <c r="CAW142" s="221"/>
      <c r="CAX142" s="221"/>
      <c r="CAY142" s="221"/>
      <c r="CAZ142" s="221"/>
      <c r="CBA142" s="221"/>
      <c r="CBB142" s="221"/>
      <c r="CBC142" s="221"/>
      <c r="CBD142" s="221"/>
      <c r="CBE142" s="221"/>
      <c r="CBF142" s="221"/>
      <c r="CBG142" s="221"/>
      <c r="CBH142" s="221"/>
      <c r="CBI142" s="221"/>
      <c r="CBJ142" s="221"/>
      <c r="CBK142" s="221"/>
      <c r="CBL142" s="221"/>
      <c r="CBM142" s="221"/>
      <c r="CBN142" s="221"/>
      <c r="CBO142" s="221"/>
      <c r="CBP142" s="221"/>
      <c r="CBQ142" s="221"/>
      <c r="CBR142" s="221"/>
      <c r="CBS142" s="221"/>
      <c r="CBT142" s="221"/>
      <c r="CBU142" s="221"/>
      <c r="CBV142" s="221"/>
      <c r="CBW142" s="221"/>
      <c r="CBX142" s="221"/>
      <c r="CBY142" s="221"/>
      <c r="CBZ142" s="221"/>
      <c r="CCA142" s="221"/>
      <c r="CCB142" s="221"/>
      <c r="CCC142" s="221"/>
      <c r="CCD142" s="221"/>
      <c r="CCE142" s="221"/>
      <c r="CCF142" s="221"/>
      <c r="CCG142" s="221"/>
      <c r="CCH142" s="221"/>
      <c r="CCI142" s="221"/>
      <c r="CCJ142" s="221"/>
      <c r="CCK142" s="221"/>
      <c r="CCL142" s="221"/>
      <c r="CCM142" s="221"/>
      <c r="CCN142" s="221"/>
      <c r="CCO142" s="221"/>
      <c r="CCP142" s="221"/>
      <c r="CCQ142" s="221"/>
      <c r="CCR142" s="221"/>
      <c r="CCS142" s="221"/>
      <c r="CCT142" s="221"/>
      <c r="CCU142" s="221"/>
      <c r="CCV142" s="221"/>
      <c r="CCW142" s="221"/>
      <c r="CCX142" s="221"/>
      <c r="CCY142" s="221"/>
      <c r="CCZ142" s="221"/>
      <c r="CDA142" s="221"/>
      <c r="CDB142" s="221"/>
      <c r="CDC142" s="221"/>
      <c r="CDD142" s="221"/>
      <c r="CDE142" s="221"/>
      <c r="CDF142" s="221"/>
      <c r="CDG142" s="221"/>
      <c r="CDH142" s="221"/>
      <c r="CDI142" s="221"/>
      <c r="CDJ142" s="221"/>
      <c r="CDK142" s="221"/>
      <c r="CDL142" s="221"/>
      <c r="CDM142" s="221"/>
      <c r="CDN142" s="221"/>
      <c r="CDO142" s="221"/>
      <c r="CDP142" s="221"/>
      <c r="CDQ142" s="221"/>
      <c r="CDR142" s="221"/>
      <c r="CDS142" s="221"/>
      <c r="CDT142" s="221"/>
      <c r="CDU142" s="221"/>
      <c r="CDV142" s="221"/>
      <c r="CDW142" s="221"/>
      <c r="CDX142" s="221"/>
      <c r="CDY142" s="221"/>
      <c r="CDZ142" s="221"/>
      <c r="CEA142" s="221"/>
      <c r="CEB142" s="221"/>
      <c r="CEC142" s="221"/>
      <c r="CED142" s="221"/>
      <c r="CEE142" s="221"/>
      <c r="CEF142" s="221"/>
      <c r="CEG142" s="221"/>
      <c r="CEH142" s="221"/>
      <c r="CEI142" s="221"/>
      <c r="CEJ142" s="221"/>
      <c r="CEK142" s="221"/>
      <c r="CEL142" s="221"/>
      <c r="CEM142" s="221"/>
      <c r="CEN142" s="221"/>
      <c r="CEO142" s="221"/>
      <c r="CEP142" s="221"/>
      <c r="CEQ142" s="221"/>
      <c r="CER142" s="221"/>
      <c r="CES142" s="221"/>
      <c r="CET142" s="221"/>
      <c r="CEU142" s="221"/>
      <c r="CEV142" s="221"/>
      <c r="CEW142" s="221"/>
      <c r="CEX142" s="221"/>
      <c r="CEY142" s="221"/>
      <c r="CEZ142" s="221"/>
      <c r="CFA142" s="221"/>
      <c r="CFB142" s="221"/>
      <c r="CFC142" s="221"/>
      <c r="CFD142" s="221"/>
      <c r="CFE142" s="221"/>
      <c r="CFF142" s="221"/>
      <c r="CFG142" s="221"/>
      <c r="CFH142" s="221"/>
      <c r="CFI142" s="221"/>
      <c r="CFJ142" s="221"/>
      <c r="CFK142" s="221"/>
      <c r="CFL142" s="221"/>
      <c r="CFM142" s="221"/>
      <c r="CFN142" s="221"/>
      <c r="CFO142" s="221"/>
      <c r="CFP142" s="221"/>
      <c r="CFQ142" s="221"/>
      <c r="CFR142" s="221"/>
      <c r="CFS142" s="221"/>
      <c r="CFT142" s="221"/>
      <c r="CFU142" s="221"/>
      <c r="CFV142" s="221"/>
      <c r="CFW142" s="221"/>
      <c r="CFX142" s="221"/>
      <c r="CFY142" s="221"/>
      <c r="CFZ142" s="221"/>
      <c r="CGA142" s="221"/>
      <c r="CGB142" s="221"/>
      <c r="CGC142" s="221"/>
      <c r="CGD142" s="221"/>
      <c r="CGE142" s="221"/>
      <c r="CGF142" s="221"/>
      <c r="CGG142" s="221"/>
      <c r="CGH142" s="221"/>
      <c r="CGI142" s="221"/>
      <c r="CGJ142" s="221"/>
      <c r="CGK142" s="221"/>
      <c r="CGL142" s="221"/>
      <c r="CGM142" s="221"/>
      <c r="CGN142" s="221"/>
      <c r="CGO142" s="221"/>
      <c r="CGP142" s="221"/>
      <c r="CGQ142" s="221"/>
      <c r="CGR142" s="221"/>
      <c r="CGS142" s="221"/>
      <c r="CGT142" s="221"/>
      <c r="CGU142" s="221"/>
      <c r="CGV142" s="221"/>
      <c r="CGW142" s="221"/>
      <c r="CGX142" s="221"/>
      <c r="CGY142" s="221"/>
      <c r="CGZ142" s="221"/>
      <c r="CHA142" s="221"/>
      <c r="CHB142" s="221"/>
      <c r="CHC142" s="221"/>
      <c r="CHD142" s="221"/>
      <c r="CHE142" s="221"/>
      <c r="CHF142" s="221"/>
      <c r="CHG142" s="221"/>
      <c r="CHH142" s="221"/>
      <c r="CHI142" s="221"/>
      <c r="CHJ142" s="221"/>
      <c r="CHK142" s="221"/>
      <c r="CHL142" s="221"/>
      <c r="CHM142" s="221"/>
      <c r="CHN142" s="221"/>
      <c r="CHO142" s="221"/>
      <c r="CHP142" s="221"/>
      <c r="CHQ142" s="221"/>
      <c r="CHR142" s="221"/>
      <c r="CHS142" s="221"/>
      <c r="CHT142" s="221"/>
      <c r="CHU142" s="221"/>
      <c r="CHV142" s="221"/>
      <c r="CHW142" s="221"/>
      <c r="CHX142" s="221"/>
      <c r="CHY142" s="221"/>
      <c r="CHZ142" s="221"/>
      <c r="CIA142" s="221"/>
      <c r="CIB142" s="221"/>
      <c r="CIC142" s="221"/>
      <c r="CID142" s="221"/>
      <c r="CIE142" s="221"/>
      <c r="CIF142" s="221"/>
      <c r="CIG142" s="221"/>
      <c r="CIH142" s="221"/>
      <c r="CII142" s="221"/>
      <c r="CIJ142" s="221"/>
      <c r="CIK142" s="221"/>
      <c r="CIL142" s="221"/>
      <c r="CIM142" s="221"/>
      <c r="CIN142" s="221"/>
      <c r="CIO142" s="221"/>
      <c r="CIP142" s="221"/>
      <c r="CIQ142" s="221"/>
      <c r="CIR142" s="221"/>
      <c r="CIS142" s="221"/>
      <c r="CIT142" s="221"/>
      <c r="CIU142" s="221"/>
      <c r="CIV142" s="221"/>
      <c r="CIW142" s="221"/>
      <c r="CIX142" s="221"/>
      <c r="CIY142" s="221"/>
      <c r="CIZ142" s="221"/>
      <c r="CJA142" s="221"/>
      <c r="CJB142" s="221"/>
      <c r="CJC142" s="221"/>
      <c r="CJD142" s="221"/>
      <c r="CJE142" s="221"/>
      <c r="CJF142" s="221"/>
      <c r="CJG142" s="221"/>
      <c r="CJH142" s="221"/>
      <c r="CJI142" s="221"/>
      <c r="CJJ142" s="221"/>
      <c r="CJK142" s="221"/>
      <c r="CJL142" s="221"/>
      <c r="CJM142" s="221"/>
      <c r="CJN142" s="221"/>
      <c r="CJO142" s="221"/>
      <c r="CJP142" s="221"/>
      <c r="CJQ142" s="221"/>
      <c r="CJR142" s="221"/>
      <c r="CJS142" s="221"/>
      <c r="CJT142" s="221"/>
      <c r="CJU142" s="221"/>
      <c r="CJV142" s="221"/>
      <c r="CJW142" s="221"/>
      <c r="CJX142" s="221"/>
      <c r="CJY142" s="221"/>
      <c r="CJZ142" s="221"/>
      <c r="CKA142" s="221"/>
      <c r="CKB142" s="221"/>
      <c r="CKC142" s="221"/>
      <c r="CKD142" s="221"/>
      <c r="CKE142" s="221"/>
      <c r="CKF142" s="221"/>
      <c r="CKG142" s="221"/>
      <c r="CKH142" s="221"/>
      <c r="CKI142" s="221"/>
      <c r="CKJ142" s="221"/>
      <c r="CKK142" s="221"/>
      <c r="CKL142" s="221"/>
      <c r="CKM142" s="221"/>
      <c r="CKN142" s="221"/>
      <c r="CKO142" s="221"/>
      <c r="CKP142" s="221"/>
      <c r="CKQ142" s="221"/>
      <c r="CKR142" s="221"/>
      <c r="CKS142" s="221"/>
      <c r="CKT142" s="221"/>
      <c r="CKU142" s="221"/>
      <c r="CKV142" s="221"/>
      <c r="CKW142" s="221"/>
      <c r="CKX142" s="221"/>
      <c r="CKY142" s="221"/>
      <c r="CKZ142" s="221"/>
      <c r="CLA142" s="221"/>
      <c r="CLB142" s="221"/>
      <c r="CLC142" s="221"/>
      <c r="CLD142" s="221"/>
      <c r="CLE142" s="221"/>
      <c r="CLF142" s="221"/>
      <c r="CLG142" s="221"/>
      <c r="CLH142" s="221"/>
      <c r="CLI142" s="221"/>
      <c r="CLJ142" s="221"/>
      <c r="CLK142" s="221"/>
      <c r="CLL142" s="221"/>
      <c r="CLM142" s="221"/>
      <c r="CLN142" s="221"/>
      <c r="CLO142" s="221"/>
      <c r="CLP142" s="221"/>
      <c r="CLQ142" s="221"/>
      <c r="CLR142" s="221"/>
      <c r="CLS142" s="221"/>
      <c r="CLT142" s="221"/>
      <c r="CLU142" s="221"/>
      <c r="CLV142" s="221"/>
      <c r="CLW142" s="221"/>
      <c r="CLX142" s="221"/>
      <c r="CLY142" s="221"/>
      <c r="CLZ142" s="221"/>
      <c r="CMA142" s="221"/>
      <c r="CMB142" s="221"/>
      <c r="CMC142" s="221"/>
      <c r="CMD142" s="221"/>
      <c r="CME142" s="221"/>
      <c r="CMF142" s="221"/>
      <c r="CMG142" s="221"/>
      <c r="CMH142" s="221"/>
      <c r="CMI142" s="221"/>
      <c r="CMJ142" s="221"/>
      <c r="CMK142" s="221"/>
      <c r="CML142" s="221"/>
      <c r="CMM142" s="221"/>
      <c r="CMN142" s="221"/>
      <c r="CMO142" s="221"/>
      <c r="CMP142" s="221"/>
      <c r="CMQ142" s="221"/>
      <c r="CMR142" s="221"/>
      <c r="CMS142" s="221"/>
      <c r="CMT142" s="221"/>
      <c r="CMU142" s="221"/>
      <c r="CMV142" s="221"/>
      <c r="CMW142" s="221"/>
      <c r="CMX142" s="221"/>
      <c r="CMY142" s="221"/>
      <c r="CMZ142" s="221"/>
      <c r="CNA142" s="221"/>
      <c r="CNB142" s="221"/>
      <c r="CNC142" s="221"/>
      <c r="CND142" s="221"/>
      <c r="CNE142" s="221"/>
      <c r="CNF142" s="221"/>
      <c r="CNG142" s="221"/>
      <c r="CNH142" s="221"/>
      <c r="CNI142" s="221"/>
      <c r="CNJ142" s="221"/>
      <c r="CNK142" s="221"/>
      <c r="CNL142" s="221"/>
      <c r="CNM142" s="221"/>
      <c r="CNN142" s="221"/>
      <c r="CNO142" s="221"/>
      <c r="CNP142" s="221"/>
      <c r="CNQ142" s="221"/>
      <c r="CNR142" s="221"/>
      <c r="CNS142" s="221"/>
      <c r="CNT142" s="221"/>
      <c r="CNU142" s="221"/>
      <c r="CNV142" s="221"/>
      <c r="CNW142" s="221"/>
      <c r="CNX142" s="221"/>
      <c r="CNY142" s="221"/>
      <c r="CNZ142" s="221"/>
      <c r="COA142" s="221"/>
      <c r="COB142" s="221"/>
      <c r="COC142" s="221"/>
      <c r="COD142" s="221"/>
      <c r="COE142" s="221"/>
      <c r="COF142" s="221"/>
      <c r="COG142" s="221"/>
      <c r="COH142" s="221"/>
      <c r="COI142" s="221"/>
      <c r="COJ142" s="221"/>
      <c r="COK142" s="221"/>
      <c r="COL142" s="221"/>
      <c r="COM142" s="221"/>
      <c r="CON142" s="221"/>
      <c r="COO142" s="221"/>
      <c r="COP142" s="221"/>
      <c r="COQ142" s="221"/>
      <c r="COR142" s="221"/>
      <c r="COS142" s="221"/>
      <c r="COT142" s="221"/>
      <c r="COU142" s="221"/>
      <c r="COV142" s="221"/>
      <c r="COW142" s="221"/>
      <c r="COX142" s="221"/>
      <c r="COY142" s="221"/>
      <c r="COZ142" s="221"/>
      <c r="CPA142" s="221"/>
      <c r="CPB142" s="221"/>
      <c r="CPC142" s="221"/>
      <c r="CPD142" s="221"/>
      <c r="CPE142" s="221"/>
      <c r="CPF142" s="221"/>
      <c r="CPG142" s="221"/>
      <c r="CPH142" s="221"/>
      <c r="CPI142" s="221"/>
      <c r="CPJ142" s="221"/>
      <c r="CPK142" s="221"/>
      <c r="CPL142" s="221"/>
      <c r="CPM142" s="221"/>
      <c r="CPN142" s="221"/>
      <c r="CPO142" s="221"/>
      <c r="CPP142" s="221"/>
      <c r="CPQ142" s="221"/>
      <c r="CPR142" s="221"/>
      <c r="CPS142" s="221"/>
      <c r="CPT142" s="221"/>
      <c r="CPU142" s="221"/>
      <c r="CPV142" s="221"/>
      <c r="CPW142" s="221"/>
      <c r="CPX142" s="221"/>
      <c r="CPY142" s="221"/>
      <c r="CPZ142" s="221"/>
      <c r="CQA142" s="221"/>
      <c r="CQB142" s="221"/>
      <c r="CQC142" s="221"/>
      <c r="CQD142" s="221"/>
      <c r="CQE142" s="221"/>
      <c r="CQF142" s="221"/>
      <c r="CQG142" s="221"/>
      <c r="CQH142" s="221"/>
      <c r="CQI142" s="221"/>
      <c r="CQJ142" s="221"/>
      <c r="CQK142" s="221"/>
      <c r="CQL142" s="221"/>
      <c r="CQM142" s="221"/>
      <c r="CQN142" s="221"/>
      <c r="CQO142" s="221"/>
      <c r="CQP142" s="221"/>
      <c r="CQQ142" s="221"/>
      <c r="CQR142" s="221"/>
      <c r="CQS142" s="221"/>
      <c r="CQT142" s="221"/>
      <c r="CQU142" s="221"/>
      <c r="CQV142" s="221"/>
      <c r="CQW142" s="221"/>
      <c r="CQX142" s="221"/>
      <c r="CQY142" s="221"/>
      <c r="CQZ142" s="221"/>
      <c r="CRA142" s="221"/>
      <c r="CRB142" s="221"/>
      <c r="CRC142" s="221"/>
      <c r="CRD142" s="221"/>
      <c r="CRE142" s="221"/>
      <c r="CRF142" s="221"/>
      <c r="CRG142" s="221"/>
      <c r="CRH142" s="221"/>
      <c r="CRI142" s="221"/>
      <c r="CRJ142" s="221"/>
      <c r="CRK142" s="221"/>
      <c r="CRL142" s="221"/>
      <c r="CRM142" s="221"/>
      <c r="CRN142" s="221"/>
      <c r="CRO142" s="221"/>
      <c r="CRP142" s="221"/>
      <c r="CRQ142" s="221"/>
      <c r="CRR142" s="221"/>
      <c r="CRS142" s="221"/>
      <c r="CRT142" s="221"/>
      <c r="CRU142" s="221"/>
      <c r="CRV142" s="221"/>
      <c r="CRW142" s="221"/>
      <c r="CRX142" s="221"/>
      <c r="CRY142" s="221"/>
      <c r="CRZ142" s="221"/>
      <c r="CSA142" s="221"/>
      <c r="CSB142" s="221"/>
      <c r="CSC142" s="221"/>
      <c r="CSD142" s="221"/>
      <c r="CSE142" s="221"/>
      <c r="CSF142" s="221"/>
      <c r="CSG142" s="221"/>
      <c r="CSH142" s="221"/>
      <c r="CSI142" s="221"/>
      <c r="CSJ142" s="221"/>
      <c r="CSK142" s="221"/>
      <c r="CSL142" s="221"/>
      <c r="CSM142" s="221"/>
      <c r="CSN142" s="221"/>
      <c r="CSO142" s="221"/>
      <c r="CSP142" s="221"/>
      <c r="CSQ142" s="221"/>
      <c r="CSR142" s="221"/>
      <c r="CSS142" s="221"/>
      <c r="CST142" s="221"/>
      <c r="CSU142" s="221"/>
      <c r="CSV142" s="221"/>
      <c r="CSW142" s="221"/>
      <c r="CSX142" s="221"/>
      <c r="CSY142" s="221"/>
      <c r="CSZ142" s="221"/>
      <c r="CTA142" s="221"/>
      <c r="CTB142" s="221"/>
      <c r="CTC142" s="221"/>
      <c r="CTD142" s="221"/>
      <c r="CTE142" s="221"/>
      <c r="CTF142" s="221"/>
      <c r="CTG142" s="221"/>
      <c r="CTH142" s="221"/>
      <c r="CTI142" s="221"/>
      <c r="CTJ142" s="221"/>
      <c r="CTK142" s="221"/>
      <c r="CTL142" s="221"/>
      <c r="CTM142" s="221"/>
      <c r="CTN142" s="221"/>
      <c r="CTO142" s="221"/>
      <c r="CTP142" s="221"/>
      <c r="CTQ142" s="221"/>
      <c r="CTR142" s="221"/>
      <c r="CTS142" s="221"/>
      <c r="CTT142" s="221"/>
      <c r="CTU142" s="221"/>
      <c r="CTV142" s="221"/>
      <c r="CTW142" s="221"/>
      <c r="CTX142" s="221"/>
      <c r="CTY142" s="221"/>
      <c r="CTZ142" s="221"/>
      <c r="CUA142" s="221"/>
      <c r="CUB142" s="221"/>
      <c r="CUC142" s="221"/>
      <c r="CUD142" s="221"/>
      <c r="CUE142" s="221"/>
      <c r="CUF142" s="221"/>
      <c r="CUG142" s="221"/>
      <c r="CUH142" s="221"/>
      <c r="CUI142" s="221"/>
      <c r="CUJ142" s="221"/>
      <c r="CUK142" s="221"/>
      <c r="CUL142" s="221"/>
      <c r="CUM142" s="221"/>
      <c r="CUN142" s="221"/>
      <c r="CUO142" s="221"/>
      <c r="CUP142" s="221"/>
      <c r="CUQ142" s="221"/>
      <c r="CUR142" s="221"/>
      <c r="CUS142" s="221"/>
      <c r="CUT142" s="221"/>
      <c r="CUU142" s="221"/>
      <c r="CUV142" s="221"/>
      <c r="CUW142" s="221"/>
      <c r="CUX142" s="221"/>
      <c r="CUY142" s="221"/>
      <c r="CUZ142" s="221"/>
      <c r="CVA142" s="221"/>
      <c r="CVB142" s="221"/>
      <c r="CVC142" s="221"/>
      <c r="CVD142" s="221"/>
      <c r="CVE142" s="221"/>
      <c r="CVF142" s="221"/>
      <c r="CVG142" s="221"/>
      <c r="CVH142" s="221"/>
      <c r="CVI142" s="221"/>
      <c r="CVJ142" s="221"/>
      <c r="CVK142" s="221"/>
      <c r="CVL142" s="221"/>
      <c r="CVM142" s="221"/>
      <c r="CVN142" s="221"/>
      <c r="CVO142" s="221"/>
      <c r="CVP142" s="221"/>
      <c r="CVQ142" s="221"/>
      <c r="CVR142" s="221"/>
      <c r="CVS142" s="221"/>
      <c r="CVT142" s="221"/>
      <c r="CVU142" s="221"/>
      <c r="CVV142" s="221"/>
      <c r="CVW142" s="221"/>
      <c r="CVX142" s="221"/>
      <c r="CVY142" s="221"/>
      <c r="CVZ142" s="221"/>
      <c r="CWA142" s="221"/>
      <c r="CWB142" s="221"/>
      <c r="CWC142" s="221"/>
      <c r="CWD142" s="221"/>
      <c r="CWE142" s="221"/>
      <c r="CWF142" s="221"/>
      <c r="CWG142" s="221"/>
      <c r="CWH142" s="221"/>
      <c r="CWI142" s="221"/>
      <c r="CWJ142" s="221"/>
      <c r="CWK142" s="221"/>
      <c r="CWL142" s="221"/>
      <c r="CWM142" s="221"/>
      <c r="CWN142" s="221"/>
      <c r="CWO142" s="221"/>
      <c r="CWP142" s="221"/>
      <c r="CWQ142" s="221"/>
      <c r="CWR142" s="221"/>
      <c r="CWS142" s="221"/>
      <c r="CWT142" s="221"/>
      <c r="CWU142" s="221"/>
      <c r="CWV142" s="221"/>
      <c r="CWW142" s="221"/>
      <c r="CWX142" s="221"/>
      <c r="CWY142" s="221"/>
      <c r="CWZ142" s="221"/>
      <c r="CXA142" s="221"/>
      <c r="CXB142" s="221"/>
      <c r="CXC142" s="221"/>
      <c r="CXD142" s="221"/>
      <c r="CXE142" s="221"/>
      <c r="CXF142" s="221"/>
      <c r="CXG142" s="221"/>
      <c r="CXH142" s="221"/>
      <c r="CXI142" s="221"/>
      <c r="CXJ142" s="221"/>
      <c r="CXK142" s="221"/>
      <c r="CXL142" s="221"/>
      <c r="CXM142" s="221"/>
      <c r="CXN142" s="221"/>
      <c r="CXO142" s="221"/>
      <c r="CXP142" s="221"/>
      <c r="CXQ142" s="221"/>
      <c r="CXR142" s="221"/>
      <c r="CXS142" s="221"/>
      <c r="CXT142" s="221"/>
      <c r="CXU142" s="221"/>
      <c r="CXV142" s="221"/>
      <c r="CXW142" s="221"/>
      <c r="CXX142" s="221"/>
      <c r="CXY142" s="221"/>
      <c r="CXZ142" s="221"/>
      <c r="CYA142" s="221"/>
      <c r="CYB142" s="221"/>
      <c r="CYC142" s="221"/>
      <c r="CYD142" s="221"/>
      <c r="CYE142" s="221"/>
      <c r="CYF142" s="221"/>
      <c r="CYG142" s="221"/>
      <c r="CYH142" s="221"/>
      <c r="CYI142" s="221"/>
      <c r="CYJ142" s="221"/>
      <c r="CYK142" s="221"/>
      <c r="CYL142" s="221"/>
      <c r="CYM142" s="221"/>
      <c r="CYN142" s="221"/>
      <c r="CYO142" s="221"/>
      <c r="CYP142" s="221"/>
      <c r="CYQ142" s="221"/>
      <c r="CYR142" s="221"/>
      <c r="CYS142" s="221"/>
      <c r="CYT142" s="221"/>
      <c r="CYU142" s="221"/>
      <c r="CYV142" s="221"/>
      <c r="CYW142" s="221"/>
      <c r="CYX142" s="221"/>
      <c r="CYY142" s="221"/>
      <c r="CYZ142" s="221"/>
      <c r="CZA142" s="221"/>
      <c r="CZB142" s="221"/>
      <c r="CZC142" s="221"/>
      <c r="CZD142" s="221"/>
      <c r="CZE142" s="221"/>
      <c r="CZF142" s="221"/>
      <c r="CZG142" s="221"/>
      <c r="CZH142" s="221"/>
      <c r="CZI142" s="221"/>
      <c r="CZJ142" s="221"/>
      <c r="CZK142" s="221"/>
      <c r="CZL142" s="221"/>
      <c r="CZM142" s="221"/>
      <c r="CZN142" s="221"/>
      <c r="CZO142" s="221"/>
      <c r="CZP142" s="221"/>
      <c r="CZQ142" s="221"/>
      <c r="CZR142" s="221"/>
      <c r="CZS142" s="221"/>
      <c r="CZT142" s="221"/>
      <c r="CZU142" s="221"/>
      <c r="CZV142" s="221"/>
      <c r="CZW142" s="221"/>
      <c r="CZX142" s="221"/>
      <c r="CZY142" s="221"/>
      <c r="CZZ142" s="221"/>
      <c r="DAA142" s="221"/>
      <c r="DAB142" s="221"/>
      <c r="DAC142" s="221"/>
      <c r="DAD142" s="221"/>
      <c r="DAE142" s="221"/>
      <c r="DAF142" s="221"/>
      <c r="DAG142" s="221"/>
      <c r="DAH142" s="221"/>
      <c r="DAI142" s="221"/>
      <c r="DAJ142" s="221"/>
      <c r="DAK142" s="221"/>
      <c r="DAL142" s="221"/>
      <c r="DAM142" s="221"/>
      <c r="DAN142" s="221"/>
      <c r="DAO142" s="221"/>
      <c r="DAP142" s="221"/>
      <c r="DAQ142" s="221"/>
      <c r="DAR142" s="221"/>
      <c r="DAS142" s="221"/>
      <c r="DAT142" s="221"/>
      <c r="DAU142" s="221"/>
      <c r="DAV142" s="221"/>
      <c r="DAW142" s="221"/>
      <c r="DAX142" s="221"/>
      <c r="DAY142" s="221"/>
      <c r="DAZ142" s="221"/>
      <c r="DBA142" s="221"/>
      <c r="DBB142" s="221"/>
      <c r="DBC142" s="221"/>
      <c r="DBD142" s="221"/>
      <c r="DBE142" s="221"/>
      <c r="DBF142" s="221"/>
      <c r="DBG142" s="221"/>
      <c r="DBH142" s="221"/>
      <c r="DBI142" s="221"/>
      <c r="DBJ142" s="221"/>
      <c r="DBK142" s="221"/>
      <c r="DBL142" s="221"/>
      <c r="DBM142" s="221"/>
      <c r="DBN142" s="221"/>
      <c r="DBO142" s="221"/>
      <c r="DBP142" s="221"/>
      <c r="DBQ142" s="221"/>
      <c r="DBR142" s="221"/>
      <c r="DBS142" s="221"/>
      <c r="DBT142" s="221"/>
      <c r="DBU142" s="221"/>
      <c r="DBV142" s="221"/>
      <c r="DBW142" s="221"/>
      <c r="DBX142" s="221"/>
      <c r="DBY142" s="221"/>
      <c r="DBZ142" s="221"/>
      <c r="DCA142" s="221"/>
      <c r="DCB142" s="221"/>
      <c r="DCC142" s="221"/>
      <c r="DCD142" s="221"/>
      <c r="DCE142" s="221"/>
      <c r="DCF142" s="221"/>
      <c r="DCG142" s="221"/>
      <c r="DCH142" s="221"/>
      <c r="DCI142" s="221"/>
      <c r="DCJ142" s="221"/>
      <c r="DCK142" s="221"/>
      <c r="DCL142" s="221"/>
      <c r="DCM142" s="221"/>
      <c r="DCN142" s="221"/>
      <c r="DCO142" s="221"/>
      <c r="DCP142" s="221"/>
      <c r="DCQ142" s="221"/>
      <c r="DCR142" s="221"/>
      <c r="DCS142" s="221"/>
      <c r="DCT142" s="221"/>
      <c r="DCU142" s="221"/>
      <c r="DCV142" s="221"/>
      <c r="DCW142" s="221"/>
      <c r="DCX142" s="221"/>
      <c r="DCY142" s="221"/>
      <c r="DCZ142" s="221"/>
      <c r="DDA142" s="221"/>
      <c r="DDB142" s="221"/>
      <c r="DDC142" s="221"/>
      <c r="DDD142" s="221"/>
      <c r="DDE142" s="221"/>
      <c r="DDF142" s="221"/>
      <c r="DDG142" s="221"/>
      <c r="DDH142" s="221"/>
      <c r="DDI142" s="221"/>
      <c r="DDJ142" s="221"/>
      <c r="DDK142" s="221"/>
      <c r="DDL142" s="221"/>
      <c r="DDM142" s="221"/>
      <c r="DDN142" s="221"/>
      <c r="DDO142" s="221"/>
      <c r="DDP142" s="221"/>
      <c r="DDQ142" s="221"/>
      <c r="DDR142" s="221"/>
      <c r="DDS142" s="221"/>
      <c r="DDT142" s="221"/>
      <c r="DDU142" s="221"/>
      <c r="DDV142" s="221"/>
      <c r="DDW142" s="221"/>
      <c r="DDX142" s="221"/>
      <c r="DDY142" s="221"/>
      <c r="DDZ142" s="221"/>
      <c r="DEA142" s="221"/>
      <c r="DEB142" s="221"/>
      <c r="DEC142" s="221"/>
      <c r="DED142" s="221"/>
      <c r="DEE142" s="221"/>
      <c r="DEF142" s="221"/>
      <c r="DEG142" s="221"/>
      <c r="DEH142" s="221"/>
      <c r="DEI142" s="221"/>
      <c r="DEJ142" s="221"/>
      <c r="DEK142" s="221"/>
      <c r="DEL142" s="221"/>
      <c r="DEM142" s="221"/>
      <c r="DEN142" s="221"/>
      <c r="DEO142" s="221"/>
      <c r="DEP142" s="221"/>
      <c r="DEQ142" s="221"/>
      <c r="DER142" s="221"/>
      <c r="DES142" s="221"/>
      <c r="DET142" s="221"/>
      <c r="DEU142" s="221"/>
      <c r="DEV142" s="221"/>
      <c r="DEW142" s="221"/>
      <c r="DEX142" s="221"/>
      <c r="DEY142" s="221"/>
      <c r="DEZ142" s="221"/>
      <c r="DFA142" s="221"/>
      <c r="DFB142" s="221"/>
      <c r="DFC142" s="221"/>
      <c r="DFD142" s="221"/>
      <c r="DFE142" s="221"/>
      <c r="DFF142" s="221"/>
      <c r="DFG142" s="221"/>
      <c r="DFH142" s="221"/>
      <c r="DFI142" s="221"/>
      <c r="DFJ142" s="221"/>
      <c r="DFK142" s="221"/>
      <c r="DFL142" s="221"/>
      <c r="DFM142" s="221"/>
      <c r="DFN142" s="221"/>
      <c r="DFO142" s="221"/>
      <c r="DFP142" s="221"/>
      <c r="DFQ142" s="221"/>
      <c r="DFR142" s="221"/>
      <c r="DFS142" s="221"/>
      <c r="DFT142" s="221"/>
      <c r="DFU142" s="221"/>
      <c r="DFV142" s="221"/>
      <c r="DFW142" s="221"/>
      <c r="DFX142" s="221"/>
      <c r="DFY142" s="221"/>
      <c r="DFZ142" s="221"/>
      <c r="DGA142" s="221"/>
      <c r="DGB142" s="221"/>
      <c r="DGC142" s="221"/>
      <c r="DGD142" s="221"/>
      <c r="DGE142" s="221"/>
      <c r="DGF142" s="221"/>
      <c r="DGG142" s="221"/>
      <c r="DGH142" s="221"/>
      <c r="DGI142" s="221"/>
      <c r="DGJ142" s="221"/>
      <c r="DGK142" s="221"/>
      <c r="DGL142" s="221"/>
      <c r="DGM142" s="221"/>
      <c r="DGN142" s="221"/>
      <c r="DGO142" s="221"/>
      <c r="DGP142" s="221"/>
      <c r="DGQ142" s="221"/>
      <c r="DGR142" s="221"/>
      <c r="DGS142" s="221"/>
      <c r="DGT142" s="221"/>
      <c r="DGU142" s="221"/>
      <c r="DGV142" s="221"/>
      <c r="DGW142" s="221"/>
      <c r="DGX142" s="221"/>
      <c r="DGY142" s="221"/>
      <c r="DGZ142" s="221"/>
      <c r="DHA142" s="221"/>
      <c r="DHB142" s="221"/>
      <c r="DHC142" s="221"/>
      <c r="DHD142" s="221"/>
      <c r="DHE142" s="221"/>
      <c r="DHF142" s="221"/>
      <c r="DHG142" s="221"/>
      <c r="DHH142" s="221"/>
      <c r="DHI142" s="221"/>
      <c r="DHJ142" s="221"/>
      <c r="DHK142" s="221"/>
      <c r="DHL142" s="221"/>
      <c r="DHM142" s="221"/>
      <c r="DHN142" s="221"/>
      <c r="DHO142" s="221"/>
      <c r="DHP142" s="221"/>
      <c r="DHQ142" s="221"/>
      <c r="DHR142" s="221"/>
      <c r="DHS142" s="221"/>
      <c r="DHT142" s="221"/>
      <c r="DHU142" s="221"/>
      <c r="DHV142" s="221"/>
      <c r="DHW142" s="221"/>
      <c r="DHX142" s="221"/>
      <c r="DHY142" s="221"/>
      <c r="DHZ142" s="221"/>
      <c r="DIA142" s="221"/>
      <c r="DIB142" s="221"/>
      <c r="DIC142" s="221"/>
      <c r="DID142" s="221"/>
      <c r="DIE142" s="221"/>
      <c r="DIF142" s="221"/>
      <c r="DIG142" s="221"/>
      <c r="DIH142" s="221"/>
      <c r="DII142" s="221"/>
      <c r="DIJ142" s="221"/>
      <c r="DIK142" s="221"/>
      <c r="DIL142" s="221"/>
      <c r="DIM142" s="221"/>
      <c r="DIN142" s="221"/>
      <c r="DIO142" s="221"/>
      <c r="DIP142" s="221"/>
      <c r="DIQ142" s="221"/>
      <c r="DIR142" s="221"/>
      <c r="DIS142" s="221"/>
      <c r="DIT142" s="221"/>
      <c r="DIU142" s="221"/>
      <c r="DIV142" s="221"/>
      <c r="DIW142" s="221"/>
      <c r="DIX142" s="221"/>
      <c r="DIY142" s="221"/>
      <c r="DIZ142" s="221"/>
      <c r="DJA142" s="221"/>
      <c r="DJB142" s="221"/>
      <c r="DJC142" s="221"/>
      <c r="DJD142" s="221"/>
      <c r="DJE142" s="221"/>
      <c r="DJF142" s="221"/>
      <c r="DJG142" s="221"/>
      <c r="DJH142" s="221"/>
      <c r="DJI142" s="221"/>
      <c r="DJJ142" s="221"/>
      <c r="DJK142" s="221"/>
      <c r="DJL142" s="221"/>
      <c r="DJM142" s="221"/>
      <c r="DJN142" s="221"/>
      <c r="DJO142" s="221"/>
      <c r="DJP142" s="221"/>
      <c r="DJQ142" s="221"/>
      <c r="DJR142" s="221"/>
      <c r="DJS142" s="221"/>
      <c r="DJT142" s="221"/>
      <c r="DJU142" s="221"/>
      <c r="DJV142" s="221"/>
      <c r="DJW142" s="221"/>
      <c r="DJX142" s="221"/>
      <c r="DJY142" s="221"/>
      <c r="DJZ142" s="221"/>
      <c r="DKA142" s="221"/>
      <c r="DKB142" s="221"/>
      <c r="DKC142" s="221"/>
      <c r="DKD142" s="221"/>
      <c r="DKE142" s="221"/>
      <c r="DKF142" s="221"/>
      <c r="DKG142" s="221"/>
      <c r="DKH142" s="221"/>
      <c r="DKI142" s="221"/>
      <c r="DKJ142" s="221"/>
      <c r="DKK142" s="221"/>
      <c r="DKL142" s="221"/>
      <c r="DKM142" s="221"/>
      <c r="DKN142" s="221"/>
      <c r="DKO142" s="221"/>
      <c r="DKP142" s="221"/>
      <c r="DKQ142" s="221"/>
      <c r="DKR142" s="221"/>
      <c r="DKS142" s="221"/>
      <c r="DKT142" s="221"/>
      <c r="DKU142" s="221"/>
      <c r="DKV142" s="221"/>
      <c r="DKW142" s="221"/>
      <c r="DKX142" s="221"/>
      <c r="DKY142" s="221"/>
      <c r="DKZ142" s="221"/>
      <c r="DLA142" s="221"/>
      <c r="DLB142" s="221"/>
      <c r="DLC142" s="221"/>
      <c r="DLD142" s="221"/>
      <c r="DLE142" s="221"/>
      <c r="DLF142" s="221"/>
      <c r="DLG142" s="221"/>
      <c r="DLH142" s="221"/>
      <c r="DLI142" s="221"/>
      <c r="DLJ142" s="221"/>
      <c r="DLK142" s="221"/>
      <c r="DLL142" s="221"/>
      <c r="DLM142" s="221"/>
      <c r="DLN142" s="221"/>
      <c r="DLO142" s="221"/>
      <c r="DLP142" s="221"/>
      <c r="DLQ142" s="221"/>
      <c r="DLR142" s="221"/>
      <c r="DLS142" s="221"/>
      <c r="DLT142" s="221"/>
      <c r="DLU142" s="221"/>
      <c r="DLV142" s="221"/>
      <c r="DLW142" s="221"/>
      <c r="DLX142" s="221"/>
      <c r="DLY142" s="221"/>
      <c r="DLZ142" s="221"/>
      <c r="DMA142" s="221"/>
      <c r="DMB142" s="221"/>
      <c r="DMC142" s="221"/>
      <c r="DMD142" s="221"/>
      <c r="DME142" s="221"/>
      <c r="DMF142" s="221"/>
      <c r="DMG142" s="221"/>
      <c r="DMH142" s="221"/>
      <c r="DMI142" s="221"/>
      <c r="DMJ142" s="221"/>
      <c r="DMK142" s="221"/>
      <c r="DML142" s="221"/>
      <c r="DMM142" s="221"/>
      <c r="DMN142" s="221"/>
      <c r="DMO142" s="221"/>
      <c r="DMP142" s="221"/>
      <c r="DMQ142" s="221"/>
      <c r="DMR142" s="221"/>
      <c r="DMS142" s="221"/>
      <c r="DMT142" s="221"/>
      <c r="DMU142" s="221"/>
      <c r="DMV142" s="221"/>
      <c r="DMW142" s="221"/>
      <c r="DMX142" s="221"/>
      <c r="DMY142" s="221"/>
      <c r="DMZ142" s="221"/>
      <c r="DNA142" s="221"/>
      <c r="DNB142" s="221"/>
      <c r="DNC142" s="221"/>
      <c r="DND142" s="221"/>
      <c r="DNE142" s="221"/>
      <c r="DNF142" s="221"/>
      <c r="DNG142" s="221"/>
      <c r="DNH142" s="221"/>
      <c r="DNI142" s="221"/>
      <c r="DNJ142" s="221"/>
      <c r="DNK142" s="221"/>
      <c r="DNL142" s="221"/>
      <c r="DNM142" s="221"/>
      <c r="DNN142" s="221"/>
      <c r="DNO142" s="221"/>
      <c r="DNP142" s="221"/>
      <c r="DNQ142" s="221"/>
      <c r="DNR142" s="221"/>
      <c r="DNS142" s="221"/>
      <c r="DNT142" s="221"/>
      <c r="DNU142" s="221"/>
      <c r="DNV142" s="221"/>
      <c r="DNW142" s="221"/>
      <c r="DNX142" s="221"/>
      <c r="DNY142" s="221"/>
      <c r="DNZ142" s="221"/>
      <c r="DOA142" s="221"/>
      <c r="DOB142" s="221"/>
      <c r="DOC142" s="221"/>
      <c r="DOD142" s="221"/>
      <c r="DOE142" s="221"/>
      <c r="DOF142" s="221"/>
      <c r="DOG142" s="221"/>
      <c r="DOH142" s="221"/>
      <c r="DOI142" s="221"/>
      <c r="DOJ142" s="221"/>
      <c r="DOK142" s="221"/>
      <c r="DOL142" s="221"/>
      <c r="DOM142" s="221"/>
      <c r="DON142" s="221"/>
      <c r="DOO142" s="221"/>
      <c r="DOP142" s="221"/>
      <c r="DOQ142" s="221"/>
      <c r="DOR142" s="221"/>
      <c r="DOS142" s="221"/>
      <c r="DOT142" s="221"/>
      <c r="DOU142" s="221"/>
      <c r="DOV142" s="221"/>
      <c r="DOW142" s="221"/>
      <c r="DOX142" s="221"/>
      <c r="DOY142" s="221"/>
      <c r="DOZ142" s="221"/>
      <c r="DPA142" s="221"/>
      <c r="DPB142" s="221"/>
      <c r="DPC142" s="221"/>
      <c r="DPD142" s="221"/>
      <c r="DPE142" s="221"/>
      <c r="DPF142" s="221"/>
      <c r="DPG142" s="221"/>
      <c r="DPH142" s="221"/>
      <c r="DPI142" s="221"/>
      <c r="DPJ142" s="221"/>
      <c r="DPK142" s="221"/>
      <c r="DPL142" s="221"/>
      <c r="DPM142" s="221"/>
      <c r="DPN142" s="221"/>
      <c r="DPO142" s="221"/>
      <c r="DPP142" s="221"/>
      <c r="DPQ142" s="221"/>
      <c r="DPR142" s="221"/>
      <c r="DPS142" s="221"/>
      <c r="DPT142" s="221"/>
      <c r="DPU142" s="221"/>
      <c r="DPV142" s="221"/>
      <c r="DPW142" s="221"/>
      <c r="DPX142" s="221"/>
      <c r="DPY142" s="221"/>
      <c r="DPZ142" s="221"/>
      <c r="DQA142" s="221"/>
      <c r="DQB142" s="221"/>
      <c r="DQC142" s="221"/>
      <c r="DQD142" s="221"/>
      <c r="DQE142" s="221"/>
      <c r="DQF142" s="221"/>
      <c r="DQG142" s="221"/>
      <c r="DQH142" s="221"/>
      <c r="DQI142" s="221"/>
      <c r="DQJ142" s="221"/>
      <c r="DQK142" s="221"/>
      <c r="DQL142" s="221"/>
      <c r="DQM142" s="221"/>
      <c r="DQN142" s="221"/>
      <c r="DQO142" s="221"/>
      <c r="DQP142" s="221"/>
      <c r="DQQ142" s="221"/>
      <c r="DQR142" s="221"/>
      <c r="DQS142" s="221"/>
      <c r="DQT142" s="221"/>
      <c r="DQU142" s="221"/>
      <c r="DQV142" s="221"/>
      <c r="DQW142" s="221"/>
      <c r="DQX142" s="221"/>
      <c r="DQY142" s="221"/>
      <c r="DQZ142" s="221"/>
      <c r="DRA142" s="221"/>
      <c r="DRB142" s="221"/>
      <c r="DRC142" s="221"/>
      <c r="DRD142" s="221"/>
      <c r="DRE142" s="221"/>
      <c r="DRF142" s="221"/>
      <c r="DRG142" s="221"/>
      <c r="DRH142" s="221"/>
      <c r="DRI142" s="221"/>
      <c r="DRJ142" s="221"/>
      <c r="DRK142" s="221"/>
      <c r="DRL142" s="221"/>
      <c r="DRM142" s="221"/>
      <c r="DRN142" s="221"/>
      <c r="DRO142" s="221"/>
      <c r="DRP142" s="221"/>
      <c r="DRQ142" s="221"/>
      <c r="DRR142" s="221"/>
      <c r="DRS142" s="221"/>
      <c r="DRT142" s="221"/>
      <c r="DRU142" s="221"/>
      <c r="DRV142" s="221"/>
      <c r="DRW142" s="221"/>
      <c r="DRX142" s="221"/>
      <c r="DRY142" s="221"/>
      <c r="DRZ142" s="221"/>
      <c r="DSA142" s="221"/>
      <c r="DSB142" s="221"/>
      <c r="DSC142" s="221"/>
      <c r="DSD142" s="221"/>
      <c r="DSE142" s="221"/>
      <c r="DSF142" s="221"/>
      <c r="DSG142" s="221"/>
      <c r="DSH142" s="221"/>
      <c r="DSI142" s="221"/>
      <c r="DSJ142" s="221"/>
      <c r="DSK142" s="221"/>
      <c r="DSL142" s="221"/>
      <c r="DSM142" s="221"/>
      <c r="DSN142" s="221"/>
      <c r="DSO142" s="221"/>
      <c r="DSP142" s="221"/>
      <c r="DSQ142" s="221"/>
      <c r="DSR142" s="221"/>
      <c r="DSS142" s="221"/>
      <c r="DST142" s="221"/>
      <c r="DSU142" s="221"/>
      <c r="DSV142" s="221"/>
      <c r="DSW142" s="221"/>
      <c r="DSX142" s="221"/>
      <c r="DSY142" s="221"/>
      <c r="DSZ142" s="221"/>
      <c r="DTA142" s="221"/>
      <c r="DTB142" s="221"/>
      <c r="DTC142" s="221"/>
      <c r="DTD142" s="221"/>
      <c r="DTE142" s="221"/>
      <c r="DTF142" s="221"/>
      <c r="DTG142" s="221"/>
      <c r="DTH142" s="221"/>
      <c r="DTI142" s="221"/>
      <c r="DTJ142" s="221"/>
      <c r="DTK142" s="221"/>
      <c r="DTL142" s="221"/>
      <c r="DTM142" s="221"/>
      <c r="DTN142" s="221"/>
      <c r="DTO142" s="221"/>
      <c r="DTP142" s="221"/>
      <c r="DTQ142" s="221"/>
      <c r="DTR142" s="221"/>
      <c r="DTS142" s="221"/>
      <c r="DTT142" s="221"/>
      <c r="DTU142" s="221"/>
      <c r="DTV142" s="221"/>
      <c r="DTW142" s="221"/>
      <c r="DTX142" s="221"/>
      <c r="DTY142" s="221"/>
      <c r="DTZ142" s="221"/>
      <c r="DUA142" s="221"/>
      <c r="DUB142" s="221"/>
      <c r="DUC142" s="221"/>
      <c r="DUD142" s="221"/>
      <c r="DUE142" s="221"/>
      <c r="DUF142" s="221"/>
      <c r="DUG142" s="221"/>
      <c r="DUH142" s="221"/>
      <c r="DUI142" s="221"/>
      <c r="DUJ142" s="221"/>
      <c r="DUK142" s="221"/>
      <c r="DUL142" s="221"/>
      <c r="DUM142" s="221"/>
      <c r="DUN142" s="221"/>
      <c r="DUO142" s="221"/>
      <c r="DUP142" s="221"/>
      <c r="DUQ142" s="221"/>
      <c r="DUR142" s="221"/>
      <c r="DUS142" s="221"/>
      <c r="DUT142" s="221"/>
      <c r="DUU142" s="221"/>
      <c r="DUV142" s="221"/>
      <c r="DUW142" s="221"/>
      <c r="DUX142" s="221"/>
      <c r="DUY142" s="221"/>
      <c r="DUZ142" s="221"/>
      <c r="DVA142" s="221"/>
      <c r="DVB142" s="221"/>
      <c r="DVC142" s="221"/>
      <c r="DVD142" s="221"/>
      <c r="DVE142" s="221"/>
      <c r="DVF142" s="221"/>
      <c r="DVG142" s="221"/>
      <c r="DVH142" s="221"/>
      <c r="DVI142" s="221"/>
      <c r="DVJ142" s="221"/>
      <c r="DVK142" s="221"/>
      <c r="DVL142" s="221"/>
      <c r="DVM142" s="221"/>
      <c r="DVN142" s="221"/>
      <c r="DVO142" s="221"/>
      <c r="DVP142" s="221"/>
      <c r="DVQ142" s="221"/>
      <c r="DVR142" s="221"/>
      <c r="DVS142" s="221"/>
      <c r="DVT142" s="221"/>
      <c r="DVU142" s="221"/>
      <c r="DVV142" s="221"/>
      <c r="DVW142" s="221"/>
      <c r="DVX142" s="221"/>
      <c r="DVY142" s="221"/>
      <c r="DVZ142" s="221"/>
      <c r="DWA142" s="221"/>
      <c r="DWB142" s="221"/>
      <c r="DWC142" s="221"/>
      <c r="DWD142" s="221"/>
      <c r="DWE142" s="221"/>
      <c r="DWF142" s="221"/>
      <c r="DWG142" s="221"/>
      <c r="DWH142" s="221"/>
      <c r="DWI142" s="221"/>
      <c r="DWJ142" s="221"/>
      <c r="DWK142" s="221"/>
      <c r="DWL142" s="221"/>
      <c r="DWM142" s="221"/>
      <c r="DWN142" s="221"/>
      <c r="DWO142" s="221"/>
      <c r="DWP142" s="221"/>
      <c r="DWQ142" s="221"/>
      <c r="DWR142" s="221"/>
      <c r="DWS142" s="221"/>
      <c r="DWT142" s="221"/>
      <c r="DWU142" s="221"/>
      <c r="DWV142" s="221"/>
      <c r="DWW142" s="221"/>
      <c r="DWX142" s="221"/>
      <c r="DWY142" s="221"/>
      <c r="DWZ142" s="221"/>
      <c r="DXA142" s="221"/>
      <c r="DXB142" s="221"/>
      <c r="DXC142" s="221"/>
      <c r="DXD142" s="221"/>
      <c r="DXE142" s="221"/>
      <c r="DXF142" s="221"/>
      <c r="DXG142" s="221"/>
      <c r="DXH142" s="221"/>
      <c r="DXI142" s="221"/>
      <c r="DXJ142" s="221"/>
      <c r="DXK142" s="221"/>
      <c r="DXL142" s="221"/>
      <c r="DXM142" s="221"/>
      <c r="DXN142" s="221"/>
      <c r="DXO142" s="221"/>
      <c r="DXP142" s="221"/>
      <c r="DXQ142" s="221"/>
      <c r="DXR142" s="221"/>
      <c r="DXS142" s="221"/>
      <c r="DXT142" s="221"/>
      <c r="DXU142" s="221"/>
      <c r="DXV142" s="221"/>
      <c r="DXW142" s="221"/>
      <c r="DXX142" s="221"/>
      <c r="DXY142" s="221"/>
      <c r="DXZ142" s="221"/>
      <c r="DYA142" s="221"/>
      <c r="DYB142" s="221"/>
      <c r="DYC142" s="221"/>
      <c r="DYD142" s="221"/>
      <c r="DYE142" s="221"/>
      <c r="DYF142" s="221"/>
      <c r="DYG142" s="221"/>
      <c r="DYH142" s="221"/>
      <c r="DYI142" s="221"/>
      <c r="DYJ142" s="221"/>
      <c r="DYK142" s="221"/>
      <c r="DYL142" s="221"/>
      <c r="DYM142" s="221"/>
      <c r="DYN142" s="221"/>
      <c r="DYO142" s="221"/>
      <c r="DYP142" s="221"/>
      <c r="DYQ142" s="221"/>
      <c r="DYR142" s="221"/>
      <c r="DYS142" s="221"/>
      <c r="DYT142" s="221"/>
      <c r="DYU142" s="221"/>
      <c r="DYV142" s="221"/>
      <c r="DYW142" s="221"/>
      <c r="DYX142" s="221"/>
      <c r="DYY142" s="221"/>
      <c r="DYZ142" s="221"/>
      <c r="DZA142" s="221"/>
      <c r="DZB142" s="221"/>
      <c r="DZC142" s="221"/>
      <c r="DZD142" s="221"/>
      <c r="DZE142" s="221"/>
      <c r="DZF142" s="221"/>
      <c r="DZG142" s="221"/>
      <c r="DZH142" s="221"/>
      <c r="DZI142" s="221"/>
      <c r="DZJ142" s="221"/>
      <c r="DZK142" s="221"/>
      <c r="DZL142" s="221"/>
      <c r="DZM142" s="221"/>
      <c r="DZN142" s="221"/>
      <c r="DZO142" s="221"/>
      <c r="DZP142" s="221"/>
      <c r="DZQ142" s="221"/>
      <c r="DZR142" s="221"/>
      <c r="DZS142" s="221"/>
      <c r="DZT142" s="221"/>
      <c r="DZU142" s="221"/>
      <c r="DZV142" s="221"/>
      <c r="DZW142" s="221"/>
      <c r="DZX142" s="221"/>
      <c r="DZY142" s="221"/>
      <c r="DZZ142" s="221"/>
      <c r="EAA142" s="221"/>
      <c r="EAB142" s="221"/>
      <c r="EAC142" s="221"/>
      <c r="EAD142" s="221"/>
      <c r="EAE142" s="221"/>
      <c r="EAF142" s="221"/>
      <c r="EAG142" s="221"/>
      <c r="EAH142" s="221"/>
      <c r="EAI142" s="221"/>
      <c r="EAJ142" s="221"/>
      <c r="EAK142" s="221"/>
      <c r="EAL142" s="221"/>
      <c r="EAM142" s="221"/>
      <c r="EAN142" s="221"/>
      <c r="EAO142" s="221"/>
      <c r="EAP142" s="221"/>
      <c r="EAQ142" s="221"/>
      <c r="EAR142" s="221"/>
      <c r="EAS142" s="221"/>
      <c r="EAT142" s="221"/>
      <c r="EAU142" s="221"/>
      <c r="EAV142" s="221"/>
      <c r="EAW142" s="221"/>
      <c r="EAX142" s="221"/>
      <c r="EAY142" s="221"/>
      <c r="EAZ142" s="221"/>
      <c r="EBA142" s="221"/>
      <c r="EBB142" s="221"/>
      <c r="EBC142" s="221"/>
      <c r="EBD142" s="221"/>
      <c r="EBE142" s="221"/>
      <c r="EBF142" s="221"/>
      <c r="EBG142" s="221"/>
      <c r="EBH142" s="221"/>
      <c r="EBI142" s="221"/>
      <c r="EBJ142" s="221"/>
      <c r="EBK142" s="221"/>
      <c r="EBL142" s="221"/>
      <c r="EBM142" s="221"/>
      <c r="EBN142" s="221"/>
      <c r="EBO142" s="221"/>
      <c r="EBP142" s="221"/>
      <c r="EBQ142" s="221"/>
      <c r="EBR142" s="221"/>
      <c r="EBS142" s="221"/>
      <c r="EBT142" s="221"/>
      <c r="EBU142" s="221"/>
      <c r="EBV142" s="221"/>
      <c r="EBW142" s="221"/>
      <c r="EBX142" s="221"/>
      <c r="EBY142" s="221"/>
      <c r="EBZ142" s="221"/>
      <c r="ECA142" s="221"/>
      <c r="ECB142" s="221"/>
      <c r="ECC142" s="221"/>
      <c r="ECD142" s="221"/>
      <c r="ECE142" s="221"/>
      <c r="ECF142" s="221"/>
      <c r="ECG142" s="221"/>
      <c r="ECH142" s="221"/>
      <c r="ECI142" s="221"/>
      <c r="ECJ142" s="221"/>
      <c r="ECK142" s="221"/>
      <c r="ECL142" s="221"/>
      <c r="ECM142" s="221"/>
      <c r="ECN142" s="221"/>
      <c r="ECO142" s="221"/>
      <c r="ECP142" s="221"/>
      <c r="ECQ142" s="221"/>
      <c r="ECR142" s="221"/>
      <c r="ECS142" s="221"/>
      <c r="ECT142" s="221"/>
      <c r="ECU142" s="221"/>
      <c r="ECV142" s="221"/>
      <c r="ECW142" s="221"/>
      <c r="ECX142" s="221"/>
      <c r="ECY142" s="221"/>
      <c r="ECZ142" s="221"/>
      <c r="EDA142" s="221"/>
      <c r="EDB142" s="221"/>
      <c r="EDC142" s="221"/>
      <c r="EDD142" s="221"/>
      <c r="EDE142" s="221"/>
      <c r="EDF142" s="221"/>
      <c r="EDG142" s="221"/>
      <c r="EDH142" s="221"/>
      <c r="EDI142" s="221"/>
      <c r="EDJ142" s="221"/>
      <c r="EDK142" s="221"/>
      <c r="EDL142" s="221"/>
      <c r="EDM142" s="221"/>
      <c r="EDN142" s="221"/>
      <c r="EDO142" s="221"/>
      <c r="EDP142" s="221"/>
      <c r="EDQ142" s="221"/>
      <c r="EDR142" s="221"/>
      <c r="EDS142" s="221"/>
      <c r="EDT142" s="221"/>
      <c r="EDU142" s="221"/>
      <c r="EDV142" s="221"/>
      <c r="EDW142" s="221"/>
      <c r="EDX142" s="221"/>
      <c r="EDY142" s="221"/>
      <c r="EDZ142" s="221"/>
      <c r="EEA142" s="221"/>
      <c r="EEB142" s="221"/>
      <c r="EEC142" s="221"/>
      <c r="EED142" s="221"/>
      <c r="EEE142" s="221"/>
      <c r="EEF142" s="221"/>
      <c r="EEG142" s="221"/>
      <c r="EEH142" s="221"/>
      <c r="EEI142" s="221"/>
      <c r="EEJ142" s="221"/>
      <c r="EEK142" s="221"/>
      <c r="EEL142" s="221"/>
      <c r="EEM142" s="221"/>
      <c r="EEN142" s="221"/>
      <c r="EEO142" s="221"/>
      <c r="EEP142" s="221"/>
      <c r="EEQ142" s="221"/>
      <c r="EER142" s="221"/>
      <c r="EES142" s="221"/>
      <c r="EET142" s="221"/>
      <c r="EEU142" s="221"/>
      <c r="EEV142" s="221"/>
      <c r="EEW142" s="221"/>
      <c r="EEX142" s="221"/>
      <c r="EEY142" s="221"/>
      <c r="EEZ142" s="221"/>
      <c r="EFA142" s="221"/>
      <c r="EFB142" s="221"/>
      <c r="EFC142" s="221"/>
      <c r="EFD142" s="221"/>
      <c r="EFE142" s="221"/>
      <c r="EFF142" s="221"/>
      <c r="EFG142" s="221"/>
      <c r="EFH142" s="221"/>
      <c r="EFI142" s="221"/>
      <c r="EFJ142" s="221"/>
      <c r="EFK142" s="221"/>
      <c r="EFL142" s="221"/>
      <c r="EFM142" s="221"/>
      <c r="EFN142" s="221"/>
      <c r="EFO142" s="221"/>
      <c r="EFP142" s="221"/>
      <c r="EFQ142" s="221"/>
      <c r="EFR142" s="221"/>
      <c r="EFS142" s="221"/>
      <c r="EFT142" s="221"/>
      <c r="EFU142" s="221"/>
      <c r="EFV142" s="221"/>
      <c r="EFW142" s="221"/>
      <c r="EFX142" s="221"/>
      <c r="EFY142" s="221"/>
      <c r="EFZ142" s="221"/>
      <c r="EGA142" s="221"/>
      <c r="EGB142" s="221"/>
      <c r="EGC142" s="221"/>
      <c r="EGD142" s="221"/>
      <c r="EGE142" s="221"/>
      <c r="EGF142" s="221"/>
      <c r="EGG142" s="221"/>
      <c r="EGH142" s="221"/>
      <c r="EGI142" s="221"/>
      <c r="EGJ142" s="221"/>
      <c r="EGK142" s="221"/>
      <c r="EGL142" s="221"/>
      <c r="EGM142" s="221"/>
      <c r="EGN142" s="221"/>
      <c r="EGO142" s="221"/>
      <c r="EGP142" s="221"/>
      <c r="EGQ142" s="221"/>
      <c r="EGR142" s="221"/>
      <c r="EGS142" s="221"/>
      <c r="EGT142" s="221"/>
      <c r="EGU142" s="221"/>
      <c r="EGV142" s="221"/>
      <c r="EGW142" s="221"/>
      <c r="EGX142" s="221"/>
      <c r="EGY142" s="221"/>
      <c r="EGZ142" s="221"/>
      <c r="EHA142" s="221"/>
      <c r="EHB142" s="221"/>
      <c r="EHC142" s="221"/>
      <c r="EHD142" s="221"/>
      <c r="EHE142" s="221"/>
      <c r="EHF142" s="221"/>
      <c r="EHG142" s="221"/>
      <c r="EHH142" s="221"/>
      <c r="EHI142" s="221"/>
      <c r="EHJ142" s="221"/>
      <c r="EHK142" s="221"/>
      <c r="EHL142" s="221"/>
      <c r="EHM142" s="221"/>
      <c r="EHN142" s="221"/>
      <c r="EHO142" s="221"/>
      <c r="EHP142" s="221"/>
      <c r="EHQ142" s="221"/>
      <c r="EHR142" s="221"/>
      <c r="EHS142" s="221"/>
      <c r="EHT142" s="221"/>
      <c r="EHU142" s="221"/>
      <c r="EHV142" s="221"/>
      <c r="EHW142" s="221"/>
      <c r="EHX142" s="221"/>
      <c r="EHY142" s="221"/>
      <c r="EHZ142" s="221"/>
      <c r="EIA142" s="221"/>
      <c r="EIB142" s="221"/>
      <c r="EIC142" s="221"/>
      <c r="EID142" s="221"/>
      <c r="EIE142" s="221"/>
      <c r="EIF142" s="221"/>
      <c r="EIG142" s="221"/>
      <c r="EIH142" s="221"/>
      <c r="EII142" s="221"/>
      <c r="EIJ142" s="221"/>
      <c r="EIK142" s="221"/>
      <c r="EIL142" s="221"/>
      <c r="EIM142" s="221"/>
      <c r="EIN142" s="221"/>
      <c r="EIO142" s="221"/>
      <c r="EIP142" s="221"/>
      <c r="EIQ142" s="221"/>
      <c r="EIR142" s="221"/>
      <c r="EIS142" s="221"/>
      <c r="EIT142" s="221"/>
      <c r="EIU142" s="221"/>
      <c r="EIV142" s="221"/>
      <c r="EIW142" s="221"/>
      <c r="EIX142" s="221"/>
      <c r="EIY142" s="221"/>
      <c r="EIZ142" s="221"/>
      <c r="EJA142" s="221"/>
      <c r="EJB142" s="221"/>
      <c r="EJC142" s="221"/>
      <c r="EJD142" s="221"/>
      <c r="EJE142" s="221"/>
      <c r="EJF142" s="221"/>
      <c r="EJG142" s="221"/>
      <c r="EJH142" s="221"/>
      <c r="EJI142" s="221"/>
      <c r="EJJ142" s="221"/>
      <c r="EJK142" s="221"/>
      <c r="EJL142" s="221"/>
      <c r="EJM142" s="221"/>
      <c r="EJN142" s="221"/>
      <c r="EJO142" s="221"/>
      <c r="EJP142" s="221"/>
      <c r="EJQ142" s="221"/>
      <c r="EJR142" s="221"/>
      <c r="EJS142" s="221"/>
      <c r="EJT142" s="221"/>
      <c r="EJU142" s="221"/>
      <c r="EJV142" s="221"/>
      <c r="EJW142" s="221"/>
      <c r="EJX142" s="221"/>
      <c r="EJY142" s="221"/>
      <c r="EJZ142" s="221"/>
      <c r="EKA142" s="221"/>
      <c r="EKB142" s="221"/>
      <c r="EKC142" s="221"/>
      <c r="EKD142" s="221"/>
      <c r="EKE142" s="221"/>
      <c r="EKF142" s="221"/>
      <c r="EKG142" s="221"/>
      <c r="EKH142" s="221"/>
      <c r="EKI142" s="221"/>
      <c r="EKJ142" s="221"/>
      <c r="EKK142" s="221"/>
      <c r="EKL142" s="221"/>
      <c r="EKM142" s="221"/>
      <c r="EKN142" s="221"/>
      <c r="EKO142" s="221"/>
      <c r="EKP142" s="221"/>
      <c r="EKQ142" s="221"/>
      <c r="EKR142" s="221"/>
      <c r="EKS142" s="221"/>
      <c r="EKT142" s="221"/>
      <c r="EKU142" s="221"/>
      <c r="EKV142" s="221"/>
      <c r="EKW142" s="221"/>
      <c r="EKX142" s="221"/>
      <c r="EKY142" s="221"/>
      <c r="EKZ142" s="221"/>
      <c r="ELA142" s="221"/>
      <c r="ELB142" s="221"/>
      <c r="ELC142" s="221"/>
      <c r="ELD142" s="221"/>
      <c r="ELE142" s="221"/>
      <c r="ELF142" s="221"/>
      <c r="ELG142" s="221"/>
      <c r="ELH142" s="221"/>
      <c r="ELI142" s="221"/>
      <c r="ELJ142" s="221"/>
      <c r="ELK142" s="221"/>
      <c r="ELL142" s="221"/>
      <c r="ELM142" s="221"/>
      <c r="ELN142" s="221"/>
      <c r="ELO142" s="221"/>
      <c r="ELP142" s="221"/>
      <c r="ELQ142" s="221"/>
      <c r="ELR142" s="221"/>
      <c r="ELS142" s="221"/>
      <c r="ELT142" s="221"/>
      <c r="ELU142" s="221"/>
      <c r="ELV142" s="221"/>
      <c r="ELW142" s="221"/>
      <c r="ELX142" s="221"/>
      <c r="ELY142" s="221"/>
      <c r="ELZ142" s="221"/>
      <c r="EMA142" s="221"/>
      <c r="EMB142" s="221"/>
      <c r="EMC142" s="221"/>
      <c r="EMD142" s="221"/>
      <c r="EME142" s="221"/>
      <c r="EMF142" s="221"/>
      <c r="EMG142" s="221"/>
      <c r="EMH142" s="221"/>
      <c r="EMI142" s="221"/>
      <c r="EMJ142" s="221"/>
      <c r="EMK142" s="221"/>
      <c r="EML142" s="221"/>
      <c r="EMM142" s="221"/>
      <c r="EMN142" s="221"/>
      <c r="EMO142" s="221"/>
      <c r="EMP142" s="221"/>
      <c r="EMQ142" s="221"/>
      <c r="EMR142" s="221"/>
      <c r="EMS142" s="221"/>
      <c r="EMT142" s="221"/>
      <c r="EMU142" s="221"/>
      <c r="EMV142" s="221"/>
      <c r="EMW142" s="221"/>
      <c r="EMX142" s="221"/>
      <c r="EMY142" s="221"/>
      <c r="EMZ142" s="221"/>
      <c r="ENA142" s="221"/>
      <c r="ENB142" s="221"/>
      <c r="ENC142" s="221"/>
      <c r="END142" s="221"/>
      <c r="ENE142" s="221"/>
      <c r="ENF142" s="221"/>
      <c r="ENG142" s="221"/>
      <c r="ENH142" s="221"/>
      <c r="ENI142" s="221"/>
      <c r="ENJ142" s="221"/>
      <c r="ENK142" s="221"/>
      <c r="ENL142" s="221"/>
      <c r="ENM142" s="221"/>
      <c r="ENN142" s="221"/>
      <c r="ENO142" s="221"/>
      <c r="ENP142" s="221"/>
      <c r="ENQ142" s="221"/>
      <c r="ENR142" s="221"/>
      <c r="ENS142" s="221"/>
      <c r="ENT142" s="221"/>
      <c r="ENU142" s="221"/>
      <c r="ENV142" s="221"/>
      <c r="ENW142" s="221"/>
      <c r="ENX142" s="221"/>
      <c r="ENY142" s="221"/>
      <c r="ENZ142" s="221"/>
      <c r="EOA142" s="221"/>
      <c r="EOB142" s="221"/>
      <c r="EOC142" s="221"/>
      <c r="EOD142" s="221"/>
      <c r="EOE142" s="221"/>
      <c r="EOF142" s="221"/>
      <c r="EOG142" s="221"/>
      <c r="EOH142" s="221"/>
      <c r="EOI142" s="221"/>
      <c r="EOJ142" s="221"/>
      <c r="EOK142" s="221"/>
      <c r="EOL142" s="221"/>
      <c r="EOM142" s="221"/>
      <c r="EON142" s="221"/>
      <c r="EOO142" s="221"/>
      <c r="EOP142" s="221"/>
      <c r="EOQ142" s="221"/>
      <c r="EOR142" s="221"/>
      <c r="EOS142" s="221"/>
      <c r="EOT142" s="221"/>
      <c r="EOU142" s="221"/>
      <c r="EOV142" s="221"/>
      <c r="EOW142" s="221"/>
      <c r="EOX142" s="221"/>
      <c r="EOY142" s="221"/>
      <c r="EOZ142" s="221"/>
      <c r="EPA142" s="221"/>
      <c r="EPB142" s="221"/>
      <c r="EPC142" s="221"/>
      <c r="EPD142" s="221"/>
      <c r="EPE142" s="221"/>
      <c r="EPF142" s="221"/>
      <c r="EPG142" s="221"/>
      <c r="EPH142" s="221"/>
      <c r="EPI142" s="221"/>
      <c r="EPJ142" s="221"/>
      <c r="EPK142" s="221"/>
      <c r="EPL142" s="221"/>
      <c r="EPM142" s="221"/>
      <c r="EPN142" s="221"/>
      <c r="EPO142" s="221"/>
      <c r="EPP142" s="221"/>
      <c r="EPQ142" s="221"/>
      <c r="EPR142" s="221"/>
      <c r="EPS142" s="221"/>
      <c r="EPT142" s="221"/>
      <c r="EPU142" s="221"/>
      <c r="EPV142" s="221"/>
      <c r="EPW142" s="221"/>
      <c r="EPX142" s="221"/>
      <c r="EPY142" s="221"/>
      <c r="EPZ142" s="221"/>
      <c r="EQA142" s="221"/>
      <c r="EQB142" s="221"/>
      <c r="EQC142" s="221"/>
      <c r="EQD142" s="221"/>
      <c r="EQE142" s="221"/>
      <c r="EQF142" s="221"/>
      <c r="EQG142" s="221"/>
      <c r="EQH142" s="221"/>
      <c r="EQI142" s="221"/>
      <c r="EQJ142" s="221"/>
      <c r="EQK142" s="221"/>
      <c r="EQL142" s="221"/>
      <c r="EQM142" s="221"/>
      <c r="EQN142" s="221"/>
      <c r="EQO142" s="221"/>
      <c r="EQP142" s="221"/>
      <c r="EQQ142" s="221"/>
      <c r="EQR142" s="221"/>
      <c r="EQS142" s="221"/>
      <c r="EQT142" s="221"/>
      <c r="EQU142" s="221"/>
      <c r="EQV142" s="221"/>
      <c r="EQW142" s="221"/>
      <c r="EQX142" s="221"/>
      <c r="EQY142" s="221"/>
      <c r="EQZ142" s="221"/>
      <c r="ERA142" s="221"/>
      <c r="ERB142" s="221"/>
      <c r="ERC142" s="221"/>
      <c r="ERD142" s="221"/>
      <c r="ERE142" s="221"/>
      <c r="ERF142" s="221"/>
      <c r="ERG142" s="221"/>
      <c r="ERH142" s="221"/>
      <c r="ERI142" s="221"/>
      <c r="ERJ142" s="221"/>
      <c r="ERK142" s="221"/>
      <c r="ERL142" s="221"/>
      <c r="ERM142" s="221"/>
      <c r="ERN142" s="221"/>
      <c r="ERO142" s="221"/>
      <c r="ERP142" s="221"/>
      <c r="ERQ142" s="221"/>
      <c r="ERR142" s="221"/>
      <c r="ERS142" s="221"/>
      <c r="ERT142" s="221"/>
      <c r="ERU142" s="221"/>
      <c r="ERV142" s="221"/>
      <c r="ERW142" s="221"/>
      <c r="ERX142" s="221"/>
      <c r="ERY142" s="221"/>
      <c r="ERZ142" s="221"/>
      <c r="ESA142" s="221"/>
      <c r="ESB142" s="221"/>
      <c r="ESC142" s="221"/>
      <c r="ESD142" s="221"/>
      <c r="ESE142" s="221"/>
      <c r="ESF142" s="221"/>
      <c r="ESG142" s="221"/>
      <c r="ESH142" s="221"/>
      <c r="ESI142" s="221"/>
      <c r="ESJ142" s="221"/>
      <c r="ESK142" s="221"/>
      <c r="ESL142" s="221"/>
      <c r="ESM142" s="221"/>
      <c r="ESN142" s="221"/>
      <c r="ESO142" s="221"/>
      <c r="ESP142" s="221"/>
      <c r="ESQ142" s="221"/>
      <c r="ESR142" s="221"/>
      <c r="ESS142" s="221"/>
      <c r="EST142" s="221"/>
      <c r="ESU142" s="221"/>
      <c r="ESV142" s="221"/>
      <c r="ESW142" s="221"/>
      <c r="ESX142" s="221"/>
      <c r="ESY142" s="221"/>
      <c r="ESZ142" s="221"/>
      <c r="ETA142" s="221"/>
      <c r="ETB142" s="221"/>
      <c r="ETC142" s="221"/>
      <c r="ETD142" s="221"/>
      <c r="ETE142" s="221"/>
      <c r="ETF142" s="221"/>
      <c r="ETG142" s="221"/>
      <c r="ETH142" s="221"/>
      <c r="ETI142" s="221"/>
      <c r="ETJ142" s="221"/>
      <c r="ETK142" s="221"/>
      <c r="ETL142" s="221"/>
      <c r="ETM142" s="221"/>
      <c r="ETN142" s="221"/>
      <c r="ETO142" s="221"/>
      <c r="ETP142" s="221"/>
      <c r="ETQ142" s="221"/>
      <c r="ETR142" s="221"/>
      <c r="ETS142" s="221"/>
      <c r="ETT142" s="221"/>
      <c r="ETU142" s="221"/>
      <c r="ETV142" s="221"/>
      <c r="ETW142" s="221"/>
      <c r="ETX142" s="221"/>
      <c r="ETY142" s="221"/>
      <c r="ETZ142" s="221"/>
      <c r="EUA142" s="221"/>
      <c r="EUB142" s="221"/>
      <c r="EUC142" s="221"/>
      <c r="EUD142" s="221"/>
      <c r="EUE142" s="221"/>
      <c r="EUF142" s="221"/>
      <c r="EUG142" s="221"/>
      <c r="EUH142" s="221"/>
      <c r="EUI142" s="221"/>
      <c r="EUJ142" s="221"/>
      <c r="EUK142" s="221"/>
      <c r="EUL142" s="221"/>
      <c r="EUM142" s="221"/>
      <c r="EUN142" s="221"/>
      <c r="EUO142" s="221"/>
      <c r="EUP142" s="221"/>
      <c r="EUQ142" s="221"/>
      <c r="EUR142" s="221"/>
      <c r="EUS142" s="221"/>
      <c r="EUT142" s="221"/>
      <c r="EUU142" s="221"/>
      <c r="EUV142" s="221"/>
      <c r="EUW142" s="221"/>
      <c r="EUX142" s="221"/>
      <c r="EUY142" s="221"/>
      <c r="EUZ142" s="221"/>
      <c r="EVA142" s="221"/>
      <c r="EVB142" s="221"/>
      <c r="EVC142" s="221"/>
      <c r="EVD142" s="221"/>
      <c r="EVE142" s="221"/>
      <c r="EVF142" s="221"/>
      <c r="EVG142" s="221"/>
      <c r="EVH142" s="221"/>
      <c r="EVI142" s="221"/>
      <c r="EVJ142" s="221"/>
      <c r="EVK142" s="221"/>
      <c r="EVL142" s="221"/>
      <c r="EVM142" s="221"/>
      <c r="EVN142" s="221"/>
      <c r="EVO142" s="221"/>
      <c r="EVP142" s="221"/>
      <c r="EVQ142" s="221"/>
      <c r="EVR142" s="221"/>
      <c r="EVS142" s="221"/>
      <c r="EVT142" s="221"/>
      <c r="EVU142" s="221"/>
      <c r="EVV142" s="221"/>
      <c r="EVW142" s="221"/>
      <c r="EVX142" s="221"/>
      <c r="EVY142" s="221"/>
      <c r="EVZ142" s="221"/>
      <c r="EWA142" s="221"/>
      <c r="EWB142" s="221"/>
      <c r="EWC142" s="221"/>
      <c r="EWD142" s="221"/>
      <c r="EWE142" s="221"/>
      <c r="EWF142" s="221"/>
      <c r="EWG142" s="221"/>
      <c r="EWH142" s="221"/>
      <c r="EWI142" s="221"/>
      <c r="EWJ142" s="221"/>
      <c r="EWK142" s="221"/>
      <c r="EWL142" s="221"/>
      <c r="EWM142" s="221"/>
      <c r="EWN142" s="221"/>
      <c r="EWO142" s="221"/>
      <c r="EWP142" s="221"/>
      <c r="EWQ142" s="221"/>
      <c r="EWR142" s="221"/>
      <c r="EWS142" s="221"/>
      <c r="EWT142" s="221"/>
      <c r="EWU142" s="221"/>
      <c r="EWV142" s="221"/>
      <c r="EWW142" s="221"/>
      <c r="EWX142" s="221"/>
      <c r="EWY142" s="221"/>
      <c r="EWZ142" s="221"/>
      <c r="EXA142" s="221"/>
      <c r="EXB142" s="221"/>
      <c r="EXC142" s="221"/>
      <c r="EXD142" s="221"/>
      <c r="EXE142" s="221"/>
      <c r="EXF142" s="221"/>
      <c r="EXG142" s="221"/>
      <c r="EXH142" s="221"/>
      <c r="EXI142" s="221"/>
      <c r="EXJ142" s="221"/>
      <c r="EXK142" s="221"/>
      <c r="EXL142" s="221"/>
      <c r="EXM142" s="221"/>
      <c r="EXN142" s="221"/>
      <c r="EXO142" s="221"/>
      <c r="EXP142" s="221"/>
      <c r="EXQ142" s="221"/>
      <c r="EXR142" s="221"/>
      <c r="EXS142" s="221"/>
      <c r="EXT142" s="221"/>
      <c r="EXU142" s="221"/>
      <c r="EXV142" s="221"/>
      <c r="EXW142" s="221"/>
      <c r="EXX142" s="221"/>
      <c r="EXY142" s="221"/>
      <c r="EXZ142" s="221"/>
      <c r="EYA142" s="221"/>
      <c r="EYB142" s="221"/>
      <c r="EYC142" s="221"/>
      <c r="EYD142" s="221"/>
      <c r="EYE142" s="221"/>
      <c r="EYF142" s="221"/>
      <c r="EYG142" s="221"/>
      <c r="EYH142" s="221"/>
      <c r="EYI142" s="221"/>
      <c r="EYJ142" s="221"/>
      <c r="EYK142" s="221"/>
      <c r="EYL142" s="221"/>
      <c r="EYM142" s="221"/>
      <c r="EYN142" s="221"/>
      <c r="EYO142" s="221"/>
      <c r="EYP142" s="221"/>
      <c r="EYQ142" s="221"/>
      <c r="EYR142" s="221"/>
      <c r="EYS142" s="221"/>
      <c r="EYT142" s="221"/>
      <c r="EYU142" s="221"/>
      <c r="EYV142" s="221"/>
      <c r="EYW142" s="221"/>
      <c r="EYX142" s="221"/>
      <c r="EYY142" s="221"/>
      <c r="EYZ142" s="221"/>
      <c r="EZA142" s="221"/>
      <c r="EZB142" s="221"/>
      <c r="EZC142" s="221"/>
      <c r="EZD142" s="221"/>
      <c r="EZE142" s="221"/>
      <c r="EZF142" s="221"/>
      <c r="EZG142" s="221"/>
      <c r="EZH142" s="221"/>
      <c r="EZI142" s="221"/>
      <c r="EZJ142" s="221"/>
      <c r="EZK142" s="221"/>
      <c r="EZL142" s="221"/>
      <c r="EZM142" s="221"/>
      <c r="EZN142" s="221"/>
      <c r="EZO142" s="221"/>
      <c r="EZP142" s="221"/>
      <c r="EZQ142" s="221"/>
      <c r="EZR142" s="221"/>
      <c r="EZS142" s="221"/>
      <c r="EZT142" s="221"/>
      <c r="EZU142" s="221"/>
      <c r="EZV142" s="221"/>
      <c r="EZW142" s="221"/>
      <c r="EZX142" s="221"/>
      <c r="EZY142" s="221"/>
      <c r="EZZ142" s="221"/>
      <c r="FAA142" s="221"/>
      <c r="FAB142" s="221"/>
      <c r="FAC142" s="221"/>
      <c r="FAD142" s="221"/>
      <c r="FAE142" s="221"/>
      <c r="FAF142" s="221"/>
      <c r="FAG142" s="221"/>
      <c r="FAH142" s="221"/>
      <c r="FAI142" s="221"/>
      <c r="FAJ142" s="221"/>
      <c r="FAK142" s="221"/>
      <c r="FAL142" s="221"/>
      <c r="FAM142" s="221"/>
      <c r="FAN142" s="221"/>
      <c r="FAO142" s="221"/>
      <c r="FAP142" s="221"/>
      <c r="FAQ142" s="221"/>
      <c r="FAR142" s="221"/>
      <c r="FAS142" s="221"/>
      <c r="FAT142" s="221"/>
      <c r="FAU142" s="221"/>
      <c r="FAV142" s="221"/>
      <c r="FAW142" s="221"/>
      <c r="FAX142" s="221"/>
      <c r="FAY142" s="221"/>
      <c r="FAZ142" s="221"/>
      <c r="FBA142" s="221"/>
      <c r="FBB142" s="221"/>
      <c r="FBC142" s="221"/>
      <c r="FBD142" s="221"/>
      <c r="FBE142" s="221"/>
      <c r="FBF142" s="221"/>
      <c r="FBG142" s="221"/>
      <c r="FBH142" s="221"/>
      <c r="FBI142" s="221"/>
      <c r="FBJ142" s="221"/>
      <c r="FBK142" s="221"/>
      <c r="FBL142" s="221"/>
      <c r="FBM142" s="221"/>
      <c r="FBN142" s="221"/>
      <c r="FBO142" s="221"/>
      <c r="FBP142" s="221"/>
      <c r="FBQ142" s="221"/>
      <c r="FBR142" s="221"/>
      <c r="FBS142" s="221"/>
      <c r="FBT142" s="221"/>
      <c r="FBU142" s="221"/>
      <c r="FBV142" s="221"/>
      <c r="FBW142" s="221"/>
      <c r="FBX142" s="221"/>
      <c r="FBY142" s="221"/>
      <c r="FBZ142" s="221"/>
      <c r="FCA142" s="221"/>
      <c r="FCB142" s="221"/>
      <c r="FCC142" s="221"/>
      <c r="FCD142" s="221"/>
      <c r="FCE142" s="221"/>
      <c r="FCF142" s="221"/>
      <c r="FCG142" s="221"/>
      <c r="FCH142" s="221"/>
      <c r="FCI142" s="221"/>
      <c r="FCJ142" s="221"/>
      <c r="FCK142" s="221"/>
      <c r="FCL142" s="221"/>
      <c r="FCM142" s="221"/>
      <c r="FCN142" s="221"/>
      <c r="FCO142" s="221"/>
      <c r="FCP142" s="221"/>
      <c r="FCQ142" s="221"/>
      <c r="FCR142" s="221"/>
      <c r="FCS142" s="221"/>
      <c r="FCT142" s="221"/>
      <c r="FCU142" s="221"/>
      <c r="FCV142" s="221"/>
      <c r="FCW142" s="221"/>
      <c r="FCX142" s="221"/>
      <c r="FCY142" s="221"/>
      <c r="FCZ142" s="221"/>
      <c r="FDA142" s="221"/>
      <c r="FDB142" s="221"/>
      <c r="FDC142" s="221"/>
      <c r="FDD142" s="221"/>
      <c r="FDE142" s="221"/>
      <c r="FDF142" s="221"/>
      <c r="FDG142" s="221"/>
      <c r="FDH142" s="221"/>
      <c r="FDI142" s="221"/>
      <c r="FDJ142" s="221"/>
      <c r="FDK142" s="221"/>
      <c r="FDL142" s="221"/>
      <c r="FDM142" s="221"/>
      <c r="FDN142" s="221"/>
      <c r="FDO142" s="221"/>
      <c r="FDP142" s="221"/>
      <c r="FDQ142" s="221"/>
      <c r="FDR142" s="221"/>
      <c r="FDS142" s="221"/>
      <c r="FDT142" s="221"/>
      <c r="FDU142" s="221"/>
      <c r="FDV142" s="221"/>
      <c r="FDW142" s="221"/>
      <c r="FDX142" s="221"/>
      <c r="FDY142" s="221"/>
      <c r="FDZ142" s="221"/>
      <c r="FEA142" s="221"/>
      <c r="FEB142" s="221"/>
      <c r="FEC142" s="221"/>
      <c r="FED142" s="221"/>
      <c r="FEE142" s="221"/>
      <c r="FEF142" s="221"/>
      <c r="FEG142" s="221"/>
      <c r="FEH142" s="221"/>
      <c r="FEI142" s="221"/>
      <c r="FEJ142" s="221"/>
      <c r="FEK142" s="221"/>
      <c r="FEL142" s="221"/>
      <c r="FEM142" s="221"/>
      <c r="FEN142" s="221"/>
      <c r="FEO142" s="221"/>
      <c r="FEP142" s="221"/>
      <c r="FEQ142" s="221"/>
      <c r="FER142" s="221"/>
      <c r="FES142" s="221"/>
      <c r="FET142" s="221"/>
      <c r="FEU142" s="221"/>
      <c r="FEV142" s="221"/>
      <c r="FEW142" s="221"/>
      <c r="FEX142" s="221"/>
      <c r="FEY142" s="221"/>
      <c r="FEZ142" s="221"/>
      <c r="FFA142" s="221"/>
      <c r="FFB142" s="221"/>
      <c r="FFC142" s="221"/>
      <c r="FFD142" s="221"/>
      <c r="FFE142" s="221"/>
      <c r="FFF142" s="221"/>
      <c r="FFG142" s="221"/>
      <c r="FFH142" s="221"/>
      <c r="FFI142" s="221"/>
      <c r="FFJ142" s="221"/>
      <c r="FFK142" s="221"/>
      <c r="FFL142" s="221"/>
      <c r="FFM142" s="221"/>
      <c r="FFN142" s="221"/>
      <c r="FFO142" s="221"/>
      <c r="FFP142" s="221"/>
      <c r="FFQ142" s="221"/>
      <c r="FFR142" s="221"/>
      <c r="FFS142" s="221"/>
      <c r="FFT142" s="221"/>
      <c r="FFU142" s="221"/>
      <c r="FFV142" s="221"/>
      <c r="FFW142" s="221"/>
      <c r="FFX142" s="221"/>
      <c r="FFY142" s="221"/>
      <c r="FFZ142" s="221"/>
      <c r="FGA142" s="221"/>
      <c r="FGB142" s="221"/>
      <c r="FGC142" s="221"/>
      <c r="FGD142" s="221"/>
      <c r="FGE142" s="221"/>
      <c r="FGF142" s="221"/>
      <c r="FGG142" s="221"/>
      <c r="FGH142" s="221"/>
      <c r="FGI142" s="221"/>
      <c r="FGJ142" s="221"/>
      <c r="FGK142" s="221"/>
      <c r="FGL142" s="221"/>
      <c r="FGM142" s="221"/>
      <c r="FGN142" s="221"/>
      <c r="FGO142" s="221"/>
      <c r="FGP142" s="221"/>
      <c r="FGQ142" s="221"/>
      <c r="FGR142" s="221"/>
      <c r="FGS142" s="221"/>
      <c r="FGT142" s="221"/>
      <c r="FGU142" s="221"/>
      <c r="FGV142" s="221"/>
      <c r="FGW142" s="221"/>
      <c r="FGX142" s="221"/>
      <c r="FGY142" s="221"/>
      <c r="FGZ142" s="221"/>
      <c r="FHA142" s="221"/>
      <c r="FHB142" s="221"/>
      <c r="FHC142" s="221"/>
      <c r="FHD142" s="221"/>
      <c r="FHE142" s="221"/>
      <c r="FHF142" s="221"/>
      <c r="FHG142" s="221"/>
      <c r="FHH142" s="221"/>
      <c r="FHI142" s="221"/>
      <c r="FHJ142" s="221"/>
      <c r="FHK142" s="221"/>
      <c r="FHL142" s="221"/>
      <c r="FHM142" s="221"/>
      <c r="FHN142" s="221"/>
      <c r="FHO142" s="221"/>
      <c r="FHP142" s="221"/>
      <c r="FHQ142" s="221"/>
      <c r="FHR142" s="221"/>
      <c r="FHS142" s="221"/>
      <c r="FHT142" s="221"/>
      <c r="FHU142" s="221"/>
      <c r="FHV142" s="221"/>
      <c r="FHW142" s="221"/>
      <c r="FHX142" s="221"/>
      <c r="FHY142" s="221"/>
      <c r="FHZ142" s="221"/>
      <c r="FIA142" s="221"/>
      <c r="FIB142" s="221"/>
      <c r="FIC142" s="221"/>
      <c r="FID142" s="221"/>
      <c r="FIE142" s="221"/>
      <c r="FIF142" s="221"/>
      <c r="FIG142" s="221"/>
      <c r="FIH142" s="221"/>
      <c r="FII142" s="221"/>
      <c r="FIJ142" s="221"/>
      <c r="FIK142" s="221"/>
      <c r="FIL142" s="221"/>
      <c r="FIM142" s="221"/>
      <c r="FIN142" s="221"/>
      <c r="FIO142" s="221"/>
      <c r="FIP142" s="221"/>
      <c r="FIQ142" s="221"/>
      <c r="FIR142" s="221"/>
      <c r="FIS142" s="221"/>
      <c r="FIT142" s="221"/>
      <c r="FIU142" s="221"/>
      <c r="FIV142" s="221"/>
      <c r="FIW142" s="221"/>
      <c r="FIX142" s="221"/>
      <c r="FIY142" s="221"/>
      <c r="FIZ142" s="221"/>
      <c r="FJA142" s="221"/>
      <c r="FJB142" s="221"/>
      <c r="FJC142" s="221"/>
      <c r="FJD142" s="221"/>
      <c r="FJE142" s="221"/>
      <c r="FJF142" s="221"/>
      <c r="FJG142" s="221"/>
      <c r="FJH142" s="221"/>
      <c r="FJI142" s="221"/>
      <c r="FJJ142" s="221"/>
      <c r="FJK142" s="221"/>
      <c r="FJL142" s="221"/>
      <c r="FJM142" s="221"/>
      <c r="FJN142" s="221"/>
      <c r="FJO142" s="221"/>
      <c r="FJP142" s="221"/>
      <c r="FJQ142" s="221"/>
      <c r="FJR142" s="221"/>
      <c r="FJS142" s="221"/>
      <c r="FJT142" s="221"/>
      <c r="FJU142" s="221"/>
      <c r="FJV142" s="221"/>
      <c r="FJW142" s="221"/>
      <c r="FJX142" s="221"/>
      <c r="FJY142" s="221"/>
      <c r="FJZ142" s="221"/>
      <c r="FKA142" s="221"/>
      <c r="FKB142" s="221"/>
      <c r="FKC142" s="221"/>
      <c r="FKD142" s="221"/>
      <c r="FKE142" s="221"/>
      <c r="FKF142" s="221"/>
      <c r="FKG142" s="221"/>
      <c r="FKH142" s="221"/>
      <c r="FKI142" s="221"/>
      <c r="FKJ142" s="221"/>
      <c r="FKK142" s="221"/>
      <c r="FKL142" s="221"/>
      <c r="FKM142" s="221"/>
      <c r="FKN142" s="221"/>
      <c r="FKO142" s="221"/>
      <c r="FKP142" s="221"/>
      <c r="FKQ142" s="221"/>
      <c r="FKR142" s="221"/>
      <c r="FKS142" s="221"/>
      <c r="FKT142" s="221"/>
      <c r="FKU142" s="221"/>
      <c r="FKV142" s="221"/>
      <c r="FKW142" s="221"/>
      <c r="FKX142" s="221"/>
      <c r="FKY142" s="221"/>
      <c r="FKZ142" s="221"/>
      <c r="FLA142" s="221"/>
      <c r="FLB142" s="221"/>
      <c r="FLC142" s="221"/>
      <c r="FLD142" s="221"/>
      <c r="FLE142" s="221"/>
      <c r="FLF142" s="221"/>
      <c r="FLG142" s="221"/>
      <c r="FLH142" s="221"/>
      <c r="FLI142" s="221"/>
      <c r="FLJ142" s="221"/>
      <c r="FLK142" s="221"/>
      <c r="FLL142" s="221"/>
      <c r="FLM142" s="221"/>
      <c r="FLN142" s="221"/>
      <c r="FLO142" s="221"/>
      <c r="FLP142" s="221"/>
      <c r="FLQ142" s="221"/>
      <c r="FLR142" s="221"/>
      <c r="FLS142" s="221"/>
      <c r="FLT142" s="221"/>
      <c r="FLU142" s="221"/>
      <c r="FLV142" s="221"/>
      <c r="FLW142" s="221"/>
      <c r="FLX142" s="221"/>
      <c r="FLY142" s="221"/>
      <c r="FLZ142" s="221"/>
      <c r="FMA142" s="221"/>
      <c r="FMB142" s="221"/>
      <c r="FMC142" s="221"/>
      <c r="FMD142" s="221"/>
      <c r="FME142" s="221"/>
      <c r="FMF142" s="221"/>
      <c r="FMG142" s="221"/>
      <c r="FMH142" s="221"/>
      <c r="FMI142" s="221"/>
      <c r="FMJ142" s="221"/>
      <c r="FMK142" s="221"/>
      <c r="FML142" s="221"/>
      <c r="FMM142" s="221"/>
      <c r="FMN142" s="221"/>
      <c r="FMO142" s="221"/>
      <c r="FMP142" s="221"/>
      <c r="FMQ142" s="221"/>
      <c r="FMR142" s="221"/>
      <c r="FMS142" s="221"/>
      <c r="FMT142" s="221"/>
      <c r="FMU142" s="221"/>
      <c r="FMV142" s="221"/>
      <c r="FMW142" s="221"/>
      <c r="FMX142" s="221"/>
      <c r="FMY142" s="221"/>
      <c r="FMZ142" s="221"/>
      <c r="FNA142" s="221"/>
      <c r="FNB142" s="221"/>
      <c r="FNC142" s="221"/>
      <c r="FND142" s="221"/>
      <c r="FNE142" s="221"/>
      <c r="FNF142" s="221"/>
      <c r="FNG142" s="221"/>
      <c r="FNH142" s="221"/>
      <c r="FNI142" s="221"/>
      <c r="FNJ142" s="221"/>
      <c r="FNK142" s="221"/>
      <c r="FNL142" s="221"/>
      <c r="FNM142" s="221"/>
      <c r="FNN142" s="221"/>
      <c r="FNO142" s="221"/>
      <c r="FNP142" s="221"/>
      <c r="FNQ142" s="221"/>
      <c r="FNR142" s="221"/>
      <c r="FNS142" s="221"/>
      <c r="FNT142" s="221"/>
      <c r="FNU142" s="221"/>
      <c r="FNV142" s="221"/>
      <c r="FNW142" s="221"/>
      <c r="FNX142" s="221"/>
      <c r="FNY142" s="221"/>
      <c r="FNZ142" s="221"/>
      <c r="FOA142" s="221"/>
      <c r="FOB142" s="221"/>
      <c r="FOC142" s="221"/>
      <c r="FOD142" s="221"/>
      <c r="FOE142" s="221"/>
      <c r="FOF142" s="221"/>
      <c r="FOG142" s="221"/>
      <c r="FOH142" s="221"/>
      <c r="FOI142" s="221"/>
      <c r="FOJ142" s="221"/>
      <c r="FOK142" s="221"/>
      <c r="FOL142" s="221"/>
      <c r="FOM142" s="221"/>
      <c r="FON142" s="221"/>
      <c r="FOO142" s="221"/>
      <c r="FOP142" s="221"/>
      <c r="FOQ142" s="221"/>
      <c r="FOR142" s="221"/>
      <c r="FOS142" s="221"/>
      <c r="FOT142" s="221"/>
      <c r="FOU142" s="221"/>
      <c r="FOV142" s="221"/>
      <c r="FOW142" s="221"/>
      <c r="FOX142" s="221"/>
      <c r="FOY142" s="221"/>
      <c r="FOZ142" s="221"/>
      <c r="FPA142" s="221"/>
      <c r="FPB142" s="221"/>
      <c r="FPC142" s="221"/>
      <c r="FPD142" s="221"/>
      <c r="FPE142" s="221"/>
      <c r="FPF142" s="221"/>
      <c r="FPG142" s="221"/>
      <c r="FPH142" s="221"/>
      <c r="FPI142" s="221"/>
      <c r="FPJ142" s="221"/>
      <c r="FPK142" s="221"/>
      <c r="FPL142" s="221"/>
      <c r="FPM142" s="221"/>
      <c r="FPN142" s="221"/>
      <c r="FPO142" s="221"/>
      <c r="FPP142" s="221"/>
      <c r="FPQ142" s="221"/>
      <c r="FPR142" s="221"/>
      <c r="FPS142" s="221"/>
      <c r="FPT142" s="221"/>
      <c r="FPU142" s="221"/>
      <c r="FPV142" s="221"/>
      <c r="FPW142" s="221"/>
      <c r="FPX142" s="221"/>
      <c r="FPY142" s="221"/>
      <c r="FPZ142" s="221"/>
      <c r="FQA142" s="221"/>
      <c r="FQB142" s="221"/>
      <c r="FQC142" s="221"/>
      <c r="FQD142" s="221"/>
      <c r="FQE142" s="221"/>
      <c r="FQF142" s="221"/>
      <c r="FQG142" s="221"/>
      <c r="FQH142" s="221"/>
      <c r="FQI142" s="221"/>
      <c r="FQJ142" s="221"/>
      <c r="FQK142" s="221"/>
      <c r="FQL142" s="221"/>
      <c r="FQM142" s="221"/>
      <c r="FQN142" s="221"/>
      <c r="FQO142" s="221"/>
      <c r="FQP142" s="221"/>
      <c r="FQQ142" s="221"/>
      <c r="FQR142" s="221"/>
      <c r="FQS142" s="221"/>
      <c r="FQT142" s="221"/>
      <c r="FQU142" s="221"/>
      <c r="FQV142" s="221"/>
      <c r="FQW142" s="221"/>
      <c r="FQX142" s="221"/>
      <c r="FQY142" s="221"/>
      <c r="FQZ142" s="221"/>
      <c r="FRA142" s="221"/>
      <c r="FRB142" s="221"/>
      <c r="FRC142" s="221"/>
      <c r="FRD142" s="221"/>
      <c r="FRE142" s="221"/>
      <c r="FRF142" s="221"/>
      <c r="FRG142" s="221"/>
      <c r="FRH142" s="221"/>
      <c r="FRI142" s="221"/>
      <c r="FRJ142" s="221"/>
      <c r="FRK142" s="221"/>
      <c r="FRL142" s="221"/>
      <c r="FRM142" s="221"/>
      <c r="FRN142" s="221"/>
      <c r="FRO142" s="221"/>
      <c r="FRP142" s="221"/>
      <c r="FRQ142" s="221"/>
      <c r="FRR142" s="221"/>
      <c r="FRS142" s="221"/>
      <c r="FRT142" s="221"/>
      <c r="FRU142" s="221"/>
      <c r="FRV142" s="221"/>
      <c r="FRW142" s="221"/>
      <c r="FRX142" s="221"/>
      <c r="FRY142" s="221"/>
      <c r="FRZ142" s="221"/>
      <c r="FSA142" s="221"/>
      <c r="FSB142" s="221"/>
      <c r="FSC142" s="221"/>
      <c r="FSD142" s="221"/>
      <c r="FSE142" s="221"/>
      <c r="FSF142" s="221"/>
      <c r="FSG142" s="221"/>
      <c r="FSH142" s="221"/>
      <c r="FSI142" s="221"/>
      <c r="FSJ142" s="221"/>
      <c r="FSK142" s="221"/>
      <c r="FSL142" s="221"/>
      <c r="FSM142" s="221"/>
      <c r="FSN142" s="221"/>
      <c r="FSO142" s="221"/>
      <c r="FSP142" s="221"/>
      <c r="FSQ142" s="221"/>
      <c r="FSR142" s="221"/>
      <c r="FSS142" s="221"/>
      <c r="FST142" s="221"/>
      <c r="FSU142" s="221"/>
      <c r="FSV142" s="221"/>
      <c r="FSW142" s="221"/>
      <c r="FSX142" s="221"/>
      <c r="FSY142" s="221"/>
      <c r="FSZ142" s="221"/>
      <c r="FTA142" s="221"/>
      <c r="FTB142" s="221"/>
      <c r="FTC142" s="221"/>
      <c r="FTD142" s="221"/>
      <c r="FTE142" s="221"/>
      <c r="FTF142" s="221"/>
      <c r="FTG142" s="221"/>
      <c r="FTH142" s="221"/>
      <c r="FTI142" s="221"/>
      <c r="FTJ142" s="221"/>
      <c r="FTK142" s="221"/>
      <c r="FTL142" s="221"/>
      <c r="FTM142" s="221"/>
      <c r="FTN142" s="221"/>
      <c r="FTO142" s="221"/>
      <c r="FTP142" s="221"/>
      <c r="FTQ142" s="221"/>
      <c r="FTR142" s="221"/>
      <c r="FTS142" s="221"/>
      <c r="FTT142" s="221"/>
      <c r="FTU142" s="221"/>
      <c r="FTV142" s="221"/>
      <c r="FTW142" s="221"/>
      <c r="FTX142" s="221"/>
      <c r="FTY142" s="221"/>
      <c r="FTZ142" s="221"/>
      <c r="FUA142" s="221"/>
      <c r="FUB142" s="221"/>
      <c r="FUC142" s="221"/>
      <c r="FUD142" s="221"/>
      <c r="FUE142" s="221"/>
      <c r="FUF142" s="221"/>
      <c r="FUG142" s="221"/>
      <c r="FUH142" s="221"/>
      <c r="FUI142" s="221"/>
      <c r="FUJ142" s="221"/>
      <c r="FUK142" s="221"/>
      <c r="FUL142" s="221"/>
      <c r="FUM142" s="221"/>
      <c r="FUN142" s="221"/>
      <c r="FUO142" s="221"/>
      <c r="FUP142" s="221"/>
      <c r="FUQ142" s="221"/>
      <c r="FUR142" s="221"/>
      <c r="FUS142" s="221"/>
      <c r="FUT142" s="221"/>
      <c r="FUU142" s="221"/>
      <c r="FUV142" s="221"/>
      <c r="FUW142" s="221"/>
      <c r="FUX142" s="221"/>
      <c r="FUY142" s="221"/>
      <c r="FUZ142" s="221"/>
      <c r="FVA142" s="221"/>
      <c r="FVB142" s="221"/>
      <c r="FVC142" s="221"/>
      <c r="FVD142" s="221"/>
      <c r="FVE142" s="221"/>
      <c r="FVF142" s="221"/>
      <c r="FVG142" s="221"/>
      <c r="FVH142" s="221"/>
      <c r="FVI142" s="221"/>
      <c r="FVJ142" s="221"/>
      <c r="FVK142" s="221"/>
      <c r="FVL142" s="221"/>
      <c r="FVM142" s="221"/>
      <c r="FVN142" s="221"/>
      <c r="FVO142" s="221"/>
      <c r="FVP142" s="221"/>
      <c r="FVQ142" s="221"/>
      <c r="FVR142" s="221"/>
      <c r="FVS142" s="221"/>
      <c r="FVT142" s="221"/>
      <c r="FVU142" s="221"/>
      <c r="FVV142" s="221"/>
      <c r="FVW142" s="221"/>
      <c r="FVX142" s="221"/>
      <c r="FVY142" s="221"/>
      <c r="FVZ142" s="221"/>
      <c r="FWA142" s="221"/>
      <c r="FWB142" s="221"/>
      <c r="FWC142" s="221"/>
      <c r="FWD142" s="221"/>
      <c r="FWE142" s="221"/>
      <c r="FWF142" s="221"/>
      <c r="FWG142" s="221"/>
      <c r="FWH142" s="221"/>
      <c r="FWI142" s="221"/>
      <c r="FWJ142" s="221"/>
      <c r="FWK142" s="221"/>
      <c r="FWL142" s="221"/>
      <c r="FWM142" s="221"/>
      <c r="FWN142" s="221"/>
      <c r="FWO142" s="221"/>
      <c r="FWP142" s="221"/>
      <c r="FWQ142" s="221"/>
      <c r="FWR142" s="221"/>
      <c r="FWS142" s="221"/>
      <c r="FWT142" s="221"/>
      <c r="FWU142" s="221"/>
      <c r="FWV142" s="221"/>
      <c r="FWW142" s="221"/>
      <c r="FWX142" s="221"/>
      <c r="FWY142" s="221"/>
      <c r="FWZ142" s="221"/>
      <c r="FXA142" s="221"/>
      <c r="FXB142" s="221"/>
      <c r="FXC142" s="221"/>
      <c r="FXD142" s="221"/>
      <c r="FXE142" s="221"/>
      <c r="FXF142" s="221"/>
      <c r="FXG142" s="221"/>
      <c r="FXH142" s="221"/>
      <c r="FXI142" s="221"/>
      <c r="FXJ142" s="221"/>
      <c r="FXK142" s="221"/>
      <c r="FXL142" s="221"/>
      <c r="FXM142" s="221"/>
      <c r="FXN142" s="221"/>
      <c r="FXO142" s="221"/>
      <c r="FXP142" s="221"/>
      <c r="FXQ142" s="221"/>
      <c r="FXR142" s="221"/>
      <c r="FXS142" s="221"/>
      <c r="FXT142" s="221"/>
      <c r="FXU142" s="221"/>
      <c r="FXV142" s="221"/>
      <c r="FXW142" s="221"/>
      <c r="FXX142" s="221"/>
      <c r="FXY142" s="221"/>
      <c r="FXZ142" s="221"/>
      <c r="FYA142" s="221"/>
      <c r="FYB142" s="221"/>
      <c r="FYC142" s="221"/>
      <c r="FYD142" s="221"/>
      <c r="FYE142" s="221"/>
      <c r="FYF142" s="221"/>
      <c r="FYG142" s="221"/>
      <c r="FYH142" s="221"/>
      <c r="FYI142" s="221"/>
      <c r="FYJ142" s="221"/>
      <c r="FYK142" s="221"/>
      <c r="FYL142" s="221"/>
      <c r="FYM142" s="221"/>
      <c r="FYN142" s="221"/>
      <c r="FYO142" s="221"/>
      <c r="FYP142" s="221"/>
      <c r="FYQ142" s="221"/>
      <c r="FYR142" s="221"/>
      <c r="FYS142" s="221"/>
      <c r="FYT142" s="221"/>
      <c r="FYU142" s="221"/>
      <c r="FYV142" s="221"/>
      <c r="FYW142" s="221"/>
      <c r="FYX142" s="221"/>
      <c r="FYY142" s="221"/>
      <c r="FYZ142" s="221"/>
      <c r="FZA142" s="221"/>
      <c r="FZB142" s="221"/>
      <c r="FZC142" s="221"/>
      <c r="FZD142" s="221"/>
      <c r="FZE142" s="221"/>
      <c r="FZF142" s="221"/>
      <c r="FZG142" s="221"/>
      <c r="FZH142" s="221"/>
      <c r="FZI142" s="221"/>
      <c r="FZJ142" s="221"/>
      <c r="FZK142" s="221"/>
      <c r="FZL142" s="221"/>
      <c r="FZM142" s="221"/>
      <c r="FZN142" s="221"/>
      <c r="FZO142" s="221"/>
      <c r="FZP142" s="221"/>
      <c r="FZQ142" s="221"/>
      <c r="FZR142" s="221"/>
      <c r="FZS142" s="221"/>
      <c r="FZT142" s="221"/>
      <c r="FZU142" s="221"/>
      <c r="FZV142" s="221"/>
      <c r="FZW142" s="221"/>
      <c r="FZX142" s="221"/>
      <c r="FZY142" s="221"/>
      <c r="FZZ142" s="221"/>
      <c r="GAA142" s="221"/>
      <c r="GAB142" s="221"/>
      <c r="GAC142" s="221"/>
      <c r="GAD142" s="221"/>
      <c r="GAE142" s="221"/>
      <c r="GAF142" s="221"/>
      <c r="GAG142" s="221"/>
      <c r="GAH142" s="221"/>
      <c r="GAI142" s="221"/>
      <c r="GAJ142" s="221"/>
      <c r="GAK142" s="221"/>
      <c r="GAL142" s="221"/>
      <c r="GAM142" s="221"/>
      <c r="GAN142" s="221"/>
      <c r="GAO142" s="221"/>
      <c r="GAP142" s="221"/>
      <c r="GAQ142" s="221"/>
      <c r="GAR142" s="221"/>
      <c r="GAS142" s="221"/>
      <c r="GAT142" s="221"/>
      <c r="GAU142" s="221"/>
      <c r="GAV142" s="221"/>
      <c r="GAW142" s="221"/>
      <c r="GAX142" s="221"/>
      <c r="GAY142" s="221"/>
      <c r="GAZ142" s="221"/>
      <c r="GBA142" s="221"/>
      <c r="GBB142" s="221"/>
      <c r="GBC142" s="221"/>
      <c r="GBD142" s="221"/>
      <c r="GBE142" s="221"/>
      <c r="GBF142" s="221"/>
      <c r="GBG142" s="221"/>
      <c r="GBH142" s="221"/>
      <c r="GBI142" s="221"/>
      <c r="GBJ142" s="221"/>
      <c r="GBK142" s="221"/>
      <c r="GBL142" s="221"/>
      <c r="GBM142" s="221"/>
      <c r="GBN142" s="221"/>
      <c r="GBO142" s="221"/>
      <c r="GBP142" s="221"/>
      <c r="GBQ142" s="221"/>
      <c r="GBR142" s="221"/>
      <c r="GBS142" s="221"/>
      <c r="GBT142" s="221"/>
      <c r="GBU142" s="221"/>
      <c r="GBV142" s="221"/>
      <c r="GBW142" s="221"/>
      <c r="GBX142" s="221"/>
      <c r="GBY142" s="221"/>
      <c r="GBZ142" s="221"/>
      <c r="GCA142" s="221"/>
      <c r="GCB142" s="221"/>
      <c r="GCC142" s="221"/>
      <c r="GCD142" s="221"/>
      <c r="GCE142" s="221"/>
      <c r="GCF142" s="221"/>
      <c r="GCG142" s="221"/>
      <c r="GCH142" s="221"/>
      <c r="GCI142" s="221"/>
      <c r="GCJ142" s="221"/>
      <c r="GCK142" s="221"/>
      <c r="GCL142" s="221"/>
      <c r="GCM142" s="221"/>
      <c r="GCN142" s="221"/>
      <c r="GCO142" s="221"/>
      <c r="GCP142" s="221"/>
      <c r="GCQ142" s="221"/>
      <c r="GCR142" s="221"/>
      <c r="GCS142" s="221"/>
      <c r="GCT142" s="221"/>
      <c r="GCU142" s="221"/>
      <c r="GCV142" s="221"/>
      <c r="GCW142" s="221"/>
      <c r="GCX142" s="221"/>
      <c r="GCY142" s="221"/>
      <c r="GCZ142" s="221"/>
      <c r="GDA142" s="221"/>
      <c r="GDB142" s="221"/>
      <c r="GDC142" s="221"/>
      <c r="GDD142" s="221"/>
      <c r="GDE142" s="221"/>
      <c r="GDF142" s="221"/>
      <c r="GDG142" s="221"/>
      <c r="GDH142" s="221"/>
      <c r="GDI142" s="221"/>
      <c r="GDJ142" s="221"/>
      <c r="GDK142" s="221"/>
      <c r="GDL142" s="221"/>
      <c r="GDM142" s="221"/>
      <c r="GDN142" s="221"/>
      <c r="GDO142" s="221"/>
      <c r="GDP142" s="221"/>
      <c r="GDQ142" s="221"/>
      <c r="GDR142" s="221"/>
      <c r="GDS142" s="221"/>
      <c r="GDT142" s="221"/>
      <c r="GDU142" s="221"/>
      <c r="GDV142" s="221"/>
      <c r="GDW142" s="221"/>
      <c r="GDX142" s="221"/>
      <c r="GDY142" s="221"/>
      <c r="GDZ142" s="221"/>
      <c r="GEA142" s="221"/>
      <c r="GEB142" s="221"/>
      <c r="GEC142" s="221"/>
      <c r="GED142" s="221"/>
      <c r="GEE142" s="221"/>
      <c r="GEF142" s="221"/>
      <c r="GEG142" s="221"/>
      <c r="GEH142" s="221"/>
      <c r="GEI142" s="221"/>
      <c r="GEJ142" s="221"/>
      <c r="GEK142" s="221"/>
      <c r="GEL142" s="221"/>
      <c r="GEM142" s="221"/>
      <c r="GEN142" s="221"/>
      <c r="GEO142" s="221"/>
      <c r="GEP142" s="221"/>
      <c r="GEQ142" s="221"/>
      <c r="GER142" s="221"/>
      <c r="GES142" s="221"/>
      <c r="GET142" s="221"/>
      <c r="GEU142" s="221"/>
      <c r="GEV142" s="221"/>
      <c r="GEW142" s="221"/>
      <c r="GEX142" s="221"/>
      <c r="GEY142" s="221"/>
      <c r="GEZ142" s="221"/>
      <c r="GFA142" s="221"/>
      <c r="GFB142" s="221"/>
      <c r="GFC142" s="221"/>
      <c r="GFD142" s="221"/>
      <c r="GFE142" s="221"/>
      <c r="GFF142" s="221"/>
      <c r="GFG142" s="221"/>
      <c r="GFH142" s="221"/>
      <c r="GFI142" s="221"/>
      <c r="GFJ142" s="221"/>
      <c r="GFK142" s="221"/>
      <c r="GFL142" s="221"/>
      <c r="GFM142" s="221"/>
      <c r="GFN142" s="221"/>
      <c r="GFO142" s="221"/>
      <c r="GFP142" s="221"/>
      <c r="GFQ142" s="221"/>
      <c r="GFR142" s="221"/>
      <c r="GFS142" s="221"/>
      <c r="GFT142" s="221"/>
      <c r="GFU142" s="221"/>
      <c r="GFV142" s="221"/>
      <c r="GFW142" s="221"/>
      <c r="GFX142" s="221"/>
      <c r="GFY142" s="221"/>
      <c r="GFZ142" s="221"/>
      <c r="GGA142" s="221"/>
      <c r="GGB142" s="221"/>
      <c r="GGC142" s="221"/>
      <c r="GGD142" s="221"/>
      <c r="GGE142" s="221"/>
      <c r="GGF142" s="221"/>
      <c r="GGG142" s="221"/>
      <c r="GGH142" s="221"/>
      <c r="GGI142" s="221"/>
      <c r="GGJ142" s="221"/>
      <c r="GGK142" s="221"/>
      <c r="GGL142" s="221"/>
      <c r="GGM142" s="221"/>
      <c r="GGN142" s="221"/>
      <c r="GGO142" s="221"/>
      <c r="GGP142" s="221"/>
      <c r="GGQ142" s="221"/>
      <c r="GGR142" s="221"/>
      <c r="GGS142" s="221"/>
      <c r="GGT142" s="221"/>
      <c r="GGU142" s="221"/>
      <c r="GGV142" s="221"/>
      <c r="GGW142" s="221"/>
      <c r="GGX142" s="221"/>
      <c r="GGY142" s="221"/>
      <c r="GGZ142" s="221"/>
      <c r="GHA142" s="221"/>
      <c r="GHB142" s="221"/>
      <c r="GHC142" s="221"/>
      <c r="GHD142" s="221"/>
      <c r="GHE142" s="221"/>
      <c r="GHF142" s="221"/>
      <c r="GHG142" s="221"/>
      <c r="GHH142" s="221"/>
      <c r="GHI142" s="221"/>
      <c r="GHJ142" s="221"/>
      <c r="GHK142" s="221"/>
      <c r="GHL142" s="221"/>
      <c r="GHM142" s="221"/>
      <c r="GHN142" s="221"/>
      <c r="GHO142" s="221"/>
      <c r="GHP142" s="221"/>
      <c r="GHQ142" s="221"/>
      <c r="GHR142" s="221"/>
      <c r="GHS142" s="221"/>
      <c r="GHT142" s="221"/>
      <c r="GHU142" s="221"/>
      <c r="GHV142" s="221"/>
      <c r="GHW142" s="221"/>
      <c r="GHX142" s="221"/>
      <c r="GHY142" s="221"/>
      <c r="GHZ142" s="221"/>
      <c r="GIA142" s="221"/>
      <c r="GIB142" s="221"/>
      <c r="GIC142" s="221"/>
      <c r="GID142" s="221"/>
      <c r="GIE142" s="221"/>
      <c r="GIF142" s="221"/>
      <c r="GIG142" s="221"/>
      <c r="GIH142" s="221"/>
      <c r="GII142" s="221"/>
      <c r="GIJ142" s="221"/>
      <c r="GIK142" s="221"/>
      <c r="GIL142" s="221"/>
      <c r="GIM142" s="221"/>
      <c r="GIN142" s="221"/>
      <c r="GIO142" s="221"/>
      <c r="GIP142" s="221"/>
      <c r="GIQ142" s="221"/>
      <c r="GIR142" s="221"/>
      <c r="GIS142" s="221"/>
      <c r="GIT142" s="221"/>
      <c r="GIU142" s="221"/>
      <c r="GIV142" s="221"/>
      <c r="GIW142" s="221"/>
      <c r="GIX142" s="221"/>
      <c r="GIY142" s="221"/>
      <c r="GIZ142" s="221"/>
      <c r="GJA142" s="221"/>
      <c r="GJB142" s="221"/>
      <c r="GJC142" s="221"/>
      <c r="GJD142" s="221"/>
      <c r="GJE142" s="221"/>
      <c r="GJF142" s="221"/>
      <c r="GJG142" s="221"/>
      <c r="GJH142" s="221"/>
      <c r="GJI142" s="221"/>
      <c r="GJJ142" s="221"/>
      <c r="GJK142" s="221"/>
      <c r="GJL142" s="221"/>
      <c r="GJM142" s="221"/>
      <c r="GJN142" s="221"/>
      <c r="GJO142" s="221"/>
      <c r="GJP142" s="221"/>
      <c r="GJQ142" s="221"/>
      <c r="GJR142" s="221"/>
      <c r="GJS142" s="221"/>
      <c r="GJT142" s="221"/>
      <c r="GJU142" s="221"/>
      <c r="GJV142" s="221"/>
      <c r="GJW142" s="221"/>
      <c r="GJX142" s="221"/>
      <c r="GJY142" s="221"/>
      <c r="GJZ142" s="221"/>
      <c r="GKA142" s="221"/>
      <c r="GKB142" s="221"/>
      <c r="GKC142" s="221"/>
      <c r="GKD142" s="221"/>
      <c r="GKE142" s="221"/>
      <c r="GKF142" s="221"/>
      <c r="GKG142" s="221"/>
      <c r="GKH142" s="221"/>
      <c r="GKI142" s="221"/>
      <c r="GKJ142" s="221"/>
      <c r="GKK142" s="221"/>
      <c r="GKL142" s="221"/>
      <c r="GKM142" s="221"/>
      <c r="GKN142" s="221"/>
      <c r="GKO142" s="221"/>
      <c r="GKP142" s="221"/>
      <c r="GKQ142" s="221"/>
      <c r="GKR142" s="221"/>
      <c r="GKS142" s="221"/>
      <c r="GKT142" s="221"/>
      <c r="GKU142" s="221"/>
      <c r="GKV142" s="221"/>
      <c r="GKW142" s="221"/>
      <c r="GKX142" s="221"/>
      <c r="GKY142" s="221"/>
      <c r="GKZ142" s="221"/>
      <c r="GLA142" s="221"/>
      <c r="GLB142" s="221"/>
      <c r="GLC142" s="221"/>
      <c r="GLD142" s="221"/>
      <c r="GLE142" s="221"/>
      <c r="GLF142" s="221"/>
      <c r="GLG142" s="221"/>
      <c r="GLH142" s="221"/>
      <c r="GLI142" s="221"/>
      <c r="GLJ142" s="221"/>
      <c r="GLK142" s="221"/>
      <c r="GLL142" s="221"/>
      <c r="GLM142" s="221"/>
      <c r="GLN142" s="221"/>
      <c r="GLO142" s="221"/>
      <c r="GLP142" s="221"/>
      <c r="GLQ142" s="221"/>
      <c r="GLR142" s="221"/>
      <c r="GLS142" s="221"/>
      <c r="GLT142" s="221"/>
      <c r="GLU142" s="221"/>
      <c r="GLV142" s="221"/>
      <c r="GLW142" s="221"/>
      <c r="GLX142" s="221"/>
      <c r="GLY142" s="221"/>
      <c r="GLZ142" s="221"/>
      <c r="GMA142" s="221"/>
      <c r="GMB142" s="221"/>
      <c r="GMC142" s="221"/>
      <c r="GMD142" s="221"/>
      <c r="GME142" s="221"/>
      <c r="GMF142" s="221"/>
      <c r="GMG142" s="221"/>
      <c r="GMH142" s="221"/>
      <c r="GMI142" s="221"/>
      <c r="GMJ142" s="221"/>
      <c r="GMK142" s="221"/>
      <c r="GML142" s="221"/>
      <c r="GMM142" s="221"/>
      <c r="GMN142" s="221"/>
      <c r="GMO142" s="221"/>
      <c r="GMP142" s="221"/>
      <c r="GMQ142" s="221"/>
      <c r="GMR142" s="221"/>
      <c r="GMS142" s="221"/>
      <c r="GMT142" s="221"/>
      <c r="GMU142" s="221"/>
      <c r="GMV142" s="221"/>
      <c r="GMW142" s="221"/>
      <c r="GMX142" s="221"/>
      <c r="GMY142" s="221"/>
      <c r="GMZ142" s="221"/>
      <c r="GNA142" s="221"/>
      <c r="GNB142" s="221"/>
      <c r="GNC142" s="221"/>
      <c r="GND142" s="221"/>
      <c r="GNE142" s="221"/>
      <c r="GNF142" s="221"/>
      <c r="GNG142" s="221"/>
      <c r="GNH142" s="221"/>
      <c r="GNI142" s="221"/>
      <c r="GNJ142" s="221"/>
      <c r="GNK142" s="221"/>
      <c r="GNL142" s="221"/>
      <c r="GNM142" s="221"/>
      <c r="GNN142" s="221"/>
      <c r="GNO142" s="221"/>
      <c r="GNP142" s="221"/>
      <c r="GNQ142" s="221"/>
      <c r="GNR142" s="221"/>
      <c r="GNS142" s="221"/>
      <c r="GNT142" s="221"/>
      <c r="GNU142" s="221"/>
      <c r="GNV142" s="221"/>
      <c r="GNW142" s="221"/>
      <c r="GNX142" s="221"/>
      <c r="GNY142" s="221"/>
      <c r="GNZ142" s="221"/>
      <c r="GOA142" s="221"/>
      <c r="GOB142" s="221"/>
      <c r="GOC142" s="221"/>
      <c r="GOD142" s="221"/>
      <c r="GOE142" s="221"/>
      <c r="GOF142" s="221"/>
      <c r="GOG142" s="221"/>
      <c r="GOH142" s="221"/>
      <c r="GOI142" s="221"/>
      <c r="GOJ142" s="221"/>
      <c r="GOK142" s="221"/>
      <c r="GOL142" s="221"/>
      <c r="GOM142" s="221"/>
      <c r="GON142" s="221"/>
      <c r="GOO142" s="221"/>
      <c r="GOP142" s="221"/>
      <c r="GOQ142" s="221"/>
      <c r="GOR142" s="221"/>
      <c r="GOS142" s="221"/>
      <c r="GOT142" s="221"/>
      <c r="GOU142" s="221"/>
      <c r="GOV142" s="221"/>
      <c r="GOW142" s="221"/>
      <c r="GOX142" s="221"/>
      <c r="GOY142" s="221"/>
      <c r="GOZ142" s="221"/>
      <c r="GPA142" s="221"/>
      <c r="GPB142" s="221"/>
      <c r="GPC142" s="221"/>
      <c r="GPD142" s="221"/>
      <c r="GPE142" s="221"/>
      <c r="GPF142" s="221"/>
      <c r="GPG142" s="221"/>
      <c r="GPH142" s="221"/>
      <c r="GPI142" s="221"/>
      <c r="GPJ142" s="221"/>
      <c r="GPK142" s="221"/>
      <c r="GPL142" s="221"/>
      <c r="GPM142" s="221"/>
      <c r="GPN142" s="221"/>
      <c r="GPO142" s="221"/>
      <c r="GPP142" s="221"/>
      <c r="GPQ142" s="221"/>
      <c r="GPR142" s="221"/>
      <c r="GPS142" s="221"/>
      <c r="GPT142" s="221"/>
      <c r="GPU142" s="221"/>
      <c r="GPV142" s="221"/>
      <c r="GPW142" s="221"/>
      <c r="GPX142" s="221"/>
      <c r="GPY142" s="221"/>
      <c r="GPZ142" s="221"/>
      <c r="GQA142" s="221"/>
      <c r="GQB142" s="221"/>
      <c r="GQC142" s="221"/>
      <c r="GQD142" s="221"/>
      <c r="GQE142" s="221"/>
      <c r="GQF142" s="221"/>
      <c r="GQG142" s="221"/>
      <c r="GQH142" s="221"/>
      <c r="GQI142" s="221"/>
      <c r="GQJ142" s="221"/>
      <c r="GQK142" s="221"/>
      <c r="GQL142" s="221"/>
      <c r="GQM142" s="221"/>
      <c r="GQN142" s="221"/>
      <c r="GQO142" s="221"/>
      <c r="GQP142" s="221"/>
      <c r="GQQ142" s="221"/>
      <c r="GQR142" s="221"/>
      <c r="GQS142" s="221"/>
      <c r="GQT142" s="221"/>
      <c r="GQU142" s="221"/>
      <c r="GQV142" s="221"/>
      <c r="GQW142" s="221"/>
      <c r="GQX142" s="221"/>
      <c r="GQY142" s="221"/>
      <c r="GQZ142" s="221"/>
      <c r="GRA142" s="221"/>
      <c r="GRB142" s="221"/>
      <c r="GRC142" s="221"/>
      <c r="GRD142" s="221"/>
      <c r="GRE142" s="221"/>
      <c r="GRF142" s="221"/>
      <c r="GRG142" s="221"/>
      <c r="GRH142" s="221"/>
      <c r="GRI142" s="221"/>
      <c r="GRJ142" s="221"/>
      <c r="GRK142" s="221"/>
      <c r="GRL142" s="221"/>
      <c r="GRM142" s="221"/>
      <c r="GRN142" s="221"/>
      <c r="GRO142" s="221"/>
      <c r="GRP142" s="221"/>
      <c r="GRQ142" s="221"/>
      <c r="GRR142" s="221"/>
      <c r="GRS142" s="221"/>
      <c r="GRT142" s="221"/>
      <c r="GRU142" s="221"/>
      <c r="GRV142" s="221"/>
      <c r="GRW142" s="221"/>
      <c r="GRX142" s="221"/>
      <c r="GRY142" s="221"/>
      <c r="GRZ142" s="221"/>
      <c r="GSA142" s="221"/>
      <c r="GSB142" s="221"/>
      <c r="GSC142" s="221"/>
      <c r="GSD142" s="221"/>
      <c r="GSE142" s="221"/>
      <c r="GSF142" s="221"/>
      <c r="GSG142" s="221"/>
      <c r="GSH142" s="221"/>
      <c r="GSI142" s="221"/>
      <c r="GSJ142" s="221"/>
      <c r="GSK142" s="221"/>
      <c r="GSL142" s="221"/>
      <c r="GSM142" s="221"/>
      <c r="GSN142" s="221"/>
      <c r="GSO142" s="221"/>
      <c r="GSP142" s="221"/>
      <c r="GSQ142" s="221"/>
      <c r="GSR142" s="221"/>
      <c r="GSS142" s="221"/>
      <c r="GST142" s="221"/>
      <c r="GSU142" s="221"/>
      <c r="GSV142" s="221"/>
      <c r="GSW142" s="221"/>
      <c r="GSX142" s="221"/>
      <c r="GSY142" s="221"/>
      <c r="GSZ142" s="221"/>
      <c r="GTA142" s="221"/>
      <c r="GTB142" s="221"/>
      <c r="GTC142" s="221"/>
      <c r="GTD142" s="221"/>
      <c r="GTE142" s="221"/>
      <c r="GTF142" s="221"/>
      <c r="GTG142" s="221"/>
      <c r="GTH142" s="221"/>
      <c r="GTI142" s="221"/>
      <c r="GTJ142" s="221"/>
      <c r="GTK142" s="221"/>
      <c r="GTL142" s="221"/>
      <c r="GTM142" s="221"/>
      <c r="GTN142" s="221"/>
      <c r="GTO142" s="221"/>
      <c r="GTP142" s="221"/>
      <c r="GTQ142" s="221"/>
      <c r="GTR142" s="221"/>
      <c r="GTS142" s="221"/>
      <c r="GTT142" s="221"/>
      <c r="GTU142" s="221"/>
      <c r="GTV142" s="221"/>
      <c r="GTW142" s="221"/>
      <c r="GTX142" s="221"/>
      <c r="GTY142" s="221"/>
      <c r="GTZ142" s="221"/>
      <c r="GUA142" s="221"/>
      <c r="GUB142" s="221"/>
      <c r="GUC142" s="221"/>
      <c r="GUD142" s="221"/>
      <c r="GUE142" s="221"/>
      <c r="GUF142" s="221"/>
      <c r="GUG142" s="221"/>
      <c r="GUH142" s="221"/>
      <c r="GUI142" s="221"/>
      <c r="GUJ142" s="221"/>
      <c r="GUK142" s="221"/>
      <c r="GUL142" s="221"/>
      <c r="GUM142" s="221"/>
      <c r="GUN142" s="221"/>
      <c r="GUO142" s="221"/>
      <c r="GUP142" s="221"/>
      <c r="GUQ142" s="221"/>
      <c r="GUR142" s="221"/>
      <c r="GUS142" s="221"/>
      <c r="GUT142" s="221"/>
      <c r="GUU142" s="221"/>
      <c r="GUV142" s="221"/>
      <c r="GUW142" s="221"/>
      <c r="GUX142" s="221"/>
      <c r="GUY142" s="221"/>
      <c r="GUZ142" s="221"/>
      <c r="GVA142" s="221"/>
      <c r="GVB142" s="221"/>
      <c r="GVC142" s="221"/>
      <c r="GVD142" s="221"/>
      <c r="GVE142" s="221"/>
      <c r="GVF142" s="221"/>
      <c r="GVG142" s="221"/>
      <c r="GVH142" s="221"/>
      <c r="GVI142" s="221"/>
      <c r="GVJ142" s="221"/>
      <c r="GVK142" s="221"/>
      <c r="GVL142" s="221"/>
      <c r="GVM142" s="221"/>
      <c r="GVN142" s="221"/>
      <c r="GVO142" s="221"/>
      <c r="GVP142" s="221"/>
      <c r="GVQ142" s="221"/>
      <c r="GVR142" s="221"/>
      <c r="GVS142" s="221"/>
      <c r="GVT142" s="221"/>
      <c r="GVU142" s="221"/>
      <c r="GVV142" s="221"/>
      <c r="GVW142" s="221"/>
      <c r="GVX142" s="221"/>
      <c r="GVY142" s="221"/>
      <c r="GVZ142" s="221"/>
      <c r="GWA142" s="221"/>
      <c r="GWB142" s="221"/>
      <c r="GWC142" s="221"/>
      <c r="GWD142" s="221"/>
      <c r="GWE142" s="221"/>
      <c r="GWF142" s="221"/>
      <c r="GWG142" s="221"/>
      <c r="GWH142" s="221"/>
      <c r="GWI142" s="221"/>
      <c r="GWJ142" s="221"/>
      <c r="GWK142" s="221"/>
      <c r="GWL142" s="221"/>
      <c r="GWM142" s="221"/>
      <c r="GWN142" s="221"/>
      <c r="GWO142" s="221"/>
      <c r="GWP142" s="221"/>
      <c r="GWQ142" s="221"/>
      <c r="GWR142" s="221"/>
      <c r="GWS142" s="221"/>
      <c r="GWT142" s="221"/>
      <c r="GWU142" s="221"/>
      <c r="GWV142" s="221"/>
      <c r="GWW142" s="221"/>
      <c r="GWX142" s="221"/>
      <c r="GWY142" s="221"/>
      <c r="GWZ142" s="221"/>
      <c r="GXA142" s="221"/>
      <c r="GXB142" s="221"/>
      <c r="GXC142" s="221"/>
      <c r="GXD142" s="221"/>
      <c r="GXE142" s="221"/>
      <c r="GXF142" s="221"/>
      <c r="GXG142" s="221"/>
      <c r="GXH142" s="221"/>
      <c r="GXI142" s="221"/>
      <c r="GXJ142" s="221"/>
      <c r="GXK142" s="221"/>
      <c r="GXL142" s="221"/>
      <c r="GXM142" s="221"/>
      <c r="GXN142" s="221"/>
      <c r="GXO142" s="221"/>
      <c r="GXP142" s="221"/>
      <c r="GXQ142" s="221"/>
      <c r="GXR142" s="221"/>
      <c r="GXS142" s="221"/>
      <c r="GXT142" s="221"/>
      <c r="GXU142" s="221"/>
      <c r="GXV142" s="221"/>
      <c r="GXW142" s="221"/>
      <c r="GXX142" s="221"/>
      <c r="GXY142" s="221"/>
      <c r="GXZ142" s="221"/>
      <c r="GYA142" s="221"/>
      <c r="GYB142" s="221"/>
      <c r="GYC142" s="221"/>
      <c r="GYD142" s="221"/>
      <c r="GYE142" s="221"/>
      <c r="GYF142" s="221"/>
      <c r="GYG142" s="221"/>
      <c r="GYH142" s="221"/>
      <c r="GYI142" s="221"/>
      <c r="GYJ142" s="221"/>
      <c r="GYK142" s="221"/>
      <c r="GYL142" s="221"/>
      <c r="GYM142" s="221"/>
      <c r="GYN142" s="221"/>
      <c r="GYO142" s="221"/>
      <c r="GYP142" s="221"/>
      <c r="GYQ142" s="221"/>
      <c r="GYR142" s="221"/>
      <c r="GYS142" s="221"/>
      <c r="GYT142" s="221"/>
      <c r="GYU142" s="221"/>
      <c r="GYV142" s="221"/>
      <c r="GYW142" s="221"/>
      <c r="GYX142" s="221"/>
      <c r="GYY142" s="221"/>
      <c r="GYZ142" s="221"/>
      <c r="GZA142" s="221"/>
      <c r="GZB142" s="221"/>
      <c r="GZC142" s="221"/>
      <c r="GZD142" s="221"/>
      <c r="GZE142" s="221"/>
      <c r="GZF142" s="221"/>
      <c r="GZG142" s="221"/>
      <c r="GZH142" s="221"/>
      <c r="GZI142" s="221"/>
      <c r="GZJ142" s="221"/>
      <c r="GZK142" s="221"/>
      <c r="GZL142" s="221"/>
      <c r="GZM142" s="221"/>
      <c r="GZN142" s="221"/>
      <c r="GZO142" s="221"/>
      <c r="GZP142" s="221"/>
      <c r="GZQ142" s="221"/>
      <c r="GZR142" s="221"/>
      <c r="GZS142" s="221"/>
      <c r="GZT142" s="221"/>
      <c r="GZU142" s="221"/>
      <c r="GZV142" s="221"/>
      <c r="GZW142" s="221"/>
      <c r="GZX142" s="221"/>
      <c r="GZY142" s="221"/>
      <c r="GZZ142" s="221"/>
      <c r="HAA142" s="221"/>
      <c r="HAB142" s="221"/>
      <c r="HAC142" s="221"/>
      <c r="HAD142" s="221"/>
      <c r="HAE142" s="221"/>
      <c r="HAF142" s="221"/>
      <c r="HAG142" s="221"/>
      <c r="HAH142" s="221"/>
      <c r="HAI142" s="221"/>
      <c r="HAJ142" s="221"/>
      <c r="HAK142" s="221"/>
      <c r="HAL142" s="221"/>
      <c r="HAM142" s="221"/>
      <c r="HAN142" s="221"/>
      <c r="HAO142" s="221"/>
      <c r="HAP142" s="221"/>
      <c r="HAQ142" s="221"/>
      <c r="HAR142" s="221"/>
      <c r="HAS142" s="221"/>
      <c r="HAT142" s="221"/>
      <c r="HAU142" s="221"/>
      <c r="HAV142" s="221"/>
      <c r="HAW142" s="221"/>
      <c r="HAX142" s="221"/>
      <c r="HAY142" s="221"/>
      <c r="HAZ142" s="221"/>
      <c r="HBA142" s="221"/>
      <c r="HBB142" s="221"/>
      <c r="HBC142" s="221"/>
      <c r="HBD142" s="221"/>
      <c r="HBE142" s="221"/>
      <c r="HBF142" s="221"/>
      <c r="HBG142" s="221"/>
      <c r="HBH142" s="221"/>
      <c r="HBI142" s="221"/>
      <c r="HBJ142" s="221"/>
      <c r="HBK142" s="221"/>
      <c r="HBL142" s="221"/>
      <c r="HBM142" s="221"/>
      <c r="HBN142" s="221"/>
      <c r="HBO142" s="221"/>
      <c r="HBP142" s="221"/>
      <c r="HBQ142" s="221"/>
      <c r="HBR142" s="221"/>
      <c r="HBS142" s="221"/>
      <c r="HBT142" s="221"/>
      <c r="HBU142" s="221"/>
      <c r="HBV142" s="221"/>
      <c r="HBW142" s="221"/>
      <c r="HBX142" s="221"/>
      <c r="HBY142" s="221"/>
      <c r="HBZ142" s="221"/>
      <c r="HCA142" s="221"/>
      <c r="HCB142" s="221"/>
      <c r="HCC142" s="221"/>
      <c r="HCD142" s="221"/>
      <c r="HCE142" s="221"/>
      <c r="HCF142" s="221"/>
      <c r="HCG142" s="221"/>
      <c r="HCH142" s="221"/>
      <c r="HCI142" s="221"/>
      <c r="HCJ142" s="221"/>
      <c r="HCK142" s="221"/>
      <c r="HCL142" s="221"/>
      <c r="HCM142" s="221"/>
      <c r="HCN142" s="221"/>
      <c r="HCO142" s="221"/>
      <c r="HCP142" s="221"/>
      <c r="HCQ142" s="221"/>
      <c r="HCR142" s="221"/>
      <c r="HCS142" s="221"/>
      <c r="HCT142" s="221"/>
      <c r="HCU142" s="221"/>
      <c r="HCV142" s="221"/>
      <c r="HCW142" s="221"/>
      <c r="HCX142" s="221"/>
      <c r="HCY142" s="221"/>
      <c r="HCZ142" s="221"/>
      <c r="HDA142" s="221"/>
      <c r="HDB142" s="221"/>
      <c r="HDC142" s="221"/>
      <c r="HDD142" s="221"/>
      <c r="HDE142" s="221"/>
      <c r="HDF142" s="221"/>
      <c r="HDG142" s="221"/>
      <c r="HDH142" s="221"/>
      <c r="HDI142" s="221"/>
      <c r="HDJ142" s="221"/>
      <c r="HDK142" s="221"/>
      <c r="HDL142" s="221"/>
      <c r="HDM142" s="221"/>
      <c r="HDN142" s="221"/>
      <c r="HDO142" s="221"/>
      <c r="HDP142" s="221"/>
      <c r="HDQ142" s="221"/>
      <c r="HDR142" s="221"/>
      <c r="HDS142" s="221"/>
      <c r="HDT142" s="221"/>
      <c r="HDU142" s="221"/>
      <c r="HDV142" s="221"/>
      <c r="HDW142" s="221"/>
      <c r="HDX142" s="221"/>
      <c r="HDY142" s="221"/>
      <c r="HDZ142" s="221"/>
      <c r="HEA142" s="221"/>
      <c r="HEB142" s="221"/>
      <c r="HEC142" s="221"/>
      <c r="HED142" s="221"/>
      <c r="HEE142" s="221"/>
      <c r="HEF142" s="221"/>
      <c r="HEG142" s="221"/>
      <c r="HEH142" s="221"/>
      <c r="HEI142" s="221"/>
      <c r="HEJ142" s="221"/>
      <c r="HEK142" s="221"/>
      <c r="HEL142" s="221"/>
      <c r="HEM142" s="221"/>
      <c r="HEN142" s="221"/>
      <c r="HEO142" s="221"/>
      <c r="HEP142" s="221"/>
      <c r="HEQ142" s="221"/>
      <c r="HER142" s="221"/>
      <c r="HES142" s="221"/>
      <c r="HET142" s="221"/>
      <c r="HEU142" s="221"/>
      <c r="HEV142" s="221"/>
      <c r="HEW142" s="221"/>
      <c r="HEX142" s="221"/>
      <c r="HEY142" s="221"/>
      <c r="HEZ142" s="221"/>
      <c r="HFA142" s="221"/>
      <c r="HFB142" s="221"/>
      <c r="HFC142" s="221"/>
      <c r="HFD142" s="221"/>
      <c r="HFE142" s="221"/>
      <c r="HFF142" s="221"/>
      <c r="HFG142" s="221"/>
      <c r="HFH142" s="221"/>
      <c r="HFI142" s="221"/>
      <c r="HFJ142" s="221"/>
      <c r="HFK142" s="221"/>
      <c r="HFL142" s="221"/>
      <c r="HFM142" s="221"/>
      <c r="HFN142" s="221"/>
      <c r="HFO142" s="221"/>
      <c r="HFP142" s="221"/>
      <c r="HFQ142" s="221"/>
      <c r="HFR142" s="221"/>
      <c r="HFS142" s="221"/>
      <c r="HFT142" s="221"/>
      <c r="HFU142" s="221"/>
      <c r="HFV142" s="221"/>
      <c r="HFW142" s="221"/>
      <c r="HFX142" s="221"/>
      <c r="HFY142" s="221"/>
      <c r="HFZ142" s="221"/>
      <c r="HGA142" s="221"/>
      <c r="HGB142" s="221"/>
      <c r="HGC142" s="221"/>
      <c r="HGD142" s="221"/>
      <c r="HGE142" s="221"/>
      <c r="HGF142" s="221"/>
      <c r="HGG142" s="221"/>
      <c r="HGH142" s="221"/>
      <c r="HGI142" s="221"/>
      <c r="HGJ142" s="221"/>
      <c r="HGK142" s="221"/>
      <c r="HGL142" s="221"/>
      <c r="HGM142" s="221"/>
      <c r="HGN142" s="221"/>
      <c r="HGO142" s="221"/>
      <c r="HGP142" s="221"/>
      <c r="HGQ142" s="221"/>
      <c r="HGR142" s="221"/>
      <c r="HGS142" s="221"/>
      <c r="HGT142" s="221"/>
      <c r="HGU142" s="221"/>
      <c r="HGV142" s="221"/>
      <c r="HGW142" s="221"/>
      <c r="HGX142" s="221"/>
      <c r="HGY142" s="221"/>
      <c r="HGZ142" s="221"/>
      <c r="HHA142" s="221"/>
      <c r="HHB142" s="221"/>
      <c r="HHC142" s="221"/>
      <c r="HHD142" s="221"/>
      <c r="HHE142" s="221"/>
      <c r="HHF142" s="221"/>
      <c r="HHG142" s="221"/>
      <c r="HHH142" s="221"/>
      <c r="HHI142" s="221"/>
      <c r="HHJ142" s="221"/>
      <c r="HHK142" s="221"/>
      <c r="HHL142" s="221"/>
      <c r="HHM142" s="221"/>
      <c r="HHN142" s="221"/>
      <c r="HHO142" s="221"/>
      <c r="HHP142" s="221"/>
      <c r="HHQ142" s="221"/>
      <c r="HHR142" s="221"/>
      <c r="HHS142" s="221"/>
      <c r="HHT142" s="221"/>
      <c r="HHU142" s="221"/>
      <c r="HHV142" s="221"/>
      <c r="HHW142" s="221"/>
      <c r="HHX142" s="221"/>
      <c r="HHY142" s="221"/>
      <c r="HHZ142" s="221"/>
      <c r="HIA142" s="221"/>
      <c r="HIB142" s="221"/>
      <c r="HIC142" s="221"/>
      <c r="HID142" s="221"/>
      <c r="HIE142" s="221"/>
      <c r="HIF142" s="221"/>
      <c r="HIG142" s="221"/>
      <c r="HIH142" s="221"/>
      <c r="HII142" s="221"/>
      <c r="HIJ142" s="221"/>
      <c r="HIK142" s="221"/>
      <c r="HIL142" s="221"/>
      <c r="HIM142" s="221"/>
      <c r="HIN142" s="221"/>
      <c r="HIO142" s="221"/>
      <c r="HIP142" s="221"/>
      <c r="HIQ142" s="221"/>
      <c r="HIR142" s="221"/>
      <c r="HIS142" s="221"/>
      <c r="HIT142" s="221"/>
      <c r="HIU142" s="221"/>
      <c r="HIV142" s="221"/>
      <c r="HIW142" s="221"/>
      <c r="HIX142" s="221"/>
      <c r="HIY142" s="221"/>
      <c r="HIZ142" s="221"/>
      <c r="HJA142" s="221"/>
      <c r="HJB142" s="221"/>
      <c r="HJC142" s="221"/>
      <c r="HJD142" s="221"/>
      <c r="HJE142" s="221"/>
      <c r="HJF142" s="221"/>
      <c r="HJG142" s="221"/>
      <c r="HJH142" s="221"/>
      <c r="HJI142" s="221"/>
      <c r="HJJ142" s="221"/>
      <c r="HJK142" s="221"/>
      <c r="HJL142" s="221"/>
      <c r="HJM142" s="221"/>
      <c r="HJN142" s="221"/>
      <c r="HJO142" s="221"/>
      <c r="HJP142" s="221"/>
      <c r="HJQ142" s="221"/>
      <c r="HJR142" s="221"/>
      <c r="HJS142" s="221"/>
      <c r="HJT142" s="221"/>
      <c r="HJU142" s="221"/>
      <c r="HJV142" s="221"/>
      <c r="HJW142" s="221"/>
      <c r="HJX142" s="221"/>
      <c r="HJY142" s="221"/>
      <c r="HJZ142" s="221"/>
      <c r="HKA142" s="221"/>
      <c r="HKB142" s="221"/>
      <c r="HKC142" s="221"/>
      <c r="HKD142" s="221"/>
      <c r="HKE142" s="221"/>
      <c r="HKF142" s="221"/>
      <c r="HKG142" s="221"/>
      <c r="HKH142" s="221"/>
      <c r="HKI142" s="221"/>
      <c r="HKJ142" s="221"/>
      <c r="HKK142" s="221"/>
      <c r="HKL142" s="221"/>
      <c r="HKM142" s="221"/>
      <c r="HKN142" s="221"/>
      <c r="HKO142" s="221"/>
      <c r="HKP142" s="221"/>
      <c r="HKQ142" s="221"/>
      <c r="HKR142" s="221"/>
      <c r="HKS142" s="221"/>
      <c r="HKT142" s="221"/>
      <c r="HKU142" s="221"/>
      <c r="HKV142" s="221"/>
      <c r="HKW142" s="221"/>
      <c r="HKX142" s="221"/>
      <c r="HKY142" s="221"/>
      <c r="HKZ142" s="221"/>
      <c r="HLA142" s="221"/>
      <c r="HLB142" s="221"/>
      <c r="HLC142" s="221"/>
      <c r="HLD142" s="221"/>
      <c r="HLE142" s="221"/>
      <c r="HLF142" s="221"/>
      <c r="HLG142" s="221"/>
      <c r="HLH142" s="221"/>
      <c r="HLI142" s="221"/>
      <c r="HLJ142" s="221"/>
      <c r="HLK142" s="221"/>
      <c r="HLL142" s="221"/>
      <c r="HLM142" s="221"/>
      <c r="HLN142" s="221"/>
      <c r="HLO142" s="221"/>
      <c r="HLP142" s="221"/>
      <c r="HLQ142" s="221"/>
      <c r="HLR142" s="221"/>
      <c r="HLS142" s="221"/>
      <c r="HLT142" s="221"/>
      <c r="HLU142" s="221"/>
      <c r="HLV142" s="221"/>
      <c r="HLW142" s="221"/>
      <c r="HLX142" s="221"/>
      <c r="HLY142" s="221"/>
      <c r="HLZ142" s="221"/>
      <c r="HMA142" s="221"/>
      <c r="HMB142" s="221"/>
      <c r="HMC142" s="221"/>
      <c r="HMD142" s="221"/>
      <c r="HME142" s="221"/>
      <c r="HMF142" s="221"/>
      <c r="HMG142" s="221"/>
      <c r="HMH142" s="221"/>
      <c r="HMI142" s="221"/>
      <c r="HMJ142" s="221"/>
      <c r="HMK142" s="221"/>
      <c r="HML142" s="221"/>
      <c r="HMM142" s="221"/>
      <c r="HMN142" s="221"/>
      <c r="HMO142" s="221"/>
      <c r="HMP142" s="221"/>
      <c r="HMQ142" s="221"/>
      <c r="HMR142" s="221"/>
      <c r="HMS142" s="221"/>
      <c r="HMT142" s="221"/>
      <c r="HMU142" s="221"/>
      <c r="HMV142" s="221"/>
      <c r="HMW142" s="221"/>
      <c r="HMX142" s="221"/>
      <c r="HMY142" s="221"/>
      <c r="HMZ142" s="221"/>
      <c r="HNA142" s="221"/>
      <c r="HNB142" s="221"/>
      <c r="HNC142" s="221"/>
      <c r="HND142" s="221"/>
      <c r="HNE142" s="221"/>
      <c r="HNF142" s="221"/>
      <c r="HNG142" s="221"/>
      <c r="HNH142" s="221"/>
      <c r="HNI142" s="221"/>
      <c r="HNJ142" s="221"/>
      <c r="HNK142" s="221"/>
      <c r="HNL142" s="221"/>
      <c r="HNM142" s="221"/>
      <c r="HNN142" s="221"/>
      <c r="HNO142" s="221"/>
      <c r="HNP142" s="221"/>
      <c r="HNQ142" s="221"/>
      <c r="HNR142" s="221"/>
      <c r="HNS142" s="221"/>
      <c r="HNT142" s="221"/>
      <c r="HNU142" s="221"/>
      <c r="HNV142" s="221"/>
      <c r="HNW142" s="221"/>
      <c r="HNX142" s="221"/>
      <c r="HNY142" s="221"/>
      <c r="HNZ142" s="221"/>
      <c r="HOA142" s="221"/>
      <c r="HOB142" s="221"/>
      <c r="HOC142" s="221"/>
      <c r="HOD142" s="221"/>
      <c r="HOE142" s="221"/>
      <c r="HOF142" s="221"/>
      <c r="HOG142" s="221"/>
      <c r="HOH142" s="221"/>
      <c r="HOI142" s="221"/>
      <c r="HOJ142" s="221"/>
      <c r="HOK142" s="221"/>
      <c r="HOL142" s="221"/>
      <c r="HOM142" s="221"/>
      <c r="HON142" s="221"/>
      <c r="HOO142" s="221"/>
      <c r="HOP142" s="221"/>
      <c r="HOQ142" s="221"/>
      <c r="HOR142" s="221"/>
      <c r="HOS142" s="221"/>
      <c r="HOT142" s="221"/>
      <c r="HOU142" s="221"/>
      <c r="HOV142" s="221"/>
      <c r="HOW142" s="221"/>
      <c r="HOX142" s="221"/>
      <c r="HOY142" s="221"/>
      <c r="HOZ142" s="221"/>
      <c r="HPA142" s="221"/>
      <c r="HPB142" s="221"/>
      <c r="HPC142" s="221"/>
      <c r="HPD142" s="221"/>
      <c r="HPE142" s="221"/>
      <c r="HPF142" s="221"/>
      <c r="HPG142" s="221"/>
      <c r="HPH142" s="221"/>
      <c r="HPI142" s="221"/>
      <c r="HPJ142" s="221"/>
      <c r="HPK142" s="221"/>
      <c r="HPL142" s="221"/>
      <c r="HPM142" s="221"/>
      <c r="HPN142" s="221"/>
      <c r="HPO142" s="221"/>
      <c r="HPP142" s="221"/>
      <c r="HPQ142" s="221"/>
      <c r="HPR142" s="221"/>
      <c r="HPS142" s="221"/>
      <c r="HPT142" s="221"/>
      <c r="HPU142" s="221"/>
      <c r="HPV142" s="221"/>
      <c r="HPW142" s="221"/>
      <c r="HPX142" s="221"/>
      <c r="HPY142" s="221"/>
      <c r="HPZ142" s="221"/>
      <c r="HQA142" s="221"/>
      <c r="HQB142" s="221"/>
      <c r="HQC142" s="221"/>
      <c r="HQD142" s="221"/>
      <c r="HQE142" s="221"/>
      <c r="HQF142" s="221"/>
      <c r="HQG142" s="221"/>
      <c r="HQH142" s="221"/>
      <c r="HQI142" s="221"/>
      <c r="HQJ142" s="221"/>
      <c r="HQK142" s="221"/>
      <c r="HQL142" s="221"/>
      <c r="HQM142" s="221"/>
      <c r="HQN142" s="221"/>
      <c r="HQO142" s="221"/>
      <c r="HQP142" s="221"/>
      <c r="HQQ142" s="221"/>
      <c r="HQR142" s="221"/>
      <c r="HQS142" s="221"/>
      <c r="HQT142" s="221"/>
      <c r="HQU142" s="221"/>
      <c r="HQV142" s="221"/>
      <c r="HQW142" s="221"/>
      <c r="HQX142" s="221"/>
      <c r="HQY142" s="221"/>
      <c r="HQZ142" s="221"/>
      <c r="HRA142" s="221"/>
      <c r="HRB142" s="221"/>
      <c r="HRC142" s="221"/>
      <c r="HRD142" s="221"/>
      <c r="HRE142" s="221"/>
      <c r="HRF142" s="221"/>
      <c r="HRG142" s="221"/>
      <c r="HRH142" s="221"/>
      <c r="HRI142" s="221"/>
      <c r="HRJ142" s="221"/>
      <c r="HRK142" s="221"/>
      <c r="HRL142" s="221"/>
      <c r="HRM142" s="221"/>
      <c r="HRN142" s="221"/>
      <c r="HRO142" s="221"/>
      <c r="HRP142" s="221"/>
      <c r="HRQ142" s="221"/>
      <c r="HRR142" s="221"/>
      <c r="HRS142" s="221"/>
      <c r="HRT142" s="221"/>
      <c r="HRU142" s="221"/>
      <c r="HRV142" s="221"/>
      <c r="HRW142" s="221"/>
      <c r="HRX142" s="221"/>
      <c r="HRY142" s="221"/>
      <c r="HRZ142" s="221"/>
      <c r="HSA142" s="221"/>
      <c r="HSB142" s="221"/>
      <c r="HSC142" s="221"/>
      <c r="HSD142" s="221"/>
      <c r="HSE142" s="221"/>
      <c r="HSF142" s="221"/>
      <c r="HSG142" s="221"/>
      <c r="HSH142" s="221"/>
      <c r="HSI142" s="221"/>
      <c r="HSJ142" s="221"/>
      <c r="HSK142" s="221"/>
      <c r="HSL142" s="221"/>
      <c r="HSM142" s="221"/>
      <c r="HSN142" s="221"/>
      <c r="HSO142" s="221"/>
      <c r="HSP142" s="221"/>
      <c r="HSQ142" s="221"/>
      <c r="HSR142" s="221"/>
      <c r="HSS142" s="221"/>
      <c r="HST142" s="221"/>
      <c r="HSU142" s="221"/>
      <c r="HSV142" s="221"/>
      <c r="HSW142" s="221"/>
      <c r="HSX142" s="221"/>
      <c r="HSY142" s="221"/>
      <c r="HSZ142" s="221"/>
      <c r="HTA142" s="221"/>
      <c r="HTB142" s="221"/>
      <c r="HTC142" s="221"/>
      <c r="HTD142" s="221"/>
      <c r="HTE142" s="221"/>
      <c r="HTF142" s="221"/>
      <c r="HTG142" s="221"/>
      <c r="HTH142" s="221"/>
      <c r="HTI142" s="221"/>
      <c r="HTJ142" s="221"/>
      <c r="HTK142" s="221"/>
      <c r="HTL142" s="221"/>
      <c r="HTM142" s="221"/>
      <c r="HTN142" s="221"/>
      <c r="HTO142" s="221"/>
      <c r="HTP142" s="221"/>
      <c r="HTQ142" s="221"/>
      <c r="HTR142" s="221"/>
      <c r="HTS142" s="221"/>
      <c r="HTT142" s="221"/>
      <c r="HTU142" s="221"/>
      <c r="HTV142" s="221"/>
      <c r="HTW142" s="221"/>
      <c r="HTX142" s="221"/>
      <c r="HTY142" s="221"/>
      <c r="HTZ142" s="221"/>
      <c r="HUA142" s="221"/>
      <c r="HUB142" s="221"/>
      <c r="HUC142" s="221"/>
      <c r="HUD142" s="221"/>
      <c r="HUE142" s="221"/>
      <c r="HUF142" s="221"/>
      <c r="HUG142" s="221"/>
      <c r="HUH142" s="221"/>
      <c r="HUI142" s="221"/>
      <c r="HUJ142" s="221"/>
      <c r="HUK142" s="221"/>
      <c r="HUL142" s="221"/>
      <c r="HUM142" s="221"/>
      <c r="HUN142" s="221"/>
      <c r="HUO142" s="221"/>
      <c r="HUP142" s="221"/>
      <c r="HUQ142" s="221"/>
      <c r="HUR142" s="221"/>
      <c r="HUS142" s="221"/>
      <c r="HUT142" s="221"/>
      <c r="HUU142" s="221"/>
      <c r="HUV142" s="221"/>
      <c r="HUW142" s="221"/>
      <c r="HUX142" s="221"/>
      <c r="HUY142" s="221"/>
      <c r="HUZ142" s="221"/>
      <c r="HVA142" s="221"/>
      <c r="HVB142" s="221"/>
      <c r="HVC142" s="221"/>
      <c r="HVD142" s="221"/>
      <c r="HVE142" s="221"/>
      <c r="HVF142" s="221"/>
      <c r="HVG142" s="221"/>
      <c r="HVH142" s="221"/>
      <c r="HVI142" s="221"/>
      <c r="HVJ142" s="221"/>
      <c r="HVK142" s="221"/>
      <c r="HVL142" s="221"/>
      <c r="HVM142" s="221"/>
      <c r="HVN142" s="221"/>
      <c r="HVO142" s="221"/>
      <c r="HVP142" s="221"/>
      <c r="HVQ142" s="221"/>
      <c r="HVR142" s="221"/>
      <c r="HVS142" s="221"/>
      <c r="HVT142" s="221"/>
      <c r="HVU142" s="221"/>
      <c r="HVV142" s="221"/>
      <c r="HVW142" s="221"/>
      <c r="HVX142" s="221"/>
      <c r="HVY142" s="221"/>
      <c r="HVZ142" s="221"/>
      <c r="HWA142" s="221"/>
      <c r="HWB142" s="221"/>
      <c r="HWC142" s="221"/>
      <c r="HWD142" s="221"/>
      <c r="HWE142" s="221"/>
      <c r="HWF142" s="221"/>
      <c r="HWG142" s="221"/>
      <c r="HWH142" s="221"/>
      <c r="HWI142" s="221"/>
      <c r="HWJ142" s="221"/>
      <c r="HWK142" s="221"/>
      <c r="HWL142" s="221"/>
      <c r="HWM142" s="221"/>
      <c r="HWN142" s="221"/>
      <c r="HWO142" s="221"/>
      <c r="HWP142" s="221"/>
      <c r="HWQ142" s="221"/>
      <c r="HWR142" s="221"/>
      <c r="HWS142" s="221"/>
      <c r="HWT142" s="221"/>
      <c r="HWU142" s="221"/>
      <c r="HWV142" s="221"/>
      <c r="HWW142" s="221"/>
      <c r="HWX142" s="221"/>
      <c r="HWY142" s="221"/>
      <c r="HWZ142" s="221"/>
      <c r="HXA142" s="221"/>
      <c r="HXB142" s="221"/>
      <c r="HXC142" s="221"/>
      <c r="HXD142" s="221"/>
      <c r="HXE142" s="221"/>
      <c r="HXF142" s="221"/>
      <c r="HXG142" s="221"/>
      <c r="HXH142" s="221"/>
      <c r="HXI142" s="221"/>
      <c r="HXJ142" s="221"/>
      <c r="HXK142" s="221"/>
      <c r="HXL142" s="221"/>
      <c r="HXM142" s="221"/>
      <c r="HXN142" s="221"/>
      <c r="HXO142" s="221"/>
      <c r="HXP142" s="221"/>
      <c r="HXQ142" s="221"/>
      <c r="HXR142" s="221"/>
      <c r="HXS142" s="221"/>
      <c r="HXT142" s="221"/>
      <c r="HXU142" s="221"/>
      <c r="HXV142" s="221"/>
      <c r="HXW142" s="221"/>
      <c r="HXX142" s="221"/>
      <c r="HXY142" s="221"/>
      <c r="HXZ142" s="221"/>
      <c r="HYA142" s="221"/>
      <c r="HYB142" s="221"/>
      <c r="HYC142" s="221"/>
      <c r="HYD142" s="221"/>
      <c r="HYE142" s="221"/>
      <c r="HYF142" s="221"/>
      <c r="HYG142" s="221"/>
      <c r="HYH142" s="221"/>
      <c r="HYI142" s="221"/>
      <c r="HYJ142" s="221"/>
      <c r="HYK142" s="221"/>
      <c r="HYL142" s="221"/>
      <c r="HYM142" s="221"/>
      <c r="HYN142" s="221"/>
      <c r="HYO142" s="221"/>
      <c r="HYP142" s="221"/>
      <c r="HYQ142" s="221"/>
      <c r="HYR142" s="221"/>
      <c r="HYS142" s="221"/>
      <c r="HYT142" s="221"/>
      <c r="HYU142" s="221"/>
      <c r="HYV142" s="221"/>
      <c r="HYW142" s="221"/>
      <c r="HYX142" s="221"/>
      <c r="HYY142" s="221"/>
      <c r="HYZ142" s="221"/>
      <c r="HZA142" s="221"/>
      <c r="HZB142" s="221"/>
      <c r="HZC142" s="221"/>
      <c r="HZD142" s="221"/>
      <c r="HZE142" s="221"/>
      <c r="HZF142" s="221"/>
      <c r="HZG142" s="221"/>
      <c r="HZH142" s="221"/>
      <c r="HZI142" s="221"/>
      <c r="HZJ142" s="221"/>
      <c r="HZK142" s="221"/>
      <c r="HZL142" s="221"/>
      <c r="HZM142" s="221"/>
      <c r="HZN142" s="221"/>
      <c r="HZO142" s="221"/>
      <c r="HZP142" s="221"/>
      <c r="HZQ142" s="221"/>
      <c r="HZR142" s="221"/>
      <c r="HZS142" s="221"/>
      <c r="HZT142" s="221"/>
      <c r="HZU142" s="221"/>
      <c r="HZV142" s="221"/>
      <c r="HZW142" s="221"/>
      <c r="HZX142" s="221"/>
      <c r="HZY142" s="221"/>
      <c r="HZZ142" s="221"/>
      <c r="IAA142" s="221"/>
      <c r="IAB142" s="221"/>
      <c r="IAC142" s="221"/>
      <c r="IAD142" s="221"/>
      <c r="IAE142" s="221"/>
      <c r="IAF142" s="221"/>
      <c r="IAG142" s="221"/>
      <c r="IAH142" s="221"/>
      <c r="IAI142" s="221"/>
      <c r="IAJ142" s="221"/>
      <c r="IAK142" s="221"/>
      <c r="IAL142" s="221"/>
      <c r="IAM142" s="221"/>
      <c r="IAN142" s="221"/>
      <c r="IAO142" s="221"/>
      <c r="IAP142" s="221"/>
      <c r="IAQ142" s="221"/>
      <c r="IAR142" s="221"/>
      <c r="IAS142" s="221"/>
      <c r="IAT142" s="221"/>
      <c r="IAU142" s="221"/>
      <c r="IAV142" s="221"/>
      <c r="IAW142" s="221"/>
      <c r="IAX142" s="221"/>
      <c r="IAY142" s="221"/>
      <c r="IAZ142" s="221"/>
      <c r="IBA142" s="221"/>
      <c r="IBB142" s="221"/>
      <c r="IBC142" s="221"/>
      <c r="IBD142" s="221"/>
      <c r="IBE142" s="221"/>
      <c r="IBF142" s="221"/>
      <c r="IBG142" s="221"/>
      <c r="IBH142" s="221"/>
      <c r="IBI142" s="221"/>
      <c r="IBJ142" s="221"/>
      <c r="IBK142" s="221"/>
      <c r="IBL142" s="221"/>
      <c r="IBM142" s="221"/>
      <c r="IBN142" s="221"/>
      <c r="IBO142" s="221"/>
      <c r="IBP142" s="221"/>
      <c r="IBQ142" s="221"/>
      <c r="IBR142" s="221"/>
      <c r="IBS142" s="221"/>
      <c r="IBT142" s="221"/>
      <c r="IBU142" s="221"/>
      <c r="IBV142" s="221"/>
      <c r="IBW142" s="221"/>
      <c r="IBX142" s="221"/>
      <c r="IBY142" s="221"/>
      <c r="IBZ142" s="221"/>
      <c r="ICA142" s="221"/>
      <c r="ICB142" s="221"/>
      <c r="ICC142" s="221"/>
      <c r="ICD142" s="221"/>
      <c r="ICE142" s="221"/>
      <c r="ICF142" s="221"/>
      <c r="ICG142" s="221"/>
      <c r="ICH142" s="221"/>
      <c r="ICI142" s="221"/>
      <c r="ICJ142" s="221"/>
      <c r="ICK142" s="221"/>
      <c r="ICL142" s="221"/>
      <c r="ICM142" s="221"/>
      <c r="ICN142" s="221"/>
      <c r="ICO142" s="221"/>
      <c r="ICP142" s="221"/>
      <c r="ICQ142" s="221"/>
      <c r="ICR142" s="221"/>
      <c r="ICS142" s="221"/>
      <c r="ICT142" s="221"/>
      <c r="ICU142" s="221"/>
      <c r="ICV142" s="221"/>
      <c r="ICW142" s="221"/>
      <c r="ICX142" s="221"/>
      <c r="ICY142" s="221"/>
      <c r="ICZ142" s="221"/>
      <c r="IDA142" s="221"/>
      <c r="IDB142" s="221"/>
      <c r="IDC142" s="221"/>
      <c r="IDD142" s="221"/>
      <c r="IDE142" s="221"/>
      <c r="IDF142" s="221"/>
      <c r="IDG142" s="221"/>
      <c r="IDH142" s="221"/>
      <c r="IDI142" s="221"/>
      <c r="IDJ142" s="221"/>
      <c r="IDK142" s="221"/>
      <c r="IDL142" s="221"/>
      <c r="IDM142" s="221"/>
      <c r="IDN142" s="221"/>
      <c r="IDO142" s="221"/>
      <c r="IDP142" s="221"/>
      <c r="IDQ142" s="221"/>
      <c r="IDR142" s="221"/>
      <c r="IDS142" s="221"/>
      <c r="IDT142" s="221"/>
      <c r="IDU142" s="221"/>
      <c r="IDV142" s="221"/>
      <c r="IDW142" s="221"/>
      <c r="IDX142" s="221"/>
      <c r="IDY142" s="221"/>
      <c r="IDZ142" s="221"/>
      <c r="IEA142" s="221"/>
      <c r="IEB142" s="221"/>
      <c r="IEC142" s="221"/>
      <c r="IED142" s="221"/>
      <c r="IEE142" s="221"/>
      <c r="IEF142" s="221"/>
      <c r="IEG142" s="221"/>
      <c r="IEH142" s="221"/>
      <c r="IEI142" s="221"/>
      <c r="IEJ142" s="221"/>
      <c r="IEK142" s="221"/>
      <c r="IEL142" s="221"/>
      <c r="IEM142" s="221"/>
      <c r="IEN142" s="221"/>
      <c r="IEO142" s="221"/>
      <c r="IEP142" s="221"/>
      <c r="IEQ142" s="221"/>
      <c r="IER142" s="221"/>
      <c r="IES142" s="221"/>
      <c r="IET142" s="221"/>
      <c r="IEU142" s="221"/>
      <c r="IEV142" s="221"/>
      <c r="IEW142" s="221"/>
      <c r="IEX142" s="221"/>
      <c r="IEY142" s="221"/>
      <c r="IEZ142" s="221"/>
      <c r="IFA142" s="221"/>
      <c r="IFB142" s="221"/>
      <c r="IFC142" s="221"/>
      <c r="IFD142" s="221"/>
      <c r="IFE142" s="221"/>
      <c r="IFF142" s="221"/>
      <c r="IFG142" s="221"/>
      <c r="IFH142" s="221"/>
      <c r="IFI142" s="221"/>
      <c r="IFJ142" s="221"/>
      <c r="IFK142" s="221"/>
      <c r="IFL142" s="221"/>
      <c r="IFM142" s="221"/>
      <c r="IFN142" s="221"/>
      <c r="IFO142" s="221"/>
      <c r="IFP142" s="221"/>
      <c r="IFQ142" s="221"/>
      <c r="IFR142" s="221"/>
      <c r="IFS142" s="221"/>
      <c r="IFT142" s="221"/>
      <c r="IFU142" s="221"/>
      <c r="IFV142" s="221"/>
      <c r="IFW142" s="221"/>
      <c r="IFX142" s="221"/>
      <c r="IFY142" s="221"/>
      <c r="IFZ142" s="221"/>
      <c r="IGA142" s="221"/>
      <c r="IGB142" s="221"/>
      <c r="IGC142" s="221"/>
      <c r="IGD142" s="221"/>
      <c r="IGE142" s="221"/>
      <c r="IGF142" s="221"/>
      <c r="IGG142" s="221"/>
      <c r="IGH142" s="221"/>
      <c r="IGI142" s="221"/>
      <c r="IGJ142" s="221"/>
      <c r="IGK142" s="221"/>
      <c r="IGL142" s="221"/>
      <c r="IGM142" s="221"/>
      <c r="IGN142" s="221"/>
      <c r="IGO142" s="221"/>
      <c r="IGP142" s="221"/>
      <c r="IGQ142" s="221"/>
      <c r="IGR142" s="221"/>
      <c r="IGS142" s="221"/>
      <c r="IGT142" s="221"/>
      <c r="IGU142" s="221"/>
      <c r="IGV142" s="221"/>
      <c r="IGW142" s="221"/>
      <c r="IGX142" s="221"/>
      <c r="IGY142" s="221"/>
      <c r="IGZ142" s="221"/>
      <c r="IHA142" s="221"/>
      <c r="IHB142" s="221"/>
      <c r="IHC142" s="221"/>
      <c r="IHD142" s="221"/>
      <c r="IHE142" s="221"/>
      <c r="IHF142" s="221"/>
      <c r="IHG142" s="221"/>
      <c r="IHH142" s="221"/>
      <c r="IHI142" s="221"/>
      <c r="IHJ142" s="221"/>
      <c r="IHK142" s="221"/>
      <c r="IHL142" s="221"/>
      <c r="IHM142" s="221"/>
      <c r="IHN142" s="221"/>
      <c r="IHO142" s="221"/>
      <c r="IHP142" s="221"/>
      <c r="IHQ142" s="221"/>
      <c r="IHR142" s="221"/>
      <c r="IHS142" s="221"/>
      <c r="IHT142" s="221"/>
      <c r="IHU142" s="221"/>
      <c r="IHV142" s="221"/>
      <c r="IHW142" s="221"/>
      <c r="IHX142" s="221"/>
      <c r="IHY142" s="221"/>
      <c r="IHZ142" s="221"/>
      <c r="IIA142" s="221"/>
      <c r="IIB142" s="221"/>
      <c r="IIC142" s="221"/>
      <c r="IID142" s="221"/>
      <c r="IIE142" s="221"/>
      <c r="IIF142" s="221"/>
      <c r="IIG142" s="221"/>
      <c r="IIH142" s="221"/>
      <c r="III142" s="221"/>
      <c r="IIJ142" s="221"/>
      <c r="IIK142" s="221"/>
      <c r="IIL142" s="221"/>
      <c r="IIM142" s="221"/>
      <c r="IIN142" s="221"/>
      <c r="IIO142" s="221"/>
      <c r="IIP142" s="221"/>
      <c r="IIQ142" s="221"/>
      <c r="IIR142" s="221"/>
      <c r="IIS142" s="221"/>
      <c r="IIT142" s="221"/>
      <c r="IIU142" s="221"/>
      <c r="IIV142" s="221"/>
      <c r="IIW142" s="221"/>
      <c r="IIX142" s="221"/>
      <c r="IIY142" s="221"/>
      <c r="IIZ142" s="221"/>
      <c r="IJA142" s="221"/>
      <c r="IJB142" s="221"/>
      <c r="IJC142" s="221"/>
      <c r="IJD142" s="221"/>
      <c r="IJE142" s="221"/>
      <c r="IJF142" s="221"/>
      <c r="IJG142" s="221"/>
      <c r="IJH142" s="221"/>
      <c r="IJI142" s="221"/>
      <c r="IJJ142" s="221"/>
      <c r="IJK142" s="221"/>
      <c r="IJL142" s="221"/>
      <c r="IJM142" s="221"/>
      <c r="IJN142" s="221"/>
      <c r="IJO142" s="221"/>
      <c r="IJP142" s="221"/>
      <c r="IJQ142" s="221"/>
      <c r="IJR142" s="221"/>
      <c r="IJS142" s="221"/>
      <c r="IJT142" s="221"/>
      <c r="IJU142" s="221"/>
      <c r="IJV142" s="221"/>
      <c r="IJW142" s="221"/>
      <c r="IJX142" s="221"/>
      <c r="IJY142" s="221"/>
      <c r="IJZ142" s="221"/>
      <c r="IKA142" s="221"/>
      <c r="IKB142" s="221"/>
      <c r="IKC142" s="221"/>
      <c r="IKD142" s="221"/>
      <c r="IKE142" s="221"/>
      <c r="IKF142" s="221"/>
      <c r="IKG142" s="221"/>
      <c r="IKH142" s="221"/>
      <c r="IKI142" s="221"/>
      <c r="IKJ142" s="221"/>
      <c r="IKK142" s="221"/>
      <c r="IKL142" s="221"/>
      <c r="IKM142" s="221"/>
      <c r="IKN142" s="221"/>
      <c r="IKO142" s="221"/>
      <c r="IKP142" s="221"/>
      <c r="IKQ142" s="221"/>
      <c r="IKR142" s="221"/>
      <c r="IKS142" s="221"/>
      <c r="IKT142" s="221"/>
      <c r="IKU142" s="221"/>
      <c r="IKV142" s="221"/>
      <c r="IKW142" s="221"/>
      <c r="IKX142" s="221"/>
      <c r="IKY142" s="221"/>
      <c r="IKZ142" s="221"/>
      <c r="ILA142" s="221"/>
      <c r="ILB142" s="221"/>
      <c r="ILC142" s="221"/>
      <c r="ILD142" s="221"/>
      <c r="ILE142" s="221"/>
      <c r="ILF142" s="221"/>
      <c r="ILG142" s="221"/>
      <c r="ILH142" s="221"/>
      <c r="ILI142" s="221"/>
      <c r="ILJ142" s="221"/>
      <c r="ILK142" s="221"/>
      <c r="ILL142" s="221"/>
      <c r="ILM142" s="221"/>
      <c r="ILN142" s="221"/>
      <c r="ILO142" s="221"/>
      <c r="ILP142" s="221"/>
      <c r="ILQ142" s="221"/>
      <c r="ILR142" s="221"/>
      <c r="ILS142" s="221"/>
      <c r="ILT142" s="221"/>
      <c r="ILU142" s="221"/>
      <c r="ILV142" s="221"/>
      <c r="ILW142" s="221"/>
      <c r="ILX142" s="221"/>
      <c r="ILY142" s="221"/>
      <c r="ILZ142" s="221"/>
      <c r="IMA142" s="221"/>
      <c r="IMB142" s="221"/>
      <c r="IMC142" s="221"/>
      <c r="IMD142" s="221"/>
      <c r="IME142" s="221"/>
      <c r="IMF142" s="221"/>
      <c r="IMG142" s="221"/>
      <c r="IMH142" s="221"/>
      <c r="IMI142" s="221"/>
      <c r="IMJ142" s="221"/>
      <c r="IMK142" s="221"/>
      <c r="IML142" s="221"/>
      <c r="IMM142" s="221"/>
      <c r="IMN142" s="221"/>
      <c r="IMO142" s="221"/>
      <c r="IMP142" s="221"/>
      <c r="IMQ142" s="221"/>
      <c r="IMR142" s="221"/>
      <c r="IMS142" s="221"/>
      <c r="IMT142" s="221"/>
      <c r="IMU142" s="221"/>
      <c r="IMV142" s="221"/>
      <c r="IMW142" s="221"/>
      <c r="IMX142" s="221"/>
      <c r="IMY142" s="221"/>
      <c r="IMZ142" s="221"/>
      <c r="INA142" s="221"/>
      <c r="INB142" s="221"/>
      <c r="INC142" s="221"/>
      <c r="IND142" s="221"/>
      <c r="INE142" s="221"/>
      <c r="INF142" s="221"/>
      <c r="ING142" s="221"/>
      <c r="INH142" s="221"/>
      <c r="INI142" s="221"/>
      <c r="INJ142" s="221"/>
      <c r="INK142" s="221"/>
      <c r="INL142" s="221"/>
      <c r="INM142" s="221"/>
      <c r="INN142" s="221"/>
      <c r="INO142" s="221"/>
      <c r="INP142" s="221"/>
      <c r="INQ142" s="221"/>
      <c r="INR142" s="221"/>
      <c r="INS142" s="221"/>
      <c r="INT142" s="221"/>
      <c r="INU142" s="221"/>
      <c r="INV142" s="221"/>
      <c r="INW142" s="221"/>
      <c r="INX142" s="221"/>
      <c r="INY142" s="221"/>
      <c r="INZ142" s="221"/>
      <c r="IOA142" s="221"/>
      <c r="IOB142" s="221"/>
      <c r="IOC142" s="221"/>
      <c r="IOD142" s="221"/>
      <c r="IOE142" s="221"/>
      <c r="IOF142" s="221"/>
      <c r="IOG142" s="221"/>
      <c r="IOH142" s="221"/>
      <c r="IOI142" s="221"/>
      <c r="IOJ142" s="221"/>
      <c r="IOK142" s="221"/>
      <c r="IOL142" s="221"/>
      <c r="IOM142" s="221"/>
      <c r="ION142" s="221"/>
      <c r="IOO142" s="221"/>
      <c r="IOP142" s="221"/>
      <c r="IOQ142" s="221"/>
      <c r="IOR142" s="221"/>
      <c r="IOS142" s="221"/>
      <c r="IOT142" s="221"/>
      <c r="IOU142" s="221"/>
      <c r="IOV142" s="221"/>
      <c r="IOW142" s="221"/>
      <c r="IOX142" s="221"/>
      <c r="IOY142" s="221"/>
      <c r="IOZ142" s="221"/>
      <c r="IPA142" s="221"/>
      <c r="IPB142" s="221"/>
      <c r="IPC142" s="221"/>
      <c r="IPD142" s="221"/>
      <c r="IPE142" s="221"/>
      <c r="IPF142" s="221"/>
      <c r="IPG142" s="221"/>
      <c r="IPH142" s="221"/>
      <c r="IPI142" s="221"/>
      <c r="IPJ142" s="221"/>
      <c r="IPK142" s="221"/>
      <c r="IPL142" s="221"/>
      <c r="IPM142" s="221"/>
      <c r="IPN142" s="221"/>
      <c r="IPO142" s="221"/>
      <c r="IPP142" s="221"/>
      <c r="IPQ142" s="221"/>
      <c r="IPR142" s="221"/>
      <c r="IPS142" s="221"/>
      <c r="IPT142" s="221"/>
      <c r="IPU142" s="221"/>
      <c r="IPV142" s="221"/>
      <c r="IPW142" s="221"/>
      <c r="IPX142" s="221"/>
      <c r="IPY142" s="221"/>
      <c r="IPZ142" s="221"/>
      <c r="IQA142" s="221"/>
      <c r="IQB142" s="221"/>
      <c r="IQC142" s="221"/>
      <c r="IQD142" s="221"/>
      <c r="IQE142" s="221"/>
      <c r="IQF142" s="221"/>
      <c r="IQG142" s="221"/>
      <c r="IQH142" s="221"/>
      <c r="IQI142" s="221"/>
      <c r="IQJ142" s="221"/>
      <c r="IQK142" s="221"/>
      <c r="IQL142" s="221"/>
      <c r="IQM142" s="221"/>
      <c r="IQN142" s="221"/>
      <c r="IQO142" s="221"/>
      <c r="IQP142" s="221"/>
      <c r="IQQ142" s="221"/>
      <c r="IQR142" s="221"/>
      <c r="IQS142" s="221"/>
      <c r="IQT142" s="221"/>
      <c r="IQU142" s="221"/>
      <c r="IQV142" s="221"/>
      <c r="IQW142" s="221"/>
      <c r="IQX142" s="221"/>
      <c r="IQY142" s="221"/>
      <c r="IQZ142" s="221"/>
      <c r="IRA142" s="221"/>
      <c r="IRB142" s="221"/>
      <c r="IRC142" s="221"/>
      <c r="IRD142" s="221"/>
      <c r="IRE142" s="221"/>
      <c r="IRF142" s="221"/>
      <c r="IRG142" s="221"/>
      <c r="IRH142" s="221"/>
      <c r="IRI142" s="221"/>
      <c r="IRJ142" s="221"/>
      <c r="IRK142" s="221"/>
      <c r="IRL142" s="221"/>
      <c r="IRM142" s="221"/>
      <c r="IRN142" s="221"/>
      <c r="IRO142" s="221"/>
      <c r="IRP142" s="221"/>
      <c r="IRQ142" s="221"/>
      <c r="IRR142" s="221"/>
      <c r="IRS142" s="221"/>
      <c r="IRT142" s="221"/>
      <c r="IRU142" s="221"/>
      <c r="IRV142" s="221"/>
      <c r="IRW142" s="221"/>
      <c r="IRX142" s="221"/>
      <c r="IRY142" s="221"/>
      <c r="IRZ142" s="221"/>
      <c r="ISA142" s="221"/>
      <c r="ISB142" s="221"/>
      <c r="ISC142" s="221"/>
      <c r="ISD142" s="221"/>
      <c r="ISE142" s="221"/>
      <c r="ISF142" s="221"/>
      <c r="ISG142" s="221"/>
      <c r="ISH142" s="221"/>
      <c r="ISI142" s="221"/>
      <c r="ISJ142" s="221"/>
      <c r="ISK142" s="221"/>
      <c r="ISL142" s="221"/>
      <c r="ISM142" s="221"/>
      <c r="ISN142" s="221"/>
      <c r="ISO142" s="221"/>
      <c r="ISP142" s="221"/>
      <c r="ISQ142" s="221"/>
      <c r="ISR142" s="221"/>
      <c r="ISS142" s="221"/>
      <c r="IST142" s="221"/>
      <c r="ISU142" s="221"/>
      <c r="ISV142" s="221"/>
      <c r="ISW142" s="221"/>
      <c r="ISX142" s="221"/>
      <c r="ISY142" s="221"/>
      <c r="ISZ142" s="221"/>
      <c r="ITA142" s="221"/>
      <c r="ITB142" s="221"/>
      <c r="ITC142" s="221"/>
      <c r="ITD142" s="221"/>
      <c r="ITE142" s="221"/>
      <c r="ITF142" s="221"/>
      <c r="ITG142" s="221"/>
      <c r="ITH142" s="221"/>
      <c r="ITI142" s="221"/>
      <c r="ITJ142" s="221"/>
      <c r="ITK142" s="221"/>
      <c r="ITL142" s="221"/>
      <c r="ITM142" s="221"/>
      <c r="ITN142" s="221"/>
      <c r="ITO142" s="221"/>
      <c r="ITP142" s="221"/>
      <c r="ITQ142" s="221"/>
      <c r="ITR142" s="221"/>
      <c r="ITS142" s="221"/>
      <c r="ITT142" s="221"/>
      <c r="ITU142" s="221"/>
      <c r="ITV142" s="221"/>
      <c r="ITW142" s="221"/>
      <c r="ITX142" s="221"/>
      <c r="ITY142" s="221"/>
      <c r="ITZ142" s="221"/>
      <c r="IUA142" s="221"/>
      <c r="IUB142" s="221"/>
      <c r="IUC142" s="221"/>
      <c r="IUD142" s="221"/>
      <c r="IUE142" s="221"/>
      <c r="IUF142" s="221"/>
      <c r="IUG142" s="221"/>
      <c r="IUH142" s="221"/>
      <c r="IUI142" s="221"/>
      <c r="IUJ142" s="221"/>
      <c r="IUK142" s="221"/>
      <c r="IUL142" s="221"/>
      <c r="IUM142" s="221"/>
      <c r="IUN142" s="221"/>
      <c r="IUO142" s="221"/>
      <c r="IUP142" s="221"/>
      <c r="IUQ142" s="221"/>
      <c r="IUR142" s="221"/>
      <c r="IUS142" s="221"/>
      <c r="IUT142" s="221"/>
      <c r="IUU142" s="221"/>
      <c r="IUV142" s="221"/>
      <c r="IUW142" s="221"/>
      <c r="IUX142" s="221"/>
      <c r="IUY142" s="221"/>
      <c r="IUZ142" s="221"/>
      <c r="IVA142" s="221"/>
      <c r="IVB142" s="221"/>
      <c r="IVC142" s="221"/>
      <c r="IVD142" s="221"/>
      <c r="IVE142" s="221"/>
      <c r="IVF142" s="221"/>
      <c r="IVG142" s="221"/>
      <c r="IVH142" s="221"/>
      <c r="IVI142" s="221"/>
      <c r="IVJ142" s="221"/>
      <c r="IVK142" s="221"/>
      <c r="IVL142" s="221"/>
      <c r="IVM142" s="221"/>
      <c r="IVN142" s="221"/>
      <c r="IVO142" s="221"/>
      <c r="IVP142" s="221"/>
      <c r="IVQ142" s="221"/>
      <c r="IVR142" s="221"/>
      <c r="IVS142" s="221"/>
      <c r="IVT142" s="221"/>
      <c r="IVU142" s="221"/>
      <c r="IVV142" s="221"/>
      <c r="IVW142" s="221"/>
      <c r="IVX142" s="221"/>
      <c r="IVY142" s="221"/>
      <c r="IVZ142" s="221"/>
      <c r="IWA142" s="221"/>
      <c r="IWB142" s="221"/>
      <c r="IWC142" s="221"/>
      <c r="IWD142" s="221"/>
      <c r="IWE142" s="221"/>
      <c r="IWF142" s="221"/>
      <c r="IWG142" s="221"/>
      <c r="IWH142" s="221"/>
      <c r="IWI142" s="221"/>
      <c r="IWJ142" s="221"/>
      <c r="IWK142" s="221"/>
      <c r="IWL142" s="221"/>
      <c r="IWM142" s="221"/>
      <c r="IWN142" s="221"/>
      <c r="IWO142" s="221"/>
      <c r="IWP142" s="221"/>
      <c r="IWQ142" s="221"/>
      <c r="IWR142" s="221"/>
      <c r="IWS142" s="221"/>
      <c r="IWT142" s="221"/>
      <c r="IWU142" s="221"/>
      <c r="IWV142" s="221"/>
      <c r="IWW142" s="221"/>
      <c r="IWX142" s="221"/>
      <c r="IWY142" s="221"/>
      <c r="IWZ142" s="221"/>
      <c r="IXA142" s="221"/>
      <c r="IXB142" s="221"/>
      <c r="IXC142" s="221"/>
      <c r="IXD142" s="221"/>
      <c r="IXE142" s="221"/>
      <c r="IXF142" s="221"/>
      <c r="IXG142" s="221"/>
      <c r="IXH142" s="221"/>
      <c r="IXI142" s="221"/>
      <c r="IXJ142" s="221"/>
      <c r="IXK142" s="221"/>
      <c r="IXL142" s="221"/>
      <c r="IXM142" s="221"/>
      <c r="IXN142" s="221"/>
      <c r="IXO142" s="221"/>
      <c r="IXP142" s="221"/>
      <c r="IXQ142" s="221"/>
      <c r="IXR142" s="221"/>
      <c r="IXS142" s="221"/>
      <c r="IXT142" s="221"/>
      <c r="IXU142" s="221"/>
      <c r="IXV142" s="221"/>
      <c r="IXW142" s="221"/>
      <c r="IXX142" s="221"/>
      <c r="IXY142" s="221"/>
      <c r="IXZ142" s="221"/>
      <c r="IYA142" s="221"/>
      <c r="IYB142" s="221"/>
      <c r="IYC142" s="221"/>
      <c r="IYD142" s="221"/>
      <c r="IYE142" s="221"/>
      <c r="IYF142" s="221"/>
      <c r="IYG142" s="221"/>
      <c r="IYH142" s="221"/>
      <c r="IYI142" s="221"/>
      <c r="IYJ142" s="221"/>
      <c r="IYK142" s="221"/>
      <c r="IYL142" s="221"/>
      <c r="IYM142" s="221"/>
      <c r="IYN142" s="221"/>
      <c r="IYO142" s="221"/>
      <c r="IYP142" s="221"/>
      <c r="IYQ142" s="221"/>
      <c r="IYR142" s="221"/>
      <c r="IYS142" s="221"/>
      <c r="IYT142" s="221"/>
      <c r="IYU142" s="221"/>
      <c r="IYV142" s="221"/>
      <c r="IYW142" s="221"/>
      <c r="IYX142" s="221"/>
      <c r="IYY142" s="221"/>
      <c r="IYZ142" s="221"/>
      <c r="IZA142" s="221"/>
      <c r="IZB142" s="221"/>
      <c r="IZC142" s="221"/>
      <c r="IZD142" s="221"/>
      <c r="IZE142" s="221"/>
      <c r="IZF142" s="221"/>
      <c r="IZG142" s="221"/>
      <c r="IZH142" s="221"/>
      <c r="IZI142" s="221"/>
      <c r="IZJ142" s="221"/>
      <c r="IZK142" s="221"/>
      <c r="IZL142" s="221"/>
      <c r="IZM142" s="221"/>
      <c r="IZN142" s="221"/>
      <c r="IZO142" s="221"/>
      <c r="IZP142" s="221"/>
      <c r="IZQ142" s="221"/>
      <c r="IZR142" s="221"/>
      <c r="IZS142" s="221"/>
      <c r="IZT142" s="221"/>
      <c r="IZU142" s="221"/>
      <c r="IZV142" s="221"/>
      <c r="IZW142" s="221"/>
      <c r="IZX142" s="221"/>
      <c r="IZY142" s="221"/>
      <c r="IZZ142" s="221"/>
      <c r="JAA142" s="221"/>
      <c r="JAB142" s="221"/>
      <c r="JAC142" s="221"/>
      <c r="JAD142" s="221"/>
      <c r="JAE142" s="221"/>
      <c r="JAF142" s="221"/>
      <c r="JAG142" s="221"/>
      <c r="JAH142" s="221"/>
      <c r="JAI142" s="221"/>
      <c r="JAJ142" s="221"/>
      <c r="JAK142" s="221"/>
      <c r="JAL142" s="221"/>
      <c r="JAM142" s="221"/>
      <c r="JAN142" s="221"/>
      <c r="JAO142" s="221"/>
      <c r="JAP142" s="221"/>
      <c r="JAQ142" s="221"/>
      <c r="JAR142" s="221"/>
      <c r="JAS142" s="221"/>
      <c r="JAT142" s="221"/>
      <c r="JAU142" s="221"/>
      <c r="JAV142" s="221"/>
      <c r="JAW142" s="221"/>
      <c r="JAX142" s="221"/>
      <c r="JAY142" s="221"/>
      <c r="JAZ142" s="221"/>
      <c r="JBA142" s="221"/>
      <c r="JBB142" s="221"/>
      <c r="JBC142" s="221"/>
      <c r="JBD142" s="221"/>
      <c r="JBE142" s="221"/>
      <c r="JBF142" s="221"/>
      <c r="JBG142" s="221"/>
      <c r="JBH142" s="221"/>
      <c r="JBI142" s="221"/>
      <c r="JBJ142" s="221"/>
      <c r="JBK142" s="221"/>
      <c r="JBL142" s="221"/>
      <c r="JBM142" s="221"/>
      <c r="JBN142" s="221"/>
      <c r="JBO142" s="221"/>
      <c r="JBP142" s="221"/>
      <c r="JBQ142" s="221"/>
      <c r="JBR142" s="221"/>
      <c r="JBS142" s="221"/>
      <c r="JBT142" s="221"/>
      <c r="JBU142" s="221"/>
      <c r="JBV142" s="221"/>
      <c r="JBW142" s="221"/>
      <c r="JBX142" s="221"/>
      <c r="JBY142" s="221"/>
      <c r="JBZ142" s="221"/>
      <c r="JCA142" s="221"/>
      <c r="JCB142" s="221"/>
      <c r="JCC142" s="221"/>
      <c r="JCD142" s="221"/>
      <c r="JCE142" s="221"/>
      <c r="JCF142" s="221"/>
      <c r="JCG142" s="221"/>
      <c r="JCH142" s="221"/>
      <c r="JCI142" s="221"/>
      <c r="JCJ142" s="221"/>
      <c r="JCK142" s="221"/>
      <c r="JCL142" s="221"/>
      <c r="JCM142" s="221"/>
      <c r="JCN142" s="221"/>
      <c r="JCO142" s="221"/>
      <c r="JCP142" s="221"/>
      <c r="JCQ142" s="221"/>
      <c r="JCR142" s="221"/>
      <c r="JCS142" s="221"/>
      <c r="JCT142" s="221"/>
      <c r="JCU142" s="221"/>
      <c r="JCV142" s="221"/>
      <c r="JCW142" s="221"/>
      <c r="JCX142" s="221"/>
      <c r="JCY142" s="221"/>
      <c r="JCZ142" s="221"/>
      <c r="JDA142" s="221"/>
      <c r="JDB142" s="221"/>
      <c r="JDC142" s="221"/>
      <c r="JDD142" s="221"/>
      <c r="JDE142" s="221"/>
      <c r="JDF142" s="221"/>
      <c r="JDG142" s="221"/>
      <c r="JDH142" s="221"/>
      <c r="JDI142" s="221"/>
      <c r="JDJ142" s="221"/>
      <c r="JDK142" s="221"/>
      <c r="JDL142" s="221"/>
      <c r="JDM142" s="221"/>
      <c r="JDN142" s="221"/>
      <c r="JDO142" s="221"/>
      <c r="JDP142" s="221"/>
      <c r="JDQ142" s="221"/>
      <c r="JDR142" s="221"/>
      <c r="JDS142" s="221"/>
      <c r="JDT142" s="221"/>
      <c r="JDU142" s="221"/>
      <c r="JDV142" s="221"/>
      <c r="JDW142" s="221"/>
      <c r="JDX142" s="221"/>
      <c r="JDY142" s="221"/>
      <c r="JDZ142" s="221"/>
      <c r="JEA142" s="221"/>
      <c r="JEB142" s="221"/>
      <c r="JEC142" s="221"/>
      <c r="JED142" s="221"/>
      <c r="JEE142" s="221"/>
      <c r="JEF142" s="221"/>
      <c r="JEG142" s="221"/>
      <c r="JEH142" s="221"/>
      <c r="JEI142" s="221"/>
      <c r="JEJ142" s="221"/>
      <c r="JEK142" s="221"/>
      <c r="JEL142" s="221"/>
      <c r="JEM142" s="221"/>
      <c r="JEN142" s="221"/>
      <c r="JEO142" s="221"/>
      <c r="JEP142" s="221"/>
      <c r="JEQ142" s="221"/>
      <c r="JER142" s="221"/>
      <c r="JES142" s="221"/>
      <c r="JET142" s="221"/>
      <c r="JEU142" s="221"/>
      <c r="JEV142" s="221"/>
      <c r="JEW142" s="221"/>
      <c r="JEX142" s="221"/>
      <c r="JEY142" s="221"/>
      <c r="JEZ142" s="221"/>
      <c r="JFA142" s="221"/>
      <c r="JFB142" s="221"/>
      <c r="JFC142" s="221"/>
      <c r="JFD142" s="221"/>
      <c r="JFE142" s="221"/>
      <c r="JFF142" s="221"/>
      <c r="JFG142" s="221"/>
      <c r="JFH142" s="221"/>
      <c r="JFI142" s="221"/>
      <c r="JFJ142" s="221"/>
      <c r="JFK142" s="221"/>
      <c r="JFL142" s="221"/>
      <c r="JFM142" s="221"/>
      <c r="JFN142" s="221"/>
      <c r="JFO142" s="221"/>
      <c r="JFP142" s="221"/>
      <c r="JFQ142" s="221"/>
      <c r="JFR142" s="221"/>
      <c r="JFS142" s="221"/>
      <c r="JFT142" s="221"/>
      <c r="JFU142" s="221"/>
      <c r="JFV142" s="221"/>
      <c r="JFW142" s="221"/>
      <c r="JFX142" s="221"/>
      <c r="JFY142" s="221"/>
      <c r="JFZ142" s="221"/>
      <c r="JGA142" s="221"/>
      <c r="JGB142" s="221"/>
      <c r="JGC142" s="221"/>
      <c r="JGD142" s="221"/>
      <c r="JGE142" s="221"/>
      <c r="JGF142" s="221"/>
      <c r="JGG142" s="221"/>
      <c r="JGH142" s="221"/>
      <c r="JGI142" s="221"/>
      <c r="JGJ142" s="221"/>
      <c r="JGK142" s="221"/>
      <c r="JGL142" s="221"/>
      <c r="JGM142" s="221"/>
      <c r="JGN142" s="221"/>
      <c r="JGO142" s="221"/>
      <c r="JGP142" s="221"/>
      <c r="JGQ142" s="221"/>
      <c r="JGR142" s="221"/>
      <c r="JGS142" s="221"/>
      <c r="JGT142" s="221"/>
      <c r="JGU142" s="221"/>
      <c r="JGV142" s="221"/>
      <c r="JGW142" s="221"/>
      <c r="JGX142" s="221"/>
      <c r="JGY142" s="221"/>
      <c r="JGZ142" s="221"/>
      <c r="JHA142" s="221"/>
      <c r="JHB142" s="221"/>
      <c r="JHC142" s="221"/>
      <c r="JHD142" s="221"/>
      <c r="JHE142" s="221"/>
      <c r="JHF142" s="221"/>
      <c r="JHG142" s="221"/>
      <c r="JHH142" s="221"/>
      <c r="JHI142" s="221"/>
      <c r="JHJ142" s="221"/>
      <c r="JHK142" s="221"/>
      <c r="JHL142" s="221"/>
      <c r="JHM142" s="221"/>
      <c r="JHN142" s="221"/>
      <c r="JHO142" s="221"/>
      <c r="JHP142" s="221"/>
      <c r="JHQ142" s="221"/>
      <c r="JHR142" s="221"/>
      <c r="JHS142" s="221"/>
      <c r="JHT142" s="221"/>
      <c r="JHU142" s="221"/>
      <c r="JHV142" s="221"/>
      <c r="JHW142" s="221"/>
      <c r="JHX142" s="221"/>
      <c r="JHY142" s="221"/>
      <c r="JHZ142" s="221"/>
      <c r="JIA142" s="221"/>
      <c r="JIB142" s="221"/>
      <c r="JIC142" s="221"/>
      <c r="JID142" s="221"/>
      <c r="JIE142" s="221"/>
      <c r="JIF142" s="221"/>
      <c r="JIG142" s="221"/>
      <c r="JIH142" s="221"/>
      <c r="JII142" s="221"/>
      <c r="JIJ142" s="221"/>
      <c r="JIK142" s="221"/>
      <c r="JIL142" s="221"/>
      <c r="JIM142" s="221"/>
      <c r="JIN142" s="221"/>
      <c r="JIO142" s="221"/>
      <c r="JIP142" s="221"/>
      <c r="JIQ142" s="221"/>
      <c r="JIR142" s="221"/>
      <c r="JIS142" s="221"/>
      <c r="JIT142" s="221"/>
      <c r="JIU142" s="221"/>
      <c r="JIV142" s="221"/>
      <c r="JIW142" s="221"/>
      <c r="JIX142" s="221"/>
      <c r="JIY142" s="221"/>
      <c r="JIZ142" s="221"/>
      <c r="JJA142" s="221"/>
      <c r="JJB142" s="221"/>
      <c r="JJC142" s="221"/>
      <c r="JJD142" s="221"/>
      <c r="JJE142" s="221"/>
      <c r="JJF142" s="221"/>
      <c r="JJG142" s="221"/>
      <c r="JJH142" s="221"/>
      <c r="JJI142" s="221"/>
      <c r="JJJ142" s="221"/>
      <c r="JJK142" s="221"/>
      <c r="JJL142" s="221"/>
      <c r="JJM142" s="221"/>
      <c r="JJN142" s="221"/>
      <c r="JJO142" s="221"/>
      <c r="JJP142" s="221"/>
      <c r="JJQ142" s="221"/>
      <c r="JJR142" s="221"/>
      <c r="JJS142" s="221"/>
      <c r="JJT142" s="221"/>
      <c r="JJU142" s="221"/>
      <c r="JJV142" s="221"/>
      <c r="JJW142" s="221"/>
      <c r="JJX142" s="221"/>
      <c r="JJY142" s="221"/>
      <c r="JJZ142" s="221"/>
      <c r="JKA142" s="221"/>
      <c r="JKB142" s="221"/>
      <c r="JKC142" s="221"/>
      <c r="JKD142" s="221"/>
      <c r="JKE142" s="221"/>
      <c r="JKF142" s="221"/>
      <c r="JKG142" s="221"/>
      <c r="JKH142" s="221"/>
      <c r="JKI142" s="221"/>
      <c r="JKJ142" s="221"/>
      <c r="JKK142" s="221"/>
      <c r="JKL142" s="221"/>
      <c r="JKM142" s="221"/>
      <c r="JKN142" s="221"/>
      <c r="JKO142" s="221"/>
      <c r="JKP142" s="221"/>
      <c r="JKQ142" s="221"/>
      <c r="JKR142" s="221"/>
      <c r="JKS142" s="221"/>
      <c r="JKT142" s="221"/>
      <c r="JKU142" s="221"/>
      <c r="JKV142" s="221"/>
      <c r="JKW142" s="221"/>
      <c r="JKX142" s="221"/>
      <c r="JKY142" s="221"/>
      <c r="JKZ142" s="221"/>
      <c r="JLA142" s="221"/>
      <c r="JLB142" s="221"/>
      <c r="JLC142" s="221"/>
      <c r="JLD142" s="221"/>
      <c r="JLE142" s="221"/>
      <c r="JLF142" s="221"/>
      <c r="JLG142" s="221"/>
      <c r="JLH142" s="221"/>
      <c r="JLI142" s="221"/>
      <c r="JLJ142" s="221"/>
      <c r="JLK142" s="221"/>
      <c r="JLL142" s="221"/>
      <c r="JLM142" s="221"/>
      <c r="JLN142" s="221"/>
      <c r="JLO142" s="221"/>
      <c r="JLP142" s="221"/>
      <c r="JLQ142" s="221"/>
      <c r="JLR142" s="221"/>
      <c r="JLS142" s="221"/>
      <c r="JLT142" s="221"/>
      <c r="JLU142" s="221"/>
      <c r="JLV142" s="221"/>
      <c r="JLW142" s="221"/>
      <c r="JLX142" s="221"/>
      <c r="JLY142" s="221"/>
      <c r="JLZ142" s="221"/>
      <c r="JMA142" s="221"/>
      <c r="JMB142" s="221"/>
      <c r="JMC142" s="221"/>
      <c r="JMD142" s="221"/>
      <c r="JME142" s="221"/>
      <c r="JMF142" s="221"/>
      <c r="JMG142" s="221"/>
      <c r="JMH142" s="221"/>
      <c r="JMI142" s="221"/>
      <c r="JMJ142" s="221"/>
      <c r="JMK142" s="221"/>
      <c r="JML142" s="221"/>
      <c r="JMM142" s="221"/>
      <c r="JMN142" s="221"/>
      <c r="JMO142" s="221"/>
      <c r="JMP142" s="221"/>
      <c r="JMQ142" s="221"/>
      <c r="JMR142" s="221"/>
      <c r="JMS142" s="221"/>
      <c r="JMT142" s="221"/>
      <c r="JMU142" s="221"/>
      <c r="JMV142" s="221"/>
      <c r="JMW142" s="221"/>
      <c r="JMX142" s="221"/>
      <c r="JMY142" s="221"/>
      <c r="JMZ142" s="221"/>
      <c r="JNA142" s="221"/>
      <c r="JNB142" s="221"/>
      <c r="JNC142" s="221"/>
      <c r="JND142" s="221"/>
      <c r="JNE142" s="221"/>
      <c r="JNF142" s="221"/>
      <c r="JNG142" s="221"/>
      <c r="JNH142" s="221"/>
      <c r="JNI142" s="221"/>
      <c r="JNJ142" s="221"/>
      <c r="JNK142" s="221"/>
      <c r="JNL142" s="221"/>
      <c r="JNM142" s="221"/>
      <c r="JNN142" s="221"/>
      <c r="JNO142" s="221"/>
      <c r="JNP142" s="221"/>
      <c r="JNQ142" s="221"/>
      <c r="JNR142" s="221"/>
      <c r="JNS142" s="221"/>
      <c r="JNT142" s="221"/>
      <c r="JNU142" s="221"/>
      <c r="JNV142" s="221"/>
      <c r="JNW142" s="221"/>
      <c r="JNX142" s="221"/>
      <c r="JNY142" s="221"/>
      <c r="JNZ142" s="221"/>
      <c r="JOA142" s="221"/>
      <c r="JOB142" s="221"/>
      <c r="JOC142" s="221"/>
      <c r="JOD142" s="221"/>
      <c r="JOE142" s="221"/>
      <c r="JOF142" s="221"/>
      <c r="JOG142" s="221"/>
      <c r="JOH142" s="221"/>
      <c r="JOI142" s="221"/>
      <c r="JOJ142" s="221"/>
      <c r="JOK142" s="221"/>
      <c r="JOL142" s="221"/>
      <c r="JOM142" s="221"/>
      <c r="JON142" s="221"/>
      <c r="JOO142" s="221"/>
      <c r="JOP142" s="221"/>
      <c r="JOQ142" s="221"/>
      <c r="JOR142" s="221"/>
      <c r="JOS142" s="221"/>
      <c r="JOT142" s="221"/>
      <c r="JOU142" s="221"/>
      <c r="JOV142" s="221"/>
      <c r="JOW142" s="221"/>
      <c r="JOX142" s="221"/>
      <c r="JOY142" s="221"/>
      <c r="JOZ142" s="221"/>
      <c r="JPA142" s="221"/>
      <c r="JPB142" s="221"/>
      <c r="JPC142" s="221"/>
      <c r="JPD142" s="221"/>
      <c r="JPE142" s="221"/>
      <c r="JPF142" s="221"/>
      <c r="JPG142" s="221"/>
      <c r="JPH142" s="221"/>
      <c r="JPI142" s="221"/>
      <c r="JPJ142" s="221"/>
      <c r="JPK142" s="221"/>
      <c r="JPL142" s="221"/>
      <c r="JPM142" s="221"/>
      <c r="JPN142" s="221"/>
      <c r="JPO142" s="221"/>
      <c r="JPP142" s="221"/>
      <c r="JPQ142" s="221"/>
      <c r="JPR142" s="221"/>
      <c r="JPS142" s="221"/>
      <c r="JPT142" s="221"/>
      <c r="JPU142" s="221"/>
      <c r="JPV142" s="221"/>
      <c r="JPW142" s="221"/>
      <c r="JPX142" s="221"/>
      <c r="JPY142" s="221"/>
      <c r="JPZ142" s="221"/>
      <c r="JQA142" s="221"/>
      <c r="JQB142" s="221"/>
      <c r="JQC142" s="221"/>
      <c r="JQD142" s="221"/>
      <c r="JQE142" s="221"/>
      <c r="JQF142" s="221"/>
      <c r="JQG142" s="221"/>
      <c r="JQH142" s="221"/>
      <c r="JQI142" s="221"/>
      <c r="JQJ142" s="221"/>
      <c r="JQK142" s="221"/>
      <c r="JQL142" s="221"/>
      <c r="JQM142" s="221"/>
      <c r="JQN142" s="221"/>
      <c r="JQO142" s="221"/>
      <c r="JQP142" s="221"/>
      <c r="JQQ142" s="221"/>
      <c r="JQR142" s="221"/>
      <c r="JQS142" s="221"/>
      <c r="JQT142" s="221"/>
      <c r="JQU142" s="221"/>
      <c r="JQV142" s="221"/>
      <c r="JQW142" s="221"/>
      <c r="JQX142" s="221"/>
      <c r="JQY142" s="221"/>
      <c r="JQZ142" s="221"/>
      <c r="JRA142" s="221"/>
      <c r="JRB142" s="221"/>
      <c r="JRC142" s="221"/>
      <c r="JRD142" s="221"/>
      <c r="JRE142" s="221"/>
      <c r="JRF142" s="221"/>
      <c r="JRG142" s="221"/>
      <c r="JRH142" s="221"/>
      <c r="JRI142" s="221"/>
      <c r="JRJ142" s="221"/>
      <c r="JRK142" s="221"/>
      <c r="JRL142" s="221"/>
      <c r="JRM142" s="221"/>
      <c r="JRN142" s="221"/>
      <c r="JRO142" s="221"/>
      <c r="JRP142" s="221"/>
      <c r="JRQ142" s="221"/>
      <c r="JRR142" s="221"/>
      <c r="JRS142" s="221"/>
      <c r="JRT142" s="221"/>
      <c r="JRU142" s="221"/>
      <c r="JRV142" s="221"/>
      <c r="JRW142" s="221"/>
      <c r="JRX142" s="221"/>
      <c r="JRY142" s="221"/>
      <c r="JRZ142" s="221"/>
      <c r="JSA142" s="221"/>
      <c r="JSB142" s="221"/>
      <c r="JSC142" s="221"/>
      <c r="JSD142" s="221"/>
      <c r="JSE142" s="221"/>
      <c r="JSF142" s="221"/>
      <c r="JSG142" s="221"/>
      <c r="JSH142" s="221"/>
      <c r="JSI142" s="221"/>
      <c r="JSJ142" s="221"/>
      <c r="JSK142" s="221"/>
      <c r="JSL142" s="221"/>
      <c r="JSM142" s="221"/>
      <c r="JSN142" s="221"/>
      <c r="JSO142" s="221"/>
      <c r="JSP142" s="221"/>
      <c r="JSQ142" s="221"/>
      <c r="JSR142" s="221"/>
      <c r="JSS142" s="221"/>
      <c r="JST142" s="221"/>
      <c r="JSU142" s="221"/>
      <c r="JSV142" s="221"/>
      <c r="JSW142" s="221"/>
      <c r="JSX142" s="221"/>
      <c r="JSY142" s="221"/>
      <c r="JSZ142" s="221"/>
      <c r="JTA142" s="221"/>
      <c r="JTB142" s="221"/>
      <c r="JTC142" s="221"/>
      <c r="JTD142" s="221"/>
      <c r="JTE142" s="221"/>
      <c r="JTF142" s="221"/>
      <c r="JTG142" s="221"/>
      <c r="JTH142" s="221"/>
      <c r="JTI142" s="221"/>
      <c r="JTJ142" s="221"/>
      <c r="JTK142" s="221"/>
      <c r="JTL142" s="221"/>
      <c r="JTM142" s="221"/>
      <c r="JTN142" s="221"/>
      <c r="JTO142" s="221"/>
      <c r="JTP142" s="221"/>
      <c r="JTQ142" s="221"/>
      <c r="JTR142" s="221"/>
      <c r="JTS142" s="221"/>
      <c r="JTT142" s="221"/>
      <c r="JTU142" s="221"/>
      <c r="JTV142" s="221"/>
      <c r="JTW142" s="221"/>
      <c r="JTX142" s="221"/>
      <c r="JTY142" s="221"/>
      <c r="JTZ142" s="221"/>
      <c r="JUA142" s="221"/>
      <c r="JUB142" s="221"/>
      <c r="JUC142" s="221"/>
      <c r="JUD142" s="221"/>
      <c r="JUE142" s="221"/>
      <c r="JUF142" s="221"/>
      <c r="JUG142" s="221"/>
      <c r="JUH142" s="221"/>
      <c r="JUI142" s="221"/>
      <c r="JUJ142" s="221"/>
      <c r="JUK142" s="221"/>
      <c r="JUL142" s="221"/>
      <c r="JUM142" s="221"/>
      <c r="JUN142" s="221"/>
      <c r="JUO142" s="221"/>
      <c r="JUP142" s="221"/>
      <c r="JUQ142" s="221"/>
      <c r="JUR142" s="221"/>
      <c r="JUS142" s="221"/>
      <c r="JUT142" s="221"/>
      <c r="JUU142" s="221"/>
      <c r="JUV142" s="221"/>
      <c r="JUW142" s="221"/>
      <c r="JUX142" s="221"/>
      <c r="JUY142" s="221"/>
      <c r="JUZ142" s="221"/>
      <c r="JVA142" s="221"/>
      <c r="JVB142" s="221"/>
      <c r="JVC142" s="221"/>
      <c r="JVD142" s="221"/>
      <c r="JVE142" s="221"/>
      <c r="JVF142" s="221"/>
      <c r="JVG142" s="221"/>
      <c r="JVH142" s="221"/>
      <c r="JVI142" s="221"/>
      <c r="JVJ142" s="221"/>
      <c r="JVK142" s="221"/>
      <c r="JVL142" s="221"/>
      <c r="JVM142" s="221"/>
      <c r="JVN142" s="221"/>
      <c r="JVO142" s="221"/>
      <c r="JVP142" s="221"/>
      <c r="JVQ142" s="221"/>
      <c r="JVR142" s="221"/>
      <c r="JVS142" s="221"/>
      <c r="JVT142" s="221"/>
      <c r="JVU142" s="221"/>
      <c r="JVV142" s="221"/>
      <c r="JVW142" s="221"/>
      <c r="JVX142" s="221"/>
      <c r="JVY142" s="221"/>
      <c r="JVZ142" s="221"/>
      <c r="JWA142" s="221"/>
      <c r="JWB142" s="221"/>
      <c r="JWC142" s="221"/>
      <c r="JWD142" s="221"/>
      <c r="JWE142" s="221"/>
      <c r="JWF142" s="221"/>
      <c r="JWG142" s="221"/>
      <c r="JWH142" s="221"/>
      <c r="JWI142" s="221"/>
      <c r="JWJ142" s="221"/>
      <c r="JWK142" s="221"/>
      <c r="JWL142" s="221"/>
      <c r="JWM142" s="221"/>
      <c r="JWN142" s="221"/>
      <c r="JWO142" s="221"/>
      <c r="JWP142" s="221"/>
      <c r="JWQ142" s="221"/>
      <c r="JWR142" s="221"/>
      <c r="JWS142" s="221"/>
      <c r="JWT142" s="221"/>
      <c r="JWU142" s="221"/>
      <c r="JWV142" s="221"/>
      <c r="JWW142" s="221"/>
      <c r="JWX142" s="221"/>
      <c r="JWY142" s="221"/>
      <c r="JWZ142" s="221"/>
      <c r="JXA142" s="221"/>
      <c r="JXB142" s="221"/>
      <c r="JXC142" s="221"/>
      <c r="JXD142" s="221"/>
      <c r="JXE142" s="221"/>
      <c r="JXF142" s="221"/>
      <c r="JXG142" s="221"/>
      <c r="JXH142" s="221"/>
      <c r="JXI142" s="221"/>
      <c r="JXJ142" s="221"/>
      <c r="JXK142" s="221"/>
      <c r="JXL142" s="221"/>
      <c r="JXM142" s="221"/>
      <c r="JXN142" s="221"/>
      <c r="JXO142" s="221"/>
      <c r="JXP142" s="221"/>
      <c r="JXQ142" s="221"/>
      <c r="JXR142" s="221"/>
      <c r="JXS142" s="221"/>
      <c r="JXT142" s="221"/>
      <c r="JXU142" s="221"/>
      <c r="JXV142" s="221"/>
      <c r="JXW142" s="221"/>
      <c r="JXX142" s="221"/>
      <c r="JXY142" s="221"/>
      <c r="JXZ142" s="221"/>
      <c r="JYA142" s="221"/>
      <c r="JYB142" s="221"/>
      <c r="JYC142" s="221"/>
      <c r="JYD142" s="221"/>
      <c r="JYE142" s="221"/>
      <c r="JYF142" s="221"/>
      <c r="JYG142" s="221"/>
      <c r="JYH142" s="221"/>
      <c r="JYI142" s="221"/>
      <c r="JYJ142" s="221"/>
      <c r="JYK142" s="221"/>
      <c r="JYL142" s="221"/>
      <c r="JYM142" s="221"/>
      <c r="JYN142" s="221"/>
      <c r="JYO142" s="221"/>
      <c r="JYP142" s="221"/>
      <c r="JYQ142" s="221"/>
      <c r="JYR142" s="221"/>
      <c r="JYS142" s="221"/>
      <c r="JYT142" s="221"/>
      <c r="JYU142" s="221"/>
      <c r="JYV142" s="221"/>
      <c r="JYW142" s="221"/>
      <c r="JYX142" s="221"/>
      <c r="JYY142" s="221"/>
      <c r="JYZ142" s="221"/>
      <c r="JZA142" s="221"/>
      <c r="JZB142" s="221"/>
      <c r="JZC142" s="221"/>
      <c r="JZD142" s="221"/>
      <c r="JZE142" s="221"/>
      <c r="JZF142" s="221"/>
      <c r="JZG142" s="221"/>
      <c r="JZH142" s="221"/>
      <c r="JZI142" s="221"/>
      <c r="JZJ142" s="221"/>
      <c r="JZK142" s="221"/>
      <c r="JZL142" s="221"/>
      <c r="JZM142" s="221"/>
      <c r="JZN142" s="221"/>
      <c r="JZO142" s="221"/>
      <c r="JZP142" s="221"/>
      <c r="JZQ142" s="221"/>
      <c r="JZR142" s="221"/>
      <c r="JZS142" s="221"/>
      <c r="JZT142" s="221"/>
      <c r="JZU142" s="221"/>
      <c r="JZV142" s="221"/>
      <c r="JZW142" s="221"/>
      <c r="JZX142" s="221"/>
      <c r="JZY142" s="221"/>
      <c r="JZZ142" s="221"/>
      <c r="KAA142" s="221"/>
      <c r="KAB142" s="221"/>
      <c r="KAC142" s="221"/>
      <c r="KAD142" s="221"/>
      <c r="KAE142" s="221"/>
      <c r="KAF142" s="221"/>
      <c r="KAG142" s="221"/>
      <c r="KAH142" s="221"/>
      <c r="KAI142" s="221"/>
      <c r="KAJ142" s="221"/>
      <c r="KAK142" s="221"/>
      <c r="KAL142" s="221"/>
      <c r="KAM142" s="221"/>
      <c r="KAN142" s="221"/>
      <c r="KAO142" s="221"/>
      <c r="KAP142" s="221"/>
      <c r="KAQ142" s="221"/>
      <c r="KAR142" s="221"/>
      <c r="KAS142" s="221"/>
      <c r="KAT142" s="221"/>
      <c r="KAU142" s="221"/>
      <c r="KAV142" s="221"/>
      <c r="KAW142" s="221"/>
      <c r="KAX142" s="221"/>
      <c r="KAY142" s="221"/>
      <c r="KAZ142" s="221"/>
      <c r="KBA142" s="221"/>
      <c r="KBB142" s="221"/>
      <c r="KBC142" s="221"/>
      <c r="KBD142" s="221"/>
      <c r="KBE142" s="221"/>
      <c r="KBF142" s="221"/>
      <c r="KBG142" s="221"/>
      <c r="KBH142" s="221"/>
      <c r="KBI142" s="221"/>
      <c r="KBJ142" s="221"/>
      <c r="KBK142" s="221"/>
      <c r="KBL142" s="221"/>
      <c r="KBM142" s="221"/>
      <c r="KBN142" s="221"/>
      <c r="KBO142" s="221"/>
      <c r="KBP142" s="221"/>
      <c r="KBQ142" s="221"/>
      <c r="KBR142" s="221"/>
      <c r="KBS142" s="221"/>
      <c r="KBT142" s="221"/>
      <c r="KBU142" s="221"/>
      <c r="KBV142" s="221"/>
      <c r="KBW142" s="221"/>
      <c r="KBX142" s="221"/>
      <c r="KBY142" s="221"/>
      <c r="KBZ142" s="221"/>
      <c r="KCA142" s="221"/>
      <c r="KCB142" s="221"/>
      <c r="KCC142" s="221"/>
      <c r="KCD142" s="221"/>
      <c r="KCE142" s="221"/>
      <c r="KCF142" s="221"/>
      <c r="KCG142" s="221"/>
      <c r="KCH142" s="221"/>
      <c r="KCI142" s="221"/>
      <c r="KCJ142" s="221"/>
      <c r="KCK142" s="221"/>
      <c r="KCL142" s="221"/>
      <c r="KCM142" s="221"/>
      <c r="KCN142" s="221"/>
      <c r="KCO142" s="221"/>
      <c r="KCP142" s="221"/>
      <c r="KCQ142" s="221"/>
      <c r="KCR142" s="221"/>
      <c r="KCS142" s="221"/>
      <c r="KCT142" s="221"/>
      <c r="KCU142" s="221"/>
      <c r="KCV142" s="221"/>
      <c r="KCW142" s="221"/>
      <c r="KCX142" s="221"/>
      <c r="KCY142" s="221"/>
      <c r="KCZ142" s="221"/>
      <c r="KDA142" s="221"/>
      <c r="KDB142" s="221"/>
      <c r="KDC142" s="221"/>
      <c r="KDD142" s="221"/>
      <c r="KDE142" s="221"/>
      <c r="KDF142" s="221"/>
      <c r="KDG142" s="221"/>
      <c r="KDH142" s="221"/>
      <c r="KDI142" s="221"/>
      <c r="KDJ142" s="221"/>
      <c r="KDK142" s="221"/>
      <c r="KDL142" s="221"/>
      <c r="KDM142" s="221"/>
      <c r="KDN142" s="221"/>
      <c r="KDO142" s="221"/>
      <c r="KDP142" s="221"/>
      <c r="KDQ142" s="221"/>
      <c r="KDR142" s="221"/>
      <c r="KDS142" s="221"/>
      <c r="KDT142" s="221"/>
      <c r="KDU142" s="221"/>
      <c r="KDV142" s="221"/>
      <c r="KDW142" s="221"/>
      <c r="KDX142" s="221"/>
      <c r="KDY142" s="221"/>
      <c r="KDZ142" s="221"/>
      <c r="KEA142" s="221"/>
      <c r="KEB142" s="221"/>
      <c r="KEC142" s="221"/>
      <c r="KED142" s="221"/>
      <c r="KEE142" s="221"/>
      <c r="KEF142" s="221"/>
      <c r="KEG142" s="221"/>
      <c r="KEH142" s="221"/>
      <c r="KEI142" s="221"/>
      <c r="KEJ142" s="221"/>
      <c r="KEK142" s="221"/>
      <c r="KEL142" s="221"/>
      <c r="KEM142" s="221"/>
      <c r="KEN142" s="221"/>
      <c r="KEO142" s="221"/>
      <c r="KEP142" s="221"/>
      <c r="KEQ142" s="221"/>
      <c r="KER142" s="221"/>
      <c r="KES142" s="221"/>
      <c r="KET142" s="221"/>
      <c r="KEU142" s="221"/>
      <c r="KEV142" s="221"/>
      <c r="KEW142" s="221"/>
      <c r="KEX142" s="221"/>
      <c r="KEY142" s="221"/>
      <c r="KEZ142" s="221"/>
      <c r="KFA142" s="221"/>
      <c r="KFB142" s="221"/>
      <c r="KFC142" s="221"/>
      <c r="KFD142" s="221"/>
      <c r="KFE142" s="221"/>
      <c r="KFF142" s="221"/>
      <c r="KFG142" s="221"/>
      <c r="KFH142" s="221"/>
      <c r="KFI142" s="221"/>
      <c r="KFJ142" s="221"/>
      <c r="KFK142" s="221"/>
      <c r="KFL142" s="221"/>
      <c r="KFM142" s="221"/>
      <c r="KFN142" s="221"/>
      <c r="KFO142" s="221"/>
      <c r="KFP142" s="221"/>
      <c r="KFQ142" s="221"/>
      <c r="KFR142" s="221"/>
      <c r="KFS142" s="221"/>
      <c r="KFT142" s="221"/>
      <c r="KFU142" s="221"/>
      <c r="KFV142" s="221"/>
      <c r="KFW142" s="221"/>
      <c r="KFX142" s="221"/>
      <c r="KFY142" s="221"/>
      <c r="KFZ142" s="221"/>
      <c r="KGA142" s="221"/>
      <c r="KGB142" s="221"/>
      <c r="KGC142" s="221"/>
      <c r="KGD142" s="221"/>
      <c r="KGE142" s="221"/>
      <c r="KGF142" s="221"/>
      <c r="KGG142" s="221"/>
      <c r="KGH142" s="221"/>
      <c r="KGI142" s="221"/>
      <c r="KGJ142" s="221"/>
      <c r="KGK142" s="221"/>
      <c r="KGL142" s="221"/>
      <c r="KGM142" s="221"/>
      <c r="KGN142" s="221"/>
      <c r="KGO142" s="221"/>
      <c r="KGP142" s="221"/>
      <c r="KGQ142" s="221"/>
      <c r="KGR142" s="221"/>
      <c r="KGS142" s="221"/>
      <c r="KGT142" s="221"/>
      <c r="KGU142" s="221"/>
      <c r="KGV142" s="221"/>
      <c r="KGW142" s="221"/>
      <c r="KGX142" s="221"/>
      <c r="KGY142" s="221"/>
      <c r="KGZ142" s="221"/>
      <c r="KHA142" s="221"/>
      <c r="KHB142" s="221"/>
      <c r="KHC142" s="221"/>
      <c r="KHD142" s="221"/>
      <c r="KHE142" s="221"/>
      <c r="KHF142" s="221"/>
      <c r="KHG142" s="221"/>
      <c r="KHH142" s="221"/>
      <c r="KHI142" s="221"/>
      <c r="KHJ142" s="221"/>
      <c r="KHK142" s="221"/>
      <c r="KHL142" s="221"/>
      <c r="KHM142" s="221"/>
      <c r="KHN142" s="221"/>
      <c r="KHO142" s="221"/>
      <c r="KHP142" s="221"/>
      <c r="KHQ142" s="221"/>
      <c r="KHR142" s="221"/>
      <c r="KHS142" s="221"/>
      <c r="KHT142" s="221"/>
      <c r="KHU142" s="221"/>
      <c r="KHV142" s="221"/>
      <c r="KHW142" s="221"/>
      <c r="KHX142" s="221"/>
      <c r="KHY142" s="221"/>
      <c r="KHZ142" s="221"/>
      <c r="KIA142" s="221"/>
      <c r="KIB142" s="221"/>
      <c r="KIC142" s="221"/>
      <c r="KID142" s="221"/>
      <c r="KIE142" s="221"/>
      <c r="KIF142" s="221"/>
      <c r="KIG142" s="221"/>
      <c r="KIH142" s="221"/>
      <c r="KII142" s="221"/>
      <c r="KIJ142" s="221"/>
      <c r="KIK142" s="221"/>
      <c r="KIL142" s="221"/>
      <c r="KIM142" s="221"/>
      <c r="KIN142" s="221"/>
      <c r="KIO142" s="221"/>
      <c r="KIP142" s="221"/>
      <c r="KIQ142" s="221"/>
      <c r="KIR142" s="221"/>
      <c r="KIS142" s="221"/>
      <c r="KIT142" s="221"/>
      <c r="KIU142" s="221"/>
      <c r="KIV142" s="221"/>
      <c r="KIW142" s="221"/>
      <c r="KIX142" s="221"/>
      <c r="KIY142" s="221"/>
      <c r="KIZ142" s="221"/>
      <c r="KJA142" s="221"/>
      <c r="KJB142" s="221"/>
      <c r="KJC142" s="221"/>
      <c r="KJD142" s="221"/>
      <c r="KJE142" s="221"/>
      <c r="KJF142" s="221"/>
      <c r="KJG142" s="221"/>
      <c r="KJH142" s="221"/>
      <c r="KJI142" s="221"/>
      <c r="KJJ142" s="221"/>
      <c r="KJK142" s="221"/>
      <c r="KJL142" s="221"/>
      <c r="KJM142" s="221"/>
      <c r="KJN142" s="221"/>
      <c r="KJO142" s="221"/>
      <c r="KJP142" s="221"/>
      <c r="KJQ142" s="221"/>
      <c r="KJR142" s="221"/>
      <c r="KJS142" s="221"/>
      <c r="KJT142" s="221"/>
      <c r="KJU142" s="221"/>
      <c r="KJV142" s="221"/>
      <c r="KJW142" s="221"/>
      <c r="KJX142" s="221"/>
      <c r="KJY142" s="221"/>
      <c r="KJZ142" s="221"/>
      <c r="KKA142" s="221"/>
      <c r="KKB142" s="221"/>
      <c r="KKC142" s="221"/>
      <c r="KKD142" s="221"/>
      <c r="KKE142" s="221"/>
      <c r="KKF142" s="221"/>
      <c r="KKG142" s="221"/>
      <c r="KKH142" s="221"/>
      <c r="KKI142" s="221"/>
      <c r="KKJ142" s="221"/>
      <c r="KKK142" s="221"/>
      <c r="KKL142" s="221"/>
      <c r="KKM142" s="221"/>
      <c r="KKN142" s="221"/>
      <c r="KKO142" s="221"/>
      <c r="KKP142" s="221"/>
      <c r="KKQ142" s="221"/>
      <c r="KKR142" s="221"/>
      <c r="KKS142" s="221"/>
      <c r="KKT142" s="221"/>
      <c r="KKU142" s="221"/>
      <c r="KKV142" s="221"/>
      <c r="KKW142" s="221"/>
      <c r="KKX142" s="221"/>
      <c r="KKY142" s="221"/>
      <c r="KKZ142" s="221"/>
      <c r="KLA142" s="221"/>
      <c r="KLB142" s="221"/>
      <c r="KLC142" s="221"/>
      <c r="KLD142" s="221"/>
      <c r="KLE142" s="221"/>
      <c r="KLF142" s="221"/>
      <c r="KLG142" s="221"/>
      <c r="KLH142" s="221"/>
      <c r="KLI142" s="221"/>
      <c r="KLJ142" s="221"/>
      <c r="KLK142" s="221"/>
      <c r="KLL142" s="221"/>
      <c r="KLM142" s="221"/>
      <c r="KLN142" s="221"/>
      <c r="KLO142" s="221"/>
      <c r="KLP142" s="221"/>
      <c r="KLQ142" s="221"/>
      <c r="KLR142" s="221"/>
      <c r="KLS142" s="221"/>
      <c r="KLT142" s="221"/>
      <c r="KLU142" s="221"/>
      <c r="KLV142" s="221"/>
      <c r="KLW142" s="221"/>
      <c r="KLX142" s="221"/>
      <c r="KLY142" s="221"/>
      <c r="KLZ142" s="221"/>
      <c r="KMA142" s="221"/>
      <c r="KMB142" s="221"/>
      <c r="KMC142" s="221"/>
      <c r="KMD142" s="221"/>
      <c r="KME142" s="221"/>
      <c r="KMF142" s="221"/>
      <c r="KMG142" s="221"/>
      <c r="KMH142" s="221"/>
      <c r="KMI142" s="221"/>
      <c r="KMJ142" s="221"/>
      <c r="KMK142" s="221"/>
      <c r="KML142" s="221"/>
      <c r="KMM142" s="221"/>
      <c r="KMN142" s="221"/>
      <c r="KMO142" s="221"/>
      <c r="KMP142" s="221"/>
      <c r="KMQ142" s="221"/>
      <c r="KMR142" s="221"/>
      <c r="KMS142" s="221"/>
      <c r="KMT142" s="221"/>
      <c r="KMU142" s="221"/>
      <c r="KMV142" s="221"/>
      <c r="KMW142" s="221"/>
      <c r="KMX142" s="221"/>
      <c r="KMY142" s="221"/>
      <c r="KMZ142" s="221"/>
      <c r="KNA142" s="221"/>
      <c r="KNB142" s="221"/>
      <c r="KNC142" s="221"/>
      <c r="KND142" s="221"/>
      <c r="KNE142" s="221"/>
      <c r="KNF142" s="221"/>
      <c r="KNG142" s="221"/>
      <c r="KNH142" s="221"/>
      <c r="KNI142" s="221"/>
      <c r="KNJ142" s="221"/>
      <c r="KNK142" s="221"/>
      <c r="KNL142" s="221"/>
      <c r="KNM142" s="221"/>
      <c r="KNN142" s="221"/>
      <c r="KNO142" s="221"/>
      <c r="KNP142" s="221"/>
      <c r="KNQ142" s="221"/>
      <c r="KNR142" s="221"/>
      <c r="KNS142" s="221"/>
      <c r="KNT142" s="221"/>
      <c r="KNU142" s="221"/>
      <c r="KNV142" s="221"/>
      <c r="KNW142" s="221"/>
      <c r="KNX142" s="221"/>
      <c r="KNY142" s="221"/>
      <c r="KNZ142" s="221"/>
      <c r="KOA142" s="221"/>
      <c r="KOB142" s="221"/>
      <c r="KOC142" s="221"/>
      <c r="KOD142" s="221"/>
      <c r="KOE142" s="221"/>
      <c r="KOF142" s="221"/>
      <c r="KOG142" s="221"/>
      <c r="KOH142" s="221"/>
      <c r="KOI142" s="221"/>
      <c r="KOJ142" s="221"/>
      <c r="KOK142" s="221"/>
      <c r="KOL142" s="221"/>
      <c r="KOM142" s="221"/>
      <c r="KON142" s="221"/>
      <c r="KOO142" s="221"/>
      <c r="KOP142" s="221"/>
      <c r="KOQ142" s="221"/>
      <c r="KOR142" s="221"/>
      <c r="KOS142" s="221"/>
      <c r="KOT142" s="221"/>
      <c r="KOU142" s="221"/>
      <c r="KOV142" s="221"/>
      <c r="KOW142" s="221"/>
      <c r="KOX142" s="221"/>
      <c r="KOY142" s="221"/>
      <c r="KOZ142" s="221"/>
      <c r="KPA142" s="221"/>
      <c r="KPB142" s="221"/>
      <c r="KPC142" s="221"/>
      <c r="KPD142" s="221"/>
      <c r="KPE142" s="221"/>
      <c r="KPF142" s="221"/>
      <c r="KPG142" s="221"/>
      <c r="KPH142" s="221"/>
      <c r="KPI142" s="221"/>
      <c r="KPJ142" s="221"/>
      <c r="KPK142" s="221"/>
      <c r="KPL142" s="221"/>
      <c r="KPM142" s="221"/>
      <c r="KPN142" s="221"/>
      <c r="KPO142" s="221"/>
      <c r="KPP142" s="221"/>
      <c r="KPQ142" s="221"/>
      <c r="KPR142" s="221"/>
      <c r="KPS142" s="221"/>
      <c r="KPT142" s="221"/>
      <c r="KPU142" s="221"/>
      <c r="KPV142" s="221"/>
      <c r="KPW142" s="221"/>
      <c r="KPX142" s="221"/>
      <c r="KPY142" s="221"/>
      <c r="KPZ142" s="221"/>
      <c r="KQA142" s="221"/>
      <c r="KQB142" s="221"/>
      <c r="KQC142" s="221"/>
      <c r="KQD142" s="221"/>
      <c r="KQE142" s="221"/>
      <c r="KQF142" s="221"/>
      <c r="KQG142" s="221"/>
      <c r="KQH142" s="221"/>
      <c r="KQI142" s="221"/>
      <c r="KQJ142" s="221"/>
      <c r="KQK142" s="221"/>
      <c r="KQL142" s="221"/>
      <c r="KQM142" s="221"/>
      <c r="KQN142" s="221"/>
      <c r="KQO142" s="221"/>
      <c r="KQP142" s="221"/>
      <c r="KQQ142" s="221"/>
      <c r="KQR142" s="221"/>
      <c r="KQS142" s="221"/>
      <c r="KQT142" s="221"/>
      <c r="KQU142" s="221"/>
      <c r="KQV142" s="221"/>
      <c r="KQW142" s="221"/>
      <c r="KQX142" s="221"/>
      <c r="KQY142" s="221"/>
      <c r="KQZ142" s="221"/>
      <c r="KRA142" s="221"/>
      <c r="KRB142" s="221"/>
      <c r="KRC142" s="221"/>
      <c r="KRD142" s="221"/>
      <c r="KRE142" s="221"/>
      <c r="KRF142" s="221"/>
      <c r="KRG142" s="221"/>
      <c r="KRH142" s="221"/>
      <c r="KRI142" s="221"/>
      <c r="KRJ142" s="221"/>
      <c r="KRK142" s="221"/>
      <c r="KRL142" s="221"/>
      <c r="KRM142" s="221"/>
      <c r="KRN142" s="221"/>
      <c r="KRO142" s="221"/>
      <c r="KRP142" s="221"/>
      <c r="KRQ142" s="221"/>
      <c r="KRR142" s="221"/>
      <c r="KRS142" s="221"/>
      <c r="KRT142" s="221"/>
      <c r="KRU142" s="221"/>
      <c r="KRV142" s="221"/>
      <c r="KRW142" s="221"/>
      <c r="KRX142" s="221"/>
      <c r="KRY142" s="221"/>
      <c r="KRZ142" s="221"/>
      <c r="KSA142" s="221"/>
      <c r="KSB142" s="221"/>
      <c r="KSC142" s="221"/>
      <c r="KSD142" s="221"/>
      <c r="KSE142" s="221"/>
      <c r="KSF142" s="221"/>
      <c r="KSG142" s="221"/>
      <c r="KSH142" s="221"/>
      <c r="KSI142" s="221"/>
      <c r="KSJ142" s="221"/>
      <c r="KSK142" s="221"/>
      <c r="KSL142" s="221"/>
      <c r="KSM142" s="221"/>
      <c r="KSN142" s="221"/>
      <c r="KSO142" s="221"/>
      <c r="KSP142" s="221"/>
      <c r="KSQ142" s="221"/>
      <c r="KSR142" s="221"/>
      <c r="KSS142" s="221"/>
      <c r="KST142" s="221"/>
      <c r="KSU142" s="221"/>
      <c r="KSV142" s="221"/>
      <c r="KSW142" s="221"/>
      <c r="KSX142" s="221"/>
      <c r="KSY142" s="221"/>
      <c r="KSZ142" s="221"/>
      <c r="KTA142" s="221"/>
      <c r="KTB142" s="221"/>
      <c r="KTC142" s="221"/>
      <c r="KTD142" s="221"/>
      <c r="KTE142" s="221"/>
      <c r="KTF142" s="221"/>
      <c r="KTG142" s="221"/>
      <c r="KTH142" s="221"/>
      <c r="KTI142" s="221"/>
      <c r="KTJ142" s="221"/>
      <c r="KTK142" s="221"/>
      <c r="KTL142" s="221"/>
      <c r="KTM142" s="221"/>
      <c r="KTN142" s="221"/>
      <c r="KTO142" s="221"/>
      <c r="KTP142" s="221"/>
      <c r="KTQ142" s="221"/>
      <c r="KTR142" s="221"/>
      <c r="KTS142" s="221"/>
      <c r="KTT142" s="221"/>
      <c r="KTU142" s="221"/>
      <c r="KTV142" s="221"/>
      <c r="KTW142" s="221"/>
      <c r="KTX142" s="221"/>
      <c r="KTY142" s="221"/>
      <c r="KTZ142" s="221"/>
      <c r="KUA142" s="221"/>
      <c r="KUB142" s="221"/>
      <c r="KUC142" s="221"/>
      <c r="KUD142" s="221"/>
      <c r="KUE142" s="221"/>
      <c r="KUF142" s="221"/>
      <c r="KUG142" s="221"/>
      <c r="KUH142" s="221"/>
      <c r="KUI142" s="221"/>
      <c r="KUJ142" s="221"/>
      <c r="KUK142" s="221"/>
      <c r="KUL142" s="221"/>
      <c r="KUM142" s="221"/>
      <c r="KUN142" s="221"/>
      <c r="KUO142" s="221"/>
      <c r="KUP142" s="221"/>
      <c r="KUQ142" s="221"/>
      <c r="KUR142" s="221"/>
      <c r="KUS142" s="221"/>
      <c r="KUT142" s="221"/>
      <c r="KUU142" s="221"/>
      <c r="KUV142" s="221"/>
      <c r="KUW142" s="221"/>
      <c r="KUX142" s="221"/>
      <c r="KUY142" s="221"/>
      <c r="KUZ142" s="221"/>
      <c r="KVA142" s="221"/>
      <c r="KVB142" s="221"/>
      <c r="KVC142" s="221"/>
      <c r="KVD142" s="221"/>
      <c r="KVE142" s="221"/>
      <c r="KVF142" s="221"/>
      <c r="KVG142" s="221"/>
      <c r="KVH142" s="221"/>
      <c r="KVI142" s="221"/>
      <c r="KVJ142" s="221"/>
      <c r="KVK142" s="221"/>
      <c r="KVL142" s="221"/>
      <c r="KVM142" s="221"/>
      <c r="KVN142" s="221"/>
      <c r="KVO142" s="221"/>
      <c r="KVP142" s="221"/>
      <c r="KVQ142" s="221"/>
      <c r="KVR142" s="221"/>
      <c r="KVS142" s="221"/>
      <c r="KVT142" s="221"/>
      <c r="KVU142" s="221"/>
      <c r="KVV142" s="221"/>
      <c r="KVW142" s="221"/>
      <c r="KVX142" s="221"/>
      <c r="KVY142" s="221"/>
      <c r="KVZ142" s="221"/>
      <c r="KWA142" s="221"/>
      <c r="KWB142" s="221"/>
      <c r="KWC142" s="221"/>
      <c r="KWD142" s="221"/>
      <c r="KWE142" s="221"/>
      <c r="KWF142" s="221"/>
      <c r="KWG142" s="221"/>
      <c r="KWH142" s="221"/>
      <c r="KWI142" s="221"/>
      <c r="KWJ142" s="221"/>
      <c r="KWK142" s="221"/>
      <c r="KWL142" s="221"/>
      <c r="KWM142" s="221"/>
      <c r="KWN142" s="221"/>
      <c r="KWO142" s="221"/>
      <c r="KWP142" s="221"/>
      <c r="KWQ142" s="221"/>
      <c r="KWR142" s="221"/>
      <c r="KWS142" s="221"/>
      <c r="KWT142" s="221"/>
      <c r="KWU142" s="221"/>
      <c r="KWV142" s="221"/>
      <c r="KWW142" s="221"/>
      <c r="KWX142" s="221"/>
      <c r="KWY142" s="221"/>
      <c r="KWZ142" s="221"/>
      <c r="KXA142" s="221"/>
      <c r="KXB142" s="221"/>
      <c r="KXC142" s="221"/>
      <c r="KXD142" s="221"/>
      <c r="KXE142" s="221"/>
      <c r="KXF142" s="221"/>
      <c r="KXG142" s="221"/>
      <c r="KXH142" s="221"/>
      <c r="KXI142" s="221"/>
      <c r="KXJ142" s="221"/>
      <c r="KXK142" s="221"/>
      <c r="KXL142" s="221"/>
      <c r="KXM142" s="221"/>
      <c r="KXN142" s="221"/>
      <c r="KXO142" s="221"/>
      <c r="KXP142" s="221"/>
      <c r="KXQ142" s="221"/>
      <c r="KXR142" s="221"/>
      <c r="KXS142" s="221"/>
      <c r="KXT142" s="221"/>
      <c r="KXU142" s="221"/>
      <c r="KXV142" s="221"/>
      <c r="KXW142" s="221"/>
      <c r="KXX142" s="221"/>
      <c r="KXY142" s="221"/>
      <c r="KXZ142" s="221"/>
      <c r="KYA142" s="221"/>
      <c r="KYB142" s="221"/>
      <c r="KYC142" s="221"/>
      <c r="KYD142" s="221"/>
      <c r="KYE142" s="221"/>
      <c r="KYF142" s="221"/>
      <c r="KYG142" s="221"/>
      <c r="KYH142" s="221"/>
      <c r="KYI142" s="221"/>
      <c r="KYJ142" s="221"/>
      <c r="KYK142" s="221"/>
      <c r="KYL142" s="221"/>
      <c r="KYM142" s="221"/>
      <c r="KYN142" s="221"/>
      <c r="KYO142" s="221"/>
      <c r="KYP142" s="221"/>
      <c r="KYQ142" s="221"/>
      <c r="KYR142" s="221"/>
      <c r="KYS142" s="221"/>
      <c r="KYT142" s="221"/>
      <c r="KYU142" s="221"/>
      <c r="KYV142" s="221"/>
      <c r="KYW142" s="221"/>
      <c r="KYX142" s="221"/>
      <c r="KYY142" s="221"/>
      <c r="KYZ142" s="221"/>
      <c r="KZA142" s="221"/>
      <c r="KZB142" s="221"/>
      <c r="KZC142" s="221"/>
      <c r="KZD142" s="221"/>
      <c r="KZE142" s="221"/>
      <c r="KZF142" s="221"/>
      <c r="KZG142" s="221"/>
      <c r="KZH142" s="221"/>
      <c r="KZI142" s="221"/>
      <c r="KZJ142" s="221"/>
      <c r="KZK142" s="221"/>
      <c r="KZL142" s="221"/>
      <c r="KZM142" s="221"/>
      <c r="KZN142" s="221"/>
      <c r="KZO142" s="221"/>
      <c r="KZP142" s="221"/>
      <c r="KZQ142" s="221"/>
      <c r="KZR142" s="221"/>
      <c r="KZS142" s="221"/>
      <c r="KZT142" s="221"/>
      <c r="KZU142" s="221"/>
      <c r="KZV142" s="221"/>
      <c r="KZW142" s="221"/>
      <c r="KZX142" s="221"/>
      <c r="KZY142" s="221"/>
      <c r="KZZ142" s="221"/>
      <c r="LAA142" s="221"/>
      <c r="LAB142" s="221"/>
      <c r="LAC142" s="221"/>
      <c r="LAD142" s="221"/>
      <c r="LAE142" s="221"/>
      <c r="LAF142" s="221"/>
      <c r="LAG142" s="221"/>
      <c r="LAH142" s="221"/>
      <c r="LAI142" s="221"/>
      <c r="LAJ142" s="221"/>
      <c r="LAK142" s="221"/>
      <c r="LAL142" s="221"/>
      <c r="LAM142" s="221"/>
      <c r="LAN142" s="221"/>
      <c r="LAO142" s="221"/>
      <c r="LAP142" s="221"/>
      <c r="LAQ142" s="221"/>
      <c r="LAR142" s="221"/>
      <c r="LAS142" s="221"/>
      <c r="LAT142" s="221"/>
      <c r="LAU142" s="221"/>
      <c r="LAV142" s="221"/>
      <c r="LAW142" s="221"/>
      <c r="LAX142" s="221"/>
      <c r="LAY142" s="221"/>
      <c r="LAZ142" s="221"/>
      <c r="LBA142" s="221"/>
      <c r="LBB142" s="221"/>
      <c r="LBC142" s="221"/>
      <c r="LBD142" s="221"/>
      <c r="LBE142" s="221"/>
      <c r="LBF142" s="221"/>
      <c r="LBG142" s="221"/>
      <c r="LBH142" s="221"/>
      <c r="LBI142" s="221"/>
      <c r="LBJ142" s="221"/>
      <c r="LBK142" s="221"/>
      <c r="LBL142" s="221"/>
      <c r="LBM142" s="221"/>
      <c r="LBN142" s="221"/>
      <c r="LBO142" s="221"/>
      <c r="LBP142" s="221"/>
      <c r="LBQ142" s="221"/>
      <c r="LBR142" s="221"/>
      <c r="LBS142" s="221"/>
      <c r="LBT142" s="221"/>
      <c r="LBU142" s="221"/>
      <c r="LBV142" s="221"/>
      <c r="LBW142" s="221"/>
      <c r="LBX142" s="221"/>
      <c r="LBY142" s="221"/>
      <c r="LBZ142" s="221"/>
      <c r="LCA142" s="221"/>
      <c r="LCB142" s="221"/>
      <c r="LCC142" s="221"/>
      <c r="LCD142" s="221"/>
      <c r="LCE142" s="221"/>
      <c r="LCF142" s="221"/>
      <c r="LCG142" s="221"/>
      <c r="LCH142" s="221"/>
      <c r="LCI142" s="221"/>
      <c r="LCJ142" s="221"/>
      <c r="LCK142" s="221"/>
      <c r="LCL142" s="221"/>
      <c r="LCM142" s="221"/>
      <c r="LCN142" s="221"/>
      <c r="LCO142" s="221"/>
      <c r="LCP142" s="221"/>
      <c r="LCQ142" s="221"/>
      <c r="LCR142" s="221"/>
      <c r="LCS142" s="221"/>
      <c r="LCT142" s="221"/>
      <c r="LCU142" s="221"/>
      <c r="LCV142" s="221"/>
      <c r="LCW142" s="221"/>
      <c r="LCX142" s="221"/>
      <c r="LCY142" s="221"/>
      <c r="LCZ142" s="221"/>
      <c r="LDA142" s="221"/>
      <c r="LDB142" s="221"/>
      <c r="LDC142" s="221"/>
      <c r="LDD142" s="221"/>
      <c r="LDE142" s="221"/>
      <c r="LDF142" s="221"/>
      <c r="LDG142" s="221"/>
      <c r="LDH142" s="221"/>
      <c r="LDI142" s="221"/>
      <c r="LDJ142" s="221"/>
      <c r="LDK142" s="221"/>
      <c r="LDL142" s="221"/>
      <c r="LDM142" s="221"/>
      <c r="LDN142" s="221"/>
      <c r="LDO142" s="221"/>
      <c r="LDP142" s="221"/>
      <c r="LDQ142" s="221"/>
      <c r="LDR142" s="221"/>
      <c r="LDS142" s="221"/>
      <c r="LDT142" s="221"/>
      <c r="LDU142" s="221"/>
      <c r="LDV142" s="221"/>
      <c r="LDW142" s="221"/>
      <c r="LDX142" s="221"/>
      <c r="LDY142" s="221"/>
      <c r="LDZ142" s="221"/>
      <c r="LEA142" s="221"/>
      <c r="LEB142" s="221"/>
      <c r="LEC142" s="221"/>
      <c r="LED142" s="221"/>
      <c r="LEE142" s="221"/>
      <c r="LEF142" s="221"/>
      <c r="LEG142" s="221"/>
      <c r="LEH142" s="221"/>
      <c r="LEI142" s="221"/>
      <c r="LEJ142" s="221"/>
      <c r="LEK142" s="221"/>
      <c r="LEL142" s="221"/>
      <c r="LEM142" s="221"/>
      <c r="LEN142" s="221"/>
      <c r="LEO142" s="221"/>
      <c r="LEP142" s="221"/>
      <c r="LEQ142" s="221"/>
      <c r="LER142" s="221"/>
      <c r="LES142" s="221"/>
      <c r="LET142" s="221"/>
      <c r="LEU142" s="221"/>
      <c r="LEV142" s="221"/>
      <c r="LEW142" s="221"/>
      <c r="LEX142" s="221"/>
      <c r="LEY142" s="221"/>
      <c r="LEZ142" s="221"/>
      <c r="LFA142" s="221"/>
      <c r="LFB142" s="221"/>
      <c r="LFC142" s="221"/>
      <c r="LFD142" s="221"/>
      <c r="LFE142" s="221"/>
      <c r="LFF142" s="221"/>
      <c r="LFG142" s="221"/>
      <c r="LFH142" s="221"/>
      <c r="LFI142" s="221"/>
      <c r="LFJ142" s="221"/>
      <c r="LFK142" s="221"/>
      <c r="LFL142" s="221"/>
      <c r="LFM142" s="221"/>
      <c r="LFN142" s="221"/>
      <c r="LFO142" s="221"/>
      <c r="LFP142" s="221"/>
      <c r="LFQ142" s="221"/>
      <c r="LFR142" s="221"/>
      <c r="LFS142" s="221"/>
      <c r="LFT142" s="221"/>
      <c r="LFU142" s="221"/>
      <c r="LFV142" s="221"/>
      <c r="LFW142" s="221"/>
      <c r="LFX142" s="221"/>
      <c r="LFY142" s="221"/>
      <c r="LFZ142" s="221"/>
      <c r="LGA142" s="221"/>
      <c r="LGB142" s="221"/>
      <c r="LGC142" s="221"/>
      <c r="LGD142" s="221"/>
      <c r="LGE142" s="221"/>
      <c r="LGF142" s="221"/>
      <c r="LGG142" s="221"/>
      <c r="LGH142" s="221"/>
      <c r="LGI142" s="221"/>
      <c r="LGJ142" s="221"/>
      <c r="LGK142" s="221"/>
      <c r="LGL142" s="221"/>
      <c r="LGM142" s="221"/>
      <c r="LGN142" s="221"/>
      <c r="LGO142" s="221"/>
      <c r="LGP142" s="221"/>
      <c r="LGQ142" s="221"/>
      <c r="LGR142" s="221"/>
      <c r="LGS142" s="221"/>
      <c r="LGT142" s="221"/>
      <c r="LGU142" s="221"/>
      <c r="LGV142" s="221"/>
      <c r="LGW142" s="221"/>
      <c r="LGX142" s="221"/>
      <c r="LGY142" s="221"/>
      <c r="LGZ142" s="221"/>
      <c r="LHA142" s="221"/>
      <c r="LHB142" s="221"/>
      <c r="LHC142" s="221"/>
      <c r="LHD142" s="221"/>
      <c r="LHE142" s="221"/>
      <c r="LHF142" s="221"/>
      <c r="LHG142" s="221"/>
      <c r="LHH142" s="221"/>
      <c r="LHI142" s="221"/>
      <c r="LHJ142" s="221"/>
      <c r="LHK142" s="221"/>
      <c r="LHL142" s="221"/>
      <c r="LHM142" s="221"/>
      <c r="LHN142" s="221"/>
      <c r="LHO142" s="221"/>
      <c r="LHP142" s="221"/>
      <c r="LHQ142" s="221"/>
      <c r="LHR142" s="221"/>
      <c r="LHS142" s="221"/>
      <c r="LHT142" s="221"/>
      <c r="LHU142" s="221"/>
      <c r="LHV142" s="221"/>
      <c r="LHW142" s="221"/>
      <c r="LHX142" s="221"/>
      <c r="LHY142" s="221"/>
      <c r="LHZ142" s="221"/>
      <c r="LIA142" s="221"/>
      <c r="LIB142" s="221"/>
      <c r="LIC142" s="221"/>
      <c r="LID142" s="221"/>
      <c r="LIE142" s="221"/>
      <c r="LIF142" s="221"/>
      <c r="LIG142" s="221"/>
      <c r="LIH142" s="221"/>
      <c r="LII142" s="221"/>
      <c r="LIJ142" s="221"/>
      <c r="LIK142" s="221"/>
      <c r="LIL142" s="221"/>
      <c r="LIM142" s="221"/>
      <c r="LIN142" s="221"/>
      <c r="LIO142" s="221"/>
      <c r="LIP142" s="221"/>
      <c r="LIQ142" s="221"/>
      <c r="LIR142" s="221"/>
      <c r="LIS142" s="221"/>
      <c r="LIT142" s="221"/>
      <c r="LIU142" s="221"/>
      <c r="LIV142" s="221"/>
      <c r="LIW142" s="221"/>
      <c r="LIX142" s="221"/>
      <c r="LIY142" s="221"/>
      <c r="LIZ142" s="221"/>
      <c r="LJA142" s="221"/>
      <c r="LJB142" s="221"/>
      <c r="LJC142" s="221"/>
      <c r="LJD142" s="221"/>
      <c r="LJE142" s="221"/>
      <c r="LJF142" s="221"/>
      <c r="LJG142" s="221"/>
      <c r="LJH142" s="221"/>
      <c r="LJI142" s="221"/>
      <c r="LJJ142" s="221"/>
      <c r="LJK142" s="221"/>
      <c r="LJL142" s="221"/>
      <c r="LJM142" s="221"/>
      <c r="LJN142" s="221"/>
      <c r="LJO142" s="221"/>
      <c r="LJP142" s="221"/>
      <c r="LJQ142" s="221"/>
      <c r="LJR142" s="221"/>
      <c r="LJS142" s="221"/>
      <c r="LJT142" s="221"/>
      <c r="LJU142" s="221"/>
      <c r="LJV142" s="221"/>
      <c r="LJW142" s="221"/>
      <c r="LJX142" s="221"/>
      <c r="LJY142" s="221"/>
      <c r="LJZ142" s="221"/>
      <c r="LKA142" s="221"/>
      <c r="LKB142" s="221"/>
      <c r="LKC142" s="221"/>
      <c r="LKD142" s="221"/>
      <c r="LKE142" s="221"/>
      <c r="LKF142" s="221"/>
      <c r="LKG142" s="221"/>
      <c r="LKH142" s="221"/>
      <c r="LKI142" s="221"/>
      <c r="LKJ142" s="221"/>
      <c r="LKK142" s="221"/>
      <c r="LKL142" s="221"/>
      <c r="LKM142" s="221"/>
      <c r="LKN142" s="221"/>
      <c r="LKO142" s="221"/>
      <c r="LKP142" s="221"/>
      <c r="LKQ142" s="221"/>
      <c r="LKR142" s="221"/>
      <c r="LKS142" s="221"/>
      <c r="LKT142" s="221"/>
      <c r="LKU142" s="221"/>
      <c r="LKV142" s="221"/>
      <c r="LKW142" s="221"/>
      <c r="LKX142" s="221"/>
      <c r="LKY142" s="221"/>
      <c r="LKZ142" s="221"/>
      <c r="LLA142" s="221"/>
      <c r="LLB142" s="221"/>
      <c r="LLC142" s="221"/>
      <c r="LLD142" s="221"/>
      <c r="LLE142" s="221"/>
      <c r="LLF142" s="221"/>
      <c r="LLG142" s="221"/>
      <c r="LLH142" s="221"/>
      <c r="LLI142" s="221"/>
      <c r="LLJ142" s="221"/>
      <c r="LLK142" s="221"/>
      <c r="LLL142" s="221"/>
      <c r="LLM142" s="221"/>
      <c r="LLN142" s="221"/>
      <c r="LLO142" s="221"/>
      <c r="LLP142" s="221"/>
      <c r="LLQ142" s="221"/>
      <c r="LLR142" s="221"/>
      <c r="LLS142" s="221"/>
      <c r="LLT142" s="221"/>
      <c r="LLU142" s="221"/>
      <c r="LLV142" s="221"/>
      <c r="LLW142" s="221"/>
      <c r="LLX142" s="221"/>
      <c r="LLY142" s="221"/>
      <c r="LLZ142" s="221"/>
      <c r="LMA142" s="221"/>
      <c r="LMB142" s="221"/>
      <c r="LMC142" s="221"/>
      <c r="LMD142" s="221"/>
      <c r="LME142" s="221"/>
      <c r="LMF142" s="221"/>
      <c r="LMG142" s="221"/>
      <c r="LMH142" s="221"/>
      <c r="LMI142" s="221"/>
      <c r="LMJ142" s="221"/>
      <c r="LMK142" s="221"/>
      <c r="LML142" s="221"/>
      <c r="LMM142" s="221"/>
      <c r="LMN142" s="221"/>
      <c r="LMO142" s="221"/>
      <c r="LMP142" s="221"/>
      <c r="LMQ142" s="221"/>
      <c r="LMR142" s="221"/>
      <c r="LMS142" s="221"/>
      <c r="LMT142" s="221"/>
      <c r="LMU142" s="221"/>
      <c r="LMV142" s="221"/>
      <c r="LMW142" s="221"/>
      <c r="LMX142" s="221"/>
      <c r="LMY142" s="221"/>
      <c r="LMZ142" s="221"/>
      <c r="LNA142" s="221"/>
      <c r="LNB142" s="221"/>
      <c r="LNC142" s="221"/>
      <c r="LND142" s="221"/>
      <c r="LNE142" s="221"/>
      <c r="LNF142" s="221"/>
      <c r="LNG142" s="221"/>
      <c r="LNH142" s="221"/>
      <c r="LNI142" s="221"/>
      <c r="LNJ142" s="221"/>
      <c r="LNK142" s="221"/>
      <c r="LNL142" s="221"/>
      <c r="LNM142" s="221"/>
      <c r="LNN142" s="221"/>
      <c r="LNO142" s="221"/>
      <c r="LNP142" s="221"/>
      <c r="LNQ142" s="221"/>
      <c r="LNR142" s="221"/>
      <c r="LNS142" s="221"/>
      <c r="LNT142" s="221"/>
      <c r="LNU142" s="221"/>
      <c r="LNV142" s="221"/>
      <c r="LNW142" s="221"/>
      <c r="LNX142" s="221"/>
      <c r="LNY142" s="221"/>
      <c r="LNZ142" s="221"/>
      <c r="LOA142" s="221"/>
      <c r="LOB142" s="221"/>
      <c r="LOC142" s="221"/>
      <c r="LOD142" s="221"/>
      <c r="LOE142" s="221"/>
      <c r="LOF142" s="221"/>
      <c r="LOG142" s="221"/>
      <c r="LOH142" s="221"/>
      <c r="LOI142" s="221"/>
      <c r="LOJ142" s="221"/>
      <c r="LOK142" s="221"/>
      <c r="LOL142" s="221"/>
      <c r="LOM142" s="221"/>
      <c r="LON142" s="221"/>
      <c r="LOO142" s="221"/>
      <c r="LOP142" s="221"/>
      <c r="LOQ142" s="221"/>
      <c r="LOR142" s="221"/>
      <c r="LOS142" s="221"/>
      <c r="LOT142" s="221"/>
      <c r="LOU142" s="221"/>
      <c r="LOV142" s="221"/>
      <c r="LOW142" s="221"/>
      <c r="LOX142" s="221"/>
      <c r="LOY142" s="221"/>
      <c r="LOZ142" s="221"/>
      <c r="LPA142" s="221"/>
      <c r="LPB142" s="221"/>
      <c r="LPC142" s="221"/>
      <c r="LPD142" s="221"/>
      <c r="LPE142" s="221"/>
      <c r="LPF142" s="221"/>
      <c r="LPG142" s="221"/>
      <c r="LPH142" s="221"/>
      <c r="LPI142" s="221"/>
      <c r="LPJ142" s="221"/>
      <c r="LPK142" s="221"/>
      <c r="LPL142" s="221"/>
      <c r="LPM142" s="221"/>
      <c r="LPN142" s="221"/>
      <c r="LPO142" s="221"/>
      <c r="LPP142" s="221"/>
      <c r="LPQ142" s="221"/>
      <c r="LPR142" s="221"/>
      <c r="LPS142" s="221"/>
      <c r="LPT142" s="221"/>
      <c r="LPU142" s="221"/>
      <c r="LPV142" s="221"/>
      <c r="LPW142" s="221"/>
      <c r="LPX142" s="221"/>
      <c r="LPY142" s="221"/>
      <c r="LPZ142" s="221"/>
      <c r="LQA142" s="221"/>
      <c r="LQB142" s="221"/>
      <c r="LQC142" s="221"/>
      <c r="LQD142" s="221"/>
      <c r="LQE142" s="221"/>
      <c r="LQF142" s="221"/>
      <c r="LQG142" s="221"/>
      <c r="LQH142" s="221"/>
      <c r="LQI142" s="221"/>
      <c r="LQJ142" s="221"/>
      <c r="LQK142" s="221"/>
      <c r="LQL142" s="221"/>
      <c r="LQM142" s="221"/>
      <c r="LQN142" s="221"/>
      <c r="LQO142" s="221"/>
      <c r="LQP142" s="221"/>
      <c r="LQQ142" s="221"/>
      <c r="LQR142" s="221"/>
      <c r="LQS142" s="221"/>
      <c r="LQT142" s="221"/>
      <c r="LQU142" s="221"/>
      <c r="LQV142" s="221"/>
      <c r="LQW142" s="221"/>
      <c r="LQX142" s="221"/>
      <c r="LQY142" s="221"/>
      <c r="LQZ142" s="221"/>
      <c r="LRA142" s="221"/>
      <c r="LRB142" s="221"/>
      <c r="LRC142" s="221"/>
      <c r="LRD142" s="221"/>
      <c r="LRE142" s="221"/>
      <c r="LRF142" s="221"/>
      <c r="LRG142" s="221"/>
      <c r="LRH142" s="221"/>
      <c r="LRI142" s="221"/>
      <c r="LRJ142" s="221"/>
      <c r="LRK142" s="221"/>
      <c r="LRL142" s="221"/>
      <c r="LRM142" s="221"/>
      <c r="LRN142" s="221"/>
      <c r="LRO142" s="221"/>
      <c r="LRP142" s="221"/>
      <c r="LRQ142" s="221"/>
      <c r="LRR142" s="221"/>
      <c r="LRS142" s="221"/>
      <c r="LRT142" s="221"/>
      <c r="LRU142" s="221"/>
      <c r="LRV142" s="221"/>
      <c r="LRW142" s="221"/>
      <c r="LRX142" s="221"/>
      <c r="LRY142" s="221"/>
      <c r="LRZ142" s="221"/>
      <c r="LSA142" s="221"/>
      <c r="LSB142" s="221"/>
      <c r="LSC142" s="221"/>
      <c r="LSD142" s="221"/>
      <c r="LSE142" s="221"/>
      <c r="LSF142" s="221"/>
      <c r="LSG142" s="221"/>
      <c r="LSH142" s="221"/>
      <c r="LSI142" s="221"/>
      <c r="LSJ142" s="221"/>
      <c r="LSK142" s="221"/>
      <c r="LSL142" s="221"/>
      <c r="LSM142" s="221"/>
      <c r="LSN142" s="221"/>
      <c r="LSO142" s="221"/>
      <c r="LSP142" s="221"/>
      <c r="LSQ142" s="221"/>
      <c r="LSR142" s="221"/>
      <c r="LSS142" s="221"/>
      <c r="LST142" s="221"/>
      <c r="LSU142" s="221"/>
      <c r="LSV142" s="221"/>
      <c r="LSW142" s="221"/>
      <c r="LSX142" s="221"/>
      <c r="LSY142" s="221"/>
      <c r="LSZ142" s="221"/>
      <c r="LTA142" s="221"/>
      <c r="LTB142" s="221"/>
      <c r="LTC142" s="221"/>
      <c r="LTD142" s="221"/>
      <c r="LTE142" s="221"/>
      <c r="LTF142" s="221"/>
      <c r="LTG142" s="221"/>
      <c r="LTH142" s="221"/>
      <c r="LTI142" s="221"/>
      <c r="LTJ142" s="221"/>
      <c r="LTK142" s="221"/>
      <c r="LTL142" s="221"/>
      <c r="LTM142" s="221"/>
      <c r="LTN142" s="221"/>
      <c r="LTO142" s="221"/>
      <c r="LTP142" s="221"/>
      <c r="LTQ142" s="221"/>
      <c r="LTR142" s="221"/>
      <c r="LTS142" s="221"/>
      <c r="LTT142" s="221"/>
      <c r="LTU142" s="221"/>
      <c r="LTV142" s="221"/>
      <c r="LTW142" s="221"/>
      <c r="LTX142" s="221"/>
      <c r="LTY142" s="221"/>
      <c r="LTZ142" s="221"/>
      <c r="LUA142" s="221"/>
      <c r="LUB142" s="221"/>
      <c r="LUC142" s="221"/>
      <c r="LUD142" s="221"/>
      <c r="LUE142" s="221"/>
      <c r="LUF142" s="221"/>
      <c r="LUG142" s="221"/>
      <c r="LUH142" s="221"/>
      <c r="LUI142" s="221"/>
      <c r="LUJ142" s="221"/>
      <c r="LUK142" s="221"/>
      <c r="LUL142" s="221"/>
      <c r="LUM142" s="221"/>
      <c r="LUN142" s="221"/>
      <c r="LUO142" s="221"/>
      <c r="LUP142" s="221"/>
      <c r="LUQ142" s="221"/>
      <c r="LUR142" s="221"/>
      <c r="LUS142" s="221"/>
      <c r="LUT142" s="221"/>
      <c r="LUU142" s="221"/>
      <c r="LUV142" s="221"/>
      <c r="LUW142" s="221"/>
      <c r="LUX142" s="221"/>
      <c r="LUY142" s="221"/>
      <c r="LUZ142" s="221"/>
      <c r="LVA142" s="221"/>
      <c r="LVB142" s="221"/>
      <c r="LVC142" s="221"/>
      <c r="LVD142" s="221"/>
      <c r="LVE142" s="221"/>
      <c r="LVF142" s="221"/>
      <c r="LVG142" s="221"/>
      <c r="LVH142" s="221"/>
      <c r="LVI142" s="221"/>
      <c r="LVJ142" s="221"/>
      <c r="LVK142" s="221"/>
      <c r="LVL142" s="221"/>
      <c r="LVM142" s="221"/>
      <c r="LVN142" s="221"/>
      <c r="LVO142" s="221"/>
      <c r="LVP142" s="221"/>
      <c r="LVQ142" s="221"/>
      <c r="LVR142" s="221"/>
      <c r="LVS142" s="221"/>
      <c r="LVT142" s="221"/>
      <c r="LVU142" s="221"/>
      <c r="LVV142" s="221"/>
      <c r="LVW142" s="221"/>
      <c r="LVX142" s="221"/>
      <c r="LVY142" s="221"/>
      <c r="LVZ142" s="221"/>
      <c r="LWA142" s="221"/>
      <c r="LWB142" s="221"/>
      <c r="LWC142" s="221"/>
      <c r="LWD142" s="221"/>
      <c r="LWE142" s="221"/>
      <c r="LWF142" s="221"/>
      <c r="LWG142" s="221"/>
      <c r="LWH142" s="221"/>
      <c r="LWI142" s="221"/>
      <c r="LWJ142" s="221"/>
      <c r="LWK142" s="221"/>
      <c r="LWL142" s="221"/>
      <c r="LWM142" s="221"/>
      <c r="LWN142" s="221"/>
      <c r="LWO142" s="221"/>
      <c r="LWP142" s="221"/>
      <c r="LWQ142" s="221"/>
      <c r="LWR142" s="221"/>
      <c r="LWS142" s="221"/>
      <c r="LWT142" s="221"/>
      <c r="LWU142" s="221"/>
      <c r="LWV142" s="221"/>
      <c r="LWW142" s="221"/>
      <c r="LWX142" s="221"/>
      <c r="LWY142" s="221"/>
      <c r="LWZ142" s="221"/>
      <c r="LXA142" s="221"/>
      <c r="LXB142" s="221"/>
      <c r="LXC142" s="221"/>
      <c r="LXD142" s="221"/>
      <c r="LXE142" s="221"/>
      <c r="LXF142" s="221"/>
      <c r="LXG142" s="221"/>
      <c r="LXH142" s="221"/>
      <c r="LXI142" s="221"/>
      <c r="LXJ142" s="221"/>
      <c r="LXK142" s="221"/>
      <c r="LXL142" s="221"/>
      <c r="LXM142" s="221"/>
      <c r="LXN142" s="221"/>
      <c r="LXO142" s="221"/>
      <c r="LXP142" s="221"/>
      <c r="LXQ142" s="221"/>
      <c r="LXR142" s="221"/>
      <c r="LXS142" s="221"/>
      <c r="LXT142" s="221"/>
      <c r="LXU142" s="221"/>
      <c r="LXV142" s="221"/>
      <c r="LXW142" s="221"/>
      <c r="LXX142" s="221"/>
      <c r="LXY142" s="221"/>
      <c r="LXZ142" s="221"/>
      <c r="LYA142" s="221"/>
      <c r="LYB142" s="221"/>
      <c r="LYC142" s="221"/>
      <c r="LYD142" s="221"/>
      <c r="LYE142" s="221"/>
      <c r="LYF142" s="221"/>
      <c r="LYG142" s="221"/>
      <c r="LYH142" s="221"/>
      <c r="LYI142" s="221"/>
      <c r="LYJ142" s="221"/>
      <c r="LYK142" s="221"/>
      <c r="LYL142" s="221"/>
      <c r="LYM142" s="221"/>
      <c r="LYN142" s="221"/>
      <c r="LYO142" s="221"/>
      <c r="LYP142" s="221"/>
      <c r="LYQ142" s="221"/>
      <c r="LYR142" s="221"/>
      <c r="LYS142" s="221"/>
      <c r="LYT142" s="221"/>
      <c r="LYU142" s="221"/>
      <c r="LYV142" s="221"/>
      <c r="LYW142" s="221"/>
      <c r="LYX142" s="221"/>
      <c r="LYY142" s="221"/>
      <c r="LYZ142" s="221"/>
      <c r="LZA142" s="221"/>
      <c r="LZB142" s="221"/>
      <c r="LZC142" s="221"/>
      <c r="LZD142" s="221"/>
      <c r="LZE142" s="221"/>
      <c r="LZF142" s="221"/>
      <c r="LZG142" s="221"/>
      <c r="LZH142" s="221"/>
      <c r="LZI142" s="221"/>
      <c r="LZJ142" s="221"/>
      <c r="LZK142" s="221"/>
      <c r="LZL142" s="221"/>
      <c r="LZM142" s="221"/>
      <c r="LZN142" s="221"/>
      <c r="LZO142" s="221"/>
      <c r="LZP142" s="221"/>
      <c r="LZQ142" s="221"/>
      <c r="LZR142" s="221"/>
      <c r="LZS142" s="221"/>
      <c r="LZT142" s="221"/>
      <c r="LZU142" s="221"/>
      <c r="LZV142" s="221"/>
      <c r="LZW142" s="221"/>
      <c r="LZX142" s="221"/>
      <c r="LZY142" s="221"/>
      <c r="LZZ142" s="221"/>
      <c r="MAA142" s="221"/>
      <c r="MAB142" s="221"/>
      <c r="MAC142" s="221"/>
      <c r="MAD142" s="221"/>
      <c r="MAE142" s="221"/>
      <c r="MAF142" s="221"/>
      <c r="MAG142" s="221"/>
      <c r="MAH142" s="221"/>
      <c r="MAI142" s="221"/>
      <c r="MAJ142" s="221"/>
      <c r="MAK142" s="221"/>
      <c r="MAL142" s="221"/>
      <c r="MAM142" s="221"/>
      <c r="MAN142" s="221"/>
      <c r="MAO142" s="221"/>
      <c r="MAP142" s="221"/>
      <c r="MAQ142" s="221"/>
      <c r="MAR142" s="221"/>
      <c r="MAS142" s="221"/>
      <c r="MAT142" s="221"/>
      <c r="MAU142" s="221"/>
      <c r="MAV142" s="221"/>
      <c r="MAW142" s="221"/>
      <c r="MAX142" s="221"/>
      <c r="MAY142" s="221"/>
      <c r="MAZ142" s="221"/>
      <c r="MBA142" s="221"/>
      <c r="MBB142" s="221"/>
      <c r="MBC142" s="221"/>
      <c r="MBD142" s="221"/>
      <c r="MBE142" s="221"/>
      <c r="MBF142" s="221"/>
      <c r="MBG142" s="221"/>
      <c r="MBH142" s="221"/>
      <c r="MBI142" s="221"/>
      <c r="MBJ142" s="221"/>
      <c r="MBK142" s="221"/>
      <c r="MBL142" s="221"/>
      <c r="MBM142" s="221"/>
      <c r="MBN142" s="221"/>
      <c r="MBO142" s="221"/>
      <c r="MBP142" s="221"/>
      <c r="MBQ142" s="221"/>
      <c r="MBR142" s="221"/>
      <c r="MBS142" s="221"/>
      <c r="MBT142" s="221"/>
      <c r="MBU142" s="221"/>
      <c r="MBV142" s="221"/>
      <c r="MBW142" s="221"/>
      <c r="MBX142" s="221"/>
      <c r="MBY142" s="221"/>
      <c r="MBZ142" s="221"/>
      <c r="MCA142" s="221"/>
      <c r="MCB142" s="221"/>
      <c r="MCC142" s="221"/>
      <c r="MCD142" s="221"/>
      <c r="MCE142" s="221"/>
      <c r="MCF142" s="221"/>
      <c r="MCG142" s="221"/>
      <c r="MCH142" s="221"/>
      <c r="MCI142" s="221"/>
      <c r="MCJ142" s="221"/>
      <c r="MCK142" s="221"/>
      <c r="MCL142" s="221"/>
      <c r="MCM142" s="221"/>
      <c r="MCN142" s="221"/>
      <c r="MCO142" s="221"/>
      <c r="MCP142" s="221"/>
      <c r="MCQ142" s="221"/>
      <c r="MCR142" s="221"/>
      <c r="MCS142" s="221"/>
      <c r="MCT142" s="221"/>
      <c r="MCU142" s="221"/>
      <c r="MCV142" s="221"/>
      <c r="MCW142" s="221"/>
      <c r="MCX142" s="221"/>
      <c r="MCY142" s="221"/>
      <c r="MCZ142" s="221"/>
      <c r="MDA142" s="221"/>
      <c r="MDB142" s="221"/>
      <c r="MDC142" s="221"/>
      <c r="MDD142" s="221"/>
      <c r="MDE142" s="221"/>
      <c r="MDF142" s="221"/>
      <c r="MDG142" s="221"/>
      <c r="MDH142" s="221"/>
      <c r="MDI142" s="221"/>
      <c r="MDJ142" s="221"/>
      <c r="MDK142" s="221"/>
      <c r="MDL142" s="221"/>
      <c r="MDM142" s="221"/>
      <c r="MDN142" s="221"/>
      <c r="MDO142" s="221"/>
      <c r="MDP142" s="221"/>
      <c r="MDQ142" s="221"/>
      <c r="MDR142" s="221"/>
      <c r="MDS142" s="221"/>
      <c r="MDT142" s="221"/>
      <c r="MDU142" s="221"/>
      <c r="MDV142" s="221"/>
      <c r="MDW142" s="221"/>
      <c r="MDX142" s="221"/>
      <c r="MDY142" s="221"/>
      <c r="MDZ142" s="221"/>
      <c r="MEA142" s="221"/>
      <c r="MEB142" s="221"/>
      <c r="MEC142" s="221"/>
      <c r="MED142" s="221"/>
      <c r="MEE142" s="221"/>
      <c r="MEF142" s="221"/>
      <c r="MEG142" s="221"/>
      <c r="MEH142" s="221"/>
      <c r="MEI142" s="221"/>
      <c r="MEJ142" s="221"/>
      <c r="MEK142" s="221"/>
      <c r="MEL142" s="221"/>
      <c r="MEM142" s="221"/>
      <c r="MEN142" s="221"/>
      <c r="MEO142" s="221"/>
      <c r="MEP142" s="221"/>
      <c r="MEQ142" s="221"/>
      <c r="MER142" s="221"/>
      <c r="MES142" s="221"/>
      <c r="MET142" s="221"/>
      <c r="MEU142" s="221"/>
      <c r="MEV142" s="221"/>
      <c r="MEW142" s="221"/>
      <c r="MEX142" s="221"/>
      <c r="MEY142" s="221"/>
      <c r="MEZ142" s="221"/>
      <c r="MFA142" s="221"/>
      <c r="MFB142" s="221"/>
      <c r="MFC142" s="221"/>
      <c r="MFD142" s="221"/>
      <c r="MFE142" s="221"/>
      <c r="MFF142" s="221"/>
      <c r="MFG142" s="221"/>
      <c r="MFH142" s="221"/>
      <c r="MFI142" s="221"/>
      <c r="MFJ142" s="221"/>
      <c r="MFK142" s="221"/>
      <c r="MFL142" s="221"/>
      <c r="MFM142" s="221"/>
      <c r="MFN142" s="221"/>
      <c r="MFO142" s="221"/>
      <c r="MFP142" s="221"/>
      <c r="MFQ142" s="221"/>
      <c r="MFR142" s="221"/>
      <c r="MFS142" s="221"/>
      <c r="MFT142" s="221"/>
      <c r="MFU142" s="221"/>
      <c r="MFV142" s="221"/>
      <c r="MFW142" s="221"/>
      <c r="MFX142" s="221"/>
      <c r="MFY142" s="221"/>
      <c r="MFZ142" s="221"/>
      <c r="MGA142" s="221"/>
      <c r="MGB142" s="221"/>
      <c r="MGC142" s="221"/>
      <c r="MGD142" s="221"/>
      <c r="MGE142" s="221"/>
      <c r="MGF142" s="221"/>
      <c r="MGG142" s="221"/>
      <c r="MGH142" s="221"/>
      <c r="MGI142" s="221"/>
      <c r="MGJ142" s="221"/>
      <c r="MGK142" s="221"/>
      <c r="MGL142" s="221"/>
      <c r="MGM142" s="221"/>
      <c r="MGN142" s="221"/>
      <c r="MGO142" s="221"/>
      <c r="MGP142" s="221"/>
      <c r="MGQ142" s="221"/>
      <c r="MGR142" s="221"/>
      <c r="MGS142" s="221"/>
      <c r="MGT142" s="221"/>
      <c r="MGU142" s="221"/>
      <c r="MGV142" s="221"/>
      <c r="MGW142" s="221"/>
      <c r="MGX142" s="221"/>
      <c r="MGY142" s="221"/>
      <c r="MGZ142" s="221"/>
      <c r="MHA142" s="221"/>
      <c r="MHB142" s="221"/>
      <c r="MHC142" s="221"/>
      <c r="MHD142" s="221"/>
      <c r="MHE142" s="221"/>
      <c r="MHF142" s="221"/>
      <c r="MHG142" s="221"/>
      <c r="MHH142" s="221"/>
      <c r="MHI142" s="221"/>
      <c r="MHJ142" s="221"/>
      <c r="MHK142" s="221"/>
      <c r="MHL142" s="221"/>
      <c r="MHM142" s="221"/>
      <c r="MHN142" s="221"/>
      <c r="MHO142" s="221"/>
      <c r="MHP142" s="221"/>
      <c r="MHQ142" s="221"/>
      <c r="MHR142" s="221"/>
      <c r="MHS142" s="221"/>
      <c r="MHT142" s="221"/>
      <c r="MHU142" s="221"/>
      <c r="MHV142" s="221"/>
      <c r="MHW142" s="221"/>
      <c r="MHX142" s="221"/>
      <c r="MHY142" s="221"/>
      <c r="MHZ142" s="221"/>
      <c r="MIA142" s="221"/>
      <c r="MIB142" s="221"/>
      <c r="MIC142" s="221"/>
      <c r="MID142" s="221"/>
      <c r="MIE142" s="221"/>
      <c r="MIF142" s="221"/>
      <c r="MIG142" s="221"/>
      <c r="MIH142" s="221"/>
      <c r="MII142" s="221"/>
      <c r="MIJ142" s="221"/>
      <c r="MIK142" s="221"/>
      <c r="MIL142" s="221"/>
      <c r="MIM142" s="221"/>
      <c r="MIN142" s="221"/>
      <c r="MIO142" s="221"/>
      <c r="MIP142" s="221"/>
      <c r="MIQ142" s="221"/>
      <c r="MIR142" s="221"/>
      <c r="MIS142" s="221"/>
      <c r="MIT142" s="221"/>
      <c r="MIU142" s="221"/>
      <c r="MIV142" s="221"/>
      <c r="MIW142" s="221"/>
      <c r="MIX142" s="221"/>
      <c r="MIY142" s="221"/>
      <c r="MIZ142" s="221"/>
      <c r="MJA142" s="221"/>
      <c r="MJB142" s="221"/>
      <c r="MJC142" s="221"/>
      <c r="MJD142" s="221"/>
      <c r="MJE142" s="221"/>
      <c r="MJF142" s="221"/>
      <c r="MJG142" s="221"/>
      <c r="MJH142" s="221"/>
      <c r="MJI142" s="221"/>
      <c r="MJJ142" s="221"/>
      <c r="MJK142" s="221"/>
      <c r="MJL142" s="221"/>
      <c r="MJM142" s="221"/>
      <c r="MJN142" s="221"/>
      <c r="MJO142" s="221"/>
      <c r="MJP142" s="221"/>
      <c r="MJQ142" s="221"/>
      <c r="MJR142" s="221"/>
      <c r="MJS142" s="221"/>
      <c r="MJT142" s="221"/>
      <c r="MJU142" s="221"/>
      <c r="MJV142" s="221"/>
      <c r="MJW142" s="221"/>
      <c r="MJX142" s="221"/>
      <c r="MJY142" s="221"/>
      <c r="MJZ142" s="221"/>
      <c r="MKA142" s="221"/>
      <c r="MKB142" s="221"/>
      <c r="MKC142" s="221"/>
      <c r="MKD142" s="221"/>
      <c r="MKE142" s="221"/>
      <c r="MKF142" s="221"/>
      <c r="MKG142" s="221"/>
      <c r="MKH142" s="221"/>
      <c r="MKI142" s="221"/>
      <c r="MKJ142" s="221"/>
      <c r="MKK142" s="221"/>
      <c r="MKL142" s="221"/>
      <c r="MKM142" s="221"/>
      <c r="MKN142" s="221"/>
      <c r="MKO142" s="221"/>
      <c r="MKP142" s="221"/>
      <c r="MKQ142" s="221"/>
      <c r="MKR142" s="221"/>
      <c r="MKS142" s="221"/>
      <c r="MKT142" s="221"/>
      <c r="MKU142" s="221"/>
      <c r="MKV142" s="221"/>
      <c r="MKW142" s="221"/>
      <c r="MKX142" s="221"/>
      <c r="MKY142" s="221"/>
      <c r="MKZ142" s="221"/>
      <c r="MLA142" s="221"/>
      <c r="MLB142" s="221"/>
      <c r="MLC142" s="221"/>
      <c r="MLD142" s="221"/>
      <c r="MLE142" s="221"/>
      <c r="MLF142" s="221"/>
      <c r="MLG142" s="221"/>
      <c r="MLH142" s="221"/>
      <c r="MLI142" s="221"/>
      <c r="MLJ142" s="221"/>
      <c r="MLK142" s="221"/>
      <c r="MLL142" s="221"/>
      <c r="MLM142" s="221"/>
      <c r="MLN142" s="221"/>
      <c r="MLO142" s="221"/>
      <c r="MLP142" s="221"/>
      <c r="MLQ142" s="221"/>
      <c r="MLR142" s="221"/>
      <c r="MLS142" s="221"/>
      <c r="MLT142" s="221"/>
      <c r="MLU142" s="221"/>
      <c r="MLV142" s="221"/>
      <c r="MLW142" s="221"/>
      <c r="MLX142" s="221"/>
      <c r="MLY142" s="221"/>
      <c r="MLZ142" s="221"/>
      <c r="MMA142" s="221"/>
      <c r="MMB142" s="221"/>
      <c r="MMC142" s="221"/>
      <c r="MMD142" s="221"/>
      <c r="MME142" s="221"/>
      <c r="MMF142" s="221"/>
      <c r="MMG142" s="221"/>
      <c r="MMH142" s="221"/>
      <c r="MMI142" s="221"/>
      <c r="MMJ142" s="221"/>
      <c r="MMK142" s="221"/>
      <c r="MML142" s="221"/>
      <c r="MMM142" s="221"/>
      <c r="MMN142" s="221"/>
      <c r="MMO142" s="221"/>
      <c r="MMP142" s="221"/>
      <c r="MMQ142" s="221"/>
      <c r="MMR142" s="221"/>
      <c r="MMS142" s="221"/>
      <c r="MMT142" s="221"/>
      <c r="MMU142" s="221"/>
      <c r="MMV142" s="221"/>
      <c r="MMW142" s="221"/>
      <c r="MMX142" s="221"/>
      <c r="MMY142" s="221"/>
      <c r="MMZ142" s="221"/>
      <c r="MNA142" s="221"/>
      <c r="MNB142" s="221"/>
      <c r="MNC142" s="221"/>
      <c r="MND142" s="221"/>
      <c r="MNE142" s="221"/>
      <c r="MNF142" s="221"/>
      <c r="MNG142" s="221"/>
      <c r="MNH142" s="221"/>
      <c r="MNI142" s="221"/>
      <c r="MNJ142" s="221"/>
      <c r="MNK142" s="221"/>
      <c r="MNL142" s="221"/>
      <c r="MNM142" s="221"/>
      <c r="MNN142" s="221"/>
      <c r="MNO142" s="221"/>
      <c r="MNP142" s="221"/>
      <c r="MNQ142" s="221"/>
      <c r="MNR142" s="221"/>
      <c r="MNS142" s="221"/>
      <c r="MNT142" s="221"/>
      <c r="MNU142" s="221"/>
      <c r="MNV142" s="221"/>
      <c r="MNW142" s="221"/>
      <c r="MNX142" s="221"/>
      <c r="MNY142" s="221"/>
      <c r="MNZ142" s="221"/>
      <c r="MOA142" s="221"/>
      <c r="MOB142" s="221"/>
      <c r="MOC142" s="221"/>
      <c r="MOD142" s="221"/>
      <c r="MOE142" s="221"/>
      <c r="MOF142" s="221"/>
      <c r="MOG142" s="221"/>
      <c r="MOH142" s="221"/>
      <c r="MOI142" s="221"/>
      <c r="MOJ142" s="221"/>
      <c r="MOK142" s="221"/>
      <c r="MOL142" s="221"/>
      <c r="MOM142" s="221"/>
      <c r="MON142" s="221"/>
      <c r="MOO142" s="221"/>
      <c r="MOP142" s="221"/>
      <c r="MOQ142" s="221"/>
      <c r="MOR142" s="221"/>
      <c r="MOS142" s="221"/>
      <c r="MOT142" s="221"/>
      <c r="MOU142" s="221"/>
      <c r="MOV142" s="221"/>
      <c r="MOW142" s="221"/>
      <c r="MOX142" s="221"/>
      <c r="MOY142" s="221"/>
      <c r="MOZ142" s="221"/>
      <c r="MPA142" s="221"/>
      <c r="MPB142" s="221"/>
      <c r="MPC142" s="221"/>
      <c r="MPD142" s="221"/>
      <c r="MPE142" s="221"/>
      <c r="MPF142" s="221"/>
      <c r="MPG142" s="221"/>
      <c r="MPH142" s="221"/>
      <c r="MPI142" s="221"/>
      <c r="MPJ142" s="221"/>
      <c r="MPK142" s="221"/>
      <c r="MPL142" s="221"/>
      <c r="MPM142" s="221"/>
      <c r="MPN142" s="221"/>
      <c r="MPO142" s="221"/>
      <c r="MPP142" s="221"/>
      <c r="MPQ142" s="221"/>
      <c r="MPR142" s="221"/>
      <c r="MPS142" s="221"/>
      <c r="MPT142" s="221"/>
      <c r="MPU142" s="221"/>
      <c r="MPV142" s="221"/>
      <c r="MPW142" s="221"/>
      <c r="MPX142" s="221"/>
      <c r="MPY142" s="221"/>
      <c r="MPZ142" s="221"/>
      <c r="MQA142" s="221"/>
      <c r="MQB142" s="221"/>
      <c r="MQC142" s="221"/>
      <c r="MQD142" s="221"/>
      <c r="MQE142" s="221"/>
      <c r="MQF142" s="221"/>
      <c r="MQG142" s="221"/>
      <c r="MQH142" s="221"/>
      <c r="MQI142" s="221"/>
      <c r="MQJ142" s="221"/>
      <c r="MQK142" s="221"/>
      <c r="MQL142" s="221"/>
      <c r="MQM142" s="221"/>
      <c r="MQN142" s="221"/>
      <c r="MQO142" s="221"/>
      <c r="MQP142" s="221"/>
      <c r="MQQ142" s="221"/>
      <c r="MQR142" s="221"/>
      <c r="MQS142" s="221"/>
      <c r="MQT142" s="221"/>
      <c r="MQU142" s="221"/>
      <c r="MQV142" s="221"/>
      <c r="MQW142" s="221"/>
      <c r="MQX142" s="221"/>
      <c r="MQY142" s="221"/>
      <c r="MQZ142" s="221"/>
      <c r="MRA142" s="221"/>
      <c r="MRB142" s="221"/>
      <c r="MRC142" s="221"/>
      <c r="MRD142" s="221"/>
      <c r="MRE142" s="221"/>
      <c r="MRF142" s="221"/>
      <c r="MRG142" s="221"/>
      <c r="MRH142" s="221"/>
      <c r="MRI142" s="221"/>
      <c r="MRJ142" s="221"/>
      <c r="MRK142" s="221"/>
      <c r="MRL142" s="221"/>
      <c r="MRM142" s="221"/>
      <c r="MRN142" s="221"/>
      <c r="MRO142" s="221"/>
      <c r="MRP142" s="221"/>
      <c r="MRQ142" s="221"/>
      <c r="MRR142" s="221"/>
      <c r="MRS142" s="221"/>
      <c r="MRT142" s="221"/>
      <c r="MRU142" s="221"/>
      <c r="MRV142" s="221"/>
      <c r="MRW142" s="221"/>
      <c r="MRX142" s="221"/>
      <c r="MRY142" s="221"/>
      <c r="MRZ142" s="221"/>
      <c r="MSA142" s="221"/>
      <c r="MSB142" s="221"/>
      <c r="MSC142" s="221"/>
      <c r="MSD142" s="221"/>
      <c r="MSE142" s="221"/>
      <c r="MSF142" s="221"/>
      <c r="MSG142" s="221"/>
      <c r="MSH142" s="221"/>
      <c r="MSI142" s="221"/>
      <c r="MSJ142" s="221"/>
      <c r="MSK142" s="221"/>
      <c r="MSL142" s="221"/>
      <c r="MSM142" s="221"/>
      <c r="MSN142" s="221"/>
      <c r="MSO142" s="221"/>
      <c r="MSP142" s="221"/>
      <c r="MSQ142" s="221"/>
      <c r="MSR142" s="221"/>
      <c r="MSS142" s="221"/>
      <c r="MST142" s="221"/>
      <c r="MSU142" s="221"/>
      <c r="MSV142" s="221"/>
      <c r="MSW142" s="221"/>
      <c r="MSX142" s="221"/>
      <c r="MSY142" s="221"/>
      <c r="MSZ142" s="221"/>
      <c r="MTA142" s="221"/>
      <c r="MTB142" s="221"/>
      <c r="MTC142" s="221"/>
      <c r="MTD142" s="221"/>
      <c r="MTE142" s="221"/>
      <c r="MTF142" s="221"/>
      <c r="MTG142" s="221"/>
      <c r="MTH142" s="221"/>
      <c r="MTI142" s="221"/>
      <c r="MTJ142" s="221"/>
      <c r="MTK142" s="221"/>
      <c r="MTL142" s="221"/>
      <c r="MTM142" s="221"/>
      <c r="MTN142" s="221"/>
      <c r="MTO142" s="221"/>
      <c r="MTP142" s="221"/>
      <c r="MTQ142" s="221"/>
      <c r="MTR142" s="221"/>
      <c r="MTS142" s="221"/>
      <c r="MTT142" s="221"/>
      <c r="MTU142" s="221"/>
      <c r="MTV142" s="221"/>
      <c r="MTW142" s="221"/>
      <c r="MTX142" s="221"/>
      <c r="MTY142" s="221"/>
      <c r="MTZ142" s="221"/>
      <c r="MUA142" s="221"/>
      <c r="MUB142" s="221"/>
      <c r="MUC142" s="221"/>
      <c r="MUD142" s="221"/>
      <c r="MUE142" s="221"/>
      <c r="MUF142" s="221"/>
      <c r="MUG142" s="221"/>
      <c r="MUH142" s="221"/>
      <c r="MUI142" s="221"/>
      <c r="MUJ142" s="221"/>
      <c r="MUK142" s="221"/>
      <c r="MUL142" s="221"/>
      <c r="MUM142" s="221"/>
      <c r="MUN142" s="221"/>
      <c r="MUO142" s="221"/>
      <c r="MUP142" s="221"/>
      <c r="MUQ142" s="221"/>
      <c r="MUR142" s="221"/>
      <c r="MUS142" s="221"/>
      <c r="MUT142" s="221"/>
      <c r="MUU142" s="221"/>
      <c r="MUV142" s="221"/>
      <c r="MUW142" s="221"/>
      <c r="MUX142" s="221"/>
      <c r="MUY142" s="221"/>
      <c r="MUZ142" s="221"/>
      <c r="MVA142" s="221"/>
      <c r="MVB142" s="221"/>
      <c r="MVC142" s="221"/>
      <c r="MVD142" s="221"/>
      <c r="MVE142" s="221"/>
      <c r="MVF142" s="221"/>
      <c r="MVG142" s="221"/>
      <c r="MVH142" s="221"/>
      <c r="MVI142" s="221"/>
      <c r="MVJ142" s="221"/>
      <c r="MVK142" s="221"/>
      <c r="MVL142" s="221"/>
      <c r="MVM142" s="221"/>
      <c r="MVN142" s="221"/>
      <c r="MVO142" s="221"/>
      <c r="MVP142" s="221"/>
      <c r="MVQ142" s="221"/>
      <c r="MVR142" s="221"/>
      <c r="MVS142" s="221"/>
      <c r="MVT142" s="221"/>
      <c r="MVU142" s="221"/>
      <c r="MVV142" s="221"/>
      <c r="MVW142" s="221"/>
      <c r="MVX142" s="221"/>
      <c r="MVY142" s="221"/>
      <c r="MVZ142" s="221"/>
      <c r="MWA142" s="221"/>
      <c r="MWB142" s="221"/>
      <c r="MWC142" s="221"/>
      <c r="MWD142" s="221"/>
      <c r="MWE142" s="221"/>
      <c r="MWF142" s="221"/>
      <c r="MWG142" s="221"/>
      <c r="MWH142" s="221"/>
      <c r="MWI142" s="221"/>
      <c r="MWJ142" s="221"/>
      <c r="MWK142" s="221"/>
      <c r="MWL142" s="221"/>
      <c r="MWM142" s="221"/>
      <c r="MWN142" s="221"/>
      <c r="MWO142" s="221"/>
      <c r="MWP142" s="221"/>
      <c r="MWQ142" s="221"/>
      <c r="MWR142" s="221"/>
      <c r="MWS142" s="221"/>
      <c r="MWT142" s="221"/>
      <c r="MWU142" s="221"/>
      <c r="MWV142" s="221"/>
      <c r="MWW142" s="221"/>
      <c r="MWX142" s="221"/>
      <c r="MWY142" s="221"/>
      <c r="MWZ142" s="221"/>
      <c r="MXA142" s="221"/>
      <c r="MXB142" s="221"/>
      <c r="MXC142" s="221"/>
      <c r="MXD142" s="221"/>
      <c r="MXE142" s="221"/>
      <c r="MXF142" s="221"/>
      <c r="MXG142" s="221"/>
      <c r="MXH142" s="221"/>
      <c r="MXI142" s="221"/>
      <c r="MXJ142" s="221"/>
      <c r="MXK142" s="221"/>
      <c r="MXL142" s="221"/>
      <c r="MXM142" s="221"/>
      <c r="MXN142" s="221"/>
      <c r="MXO142" s="221"/>
      <c r="MXP142" s="221"/>
      <c r="MXQ142" s="221"/>
      <c r="MXR142" s="221"/>
      <c r="MXS142" s="221"/>
      <c r="MXT142" s="221"/>
      <c r="MXU142" s="221"/>
      <c r="MXV142" s="221"/>
      <c r="MXW142" s="221"/>
      <c r="MXX142" s="221"/>
      <c r="MXY142" s="221"/>
      <c r="MXZ142" s="221"/>
      <c r="MYA142" s="221"/>
      <c r="MYB142" s="221"/>
      <c r="MYC142" s="221"/>
      <c r="MYD142" s="221"/>
      <c r="MYE142" s="221"/>
      <c r="MYF142" s="221"/>
      <c r="MYG142" s="221"/>
      <c r="MYH142" s="221"/>
      <c r="MYI142" s="221"/>
      <c r="MYJ142" s="221"/>
      <c r="MYK142" s="221"/>
      <c r="MYL142" s="221"/>
      <c r="MYM142" s="221"/>
      <c r="MYN142" s="221"/>
      <c r="MYO142" s="221"/>
      <c r="MYP142" s="221"/>
      <c r="MYQ142" s="221"/>
      <c r="MYR142" s="221"/>
      <c r="MYS142" s="221"/>
      <c r="MYT142" s="221"/>
      <c r="MYU142" s="221"/>
      <c r="MYV142" s="221"/>
      <c r="MYW142" s="221"/>
      <c r="MYX142" s="221"/>
      <c r="MYY142" s="221"/>
      <c r="MYZ142" s="221"/>
      <c r="MZA142" s="221"/>
      <c r="MZB142" s="221"/>
      <c r="MZC142" s="221"/>
      <c r="MZD142" s="221"/>
      <c r="MZE142" s="221"/>
      <c r="MZF142" s="221"/>
      <c r="MZG142" s="221"/>
      <c r="MZH142" s="221"/>
      <c r="MZI142" s="221"/>
      <c r="MZJ142" s="221"/>
      <c r="MZK142" s="221"/>
      <c r="MZL142" s="221"/>
      <c r="MZM142" s="221"/>
      <c r="MZN142" s="221"/>
      <c r="MZO142" s="221"/>
      <c r="MZP142" s="221"/>
      <c r="MZQ142" s="221"/>
      <c r="MZR142" s="221"/>
      <c r="MZS142" s="221"/>
      <c r="MZT142" s="221"/>
      <c r="MZU142" s="221"/>
      <c r="MZV142" s="221"/>
      <c r="MZW142" s="221"/>
      <c r="MZX142" s="221"/>
      <c r="MZY142" s="221"/>
      <c r="MZZ142" s="221"/>
      <c r="NAA142" s="221"/>
      <c r="NAB142" s="221"/>
      <c r="NAC142" s="221"/>
      <c r="NAD142" s="221"/>
      <c r="NAE142" s="221"/>
      <c r="NAF142" s="221"/>
      <c r="NAG142" s="221"/>
      <c r="NAH142" s="221"/>
      <c r="NAI142" s="221"/>
      <c r="NAJ142" s="221"/>
      <c r="NAK142" s="221"/>
      <c r="NAL142" s="221"/>
      <c r="NAM142" s="221"/>
      <c r="NAN142" s="221"/>
      <c r="NAO142" s="221"/>
      <c r="NAP142" s="221"/>
      <c r="NAQ142" s="221"/>
      <c r="NAR142" s="221"/>
      <c r="NAS142" s="221"/>
      <c r="NAT142" s="221"/>
      <c r="NAU142" s="221"/>
      <c r="NAV142" s="221"/>
      <c r="NAW142" s="221"/>
      <c r="NAX142" s="221"/>
      <c r="NAY142" s="221"/>
      <c r="NAZ142" s="221"/>
      <c r="NBA142" s="221"/>
      <c r="NBB142" s="221"/>
      <c r="NBC142" s="221"/>
      <c r="NBD142" s="221"/>
      <c r="NBE142" s="221"/>
      <c r="NBF142" s="221"/>
      <c r="NBG142" s="221"/>
      <c r="NBH142" s="221"/>
      <c r="NBI142" s="221"/>
      <c r="NBJ142" s="221"/>
      <c r="NBK142" s="221"/>
      <c r="NBL142" s="221"/>
      <c r="NBM142" s="221"/>
      <c r="NBN142" s="221"/>
      <c r="NBO142" s="221"/>
      <c r="NBP142" s="221"/>
      <c r="NBQ142" s="221"/>
      <c r="NBR142" s="221"/>
      <c r="NBS142" s="221"/>
      <c r="NBT142" s="221"/>
      <c r="NBU142" s="221"/>
      <c r="NBV142" s="221"/>
      <c r="NBW142" s="221"/>
      <c r="NBX142" s="221"/>
      <c r="NBY142" s="221"/>
      <c r="NBZ142" s="221"/>
      <c r="NCA142" s="221"/>
      <c r="NCB142" s="221"/>
      <c r="NCC142" s="221"/>
      <c r="NCD142" s="221"/>
      <c r="NCE142" s="221"/>
      <c r="NCF142" s="221"/>
      <c r="NCG142" s="221"/>
      <c r="NCH142" s="221"/>
      <c r="NCI142" s="221"/>
      <c r="NCJ142" s="221"/>
      <c r="NCK142" s="221"/>
      <c r="NCL142" s="221"/>
      <c r="NCM142" s="221"/>
      <c r="NCN142" s="221"/>
      <c r="NCO142" s="221"/>
      <c r="NCP142" s="221"/>
      <c r="NCQ142" s="221"/>
      <c r="NCR142" s="221"/>
      <c r="NCS142" s="221"/>
      <c r="NCT142" s="221"/>
      <c r="NCU142" s="221"/>
      <c r="NCV142" s="221"/>
      <c r="NCW142" s="221"/>
      <c r="NCX142" s="221"/>
      <c r="NCY142" s="221"/>
      <c r="NCZ142" s="221"/>
      <c r="NDA142" s="221"/>
      <c r="NDB142" s="221"/>
      <c r="NDC142" s="221"/>
      <c r="NDD142" s="221"/>
      <c r="NDE142" s="221"/>
      <c r="NDF142" s="221"/>
      <c r="NDG142" s="221"/>
      <c r="NDH142" s="221"/>
      <c r="NDI142" s="221"/>
      <c r="NDJ142" s="221"/>
      <c r="NDK142" s="221"/>
      <c r="NDL142" s="221"/>
      <c r="NDM142" s="221"/>
      <c r="NDN142" s="221"/>
      <c r="NDO142" s="221"/>
      <c r="NDP142" s="221"/>
      <c r="NDQ142" s="221"/>
      <c r="NDR142" s="221"/>
      <c r="NDS142" s="221"/>
      <c r="NDT142" s="221"/>
      <c r="NDU142" s="221"/>
      <c r="NDV142" s="221"/>
      <c r="NDW142" s="221"/>
      <c r="NDX142" s="221"/>
      <c r="NDY142" s="221"/>
      <c r="NDZ142" s="221"/>
      <c r="NEA142" s="221"/>
      <c r="NEB142" s="221"/>
      <c r="NEC142" s="221"/>
      <c r="NED142" s="221"/>
      <c r="NEE142" s="221"/>
      <c r="NEF142" s="221"/>
      <c r="NEG142" s="221"/>
      <c r="NEH142" s="221"/>
      <c r="NEI142" s="221"/>
      <c r="NEJ142" s="221"/>
      <c r="NEK142" s="221"/>
      <c r="NEL142" s="221"/>
      <c r="NEM142" s="221"/>
      <c r="NEN142" s="221"/>
      <c r="NEO142" s="221"/>
      <c r="NEP142" s="221"/>
      <c r="NEQ142" s="221"/>
      <c r="NER142" s="221"/>
      <c r="NES142" s="221"/>
      <c r="NET142" s="221"/>
      <c r="NEU142" s="221"/>
      <c r="NEV142" s="221"/>
      <c r="NEW142" s="221"/>
      <c r="NEX142" s="221"/>
      <c r="NEY142" s="221"/>
      <c r="NEZ142" s="221"/>
      <c r="NFA142" s="221"/>
      <c r="NFB142" s="221"/>
      <c r="NFC142" s="221"/>
      <c r="NFD142" s="221"/>
      <c r="NFE142" s="221"/>
      <c r="NFF142" s="221"/>
      <c r="NFG142" s="221"/>
      <c r="NFH142" s="221"/>
      <c r="NFI142" s="221"/>
      <c r="NFJ142" s="221"/>
      <c r="NFK142" s="221"/>
      <c r="NFL142" s="221"/>
      <c r="NFM142" s="221"/>
      <c r="NFN142" s="221"/>
      <c r="NFO142" s="221"/>
      <c r="NFP142" s="221"/>
      <c r="NFQ142" s="221"/>
      <c r="NFR142" s="221"/>
      <c r="NFS142" s="221"/>
      <c r="NFT142" s="221"/>
      <c r="NFU142" s="221"/>
      <c r="NFV142" s="221"/>
      <c r="NFW142" s="221"/>
      <c r="NFX142" s="221"/>
      <c r="NFY142" s="221"/>
      <c r="NFZ142" s="221"/>
      <c r="NGA142" s="221"/>
      <c r="NGB142" s="221"/>
      <c r="NGC142" s="221"/>
      <c r="NGD142" s="221"/>
      <c r="NGE142" s="221"/>
      <c r="NGF142" s="221"/>
      <c r="NGG142" s="221"/>
      <c r="NGH142" s="221"/>
      <c r="NGI142" s="221"/>
      <c r="NGJ142" s="221"/>
      <c r="NGK142" s="221"/>
      <c r="NGL142" s="221"/>
      <c r="NGM142" s="221"/>
      <c r="NGN142" s="221"/>
      <c r="NGO142" s="221"/>
      <c r="NGP142" s="221"/>
      <c r="NGQ142" s="221"/>
      <c r="NGR142" s="221"/>
      <c r="NGS142" s="221"/>
      <c r="NGT142" s="221"/>
      <c r="NGU142" s="221"/>
      <c r="NGV142" s="221"/>
      <c r="NGW142" s="221"/>
      <c r="NGX142" s="221"/>
      <c r="NGY142" s="221"/>
      <c r="NGZ142" s="221"/>
      <c r="NHA142" s="221"/>
      <c r="NHB142" s="221"/>
      <c r="NHC142" s="221"/>
      <c r="NHD142" s="221"/>
      <c r="NHE142" s="221"/>
      <c r="NHF142" s="221"/>
      <c r="NHG142" s="221"/>
      <c r="NHH142" s="221"/>
      <c r="NHI142" s="221"/>
      <c r="NHJ142" s="221"/>
      <c r="NHK142" s="221"/>
      <c r="NHL142" s="221"/>
      <c r="NHM142" s="221"/>
      <c r="NHN142" s="221"/>
      <c r="NHO142" s="221"/>
      <c r="NHP142" s="221"/>
      <c r="NHQ142" s="221"/>
      <c r="NHR142" s="221"/>
      <c r="NHS142" s="221"/>
      <c r="NHT142" s="221"/>
      <c r="NHU142" s="221"/>
      <c r="NHV142" s="221"/>
      <c r="NHW142" s="221"/>
      <c r="NHX142" s="221"/>
      <c r="NHY142" s="221"/>
      <c r="NHZ142" s="221"/>
      <c r="NIA142" s="221"/>
      <c r="NIB142" s="221"/>
      <c r="NIC142" s="221"/>
      <c r="NID142" s="221"/>
      <c r="NIE142" s="221"/>
      <c r="NIF142" s="221"/>
      <c r="NIG142" s="221"/>
      <c r="NIH142" s="221"/>
      <c r="NII142" s="221"/>
      <c r="NIJ142" s="221"/>
      <c r="NIK142" s="221"/>
      <c r="NIL142" s="221"/>
      <c r="NIM142" s="221"/>
      <c r="NIN142" s="221"/>
      <c r="NIO142" s="221"/>
      <c r="NIP142" s="221"/>
      <c r="NIQ142" s="221"/>
      <c r="NIR142" s="221"/>
      <c r="NIS142" s="221"/>
      <c r="NIT142" s="221"/>
      <c r="NIU142" s="221"/>
      <c r="NIV142" s="221"/>
      <c r="NIW142" s="221"/>
      <c r="NIX142" s="221"/>
      <c r="NIY142" s="221"/>
      <c r="NIZ142" s="221"/>
      <c r="NJA142" s="221"/>
      <c r="NJB142" s="221"/>
      <c r="NJC142" s="221"/>
      <c r="NJD142" s="221"/>
      <c r="NJE142" s="221"/>
      <c r="NJF142" s="221"/>
      <c r="NJG142" s="221"/>
      <c r="NJH142" s="221"/>
      <c r="NJI142" s="221"/>
      <c r="NJJ142" s="221"/>
      <c r="NJK142" s="221"/>
      <c r="NJL142" s="221"/>
      <c r="NJM142" s="221"/>
      <c r="NJN142" s="221"/>
      <c r="NJO142" s="221"/>
      <c r="NJP142" s="221"/>
      <c r="NJQ142" s="221"/>
      <c r="NJR142" s="221"/>
      <c r="NJS142" s="221"/>
      <c r="NJT142" s="221"/>
      <c r="NJU142" s="221"/>
      <c r="NJV142" s="221"/>
      <c r="NJW142" s="221"/>
      <c r="NJX142" s="221"/>
      <c r="NJY142" s="221"/>
      <c r="NJZ142" s="221"/>
      <c r="NKA142" s="221"/>
      <c r="NKB142" s="221"/>
      <c r="NKC142" s="221"/>
      <c r="NKD142" s="221"/>
      <c r="NKE142" s="221"/>
      <c r="NKF142" s="221"/>
      <c r="NKG142" s="221"/>
      <c r="NKH142" s="221"/>
      <c r="NKI142" s="221"/>
      <c r="NKJ142" s="221"/>
      <c r="NKK142" s="221"/>
      <c r="NKL142" s="221"/>
      <c r="NKM142" s="221"/>
      <c r="NKN142" s="221"/>
      <c r="NKO142" s="221"/>
      <c r="NKP142" s="221"/>
      <c r="NKQ142" s="221"/>
      <c r="NKR142" s="221"/>
      <c r="NKS142" s="221"/>
      <c r="NKT142" s="221"/>
      <c r="NKU142" s="221"/>
      <c r="NKV142" s="221"/>
      <c r="NKW142" s="221"/>
      <c r="NKX142" s="221"/>
      <c r="NKY142" s="221"/>
      <c r="NKZ142" s="221"/>
      <c r="NLA142" s="221"/>
      <c r="NLB142" s="221"/>
      <c r="NLC142" s="221"/>
      <c r="NLD142" s="221"/>
      <c r="NLE142" s="221"/>
      <c r="NLF142" s="221"/>
      <c r="NLG142" s="221"/>
      <c r="NLH142" s="221"/>
      <c r="NLI142" s="221"/>
      <c r="NLJ142" s="221"/>
      <c r="NLK142" s="221"/>
      <c r="NLL142" s="221"/>
      <c r="NLM142" s="221"/>
      <c r="NLN142" s="221"/>
      <c r="NLO142" s="221"/>
      <c r="NLP142" s="221"/>
      <c r="NLQ142" s="221"/>
      <c r="NLR142" s="221"/>
      <c r="NLS142" s="221"/>
      <c r="NLT142" s="221"/>
      <c r="NLU142" s="221"/>
      <c r="NLV142" s="221"/>
      <c r="NLW142" s="221"/>
      <c r="NLX142" s="221"/>
      <c r="NLY142" s="221"/>
      <c r="NLZ142" s="221"/>
      <c r="NMA142" s="221"/>
      <c r="NMB142" s="221"/>
      <c r="NMC142" s="221"/>
      <c r="NMD142" s="221"/>
      <c r="NME142" s="221"/>
      <c r="NMF142" s="221"/>
      <c r="NMG142" s="221"/>
      <c r="NMH142" s="221"/>
      <c r="NMI142" s="221"/>
      <c r="NMJ142" s="221"/>
      <c r="NMK142" s="221"/>
      <c r="NML142" s="221"/>
      <c r="NMM142" s="221"/>
      <c r="NMN142" s="221"/>
      <c r="NMO142" s="221"/>
      <c r="NMP142" s="221"/>
      <c r="NMQ142" s="221"/>
      <c r="NMR142" s="221"/>
      <c r="NMS142" s="221"/>
      <c r="NMT142" s="221"/>
      <c r="NMU142" s="221"/>
      <c r="NMV142" s="221"/>
      <c r="NMW142" s="221"/>
      <c r="NMX142" s="221"/>
      <c r="NMY142" s="221"/>
      <c r="NMZ142" s="221"/>
      <c r="NNA142" s="221"/>
      <c r="NNB142" s="221"/>
      <c r="NNC142" s="221"/>
      <c r="NND142" s="221"/>
      <c r="NNE142" s="221"/>
      <c r="NNF142" s="221"/>
      <c r="NNG142" s="221"/>
      <c r="NNH142" s="221"/>
      <c r="NNI142" s="221"/>
      <c r="NNJ142" s="221"/>
      <c r="NNK142" s="221"/>
      <c r="NNL142" s="221"/>
      <c r="NNM142" s="221"/>
      <c r="NNN142" s="221"/>
      <c r="NNO142" s="221"/>
      <c r="NNP142" s="221"/>
      <c r="NNQ142" s="221"/>
      <c r="NNR142" s="221"/>
      <c r="NNS142" s="221"/>
      <c r="NNT142" s="221"/>
      <c r="NNU142" s="221"/>
      <c r="NNV142" s="221"/>
      <c r="NNW142" s="221"/>
      <c r="NNX142" s="221"/>
      <c r="NNY142" s="221"/>
      <c r="NNZ142" s="221"/>
      <c r="NOA142" s="221"/>
      <c r="NOB142" s="221"/>
      <c r="NOC142" s="221"/>
      <c r="NOD142" s="221"/>
      <c r="NOE142" s="221"/>
      <c r="NOF142" s="221"/>
      <c r="NOG142" s="221"/>
      <c r="NOH142" s="221"/>
      <c r="NOI142" s="221"/>
      <c r="NOJ142" s="221"/>
      <c r="NOK142" s="221"/>
      <c r="NOL142" s="221"/>
      <c r="NOM142" s="221"/>
      <c r="NON142" s="221"/>
      <c r="NOO142" s="221"/>
      <c r="NOP142" s="221"/>
      <c r="NOQ142" s="221"/>
      <c r="NOR142" s="221"/>
      <c r="NOS142" s="221"/>
      <c r="NOT142" s="221"/>
      <c r="NOU142" s="221"/>
      <c r="NOV142" s="221"/>
      <c r="NOW142" s="221"/>
      <c r="NOX142" s="221"/>
      <c r="NOY142" s="221"/>
      <c r="NOZ142" s="221"/>
      <c r="NPA142" s="221"/>
      <c r="NPB142" s="221"/>
      <c r="NPC142" s="221"/>
      <c r="NPD142" s="221"/>
      <c r="NPE142" s="221"/>
      <c r="NPF142" s="221"/>
      <c r="NPG142" s="221"/>
      <c r="NPH142" s="221"/>
      <c r="NPI142" s="221"/>
      <c r="NPJ142" s="221"/>
      <c r="NPK142" s="221"/>
      <c r="NPL142" s="221"/>
      <c r="NPM142" s="221"/>
      <c r="NPN142" s="221"/>
      <c r="NPO142" s="221"/>
      <c r="NPP142" s="221"/>
      <c r="NPQ142" s="221"/>
      <c r="NPR142" s="221"/>
      <c r="NPS142" s="221"/>
      <c r="NPT142" s="221"/>
      <c r="NPU142" s="221"/>
      <c r="NPV142" s="221"/>
      <c r="NPW142" s="221"/>
      <c r="NPX142" s="221"/>
      <c r="NPY142" s="221"/>
      <c r="NPZ142" s="221"/>
      <c r="NQA142" s="221"/>
      <c r="NQB142" s="221"/>
      <c r="NQC142" s="221"/>
      <c r="NQD142" s="221"/>
      <c r="NQE142" s="221"/>
      <c r="NQF142" s="221"/>
      <c r="NQG142" s="221"/>
      <c r="NQH142" s="221"/>
      <c r="NQI142" s="221"/>
      <c r="NQJ142" s="221"/>
      <c r="NQK142" s="221"/>
      <c r="NQL142" s="221"/>
      <c r="NQM142" s="221"/>
      <c r="NQN142" s="221"/>
      <c r="NQO142" s="221"/>
      <c r="NQP142" s="221"/>
      <c r="NQQ142" s="221"/>
      <c r="NQR142" s="221"/>
      <c r="NQS142" s="221"/>
      <c r="NQT142" s="221"/>
      <c r="NQU142" s="221"/>
      <c r="NQV142" s="221"/>
      <c r="NQW142" s="221"/>
      <c r="NQX142" s="221"/>
      <c r="NQY142" s="221"/>
      <c r="NQZ142" s="221"/>
      <c r="NRA142" s="221"/>
      <c r="NRB142" s="221"/>
      <c r="NRC142" s="221"/>
      <c r="NRD142" s="221"/>
      <c r="NRE142" s="221"/>
      <c r="NRF142" s="221"/>
      <c r="NRG142" s="221"/>
      <c r="NRH142" s="221"/>
      <c r="NRI142" s="221"/>
      <c r="NRJ142" s="221"/>
      <c r="NRK142" s="221"/>
      <c r="NRL142" s="221"/>
      <c r="NRM142" s="221"/>
      <c r="NRN142" s="221"/>
      <c r="NRO142" s="221"/>
      <c r="NRP142" s="221"/>
      <c r="NRQ142" s="221"/>
      <c r="NRR142" s="221"/>
      <c r="NRS142" s="221"/>
      <c r="NRT142" s="221"/>
      <c r="NRU142" s="221"/>
      <c r="NRV142" s="221"/>
      <c r="NRW142" s="221"/>
      <c r="NRX142" s="221"/>
      <c r="NRY142" s="221"/>
      <c r="NRZ142" s="221"/>
      <c r="NSA142" s="221"/>
      <c r="NSB142" s="221"/>
      <c r="NSC142" s="221"/>
      <c r="NSD142" s="221"/>
      <c r="NSE142" s="221"/>
      <c r="NSF142" s="221"/>
      <c r="NSG142" s="221"/>
      <c r="NSH142" s="221"/>
      <c r="NSI142" s="221"/>
      <c r="NSJ142" s="221"/>
      <c r="NSK142" s="221"/>
      <c r="NSL142" s="221"/>
      <c r="NSM142" s="221"/>
      <c r="NSN142" s="221"/>
      <c r="NSO142" s="221"/>
      <c r="NSP142" s="221"/>
      <c r="NSQ142" s="221"/>
      <c r="NSR142" s="221"/>
      <c r="NSS142" s="221"/>
      <c r="NST142" s="221"/>
      <c r="NSU142" s="221"/>
      <c r="NSV142" s="221"/>
      <c r="NSW142" s="221"/>
      <c r="NSX142" s="221"/>
      <c r="NSY142" s="221"/>
      <c r="NSZ142" s="221"/>
      <c r="NTA142" s="221"/>
      <c r="NTB142" s="221"/>
      <c r="NTC142" s="221"/>
      <c r="NTD142" s="221"/>
      <c r="NTE142" s="221"/>
      <c r="NTF142" s="221"/>
      <c r="NTG142" s="221"/>
      <c r="NTH142" s="221"/>
      <c r="NTI142" s="221"/>
      <c r="NTJ142" s="221"/>
      <c r="NTK142" s="221"/>
      <c r="NTL142" s="221"/>
      <c r="NTM142" s="221"/>
      <c r="NTN142" s="221"/>
      <c r="NTO142" s="221"/>
      <c r="NTP142" s="221"/>
      <c r="NTQ142" s="221"/>
      <c r="NTR142" s="221"/>
      <c r="NTS142" s="221"/>
      <c r="NTT142" s="221"/>
      <c r="NTU142" s="221"/>
      <c r="NTV142" s="221"/>
      <c r="NTW142" s="221"/>
      <c r="NTX142" s="221"/>
      <c r="NTY142" s="221"/>
      <c r="NTZ142" s="221"/>
      <c r="NUA142" s="221"/>
      <c r="NUB142" s="221"/>
      <c r="NUC142" s="221"/>
      <c r="NUD142" s="221"/>
      <c r="NUE142" s="221"/>
      <c r="NUF142" s="221"/>
      <c r="NUG142" s="221"/>
      <c r="NUH142" s="221"/>
      <c r="NUI142" s="221"/>
      <c r="NUJ142" s="221"/>
      <c r="NUK142" s="221"/>
      <c r="NUL142" s="221"/>
      <c r="NUM142" s="221"/>
      <c r="NUN142" s="221"/>
      <c r="NUO142" s="221"/>
      <c r="NUP142" s="221"/>
      <c r="NUQ142" s="221"/>
      <c r="NUR142" s="221"/>
      <c r="NUS142" s="221"/>
      <c r="NUT142" s="221"/>
      <c r="NUU142" s="221"/>
      <c r="NUV142" s="221"/>
      <c r="NUW142" s="221"/>
      <c r="NUX142" s="221"/>
      <c r="NUY142" s="221"/>
      <c r="NUZ142" s="221"/>
      <c r="NVA142" s="221"/>
      <c r="NVB142" s="221"/>
      <c r="NVC142" s="221"/>
      <c r="NVD142" s="221"/>
      <c r="NVE142" s="221"/>
      <c r="NVF142" s="221"/>
      <c r="NVG142" s="221"/>
      <c r="NVH142" s="221"/>
      <c r="NVI142" s="221"/>
      <c r="NVJ142" s="221"/>
      <c r="NVK142" s="221"/>
      <c r="NVL142" s="221"/>
      <c r="NVM142" s="221"/>
      <c r="NVN142" s="221"/>
      <c r="NVO142" s="221"/>
      <c r="NVP142" s="221"/>
      <c r="NVQ142" s="221"/>
      <c r="NVR142" s="221"/>
      <c r="NVS142" s="221"/>
      <c r="NVT142" s="221"/>
      <c r="NVU142" s="221"/>
      <c r="NVV142" s="221"/>
      <c r="NVW142" s="221"/>
      <c r="NVX142" s="221"/>
      <c r="NVY142" s="221"/>
      <c r="NVZ142" s="221"/>
      <c r="NWA142" s="221"/>
      <c r="NWB142" s="221"/>
      <c r="NWC142" s="221"/>
      <c r="NWD142" s="221"/>
      <c r="NWE142" s="221"/>
      <c r="NWF142" s="221"/>
      <c r="NWG142" s="221"/>
      <c r="NWH142" s="221"/>
      <c r="NWI142" s="221"/>
      <c r="NWJ142" s="221"/>
      <c r="NWK142" s="221"/>
      <c r="NWL142" s="221"/>
      <c r="NWM142" s="221"/>
      <c r="NWN142" s="221"/>
      <c r="NWO142" s="221"/>
      <c r="NWP142" s="221"/>
      <c r="NWQ142" s="221"/>
      <c r="NWR142" s="221"/>
      <c r="NWS142" s="221"/>
      <c r="NWT142" s="221"/>
      <c r="NWU142" s="221"/>
      <c r="NWV142" s="221"/>
      <c r="NWW142" s="221"/>
      <c r="NWX142" s="221"/>
      <c r="NWY142" s="221"/>
      <c r="NWZ142" s="221"/>
      <c r="NXA142" s="221"/>
      <c r="NXB142" s="221"/>
      <c r="NXC142" s="221"/>
      <c r="NXD142" s="221"/>
      <c r="NXE142" s="221"/>
      <c r="NXF142" s="221"/>
      <c r="NXG142" s="221"/>
      <c r="NXH142" s="221"/>
      <c r="NXI142" s="221"/>
      <c r="NXJ142" s="221"/>
      <c r="NXK142" s="221"/>
      <c r="NXL142" s="221"/>
      <c r="NXM142" s="221"/>
      <c r="NXN142" s="221"/>
      <c r="NXO142" s="221"/>
      <c r="NXP142" s="221"/>
      <c r="NXQ142" s="221"/>
      <c r="NXR142" s="221"/>
      <c r="NXS142" s="221"/>
      <c r="NXT142" s="221"/>
      <c r="NXU142" s="221"/>
      <c r="NXV142" s="221"/>
      <c r="NXW142" s="221"/>
      <c r="NXX142" s="221"/>
      <c r="NXY142" s="221"/>
      <c r="NXZ142" s="221"/>
      <c r="NYA142" s="221"/>
      <c r="NYB142" s="221"/>
      <c r="NYC142" s="221"/>
      <c r="NYD142" s="221"/>
      <c r="NYE142" s="221"/>
      <c r="NYF142" s="221"/>
      <c r="NYG142" s="221"/>
      <c r="NYH142" s="221"/>
      <c r="NYI142" s="221"/>
      <c r="NYJ142" s="221"/>
      <c r="NYK142" s="221"/>
      <c r="NYL142" s="221"/>
      <c r="NYM142" s="221"/>
      <c r="NYN142" s="221"/>
      <c r="NYO142" s="221"/>
      <c r="NYP142" s="221"/>
      <c r="NYQ142" s="221"/>
      <c r="NYR142" s="221"/>
      <c r="NYS142" s="221"/>
      <c r="NYT142" s="221"/>
      <c r="NYU142" s="221"/>
      <c r="NYV142" s="221"/>
      <c r="NYW142" s="221"/>
      <c r="NYX142" s="221"/>
      <c r="NYY142" s="221"/>
      <c r="NYZ142" s="221"/>
      <c r="NZA142" s="221"/>
      <c r="NZB142" s="221"/>
      <c r="NZC142" s="221"/>
      <c r="NZD142" s="221"/>
      <c r="NZE142" s="221"/>
      <c r="NZF142" s="221"/>
      <c r="NZG142" s="221"/>
      <c r="NZH142" s="221"/>
      <c r="NZI142" s="221"/>
      <c r="NZJ142" s="221"/>
      <c r="NZK142" s="221"/>
      <c r="NZL142" s="221"/>
      <c r="NZM142" s="221"/>
      <c r="NZN142" s="221"/>
      <c r="NZO142" s="221"/>
      <c r="NZP142" s="221"/>
      <c r="NZQ142" s="221"/>
      <c r="NZR142" s="221"/>
      <c r="NZS142" s="221"/>
      <c r="NZT142" s="221"/>
      <c r="NZU142" s="221"/>
      <c r="NZV142" s="221"/>
      <c r="NZW142" s="221"/>
      <c r="NZX142" s="221"/>
      <c r="NZY142" s="221"/>
      <c r="NZZ142" s="221"/>
      <c r="OAA142" s="221"/>
      <c r="OAB142" s="221"/>
      <c r="OAC142" s="221"/>
      <c r="OAD142" s="221"/>
      <c r="OAE142" s="221"/>
      <c r="OAF142" s="221"/>
      <c r="OAG142" s="221"/>
      <c r="OAH142" s="221"/>
      <c r="OAI142" s="221"/>
      <c r="OAJ142" s="221"/>
      <c r="OAK142" s="221"/>
      <c r="OAL142" s="221"/>
      <c r="OAM142" s="221"/>
      <c r="OAN142" s="221"/>
      <c r="OAO142" s="221"/>
      <c r="OAP142" s="221"/>
      <c r="OAQ142" s="221"/>
      <c r="OAR142" s="221"/>
      <c r="OAS142" s="221"/>
      <c r="OAT142" s="221"/>
      <c r="OAU142" s="221"/>
      <c r="OAV142" s="221"/>
      <c r="OAW142" s="221"/>
      <c r="OAX142" s="221"/>
      <c r="OAY142" s="221"/>
      <c r="OAZ142" s="221"/>
      <c r="OBA142" s="221"/>
      <c r="OBB142" s="221"/>
      <c r="OBC142" s="221"/>
      <c r="OBD142" s="221"/>
      <c r="OBE142" s="221"/>
      <c r="OBF142" s="221"/>
      <c r="OBG142" s="221"/>
      <c r="OBH142" s="221"/>
      <c r="OBI142" s="221"/>
      <c r="OBJ142" s="221"/>
      <c r="OBK142" s="221"/>
      <c r="OBL142" s="221"/>
      <c r="OBM142" s="221"/>
      <c r="OBN142" s="221"/>
      <c r="OBO142" s="221"/>
      <c r="OBP142" s="221"/>
      <c r="OBQ142" s="221"/>
      <c r="OBR142" s="221"/>
      <c r="OBS142" s="221"/>
      <c r="OBT142" s="221"/>
      <c r="OBU142" s="221"/>
      <c r="OBV142" s="221"/>
      <c r="OBW142" s="221"/>
      <c r="OBX142" s="221"/>
      <c r="OBY142" s="221"/>
      <c r="OBZ142" s="221"/>
      <c r="OCA142" s="221"/>
      <c r="OCB142" s="221"/>
      <c r="OCC142" s="221"/>
      <c r="OCD142" s="221"/>
      <c r="OCE142" s="221"/>
      <c r="OCF142" s="221"/>
      <c r="OCG142" s="221"/>
      <c r="OCH142" s="221"/>
      <c r="OCI142" s="221"/>
      <c r="OCJ142" s="221"/>
      <c r="OCK142" s="221"/>
      <c r="OCL142" s="221"/>
      <c r="OCM142" s="221"/>
      <c r="OCN142" s="221"/>
      <c r="OCO142" s="221"/>
      <c r="OCP142" s="221"/>
      <c r="OCQ142" s="221"/>
      <c r="OCR142" s="221"/>
      <c r="OCS142" s="221"/>
      <c r="OCT142" s="221"/>
      <c r="OCU142" s="221"/>
      <c r="OCV142" s="221"/>
      <c r="OCW142" s="221"/>
      <c r="OCX142" s="221"/>
      <c r="OCY142" s="221"/>
      <c r="OCZ142" s="221"/>
      <c r="ODA142" s="221"/>
      <c r="ODB142" s="221"/>
      <c r="ODC142" s="221"/>
      <c r="ODD142" s="221"/>
      <c r="ODE142" s="221"/>
      <c r="ODF142" s="221"/>
      <c r="ODG142" s="221"/>
      <c r="ODH142" s="221"/>
      <c r="ODI142" s="221"/>
      <c r="ODJ142" s="221"/>
      <c r="ODK142" s="221"/>
      <c r="ODL142" s="221"/>
      <c r="ODM142" s="221"/>
      <c r="ODN142" s="221"/>
      <c r="ODO142" s="221"/>
      <c r="ODP142" s="221"/>
      <c r="ODQ142" s="221"/>
      <c r="ODR142" s="221"/>
      <c r="ODS142" s="221"/>
      <c r="ODT142" s="221"/>
      <c r="ODU142" s="221"/>
      <c r="ODV142" s="221"/>
      <c r="ODW142" s="221"/>
      <c r="ODX142" s="221"/>
      <c r="ODY142" s="221"/>
      <c r="ODZ142" s="221"/>
      <c r="OEA142" s="221"/>
      <c r="OEB142" s="221"/>
      <c r="OEC142" s="221"/>
      <c r="OED142" s="221"/>
      <c r="OEE142" s="221"/>
      <c r="OEF142" s="221"/>
      <c r="OEG142" s="221"/>
      <c r="OEH142" s="221"/>
      <c r="OEI142" s="221"/>
      <c r="OEJ142" s="221"/>
      <c r="OEK142" s="221"/>
      <c r="OEL142" s="221"/>
      <c r="OEM142" s="221"/>
      <c r="OEN142" s="221"/>
      <c r="OEO142" s="221"/>
      <c r="OEP142" s="221"/>
      <c r="OEQ142" s="221"/>
      <c r="OER142" s="221"/>
      <c r="OES142" s="221"/>
      <c r="OET142" s="221"/>
      <c r="OEU142" s="221"/>
      <c r="OEV142" s="221"/>
      <c r="OEW142" s="221"/>
      <c r="OEX142" s="221"/>
      <c r="OEY142" s="221"/>
      <c r="OEZ142" s="221"/>
      <c r="OFA142" s="221"/>
      <c r="OFB142" s="221"/>
      <c r="OFC142" s="221"/>
      <c r="OFD142" s="221"/>
      <c r="OFE142" s="221"/>
      <c r="OFF142" s="221"/>
      <c r="OFG142" s="221"/>
      <c r="OFH142" s="221"/>
      <c r="OFI142" s="221"/>
      <c r="OFJ142" s="221"/>
      <c r="OFK142" s="221"/>
      <c r="OFL142" s="221"/>
      <c r="OFM142" s="221"/>
      <c r="OFN142" s="221"/>
      <c r="OFO142" s="221"/>
      <c r="OFP142" s="221"/>
      <c r="OFQ142" s="221"/>
      <c r="OFR142" s="221"/>
      <c r="OFS142" s="221"/>
      <c r="OFT142" s="221"/>
      <c r="OFU142" s="221"/>
      <c r="OFV142" s="221"/>
      <c r="OFW142" s="221"/>
      <c r="OFX142" s="221"/>
      <c r="OFY142" s="221"/>
      <c r="OFZ142" s="221"/>
      <c r="OGA142" s="221"/>
      <c r="OGB142" s="221"/>
      <c r="OGC142" s="221"/>
      <c r="OGD142" s="221"/>
      <c r="OGE142" s="221"/>
      <c r="OGF142" s="221"/>
      <c r="OGG142" s="221"/>
      <c r="OGH142" s="221"/>
      <c r="OGI142" s="221"/>
      <c r="OGJ142" s="221"/>
      <c r="OGK142" s="221"/>
      <c r="OGL142" s="221"/>
      <c r="OGM142" s="221"/>
      <c r="OGN142" s="221"/>
      <c r="OGO142" s="221"/>
      <c r="OGP142" s="221"/>
      <c r="OGQ142" s="221"/>
      <c r="OGR142" s="221"/>
      <c r="OGS142" s="221"/>
      <c r="OGT142" s="221"/>
      <c r="OGU142" s="221"/>
      <c r="OGV142" s="221"/>
      <c r="OGW142" s="221"/>
      <c r="OGX142" s="221"/>
      <c r="OGY142" s="221"/>
      <c r="OGZ142" s="221"/>
      <c r="OHA142" s="221"/>
      <c r="OHB142" s="221"/>
      <c r="OHC142" s="221"/>
      <c r="OHD142" s="221"/>
      <c r="OHE142" s="221"/>
      <c r="OHF142" s="221"/>
      <c r="OHG142" s="221"/>
      <c r="OHH142" s="221"/>
      <c r="OHI142" s="221"/>
      <c r="OHJ142" s="221"/>
      <c r="OHK142" s="221"/>
      <c r="OHL142" s="221"/>
      <c r="OHM142" s="221"/>
      <c r="OHN142" s="221"/>
      <c r="OHO142" s="221"/>
      <c r="OHP142" s="221"/>
      <c r="OHQ142" s="221"/>
      <c r="OHR142" s="221"/>
      <c r="OHS142" s="221"/>
      <c r="OHT142" s="221"/>
      <c r="OHU142" s="221"/>
      <c r="OHV142" s="221"/>
      <c r="OHW142" s="221"/>
      <c r="OHX142" s="221"/>
      <c r="OHY142" s="221"/>
      <c r="OHZ142" s="221"/>
      <c r="OIA142" s="221"/>
      <c r="OIB142" s="221"/>
      <c r="OIC142" s="221"/>
      <c r="OID142" s="221"/>
      <c r="OIE142" s="221"/>
      <c r="OIF142" s="221"/>
      <c r="OIG142" s="221"/>
      <c r="OIH142" s="221"/>
      <c r="OII142" s="221"/>
      <c r="OIJ142" s="221"/>
      <c r="OIK142" s="221"/>
      <c r="OIL142" s="221"/>
      <c r="OIM142" s="221"/>
      <c r="OIN142" s="221"/>
      <c r="OIO142" s="221"/>
      <c r="OIP142" s="221"/>
      <c r="OIQ142" s="221"/>
      <c r="OIR142" s="221"/>
      <c r="OIS142" s="221"/>
      <c r="OIT142" s="221"/>
      <c r="OIU142" s="221"/>
      <c r="OIV142" s="221"/>
      <c r="OIW142" s="221"/>
      <c r="OIX142" s="221"/>
      <c r="OIY142" s="221"/>
      <c r="OIZ142" s="221"/>
      <c r="OJA142" s="221"/>
      <c r="OJB142" s="221"/>
      <c r="OJC142" s="221"/>
      <c r="OJD142" s="221"/>
      <c r="OJE142" s="221"/>
      <c r="OJF142" s="221"/>
      <c r="OJG142" s="221"/>
      <c r="OJH142" s="221"/>
      <c r="OJI142" s="221"/>
      <c r="OJJ142" s="221"/>
      <c r="OJK142" s="221"/>
      <c r="OJL142" s="221"/>
      <c r="OJM142" s="221"/>
      <c r="OJN142" s="221"/>
      <c r="OJO142" s="221"/>
      <c r="OJP142" s="221"/>
      <c r="OJQ142" s="221"/>
      <c r="OJR142" s="221"/>
      <c r="OJS142" s="221"/>
      <c r="OJT142" s="221"/>
      <c r="OJU142" s="221"/>
      <c r="OJV142" s="221"/>
      <c r="OJW142" s="221"/>
      <c r="OJX142" s="221"/>
      <c r="OJY142" s="221"/>
      <c r="OJZ142" s="221"/>
      <c r="OKA142" s="221"/>
      <c r="OKB142" s="221"/>
      <c r="OKC142" s="221"/>
      <c r="OKD142" s="221"/>
      <c r="OKE142" s="221"/>
      <c r="OKF142" s="221"/>
      <c r="OKG142" s="221"/>
      <c r="OKH142" s="221"/>
      <c r="OKI142" s="221"/>
      <c r="OKJ142" s="221"/>
      <c r="OKK142" s="221"/>
      <c r="OKL142" s="221"/>
      <c r="OKM142" s="221"/>
      <c r="OKN142" s="221"/>
      <c r="OKO142" s="221"/>
      <c r="OKP142" s="221"/>
      <c r="OKQ142" s="221"/>
      <c r="OKR142" s="221"/>
      <c r="OKS142" s="221"/>
      <c r="OKT142" s="221"/>
      <c r="OKU142" s="221"/>
      <c r="OKV142" s="221"/>
      <c r="OKW142" s="221"/>
      <c r="OKX142" s="221"/>
      <c r="OKY142" s="221"/>
      <c r="OKZ142" s="221"/>
      <c r="OLA142" s="221"/>
      <c r="OLB142" s="221"/>
      <c r="OLC142" s="221"/>
      <c r="OLD142" s="221"/>
      <c r="OLE142" s="221"/>
      <c r="OLF142" s="221"/>
      <c r="OLG142" s="221"/>
      <c r="OLH142" s="221"/>
      <c r="OLI142" s="221"/>
      <c r="OLJ142" s="221"/>
      <c r="OLK142" s="221"/>
      <c r="OLL142" s="221"/>
      <c r="OLM142" s="221"/>
      <c r="OLN142" s="221"/>
      <c r="OLO142" s="221"/>
      <c r="OLP142" s="221"/>
      <c r="OLQ142" s="221"/>
      <c r="OLR142" s="221"/>
      <c r="OLS142" s="221"/>
      <c r="OLT142" s="221"/>
      <c r="OLU142" s="221"/>
      <c r="OLV142" s="221"/>
      <c r="OLW142" s="221"/>
      <c r="OLX142" s="221"/>
      <c r="OLY142" s="221"/>
      <c r="OLZ142" s="221"/>
      <c r="OMA142" s="221"/>
      <c r="OMB142" s="221"/>
      <c r="OMC142" s="221"/>
      <c r="OMD142" s="221"/>
      <c r="OME142" s="221"/>
      <c r="OMF142" s="221"/>
      <c r="OMG142" s="221"/>
      <c r="OMH142" s="221"/>
      <c r="OMI142" s="221"/>
      <c r="OMJ142" s="221"/>
      <c r="OMK142" s="221"/>
      <c r="OML142" s="221"/>
      <c r="OMM142" s="221"/>
      <c r="OMN142" s="221"/>
      <c r="OMO142" s="221"/>
      <c r="OMP142" s="221"/>
      <c r="OMQ142" s="221"/>
      <c r="OMR142" s="221"/>
      <c r="OMS142" s="221"/>
      <c r="OMT142" s="221"/>
      <c r="OMU142" s="221"/>
      <c r="OMV142" s="221"/>
      <c r="OMW142" s="221"/>
      <c r="OMX142" s="221"/>
      <c r="OMY142" s="221"/>
      <c r="OMZ142" s="221"/>
      <c r="ONA142" s="221"/>
      <c r="ONB142" s="221"/>
      <c r="ONC142" s="221"/>
      <c r="OND142" s="221"/>
      <c r="ONE142" s="221"/>
      <c r="ONF142" s="221"/>
      <c r="ONG142" s="221"/>
      <c r="ONH142" s="221"/>
      <c r="ONI142" s="221"/>
      <c r="ONJ142" s="221"/>
      <c r="ONK142" s="221"/>
      <c r="ONL142" s="221"/>
      <c r="ONM142" s="221"/>
      <c r="ONN142" s="221"/>
      <c r="ONO142" s="221"/>
      <c r="ONP142" s="221"/>
      <c r="ONQ142" s="221"/>
      <c r="ONR142" s="221"/>
      <c r="ONS142" s="221"/>
      <c r="ONT142" s="221"/>
      <c r="ONU142" s="221"/>
      <c r="ONV142" s="221"/>
      <c r="ONW142" s="221"/>
      <c r="ONX142" s="221"/>
      <c r="ONY142" s="221"/>
      <c r="ONZ142" s="221"/>
      <c r="OOA142" s="221"/>
      <c r="OOB142" s="221"/>
      <c r="OOC142" s="221"/>
      <c r="OOD142" s="221"/>
      <c r="OOE142" s="221"/>
      <c r="OOF142" s="221"/>
      <c r="OOG142" s="221"/>
      <c r="OOH142" s="221"/>
      <c r="OOI142" s="221"/>
      <c r="OOJ142" s="221"/>
      <c r="OOK142" s="221"/>
      <c r="OOL142" s="221"/>
      <c r="OOM142" s="221"/>
      <c r="OON142" s="221"/>
      <c r="OOO142" s="221"/>
      <c r="OOP142" s="221"/>
      <c r="OOQ142" s="221"/>
      <c r="OOR142" s="221"/>
      <c r="OOS142" s="221"/>
      <c r="OOT142" s="221"/>
      <c r="OOU142" s="221"/>
      <c r="OOV142" s="221"/>
      <c r="OOW142" s="221"/>
      <c r="OOX142" s="221"/>
      <c r="OOY142" s="221"/>
      <c r="OOZ142" s="221"/>
      <c r="OPA142" s="221"/>
      <c r="OPB142" s="221"/>
      <c r="OPC142" s="221"/>
      <c r="OPD142" s="221"/>
      <c r="OPE142" s="221"/>
      <c r="OPF142" s="221"/>
      <c r="OPG142" s="221"/>
      <c r="OPH142" s="221"/>
      <c r="OPI142" s="221"/>
      <c r="OPJ142" s="221"/>
      <c r="OPK142" s="221"/>
      <c r="OPL142" s="221"/>
      <c r="OPM142" s="221"/>
      <c r="OPN142" s="221"/>
      <c r="OPO142" s="221"/>
      <c r="OPP142" s="221"/>
      <c r="OPQ142" s="221"/>
      <c r="OPR142" s="221"/>
      <c r="OPS142" s="221"/>
      <c r="OPT142" s="221"/>
      <c r="OPU142" s="221"/>
      <c r="OPV142" s="221"/>
      <c r="OPW142" s="221"/>
      <c r="OPX142" s="221"/>
      <c r="OPY142" s="221"/>
      <c r="OPZ142" s="221"/>
      <c r="OQA142" s="221"/>
      <c r="OQB142" s="221"/>
      <c r="OQC142" s="221"/>
      <c r="OQD142" s="221"/>
      <c r="OQE142" s="221"/>
      <c r="OQF142" s="221"/>
      <c r="OQG142" s="221"/>
      <c r="OQH142" s="221"/>
      <c r="OQI142" s="221"/>
      <c r="OQJ142" s="221"/>
      <c r="OQK142" s="221"/>
      <c r="OQL142" s="221"/>
      <c r="OQM142" s="221"/>
      <c r="OQN142" s="221"/>
      <c r="OQO142" s="221"/>
      <c r="OQP142" s="221"/>
      <c r="OQQ142" s="221"/>
      <c r="OQR142" s="221"/>
      <c r="OQS142" s="221"/>
      <c r="OQT142" s="221"/>
      <c r="OQU142" s="221"/>
      <c r="OQV142" s="221"/>
      <c r="OQW142" s="221"/>
      <c r="OQX142" s="221"/>
      <c r="OQY142" s="221"/>
      <c r="OQZ142" s="221"/>
      <c r="ORA142" s="221"/>
      <c r="ORB142" s="221"/>
      <c r="ORC142" s="221"/>
      <c r="ORD142" s="221"/>
      <c r="ORE142" s="221"/>
      <c r="ORF142" s="221"/>
      <c r="ORG142" s="221"/>
      <c r="ORH142" s="221"/>
      <c r="ORI142" s="221"/>
      <c r="ORJ142" s="221"/>
      <c r="ORK142" s="221"/>
      <c r="ORL142" s="221"/>
      <c r="ORM142" s="221"/>
      <c r="ORN142" s="221"/>
      <c r="ORO142" s="221"/>
      <c r="ORP142" s="221"/>
      <c r="ORQ142" s="221"/>
      <c r="ORR142" s="221"/>
      <c r="ORS142" s="221"/>
      <c r="ORT142" s="221"/>
      <c r="ORU142" s="221"/>
      <c r="ORV142" s="221"/>
      <c r="ORW142" s="221"/>
      <c r="ORX142" s="221"/>
      <c r="ORY142" s="221"/>
      <c r="ORZ142" s="221"/>
      <c r="OSA142" s="221"/>
      <c r="OSB142" s="221"/>
      <c r="OSC142" s="221"/>
      <c r="OSD142" s="221"/>
      <c r="OSE142" s="221"/>
      <c r="OSF142" s="221"/>
      <c r="OSG142" s="221"/>
      <c r="OSH142" s="221"/>
      <c r="OSI142" s="221"/>
      <c r="OSJ142" s="221"/>
      <c r="OSK142" s="221"/>
      <c r="OSL142" s="221"/>
      <c r="OSM142" s="221"/>
      <c r="OSN142" s="221"/>
      <c r="OSO142" s="221"/>
      <c r="OSP142" s="221"/>
      <c r="OSQ142" s="221"/>
      <c r="OSR142" s="221"/>
      <c r="OSS142" s="221"/>
      <c r="OST142" s="221"/>
      <c r="OSU142" s="221"/>
      <c r="OSV142" s="221"/>
      <c r="OSW142" s="221"/>
      <c r="OSX142" s="221"/>
      <c r="OSY142" s="221"/>
      <c r="OSZ142" s="221"/>
      <c r="OTA142" s="221"/>
      <c r="OTB142" s="221"/>
      <c r="OTC142" s="221"/>
      <c r="OTD142" s="221"/>
      <c r="OTE142" s="221"/>
      <c r="OTF142" s="221"/>
      <c r="OTG142" s="221"/>
      <c r="OTH142" s="221"/>
      <c r="OTI142" s="221"/>
      <c r="OTJ142" s="221"/>
      <c r="OTK142" s="221"/>
      <c r="OTL142" s="221"/>
      <c r="OTM142" s="221"/>
      <c r="OTN142" s="221"/>
      <c r="OTO142" s="221"/>
      <c r="OTP142" s="221"/>
      <c r="OTQ142" s="221"/>
      <c r="OTR142" s="221"/>
      <c r="OTS142" s="221"/>
      <c r="OTT142" s="221"/>
      <c r="OTU142" s="221"/>
      <c r="OTV142" s="221"/>
      <c r="OTW142" s="221"/>
      <c r="OTX142" s="221"/>
      <c r="OTY142" s="221"/>
      <c r="OTZ142" s="221"/>
      <c r="OUA142" s="221"/>
      <c r="OUB142" s="221"/>
      <c r="OUC142" s="221"/>
      <c r="OUD142" s="221"/>
      <c r="OUE142" s="221"/>
      <c r="OUF142" s="221"/>
      <c r="OUG142" s="221"/>
      <c r="OUH142" s="221"/>
      <c r="OUI142" s="221"/>
      <c r="OUJ142" s="221"/>
      <c r="OUK142" s="221"/>
      <c r="OUL142" s="221"/>
      <c r="OUM142" s="221"/>
      <c r="OUN142" s="221"/>
      <c r="OUO142" s="221"/>
      <c r="OUP142" s="221"/>
      <c r="OUQ142" s="221"/>
      <c r="OUR142" s="221"/>
      <c r="OUS142" s="221"/>
      <c r="OUT142" s="221"/>
      <c r="OUU142" s="221"/>
      <c r="OUV142" s="221"/>
      <c r="OUW142" s="221"/>
      <c r="OUX142" s="221"/>
      <c r="OUY142" s="221"/>
      <c r="OUZ142" s="221"/>
      <c r="OVA142" s="221"/>
      <c r="OVB142" s="221"/>
      <c r="OVC142" s="221"/>
      <c r="OVD142" s="221"/>
      <c r="OVE142" s="221"/>
      <c r="OVF142" s="221"/>
      <c r="OVG142" s="221"/>
      <c r="OVH142" s="221"/>
      <c r="OVI142" s="221"/>
      <c r="OVJ142" s="221"/>
      <c r="OVK142" s="221"/>
      <c r="OVL142" s="221"/>
      <c r="OVM142" s="221"/>
      <c r="OVN142" s="221"/>
      <c r="OVO142" s="221"/>
      <c r="OVP142" s="221"/>
      <c r="OVQ142" s="221"/>
      <c r="OVR142" s="221"/>
      <c r="OVS142" s="221"/>
      <c r="OVT142" s="221"/>
      <c r="OVU142" s="221"/>
      <c r="OVV142" s="221"/>
      <c r="OVW142" s="221"/>
      <c r="OVX142" s="221"/>
      <c r="OVY142" s="221"/>
      <c r="OVZ142" s="221"/>
      <c r="OWA142" s="221"/>
      <c r="OWB142" s="221"/>
      <c r="OWC142" s="221"/>
      <c r="OWD142" s="221"/>
      <c r="OWE142" s="221"/>
      <c r="OWF142" s="221"/>
      <c r="OWG142" s="221"/>
      <c r="OWH142" s="221"/>
      <c r="OWI142" s="221"/>
      <c r="OWJ142" s="221"/>
      <c r="OWK142" s="221"/>
      <c r="OWL142" s="221"/>
      <c r="OWM142" s="221"/>
      <c r="OWN142" s="221"/>
      <c r="OWO142" s="221"/>
      <c r="OWP142" s="221"/>
      <c r="OWQ142" s="221"/>
      <c r="OWR142" s="221"/>
      <c r="OWS142" s="221"/>
      <c r="OWT142" s="221"/>
      <c r="OWU142" s="221"/>
      <c r="OWV142" s="221"/>
      <c r="OWW142" s="221"/>
      <c r="OWX142" s="221"/>
      <c r="OWY142" s="221"/>
      <c r="OWZ142" s="221"/>
      <c r="OXA142" s="221"/>
      <c r="OXB142" s="221"/>
      <c r="OXC142" s="221"/>
      <c r="OXD142" s="221"/>
      <c r="OXE142" s="221"/>
      <c r="OXF142" s="221"/>
      <c r="OXG142" s="221"/>
      <c r="OXH142" s="221"/>
      <c r="OXI142" s="221"/>
      <c r="OXJ142" s="221"/>
      <c r="OXK142" s="221"/>
      <c r="OXL142" s="221"/>
      <c r="OXM142" s="221"/>
      <c r="OXN142" s="221"/>
      <c r="OXO142" s="221"/>
      <c r="OXP142" s="221"/>
      <c r="OXQ142" s="221"/>
      <c r="OXR142" s="221"/>
      <c r="OXS142" s="221"/>
      <c r="OXT142" s="221"/>
      <c r="OXU142" s="221"/>
      <c r="OXV142" s="221"/>
      <c r="OXW142" s="221"/>
      <c r="OXX142" s="221"/>
      <c r="OXY142" s="221"/>
      <c r="OXZ142" s="221"/>
      <c r="OYA142" s="221"/>
      <c r="OYB142" s="221"/>
      <c r="OYC142" s="221"/>
      <c r="OYD142" s="221"/>
      <c r="OYE142" s="221"/>
      <c r="OYF142" s="221"/>
      <c r="OYG142" s="221"/>
      <c r="OYH142" s="221"/>
      <c r="OYI142" s="221"/>
      <c r="OYJ142" s="221"/>
      <c r="OYK142" s="221"/>
      <c r="OYL142" s="221"/>
      <c r="OYM142" s="221"/>
      <c r="OYN142" s="221"/>
      <c r="OYO142" s="221"/>
      <c r="OYP142" s="221"/>
      <c r="OYQ142" s="221"/>
      <c r="OYR142" s="221"/>
      <c r="OYS142" s="221"/>
      <c r="OYT142" s="221"/>
      <c r="OYU142" s="221"/>
      <c r="OYV142" s="221"/>
      <c r="OYW142" s="221"/>
      <c r="OYX142" s="221"/>
      <c r="OYY142" s="221"/>
      <c r="OYZ142" s="221"/>
      <c r="OZA142" s="221"/>
      <c r="OZB142" s="221"/>
      <c r="OZC142" s="221"/>
      <c r="OZD142" s="221"/>
      <c r="OZE142" s="221"/>
      <c r="OZF142" s="221"/>
      <c r="OZG142" s="221"/>
      <c r="OZH142" s="221"/>
      <c r="OZI142" s="221"/>
      <c r="OZJ142" s="221"/>
      <c r="OZK142" s="221"/>
      <c r="OZL142" s="221"/>
      <c r="OZM142" s="221"/>
      <c r="OZN142" s="221"/>
      <c r="OZO142" s="221"/>
      <c r="OZP142" s="221"/>
      <c r="OZQ142" s="221"/>
      <c r="OZR142" s="221"/>
      <c r="OZS142" s="221"/>
      <c r="OZT142" s="221"/>
      <c r="OZU142" s="221"/>
      <c r="OZV142" s="221"/>
      <c r="OZW142" s="221"/>
      <c r="OZX142" s="221"/>
      <c r="OZY142" s="221"/>
      <c r="OZZ142" s="221"/>
      <c r="PAA142" s="221"/>
      <c r="PAB142" s="221"/>
      <c r="PAC142" s="221"/>
      <c r="PAD142" s="221"/>
      <c r="PAE142" s="221"/>
      <c r="PAF142" s="221"/>
      <c r="PAG142" s="221"/>
      <c r="PAH142" s="221"/>
      <c r="PAI142" s="221"/>
      <c r="PAJ142" s="221"/>
      <c r="PAK142" s="221"/>
      <c r="PAL142" s="221"/>
      <c r="PAM142" s="221"/>
      <c r="PAN142" s="221"/>
      <c r="PAO142" s="221"/>
      <c r="PAP142" s="221"/>
      <c r="PAQ142" s="221"/>
      <c r="PAR142" s="221"/>
      <c r="PAS142" s="221"/>
      <c r="PAT142" s="221"/>
      <c r="PAU142" s="221"/>
      <c r="PAV142" s="221"/>
      <c r="PAW142" s="221"/>
      <c r="PAX142" s="221"/>
      <c r="PAY142" s="221"/>
      <c r="PAZ142" s="221"/>
      <c r="PBA142" s="221"/>
      <c r="PBB142" s="221"/>
      <c r="PBC142" s="221"/>
      <c r="PBD142" s="221"/>
      <c r="PBE142" s="221"/>
      <c r="PBF142" s="221"/>
      <c r="PBG142" s="221"/>
      <c r="PBH142" s="221"/>
      <c r="PBI142" s="221"/>
      <c r="PBJ142" s="221"/>
      <c r="PBK142" s="221"/>
      <c r="PBL142" s="221"/>
      <c r="PBM142" s="221"/>
      <c r="PBN142" s="221"/>
      <c r="PBO142" s="221"/>
      <c r="PBP142" s="221"/>
      <c r="PBQ142" s="221"/>
      <c r="PBR142" s="221"/>
      <c r="PBS142" s="221"/>
      <c r="PBT142" s="221"/>
      <c r="PBU142" s="221"/>
      <c r="PBV142" s="221"/>
      <c r="PBW142" s="221"/>
      <c r="PBX142" s="221"/>
      <c r="PBY142" s="221"/>
      <c r="PBZ142" s="221"/>
      <c r="PCA142" s="221"/>
      <c r="PCB142" s="221"/>
      <c r="PCC142" s="221"/>
      <c r="PCD142" s="221"/>
      <c r="PCE142" s="221"/>
      <c r="PCF142" s="221"/>
      <c r="PCG142" s="221"/>
      <c r="PCH142" s="221"/>
      <c r="PCI142" s="221"/>
      <c r="PCJ142" s="221"/>
      <c r="PCK142" s="221"/>
      <c r="PCL142" s="221"/>
      <c r="PCM142" s="221"/>
      <c r="PCN142" s="221"/>
      <c r="PCO142" s="221"/>
      <c r="PCP142" s="221"/>
      <c r="PCQ142" s="221"/>
      <c r="PCR142" s="221"/>
      <c r="PCS142" s="221"/>
      <c r="PCT142" s="221"/>
      <c r="PCU142" s="221"/>
      <c r="PCV142" s="221"/>
      <c r="PCW142" s="221"/>
      <c r="PCX142" s="221"/>
      <c r="PCY142" s="221"/>
      <c r="PCZ142" s="221"/>
      <c r="PDA142" s="221"/>
      <c r="PDB142" s="221"/>
      <c r="PDC142" s="221"/>
      <c r="PDD142" s="221"/>
      <c r="PDE142" s="221"/>
      <c r="PDF142" s="221"/>
      <c r="PDG142" s="221"/>
      <c r="PDH142" s="221"/>
      <c r="PDI142" s="221"/>
      <c r="PDJ142" s="221"/>
      <c r="PDK142" s="221"/>
      <c r="PDL142" s="221"/>
      <c r="PDM142" s="221"/>
      <c r="PDN142" s="221"/>
      <c r="PDO142" s="221"/>
      <c r="PDP142" s="221"/>
      <c r="PDQ142" s="221"/>
      <c r="PDR142" s="221"/>
      <c r="PDS142" s="221"/>
      <c r="PDT142" s="221"/>
      <c r="PDU142" s="221"/>
      <c r="PDV142" s="221"/>
      <c r="PDW142" s="221"/>
      <c r="PDX142" s="221"/>
      <c r="PDY142" s="221"/>
      <c r="PDZ142" s="221"/>
      <c r="PEA142" s="221"/>
      <c r="PEB142" s="221"/>
      <c r="PEC142" s="221"/>
      <c r="PED142" s="221"/>
      <c r="PEE142" s="221"/>
      <c r="PEF142" s="221"/>
      <c r="PEG142" s="221"/>
      <c r="PEH142" s="221"/>
      <c r="PEI142" s="221"/>
      <c r="PEJ142" s="221"/>
      <c r="PEK142" s="221"/>
      <c r="PEL142" s="221"/>
      <c r="PEM142" s="221"/>
      <c r="PEN142" s="221"/>
      <c r="PEO142" s="221"/>
      <c r="PEP142" s="221"/>
      <c r="PEQ142" s="221"/>
      <c r="PER142" s="221"/>
      <c r="PES142" s="221"/>
      <c r="PET142" s="221"/>
      <c r="PEU142" s="221"/>
      <c r="PEV142" s="221"/>
      <c r="PEW142" s="221"/>
      <c r="PEX142" s="221"/>
      <c r="PEY142" s="221"/>
      <c r="PEZ142" s="221"/>
      <c r="PFA142" s="221"/>
      <c r="PFB142" s="221"/>
      <c r="PFC142" s="221"/>
      <c r="PFD142" s="221"/>
      <c r="PFE142" s="221"/>
      <c r="PFF142" s="221"/>
      <c r="PFG142" s="221"/>
      <c r="PFH142" s="221"/>
      <c r="PFI142" s="221"/>
      <c r="PFJ142" s="221"/>
      <c r="PFK142" s="221"/>
      <c r="PFL142" s="221"/>
      <c r="PFM142" s="221"/>
      <c r="PFN142" s="221"/>
      <c r="PFO142" s="221"/>
      <c r="PFP142" s="221"/>
      <c r="PFQ142" s="221"/>
      <c r="PFR142" s="221"/>
      <c r="PFS142" s="221"/>
      <c r="PFT142" s="221"/>
      <c r="PFU142" s="221"/>
      <c r="PFV142" s="221"/>
      <c r="PFW142" s="221"/>
      <c r="PFX142" s="221"/>
      <c r="PFY142" s="221"/>
      <c r="PFZ142" s="221"/>
      <c r="PGA142" s="221"/>
      <c r="PGB142" s="221"/>
      <c r="PGC142" s="221"/>
      <c r="PGD142" s="221"/>
      <c r="PGE142" s="221"/>
      <c r="PGF142" s="221"/>
      <c r="PGG142" s="221"/>
      <c r="PGH142" s="221"/>
      <c r="PGI142" s="221"/>
      <c r="PGJ142" s="221"/>
      <c r="PGK142" s="221"/>
      <c r="PGL142" s="221"/>
      <c r="PGM142" s="221"/>
      <c r="PGN142" s="221"/>
      <c r="PGO142" s="221"/>
      <c r="PGP142" s="221"/>
      <c r="PGQ142" s="221"/>
      <c r="PGR142" s="221"/>
      <c r="PGS142" s="221"/>
      <c r="PGT142" s="221"/>
      <c r="PGU142" s="221"/>
      <c r="PGV142" s="221"/>
      <c r="PGW142" s="221"/>
      <c r="PGX142" s="221"/>
      <c r="PGY142" s="221"/>
      <c r="PGZ142" s="221"/>
      <c r="PHA142" s="221"/>
      <c r="PHB142" s="221"/>
      <c r="PHC142" s="221"/>
      <c r="PHD142" s="221"/>
      <c r="PHE142" s="221"/>
      <c r="PHF142" s="221"/>
      <c r="PHG142" s="221"/>
      <c r="PHH142" s="221"/>
      <c r="PHI142" s="221"/>
      <c r="PHJ142" s="221"/>
      <c r="PHK142" s="221"/>
      <c r="PHL142" s="221"/>
      <c r="PHM142" s="221"/>
      <c r="PHN142" s="221"/>
      <c r="PHO142" s="221"/>
      <c r="PHP142" s="221"/>
      <c r="PHQ142" s="221"/>
      <c r="PHR142" s="221"/>
      <c r="PHS142" s="221"/>
      <c r="PHT142" s="221"/>
      <c r="PHU142" s="221"/>
      <c r="PHV142" s="221"/>
      <c r="PHW142" s="221"/>
      <c r="PHX142" s="221"/>
      <c r="PHY142" s="221"/>
      <c r="PHZ142" s="221"/>
      <c r="PIA142" s="221"/>
      <c r="PIB142" s="221"/>
      <c r="PIC142" s="221"/>
      <c r="PID142" s="221"/>
      <c r="PIE142" s="221"/>
      <c r="PIF142" s="221"/>
      <c r="PIG142" s="221"/>
      <c r="PIH142" s="221"/>
      <c r="PII142" s="221"/>
      <c r="PIJ142" s="221"/>
      <c r="PIK142" s="221"/>
      <c r="PIL142" s="221"/>
      <c r="PIM142" s="221"/>
      <c r="PIN142" s="221"/>
      <c r="PIO142" s="221"/>
      <c r="PIP142" s="221"/>
      <c r="PIQ142" s="221"/>
      <c r="PIR142" s="221"/>
      <c r="PIS142" s="221"/>
      <c r="PIT142" s="221"/>
      <c r="PIU142" s="221"/>
      <c r="PIV142" s="221"/>
      <c r="PIW142" s="221"/>
      <c r="PIX142" s="221"/>
      <c r="PIY142" s="221"/>
      <c r="PIZ142" s="221"/>
      <c r="PJA142" s="221"/>
      <c r="PJB142" s="221"/>
      <c r="PJC142" s="221"/>
      <c r="PJD142" s="221"/>
      <c r="PJE142" s="221"/>
      <c r="PJF142" s="221"/>
      <c r="PJG142" s="221"/>
      <c r="PJH142" s="221"/>
      <c r="PJI142" s="221"/>
      <c r="PJJ142" s="221"/>
      <c r="PJK142" s="221"/>
      <c r="PJL142" s="221"/>
      <c r="PJM142" s="221"/>
      <c r="PJN142" s="221"/>
      <c r="PJO142" s="221"/>
      <c r="PJP142" s="221"/>
      <c r="PJQ142" s="221"/>
      <c r="PJR142" s="221"/>
      <c r="PJS142" s="221"/>
      <c r="PJT142" s="221"/>
      <c r="PJU142" s="221"/>
      <c r="PJV142" s="221"/>
      <c r="PJW142" s="221"/>
      <c r="PJX142" s="221"/>
      <c r="PJY142" s="221"/>
      <c r="PJZ142" s="221"/>
      <c r="PKA142" s="221"/>
      <c r="PKB142" s="221"/>
      <c r="PKC142" s="221"/>
      <c r="PKD142" s="221"/>
      <c r="PKE142" s="221"/>
      <c r="PKF142" s="221"/>
      <c r="PKG142" s="221"/>
      <c r="PKH142" s="221"/>
      <c r="PKI142" s="221"/>
      <c r="PKJ142" s="221"/>
      <c r="PKK142" s="221"/>
      <c r="PKL142" s="221"/>
      <c r="PKM142" s="221"/>
      <c r="PKN142" s="221"/>
      <c r="PKO142" s="221"/>
      <c r="PKP142" s="221"/>
      <c r="PKQ142" s="221"/>
      <c r="PKR142" s="221"/>
      <c r="PKS142" s="221"/>
      <c r="PKT142" s="221"/>
      <c r="PKU142" s="221"/>
      <c r="PKV142" s="221"/>
      <c r="PKW142" s="221"/>
      <c r="PKX142" s="221"/>
      <c r="PKY142" s="221"/>
      <c r="PKZ142" s="221"/>
      <c r="PLA142" s="221"/>
      <c r="PLB142" s="221"/>
      <c r="PLC142" s="221"/>
      <c r="PLD142" s="221"/>
      <c r="PLE142" s="221"/>
      <c r="PLF142" s="221"/>
      <c r="PLG142" s="221"/>
      <c r="PLH142" s="221"/>
      <c r="PLI142" s="221"/>
      <c r="PLJ142" s="221"/>
      <c r="PLK142" s="221"/>
      <c r="PLL142" s="221"/>
      <c r="PLM142" s="221"/>
      <c r="PLN142" s="221"/>
      <c r="PLO142" s="221"/>
      <c r="PLP142" s="221"/>
      <c r="PLQ142" s="221"/>
      <c r="PLR142" s="221"/>
      <c r="PLS142" s="221"/>
      <c r="PLT142" s="221"/>
      <c r="PLU142" s="221"/>
      <c r="PLV142" s="221"/>
      <c r="PLW142" s="221"/>
      <c r="PLX142" s="221"/>
      <c r="PLY142" s="221"/>
      <c r="PLZ142" s="221"/>
      <c r="PMA142" s="221"/>
      <c r="PMB142" s="221"/>
      <c r="PMC142" s="221"/>
      <c r="PMD142" s="221"/>
      <c r="PME142" s="221"/>
      <c r="PMF142" s="221"/>
      <c r="PMG142" s="221"/>
      <c r="PMH142" s="221"/>
      <c r="PMI142" s="221"/>
      <c r="PMJ142" s="221"/>
      <c r="PMK142" s="221"/>
      <c r="PML142" s="221"/>
      <c r="PMM142" s="221"/>
      <c r="PMN142" s="221"/>
      <c r="PMO142" s="221"/>
      <c r="PMP142" s="221"/>
      <c r="PMQ142" s="221"/>
      <c r="PMR142" s="221"/>
      <c r="PMS142" s="221"/>
      <c r="PMT142" s="221"/>
      <c r="PMU142" s="221"/>
      <c r="PMV142" s="221"/>
      <c r="PMW142" s="221"/>
      <c r="PMX142" s="221"/>
      <c r="PMY142" s="221"/>
      <c r="PMZ142" s="221"/>
      <c r="PNA142" s="221"/>
      <c r="PNB142" s="221"/>
      <c r="PNC142" s="221"/>
      <c r="PND142" s="221"/>
      <c r="PNE142" s="221"/>
      <c r="PNF142" s="221"/>
      <c r="PNG142" s="221"/>
      <c r="PNH142" s="221"/>
      <c r="PNI142" s="221"/>
      <c r="PNJ142" s="221"/>
      <c r="PNK142" s="221"/>
      <c r="PNL142" s="221"/>
      <c r="PNM142" s="221"/>
      <c r="PNN142" s="221"/>
      <c r="PNO142" s="221"/>
      <c r="PNP142" s="221"/>
      <c r="PNQ142" s="221"/>
      <c r="PNR142" s="221"/>
      <c r="PNS142" s="221"/>
      <c r="PNT142" s="221"/>
      <c r="PNU142" s="221"/>
      <c r="PNV142" s="221"/>
      <c r="PNW142" s="221"/>
      <c r="PNX142" s="221"/>
      <c r="PNY142" s="221"/>
      <c r="PNZ142" s="221"/>
      <c r="POA142" s="221"/>
      <c r="POB142" s="221"/>
      <c r="POC142" s="221"/>
      <c r="POD142" s="221"/>
      <c r="POE142" s="221"/>
      <c r="POF142" s="221"/>
      <c r="POG142" s="221"/>
      <c r="POH142" s="221"/>
      <c r="POI142" s="221"/>
      <c r="POJ142" s="221"/>
      <c r="POK142" s="221"/>
      <c r="POL142" s="221"/>
      <c r="POM142" s="221"/>
      <c r="PON142" s="221"/>
      <c r="POO142" s="221"/>
      <c r="POP142" s="221"/>
      <c r="POQ142" s="221"/>
      <c r="POR142" s="221"/>
      <c r="POS142" s="221"/>
      <c r="POT142" s="221"/>
      <c r="POU142" s="221"/>
      <c r="POV142" s="221"/>
      <c r="POW142" s="221"/>
      <c r="POX142" s="221"/>
      <c r="POY142" s="221"/>
      <c r="POZ142" s="221"/>
      <c r="PPA142" s="221"/>
      <c r="PPB142" s="221"/>
      <c r="PPC142" s="221"/>
      <c r="PPD142" s="221"/>
      <c r="PPE142" s="221"/>
      <c r="PPF142" s="221"/>
      <c r="PPG142" s="221"/>
      <c r="PPH142" s="221"/>
      <c r="PPI142" s="221"/>
      <c r="PPJ142" s="221"/>
      <c r="PPK142" s="221"/>
      <c r="PPL142" s="221"/>
      <c r="PPM142" s="221"/>
      <c r="PPN142" s="221"/>
      <c r="PPO142" s="221"/>
      <c r="PPP142" s="221"/>
      <c r="PPQ142" s="221"/>
      <c r="PPR142" s="221"/>
      <c r="PPS142" s="221"/>
      <c r="PPT142" s="221"/>
      <c r="PPU142" s="221"/>
      <c r="PPV142" s="221"/>
      <c r="PPW142" s="221"/>
      <c r="PPX142" s="221"/>
      <c r="PPY142" s="221"/>
      <c r="PPZ142" s="221"/>
      <c r="PQA142" s="221"/>
      <c r="PQB142" s="221"/>
      <c r="PQC142" s="221"/>
      <c r="PQD142" s="221"/>
      <c r="PQE142" s="221"/>
      <c r="PQF142" s="221"/>
      <c r="PQG142" s="221"/>
      <c r="PQH142" s="221"/>
      <c r="PQI142" s="221"/>
      <c r="PQJ142" s="221"/>
      <c r="PQK142" s="221"/>
      <c r="PQL142" s="221"/>
      <c r="PQM142" s="221"/>
      <c r="PQN142" s="221"/>
      <c r="PQO142" s="221"/>
      <c r="PQP142" s="221"/>
      <c r="PQQ142" s="221"/>
      <c r="PQR142" s="221"/>
      <c r="PQS142" s="221"/>
      <c r="PQT142" s="221"/>
      <c r="PQU142" s="221"/>
      <c r="PQV142" s="221"/>
      <c r="PQW142" s="221"/>
      <c r="PQX142" s="221"/>
      <c r="PQY142" s="221"/>
      <c r="PQZ142" s="221"/>
      <c r="PRA142" s="221"/>
      <c r="PRB142" s="221"/>
      <c r="PRC142" s="221"/>
      <c r="PRD142" s="221"/>
      <c r="PRE142" s="221"/>
      <c r="PRF142" s="221"/>
      <c r="PRG142" s="221"/>
      <c r="PRH142" s="221"/>
      <c r="PRI142" s="221"/>
      <c r="PRJ142" s="221"/>
      <c r="PRK142" s="221"/>
      <c r="PRL142" s="221"/>
      <c r="PRM142" s="221"/>
      <c r="PRN142" s="221"/>
      <c r="PRO142" s="221"/>
      <c r="PRP142" s="221"/>
      <c r="PRQ142" s="221"/>
      <c r="PRR142" s="221"/>
      <c r="PRS142" s="221"/>
      <c r="PRT142" s="221"/>
      <c r="PRU142" s="221"/>
      <c r="PRV142" s="221"/>
      <c r="PRW142" s="221"/>
      <c r="PRX142" s="221"/>
      <c r="PRY142" s="221"/>
      <c r="PRZ142" s="221"/>
      <c r="PSA142" s="221"/>
      <c r="PSB142" s="221"/>
      <c r="PSC142" s="221"/>
      <c r="PSD142" s="221"/>
      <c r="PSE142" s="221"/>
      <c r="PSF142" s="221"/>
      <c r="PSG142" s="221"/>
      <c r="PSH142" s="221"/>
      <c r="PSI142" s="221"/>
      <c r="PSJ142" s="221"/>
      <c r="PSK142" s="221"/>
      <c r="PSL142" s="221"/>
      <c r="PSM142" s="221"/>
      <c r="PSN142" s="221"/>
      <c r="PSO142" s="221"/>
      <c r="PSP142" s="221"/>
      <c r="PSQ142" s="221"/>
      <c r="PSR142" s="221"/>
      <c r="PSS142" s="221"/>
      <c r="PST142" s="221"/>
      <c r="PSU142" s="221"/>
      <c r="PSV142" s="221"/>
      <c r="PSW142" s="221"/>
      <c r="PSX142" s="221"/>
      <c r="PSY142" s="221"/>
      <c r="PSZ142" s="221"/>
      <c r="PTA142" s="221"/>
      <c r="PTB142" s="221"/>
      <c r="PTC142" s="221"/>
      <c r="PTD142" s="221"/>
      <c r="PTE142" s="221"/>
      <c r="PTF142" s="221"/>
      <c r="PTG142" s="221"/>
      <c r="PTH142" s="221"/>
      <c r="PTI142" s="221"/>
      <c r="PTJ142" s="221"/>
      <c r="PTK142" s="221"/>
      <c r="PTL142" s="221"/>
      <c r="PTM142" s="221"/>
      <c r="PTN142" s="221"/>
      <c r="PTO142" s="221"/>
      <c r="PTP142" s="221"/>
      <c r="PTQ142" s="221"/>
      <c r="PTR142" s="221"/>
      <c r="PTS142" s="221"/>
      <c r="PTT142" s="221"/>
      <c r="PTU142" s="221"/>
      <c r="PTV142" s="221"/>
      <c r="PTW142" s="221"/>
      <c r="PTX142" s="221"/>
      <c r="PTY142" s="221"/>
      <c r="PTZ142" s="221"/>
      <c r="PUA142" s="221"/>
      <c r="PUB142" s="221"/>
      <c r="PUC142" s="221"/>
      <c r="PUD142" s="221"/>
      <c r="PUE142" s="221"/>
      <c r="PUF142" s="221"/>
      <c r="PUG142" s="221"/>
      <c r="PUH142" s="221"/>
      <c r="PUI142" s="221"/>
      <c r="PUJ142" s="221"/>
      <c r="PUK142" s="221"/>
      <c r="PUL142" s="221"/>
      <c r="PUM142" s="221"/>
      <c r="PUN142" s="221"/>
      <c r="PUO142" s="221"/>
      <c r="PUP142" s="221"/>
      <c r="PUQ142" s="221"/>
      <c r="PUR142" s="221"/>
      <c r="PUS142" s="221"/>
      <c r="PUT142" s="221"/>
      <c r="PUU142" s="221"/>
      <c r="PUV142" s="221"/>
      <c r="PUW142" s="221"/>
      <c r="PUX142" s="221"/>
      <c r="PUY142" s="221"/>
      <c r="PUZ142" s="221"/>
      <c r="PVA142" s="221"/>
      <c r="PVB142" s="221"/>
      <c r="PVC142" s="221"/>
      <c r="PVD142" s="221"/>
      <c r="PVE142" s="221"/>
      <c r="PVF142" s="221"/>
      <c r="PVG142" s="221"/>
      <c r="PVH142" s="221"/>
      <c r="PVI142" s="221"/>
      <c r="PVJ142" s="221"/>
      <c r="PVK142" s="221"/>
      <c r="PVL142" s="221"/>
      <c r="PVM142" s="221"/>
      <c r="PVN142" s="221"/>
      <c r="PVO142" s="221"/>
      <c r="PVP142" s="221"/>
      <c r="PVQ142" s="221"/>
      <c r="PVR142" s="221"/>
      <c r="PVS142" s="221"/>
      <c r="PVT142" s="221"/>
      <c r="PVU142" s="221"/>
      <c r="PVV142" s="221"/>
      <c r="PVW142" s="221"/>
      <c r="PVX142" s="221"/>
      <c r="PVY142" s="221"/>
      <c r="PVZ142" s="221"/>
      <c r="PWA142" s="221"/>
      <c r="PWB142" s="221"/>
      <c r="PWC142" s="221"/>
      <c r="PWD142" s="221"/>
      <c r="PWE142" s="221"/>
      <c r="PWF142" s="221"/>
      <c r="PWG142" s="221"/>
      <c r="PWH142" s="221"/>
      <c r="PWI142" s="221"/>
      <c r="PWJ142" s="221"/>
      <c r="PWK142" s="221"/>
      <c r="PWL142" s="221"/>
      <c r="PWM142" s="221"/>
      <c r="PWN142" s="221"/>
      <c r="PWO142" s="221"/>
      <c r="PWP142" s="221"/>
      <c r="PWQ142" s="221"/>
      <c r="PWR142" s="221"/>
      <c r="PWS142" s="221"/>
      <c r="PWT142" s="221"/>
      <c r="PWU142" s="221"/>
      <c r="PWV142" s="221"/>
      <c r="PWW142" s="221"/>
      <c r="PWX142" s="221"/>
      <c r="PWY142" s="221"/>
      <c r="PWZ142" s="221"/>
      <c r="PXA142" s="221"/>
      <c r="PXB142" s="221"/>
      <c r="PXC142" s="221"/>
      <c r="PXD142" s="221"/>
      <c r="PXE142" s="221"/>
      <c r="PXF142" s="221"/>
      <c r="PXG142" s="221"/>
      <c r="PXH142" s="221"/>
      <c r="PXI142" s="221"/>
      <c r="PXJ142" s="221"/>
      <c r="PXK142" s="221"/>
      <c r="PXL142" s="221"/>
      <c r="PXM142" s="221"/>
      <c r="PXN142" s="221"/>
      <c r="PXO142" s="221"/>
      <c r="PXP142" s="221"/>
      <c r="PXQ142" s="221"/>
      <c r="PXR142" s="221"/>
      <c r="PXS142" s="221"/>
      <c r="PXT142" s="221"/>
      <c r="PXU142" s="221"/>
      <c r="PXV142" s="221"/>
      <c r="PXW142" s="221"/>
      <c r="PXX142" s="221"/>
      <c r="PXY142" s="221"/>
      <c r="PXZ142" s="221"/>
      <c r="PYA142" s="221"/>
      <c r="PYB142" s="221"/>
      <c r="PYC142" s="221"/>
      <c r="PYD142" s="221"/>
      <c r="PYE142" s="221"/>
      <c r="PYF142" s="221"/>
      <c r="PYG142" s="221"/>
      <c r="PYH142" s="221"/>
      <c r="PYI142" s="221"/>
      <c r="PYJ142" s="221"/>
      <c r="PYK142" s="221"/>
      <c r="PYL142" s="221"/>
      <c r="PYM142" s="221"/>
      <c r="PYN142" s="221"/>
      <c r="PYO142" s="221"/>
      <c r="PYP142" s="221"/>
      <c r="PYQ142" s="221"/>
      <c r="PYR142" s="221"/>
      <c r="PYS142" s="221"/>
      <c r="PYT142" s="221"/>
      <c r="PYU142" s="221"/>
      <c r="PYV142" s="221"/>
      <c r="PYW142" s="221"/>
      <c r="PYX142" s="221"/>
      <c r="PYY142" s="221"/>
      <c r="PYZ142" s="221"/>
      <c r="PZA142" s="221"/>
      <c r="PZB142" s="221"/>
      <c r="PZC142" s="221"/>
      <c r="PZD142" s="221"/>
      <c r="PZE142" s="221"/>
      <c r="PZF142" s="221"/>
      <c r="PZG142" s="221"/>
      <c r="PZH142" s="221"/>
      <c r="PZI142" s="221"/>
      <c r="PZJ142" s="221"/>
      <c r="PZK142" s="221"/>
      <c r="PZL142" s="221"/>
      <c r="PZM142" s="221"/>
      <c r="PZN142" s="221"/>
      <c r="PZO142" s="221"/>
      <c r="PZP142" s="221"/>
      <c r="PZQ142" s="221"/>
      <c r="PZR142" s="221"/>
      <c r="PZS142" s="221"/>
      <c r="PZT142" s="221"/>
      <c r="PZU142" s="221"/>
      <c r="PZV142" s="221"/>
      <c r="PZW142" s="221"/>
      <c r="PZX142" s="221"/>
      <c r="PZY142" s="221"/>
      <c r="PZZ142" s="221"/>
      <c r="QAA142" s="221"/>
      <c r="QAB142" s="221"/>
      <c r="QAC142" s="221"/>
      <c r="QAD142" s="221"/>
      <c r="QAE142" s="221"/>
      <c r="QAF142" s="221"/>
      <c r="QAG142" s="221"/>
      <c r="QAH142" s="221"/>
      <c r="QAI142" s="221"/>
      <c r="QAJ142" s="221"/>
      <c r="QAK142" s="221"/>
      <c r="QAL142" s="221"/>
      <c r="QAM142" s="221"/>
      <c r="QAN142" s="221"/>
      <c r="QAO142" s="221"/>
      <c r="QAP142" s="221"/>
      <c r="QAQ142" s="221"/>
      <c r="QAR142" s="221"/>
      <c r="QAS142" s="221"/>
      <c r="QAT142" s="221"/>
      <c r="QAU142" s="221"/>
      <c r="QAV142" s="221"/>
      <c r="QAW142" s="221"/>
      <c r="QAX142" s="221"/>
      <c r="QAY142" s="221"/>
      <c r="QAZ142" s="221"/>
      <c r="QBA142" s="221"/>
      <c r="QBB142" s="221"/>
      <c r="QBC142" s="221"/>
      <c r="QBD142" s="221"/>
      <c r="QBE142" s="221"/>
      <c r="QBF142" s="221"/>
      <c r="QBG142" s="221"/>
      <c r="QBH142" s="221"/>
      <c r="QBI142" s="221"/>
      <c r="QBJ142" s="221"/>
      <c r="QBK142" s="221"/>
      <c r="QBL142" s="221"/>
      <c r="QBM142" s="221"/>
      <c r="QBN142" s="221"/>
      <c r="QBO142" s="221"/>
      <c r="QBP142" s="221"/>
      <c r="QBQ142" s="221"/>
      <c r="QBR142" s="221"/>
      <c r="QBS142" s="221"/>
      <c r="QBT142" s="221"/>
      <c r="QBU142" s="221"/>
      <c r="QBV142" s="221"/>
      <c r="QBW142" s="221"/>
      <c r="QBX142" s="221"/>
      <c r="QBY142" s="221"/>
      <c r="QBZ142" s="221"/>
      <c r="QCA142" s="221"/>
      <c r="QCB142" s="221"/>
      <c r="QCC142" s="221"/>
      <c r="QCD142" s="221"/>
      <c r="QCE142" s="221"/>
      <c r="QCF142" s="221"/>
      <c r="QCG142" s="221"/>
      <c r="QCH142" s="221"/>
      <c r="QCI142" s="221"/>
      <c r="QCJ142" s="221"/>
      <c r="QCK142" s="221"/>
      <c r="QCL142" s="221"/>
      <c r="QCM142" s="221"/>
      <c r="QCN142" s="221"/>
      <c r="QCO142" s="221"/>
      <c r="QCP142" s="221"/>
      <c r="QCQ142" s="221"/>
      <c r="QCR142" s="221"/>
      <c r="QCS142" s="221"/>
      <c r="QCT142" s="221"/>
      <c r="QCU142" s="221"/>
      <c r="QCV142" s="221"/>
      <c r="QCW142" s="221"/>
      <c r="QCX142" s="221"/>
      <c r="QCY142" s="221"/>
      <c r="QCZ142" s="221"/>
      <c r="QDA142" s="221"/>
      <c r="QDB142" s="221"/>
      <c r="QDC142" s="221"/>
      <c r="QDD142" s="221"/>
      <c r="QDE142" s="221"/>
      <c r="QDF142" s="221"/>
      <c r="QDG142" s="221"/>
      <c r="QDH142" s="221"/>
      <c r="QDI142" s="221"/>
      <c r="QDJ142" s="221"/>
      <c r="QDK142" s="221"/>
      <c r="QDL142" s="221"/>
      <c r="QDM142" s="221"/>
      <c r="QDN142" s="221"/>
      <c r="QDO142" s="221"/>
      <c r="QDP142" s="221"/>
      <c r="QDQ142" s="221"/>
      <c r="QDR142" s="221"/>
      <c r="QDS142" s="221"/>
      <c r="QDT142" s="221"/>
      <c r="QDU142" s="221"/>
      <c r="QDV142" s="221"/>
      <c r="QDW142" s="221"/>
      <c r="QDX142" s="221"/>
      <c r="QDY142" s="221"/>
      <c r="QDZ142" s="221"/>
      <c r="QEA142" s="221"/>
      <c r="QEB142" s="221"/>
      <c r="QEC142" s="221"/>
      <c r="QED142" s="221"/>
      <c r="QEE142" s="221"/>
      <c r="QEF142" s="221"/>
      <c r="QEG142" s="221"/>
      <c r="QEH142" s="221"/>
      <c r="QEI142" s="221"/>
      <c r="QEJ142" s="221"/>
      <c r="QEK142" s="221"/>
      <c r="QEL142" s="221"/>
      <c r="QEM142" s="221"/>
      <c r="QEN142" s="221"/>
      <c r="QEO142" s="221"/>
      <c r="QEP142" s="221"/>
      <c r="QEQ142" s="221"/>
      <c r="QER142" s="221"/>
      <c r="QES142" s="221"/>
      <c r="QET142" s="221"/>
      <c r="QEU142" s="221"/>
      <c r="QEV142" s="221"/>
      <c r="QEW142" s="221"/>
      <c r="QEX142" s="221"/>
      <c r="QEY142" s="221"/>
      <c r="QEZ142" s="221"/>
      <c r="QFA142" s="221"/>
      <c r="QFB142" s="221"/>
      <c r="QFC142" s="221"/>
      <c r="QFD142" s="221"/>
      <c r="QFE142" s="221"/>
      <c r="QFF142" s="221"/>
      <c r="QFG142" s="221"/>
      <c r="QFH142" s="221"/>
      <c r="QFI142" s="221"/>
      <c r="QFJ142" s="221"/>
      <c r="QFK142" s="221"/>
      <c r="QFL142" s="221"/>
      <c r="QFM142" s="221"/>
      <c r="QFN142" s="221"/>
      <c r="QFO142" s="221"/>
      <c r="QFP142" s="221"/>
      <c r="QFQ142" s="221"/>
      <c r="QFR142" s="221"/>
      <c r="QFS142" s="221"/>
      <c r="QFT142" s="221"/>
      <c r="QFU142" s="221"/>
      <c r="QFV142" s="221"/>
      <c r="QFW142" s="221"/>
      <c r="QFX142" s="221"/>
      <c r="QFY142" s="221"/>
      <c r="QFZ142" s="221"/>
      <c r="QGA142" s="221"/>
      <c r="QGB142" s="221"/>
      <c r="QGC142" s="221"/>
      <c r="QGD142" s="221"/>
      <c r="QGE142" s="221"/>
      <c r="QGF142" s="221"/>
      <c r="QGG142" s="221"/>
      <c r="QGH142" s="221"/>
      <c r="QGI142" s="221"/>
      <c r="QGJ142" s="221"/>
      <c r="QGK142" s="221"/>
      <c r="QGL142" s="221"/>
      <c r="QGM142" s="221"/>
      <c r="QGN142" s="221"/>
      <c r="QGO142" s="221"/>
      <c r="QGP142" s="221"/>
      <c r="QGQ142" s="221"/>
      <c r="QGR142" s="221"/>
      <c r="QGS142" s="221"/>
      <c r="QGT142" s="221"/>
      <c r="QGU142" s="221"/>
      <c r="QGV142" s="221"/>
      <c r="QGW142" s="221"/>
      <c r="QGX142" s="221"/>
      <c r="QGY142" s="221"/>
      <c r="QGZ142" s="221"/>
      <c r="QHA142" s="221"/>
      <c r="QHB142" s="221"/>
      <c r="QHC142" s="221"/>
      <c r="QHD142" s="221"/>
      <c r="QHE142" s="221"/>
      <c r="QHF142" s="221"/>
      <c r="QHG142" s="221"/>
      <c r="QHH142" s="221"/>
      <c r="QHI142" s="221"/>
      <c r="QHJ142" s="221"/>
      <c r="QHK142" s="221"/>
      <c r="QHL142" s="221"/>
      <c r="QHM142" s="221"/>
      <c r="QHN142" s="221"/>
      <c r="QHO142" s="221"/>
      <c r="QHP142" s="221"/>
      <c r="QHQ142" s="221"/>
      <c r="QHR142" s="221"/>
      <c r="QHS142" s="221"/>
      <c r="QHT142" s="221"/>
      <c r="QHU142" s="221"/>
      <c r="QHV142" s="221"/>
      <c r="QHW142" s="221"/>
      <c r="QHX142" s="221"/>
      <c r="QHY142" s="221"/>
      <c r="QHZ142" s="221"/>
      <c r="QIA142" s="221"/>
      <c r="QIB142" s="221"/>
      <c r="QIC142" s="221"/>
      <c r="QID142" s="221"/>
      <c r="QIE142" s="221"/>
      <c r="QIF142" s="221"/>
      <c r="QIG142" s="221"/>
      <c r="QIH142" s="221"/>
      <c r="QII142" s="221"/>
      <c r="QIJ142" s="221"/>
      <c r="QIK142" s="221"/>
      <c r="QIL142" s="221"/>
      <c r="QIM142" s="221"/>
      <c r="QIN142" s="221"/>
      <c r="QIO142" s="221"/>
      <c r="QIP142" s="221"/>
      <c r="QIQ142" s="221"/>
      <c r="QIR142" s="221"/>
      <c r="QIS142" s="221"/>
      <c r="QIT142" s="221"/>
      <c r="QIU142" s="221"/>
      <c r="QIV142" s="221"/>
      <c r="QIW142" s="221"/>
      <c r="QIX142" s="221"/>
      <c r="QIY142" s="221"/>
      <c r="QIZ142" s="221"/>
      <c r="QJA142" s="221"/>
      <c r="QJB142" s="221"/>
      <c r="QJC142" s="221"/>
      <c r="QJD142" s="221"/>
      <c r="QJE142" s="221"/>
      <c r="QJF142" s="221"/>
      <c r="QJG142" s="221"/>
      <c r="QJH142" s="221"/>
      <c r="QJI142" s="221"/>
      <c r="QJJ142" s="221"/>
      <c r="QJK142" s="221"/>
      <c r="QJL142" s="221"/>
      <c r="QJM142" s="221"/>
      <c r="QJN142" s="221"/>
      <c r="QJO142" s="221"/>
      <c r="QJP142" s="221"/>
      <c r="QJQ142" s="221"/>
      <c r="QJR142" s="221"/>
      <c r="QJS142" s="221"/>
      <c r="QJT142" s="221"/>
      <c r="QJU142" s="221"/>
      <c r="QJV142" s="221"/>
      <c r="QJW142" s="221"/>
      <c r="QJX142" s="221"/>
      <c r="QJY142" s="221"/>
      <c r="QJZ142" s="221"/>
      <c r="QKA142" s="221"/>
      <c r="QKB142" s="221"/>
      <c r="QKC142" s="221"/>
      <c r="QKD142" s="221"/>
      <c r="QKE142" s="221"/>
      <c r="QKF142" s="221"/>
      <c r="QKG142" s="221"/>
      <c r="QKH142" s="221"/>
      <c r="QKI142" s="221"/>
      <c r="QKJ142" s="221"/>
      <c r="QKK142" s="221"/>
      <c r="QKL142" s="221"/>
      <c r="QKM142" s="221"/>
      <c r="QKN142" s="221"/>
      <c r="QKO142" s="221"/>
      <c r="QKP142" s="221"/>
      <c r="QKQ142" s="221"/>
      <c r="QKR142" s="221"/>
      <c r="QKS142" s="221"/>
      <c r="QKT142" s="221"/>
      <c r="QKU142" s="221"/>
      <c r="QKV142" s="221"/>
      <c r="QKW142" s="221"/>
      <c r="QKX142" s="221"/>
      <c r="QKY142" s="221"/>
      <c r="QKZ142" s="221"/>
      <c r="QLA142" s="221"/>
      <c r="QLB142" s="221"/>
      <c r="QLC142" s="221"/>
      <c r="QLD142" s="221"/>
      <c r="QLE142" s="221"/>
      <c r="QLF142" s="221"/>
      <c r="QLG142" s="221"/>
      <c r="QLH142" s="221"/>
      <c r="QLI142" s="221"/>
      <c r="QLJ142" s="221"/>
      <c r="QLK142" s="221"/>
      <c r="QLL142" s="221"/>
      <c r="QLM142" s="221"/>
      <c r="QLN142" s="221"/>
      <c r="QLO142" s="221"/>
      <c r="QLP142" s="221"/>
      <c r="QLQ142" s="221"/>
      <c r="QLR142" s="221"/>
      <c r="QLS142" s="221"/>
      <c r="QLT142" s="221"/>
      <c r="QLU142" s="221"/>
      <c r="QLV142" s="221"/>
      <c r="QLW142" s="221"/>
      <c r="QLX142" s="221"/>
      <c r="QLY142" s="221"/>
      <c r="QLZ142" s="221"/>
      <c r="QMA142" s="221"/>
      <c r="QMB142" s="221"/>
      <c r="QMC142" s="221"/>
      <c r="QMD142" s="221"/>
      <c r="QME142" s="221"/>
      <c r="QMF142" s="221"/>
      <c r="QMG142" s="221"/>
      <c r="QMH142" s="221"/>
      <c r="QMI142" s="221"/>
      <c r="QMJ142" s="221"/>
      <c r="QMK142" s="221"/>
      <c r="QML142" s="221"/>
      <c r="QMM142" s="221"/>
      <c r="QMN142" s="221"/>
      <c r="QMO142" s="221"/>
      <c r="QMP142" s="221"/>
      <c r="QMQ142" s="221"/>
      <c r="QMR142" s="221"/>
      <c r="QMS142" s="221"/>
      <c r="QMT142" s="221"/>
      <c r="QMU142" s="221"/>
      <c r="QMV142" s="221"/>
      <c r="QMW142" s="221"/>
      <c r="QMX142" s="221"/>
      <c r="QMY142" s="221"/>
      <c r="QMZ142" s="221"/>
      <c r="QNA142" s="221"/>
      <c r="QNB142" s="221"/>
      <c r="QNC142" s="221"/>
      <c r="QND142" s="221"/>
      <c r="QNE142" s="221"/>
      <c r="QNF142" s="221"/>
      <c r="QNG142" s="221"/>
      <c r="QNH142" s="221"/>
      <c r="QNI142" s="221"/>
      <c r="QNJ142" s="221"/>
      <c r="QNK142" s="221"/>
      <c r="QNL142" s="221"/>
      <c r="QNM142" s="221"/>
      <c r="QNN142" s="221"/>
      <c r="QNO142" s="221"/>
      <c r="QNP142" s="221"/>
      <c r="QNQ142" s="221"/>
      <c r="QNR142" s="221"/>
      <c r="QNS142" s="221"/>
      <c r="QNT142" s="221"/>
      <c r="QNU142" s="221"/>
      <c r="QNV142" s="221"/>
      <c r="QNW142" s="221"/>
      <c r="QNX142" s="221"/>
      <c r="QNY142" s="221"/>
      <c r="QNZ142" s="221"/>
      <c r="QOA142" s="221"/>
      <c r="QOB142" s="221"/>
      <c r="QOC142" s="221"/>
      <c r="QOD142" s="221"/>
      <c r="QOE142" s="221"/>
      <c r="QOF142" s="221"/>
      <c r="QOG142" s="221"/>
      <c r="QOH142" s="221"/>
      <c r="QOI142" s="221"/>
      <c r="QOJ142" s="221"/>
      <c r="QOK142" s="221"/>
      <c r="QOL142" s="221"/>
      <c r="QOM142" s="221"/>
      <c r="QON142" s="221"/>
      <c r="QOO142" s="221"/>
      <c r="QOP142" s="221"/>
      <c r="QOQ142" s="221"/>
      <c r="QOR142" s="221"/>
      <c r="QOS142" s="221"/>
      <c r="QOT142" s="221"/>
      <c r="QOU142" s="221"/>
      <c r="QOV142" s="221"/>
      <c r="QOW142" s="221"/>
      <c r="QOX142" s="221"/>
      <c r="QOY142" s="221"/>
      <c r="QOZ142" s="221"/>
      <c r="QPA142" s="221"/>
      <c r="QPB142" s="221"/>
      <c r="QPC142" s="221"/>
      <c r="QPD142" s="221"/>
      <c r="QPE142" s="221"/>
      <c r="QPF142" s="221"/>
      <c r="QPG142" s="221"/>
      <c r="QPH142" s="221"/>
      <c r="QPI142" s="221"/>
      <c r="QPJ142" s="221"/>
      <c r="QPK142" s="221"/>
      <c r="QPL142" s="221"/>
      <c r="QPM142" s="221"/>
      <c r="QPN142" s="221"/>
      <c r="QPO142" s="221"/>
      <c r="QPP142" s="221"/>
      <c r="QPQ142" s="221"/>
      <c r="QPR142" s="221"/>
      <c r="QPS142" s="221"/>
      <c r="QPT142" s="221"/>
      <c r="QPU142" s="221"/>
      <c r="QPV142" s="221"/>
      <c r="QPW142" s="221"/>
      <c r="QPX142" s="221"/>
      <c r="QPY142" s="221"/>
      <c r="QPZ142" s="221"/>
      <c r="QQA142" s="221"/>
      <c r="QQB142" s="221"/>
      <c r="QQC142" s="221"/>
      <c r="QQD142" s="221"/>
      <c r="QQE142" s="221"/>
      <c r="QQF142" s="221"/>
      <c r="QQG142" s="221"/>
      <c r="QQH142" s="221"/>
      <c r="QQI142" s="221"/>
      <c r="QQJ142" s="221"/>
      <c r="QQK142" s="221"/>
      <c r="QQL142" s="221"/>
      <c r="QQM142" s="221"/>
      <c r="QQN142" s="221"/>
      <c r="QQO142" s="221"/>
      <c r="QQP142" s="221"/>
      <c r="QQQ142" s="221"/>
      <c r="QQR142" s="221"/>
      <c r="QQS142" s="221"/>
      <c r="QQT142" s="221"/>
      <c r="QQU142" s="221"/>
      <c r="QQV142" s="221"/>
      <c r="QQW142" s="221"/>
      <c r="QQX142" s="221"/>
      <c r="QQY142" s="221"/>
      <c r="QQZ142" s="221"/>
      <c r="QRA142" s="221"/>
      <c r="QRB142" s="221"/>
      <c r="QRC142" s="221"/>
      <c r="QRD142" s="221"/>
      <c r="QRE142" s="221"/>
      <c r="QRF142" s="221"/>
      <c r="QRG142" s="221"/>
      <c r="QRH142" s="221"/>
      <c r="QRI142" s="221"/>
      <c r="QRJ142" s="221"/>
      <c r="QRK142" s="221"/>
      <c r="QRL142" s="221"/>
      <c r="QRM142" s="221"/>
      <c r="QRN142" s="221"/>
      <c r="QRO142" s="221"/>
      <c r="QRP142" s="221"/>
      <c r="QRQ142" s="221"/>
      <c r="QRR142" s="221"/>
      <c r="QRS142" s="221"/>
      <c r="QRT142" s="221"/>
      <c r="QRU142" s="221"/>
      <c r="QRV142" s="221"/>
      <c r="QRW142" s="221"/>
      <c r="QRX142" s="221"/>
      <c r="QRY142" s="221"/>
      <c r="QRZ142" s="221"/>
      <c r="QSA142" s="221"/>
      <c r="QSB142" s="221"/>
      <c r="QSC142" s="221"/>
      <c r="QSD142" s="221"/>
      <c r="QSE142" s="221"/>
      <c r="QSF142" s="221"/>
      <c r="QSG142" s="221"/>
      <c r="QSH142" s="221"/>
      <c r="QSI142" s="221"/>
      <c r="QSJ142" s="221"/>
      <c r="QSK142" s="221"/>
      <c r="QSL142" s="221"/>
      <c r="QSM142" s="221"/>
      <c r="QSN142" s="221"/>
      <c r="QSO142" s="221"/>
      <c r="QSP142" s="221"/>
      <c r="QSQ142" s="221"/>
      <c r="QSR142" s="221"/>
      <c r="QSS142" s="221"/>
      <c r="QST142" s="221"/>
      <c r="QSU142" s="221"/>
      <c r="QSV142" s="221"/>
      <c r="QSW142" s="221"/>
      <c r="QSX142" s="221"/>
      <c r="QSY142" s="221"/>
      <c r="QSZ142" s="221"/>
      <c r="QTA142" s="221"/>
      <c r="QTB142" s="221"/>
      <c r="QTC142" s="221"/>
      <c r="QTD142" s="221"/>
      <c r="QTE142" s="221"/>
      <c r="QTF142" s="221"/>
      <c r="QTG142" s="221"/>
      <c r="QTH142" s="221"/>
      <c r="QTI142" s="221"/>
      <c r="QTJ142" s="221"/>
      <c r="QTK142" s="221"/>
      <c r="QTL142" s="221"/>
      <c r="QTM142" s="221"/>
      <c r="QTN142" s="221"/>
      <c r="QTO142" s="221"/>
      <c r="QTP142" s="221"/>
      <c r="QTQ142" s="221"/>
      <c r="QTR142" s="221"/>
      <c r="QTS142" s="221"/>
      <c r="QTT142" s="221"/>
      <c r="QTU142" s="221"/>
      <c r="QTV142" s="221"/>
      <c r="QTW142" s="221"/>
      <c r="QTX142" s="221"/>
      <c r="QTY142" s="221"/>
      <c r="QTZ142" s="221"/>
      <c r="QUA142" s="221"/>
      <c r="QUB142" s="221"/>
      <c r="QUC142" s="221"/>
      <c r="QUD142" s="221"/>
      <c r="QUE142" s="221"/>
      <c r="QUF142" s="221"/>
      <c r="QUG142" s="221"/>
      <c r="QUH142" s="221"/>
      <c r="QUI142" s="221"/>
      <c r="QUJ142" s="221"/>
      <c r="QUK142" s="221"/>
      <c r="QUL142" s="221"/>
      <c r="QUM142" s="221"/>
      <c r="QUN142" s="221"/>
      <c r="QUO142" s="221"/>
      <c r="QUP142" s="221"/>
      <c r="QUQ142" s="221"/>
      <c r="QUR142" s="221"/>
      <c r="QUS142" s="221"/>
      <c r="QUT142" s="221"/>
      <c r="QUU142" s="221"/>
      <c r="QUV142" s="221"/>
      <c r="QUW142" s="221"/>
      <c r="QUX142" s="221"/>
      <c r="QUY142" s="221"/>
      <c r="QUZ142" s="221"/>
      <c r="QVA142" s="221"/>
      <c r="QVB142" s="221"/>
      <c r="QVC142" s="221"/>
      <c r="QVD142" s="221"/>
      <c r="QVE142" s="221"/>
      <c r="QVF142" s="221"/>
      <c r="QVG142" s="221"/>
      <c r="QVH142" s="221"/>
      <c r="QVI142" s="221"/>
      <c r="QVJ142" s="221"/>
      <c r="QVK142" s="221"/>
      <c r="QVL142" s="221"/>
      <c r="QVM142" s="221"/>
      <c r="QVN142" s="221"/>
      <c r="QVO142" s="221"/>
      <c r="QVP142" s="221"/>
      <c r="QVQ142" s="221"/>
      <c r="QVR142" s="221"/>
      <c r="QVS142" s="221"/>
      <c r="QVT142" s="221"/>
      <c r="QVU142" s="221"/>
      <c r="QVV142" s="221"/>
      <c r="QVW142" s="221"/>
      <c r="QVX142" s="221"/>
      <c r="QVY142" s="221"/>
      <c r="QVZ142" s="221"/>
      <c r="QWA142" s="221"/>
      <c r="QWB142" s="221"/>
      <c r="QWC142" s="221"/>
      <c r="QWD142" s="221"/>
      <c r="QWE142" s="221"/>
      <c r="QWF142" s="221"/>
      <c r="QWG142" s="221"/>
      <c r="QWH142" s="221"/>
      <c r="QWI142" s="221"/>
      <c r="QWJ142" s="221"/>
      <c r="QWK142" s="221"/>
      <c r="QWL142" s="221"/>
      <c r="QWM142" s="221"/>
      <c r="QWN142" s="221"/>
      <c r="QWO142" s="221"/>
      <c r="QWP142" s="221"/>
      <c r="QWQ142" s="221"/>
      <c r="QWR142" s="221"/>
      <c r="QWS142" s="221"/>
      <c r="QWT142" s="221"/>
      <c r="QWU142" s="221"/>
      <c r="QWV142" s="221"/>
      <c r="QWW142" s="221"/>
      <c r="QWX142" s="221"/>
      <c r="QWY142" s="221"/>
      <c r="QWZ142" s="221"/>
      <c r="QXA142" s="221"/>
      <c r="QXB142" s="221"/>
      <c r="QXC142" s="221"/>
      <c r="QXD142" s="221"/>
      <c r="QXE142" s="221"/>
      <c r="QXF142" s="221"/>
      <c r="QXG142" s="221"/>
      <c r="QXH142" s="221"/>
      <c r="QXI142" s="221"/>
      <c r="QXJ142" s="221"/>
      <c r="QXK142" s="221"/>
      <c r="QXL142" s="221"/>
      <c r="QXM142" s="221"/>
      <c r="QXN142" s="221"/>
      <c r="QXO142" s="221"/>
      <c r="QXP142" s="221"/>
      <c r="QXQ142" s="221"/>
      <c r="QXR142" s="221"/>
      <c r="QXS142" s="221"/>
      <c r="QXT142" s="221"/>
      <c r="QXU142" s="221"/>
      <c r="QXV142" s="221"/>
      <c r="QXW142" s="221"/>
      <c r="QXX142" s="221"/>
      <c r="QXY142" s="221"/>
      <c r="QXZ142" s="221"/>
      <c r="QYA142" s="221"/>
      <c r="QYB142" s="221"/>
      <c r="QYC142" s="221"/>
      <c r="QYD142" s="221"/>
      <c r="QYE142" s="221"/>
      <c r="QYF142" s="221"/>
      <c r="QYG142" s="221"/>
      <c r="QYH142" s="221"/>
      <c r="QYI142" s="221"/>
      <c r="QYJ142" s="221"/>
      <c r="QYK142" s="221"/>
      <c r="QYL142" s="221"/>
      <c r="QYM142" s="221"/>
      <c r="QYN142" s="221"/>
      <c r="QYO142" s="221"/>
      <c r="QYP142" s="221"/>
      <c r="QYQ142" s="221"/>
      <c r="QYR142" s="221"/>
      <c r="QYS142" s="221"/>
      <c r="QYT142" s="221"/>
      <c r="QYU142" s="221"/>
      <c r="QYV142" s="221"/>
      <c r="QYW142" s="221"/>
      <c r="QYX142" s="221"/>
      <c r="QYY142" s="221"/>
      <c r="QYZ142" s="221"/>
      <c r="QZA142" s="221"/>
      <c r="QZB142" s="221"/>
      <c r="QZC142" s="221"/>
      <c r="QZD142" s="221"/>
      <c r="QZE142" s="221"/>
      <c r="QZF142" s="221"/>
      <c r="QZG142" s="221"/>
      <c r="QZH142" s="221"/>
      <c r="QZI142" s="221"/>
      <c r="QZJ142" s="221"/>
      <c r="QZK142" s="221"/>
      <c r="QZL142" s="221"/>
      <c r="QZM142" s="221"/>
      <c r="QZN142" s="221"/>
      <c r="QZO142" s="221"/>
      <c r="QZP142" s="221"/>
      <c r="QZQ142" s="221"/>
      <c r="QZR142" s="221"/>
      <c r="QZS142" s="221"/>
      <c r="QZT142" s="221"/>
      <c r="QZU142" s="221"/>
      <c r="QZV142" s="221"/>
      <c r="QZW142" s="221"/>
      <c r="QZX142" s="221"/>
      <c r="QZY142" s="221"/>
      <c r="QZZ142" s="221"/>
      <c r="RAA142" s="221"/>
      <c r="RAB142" s="221"/>
      <c r="RAC142" s="221"/>
      <c r="RAD142" s="221"/>
      <c r="RAE142" s="221"/>
      <c r="RAF142" s="221"/>
      <c r="RAG142" s="221"/>
      <c r="RAH142" s="221"/>
      <c r="RAI142" s="221"/>
      <c r="RAJ142" s="221"/>
      <c r="RAK142" s="221"/>
      <c r="RAL142" s="221"/>
      <c r="RAM142" s="221"/>
      <c r="RAN142" s="221"/>
      <c r="RAO142" s="221"/>
      <c r="RAP142" s="221"/>
      <c r="RAQ142" s="221"/>
      <c r="RAR142" s="221"/>
      <c r="RAS142" s="221"/>
      <c r="RAT142" s="221"/>
      <c r="RAU142" s="221"/>
      <c r="RAV142" s="221"/>
      <c r="RAW142" s="221"/>
      <c r="RAX142" s="221"/>
      <c r="RAY142" s="221"/>
      <c r="RAZ142" s="221"/>
      <c r="RBA142" s="221"/>
      <c r="RBB142" s="221"/>
      <c r="RBC142" s="221"/>
      <c r="RBD142" s="221"/>
      <c r="RBE142" s="221"/>
      <c r="RBF142" s="221"/>
      <c r="RBG142" s="221"/>
      <c r="RBH142" s="221"/>
      <c r="RBI142" s="221"/>
      <c r="RBJ142" s="221"/>
      <c r="RBK142" s="221"/>
      <c r="RBL142" s="221"/>
      <c r="RBM142" s="221"/>
      <c r="RBN142" s="221"/>
      <c r="RBO142" s="221"/>
      <c r="RBP142" s="221"/>
      <c r="RBQ142" s="221"/>
      <c r="RBR142" s="221"/>
      <c r="RBS142" s="221"/>
      <c r="RBT142" s="221"/>
      <c r="RBU142" s="221"/>
      <c r="RBV142" s="221"/>
      <c r="RBW142" s="221"/>
      <c r="RBX142" s="221"/>
      <c r="RBY142" s="221"/>
      <c r="RBZ142" s="221"/>
      <c r="RCA142" s="221"/>
      <c r="RCB142" s="221"/>
      <c r="RCC142" s="221"/>
      <c r="RCD142" s="221"/>
      <c r="RCE142" s="221"/>
      <c r="RCF142" s="221"/>
      <c r="RCG142" s="221"/>
      <c r="RCH142" s="221"/>
      <c r="RCI142" s="221"/>
      <c r="RCJ142" s="221"/>
      <c r="RCK142" s="221"/>
      <c r="RCL142" s="221"/>
      <c r="RCM142" s="221"/>
      <c r="RCN142" s="221"/>
      <c r="RCO142" s="221"/>
      <c r="RCP142" s="221"/>
      <c r="RCQ142" s="221"/>
      <c r="RCR142" s="221"/>
      <c r="RCS142" s="221"/>
      <c r="RCT142" s="221"/>
      <c r="RCU142" s="221"/>
      <c r="RCV142" s="221"/>
      <c r="RCW142" s="221"/>
      <c r="RCX142" s="221"/>
      <c r="RCY142" s="221"/>
      <c r="RCZ142" s="221"/>
      <c r="RDA142" s="221"/>
      <c r="RDB142" s="221"/>
      <c r="RDC142" s="221"/>
      <c r="RDD142" s="221"/>
      <c r="RDE142" s="221"/>
      <c r="RDF142" s="221"/>
      <c r="RDG142" s="221"/>
      <c r="RDH142" s="221"/>
      <c r="RDI142" s="221"/>
      <c r="RDJ142" s="221"/>
      <c r="RDK142" s="221"/>
      <c r="RDL142" s="221"/>
      <c r="RDM142" s="221"/>
      <c r="RDN142" s="221"/>
      <c r="RDO142" s="221"/>
      <c r="RDP142" s="221"/>
      <c r="RDQ142" s="221"/>
      <c r="RDR142" s="221"/>
      <c r="RDS142" s="221"/>
      <c r="RDT142" s="221"/>
      <c r="RDU142" s="221"/>
      <c r="RDV142" s="221"/>
      <c r="RDW142" s="221"/>
      <c r="RDX142" s="221"/>
      <c r="RDY142" s="221"/>
      <c r="RDZ142" s="221"/>
      <c r="REA142" s="221"/>
      <c r="REB142" s="221"/>
      <c r="REC142" s="221"/>
      <c r="RED142" s="221"/>
      <c r="REE142" s="221"/>
      <c r="REF142" s="221"/>
      <c r="REG142" s="221"/>
      <c r="REH142" s="221"/>
      <c r="REI142" s="221"/>
      <c r="REJ142" s="221"/>
      <c r="REK142" s="221"/>
      <c r="REL142" s="221"/>
      <c r="REM142" s="221"/>
      <c r="REN142" s="221"/>
      <c r="REO142" s="221"/>
      <c r="REP142" s="221"/>
      <c r="REQ142" s="221"/>
      <c r="RER142" s="221"/>
      <c r="RES142" s="221"/>
      <c r="RET142" s="221"/>
      <c r="REU142" s="221"/>
      <c r="REV142" s="221"/>
      <c r="REW142" s="221"/>
      <c r="REX142" s="221"/>
      <c r="REY142" s="221"/>
      <c r="REZ142" s="221"/>
      <c r="RFA142" s="221"/>
      <c r="RFB142" s="221"/>
      <c r="RFC142" s="221"/>
      <c r="RFD142" s="221"/>
      <c r="RFE142" s="221"/>
      <c r="RFF142" s="221"/>
      <c r="RFG142" s="221"/>
      <c r="RFH142" s="221"/>
      <c r="RFI142" s="221"/>
      <c r="RFJ142" s="221"/>
      <c r="RFK142" s="221"/>
      <c r="RFL142" s="221"/>
      <c r="RFM142" s="221"/>
      <c r="RFN142" s="221"/>
      <c r="RFO142" s="221"/>
      <c r="RFP142" s="221"/>
      <c r="RFQ142" s="221"/>
      <c r="RFR142" s="221"/>
      <c r="RFS142" s="221"/>
      <c r="RFT142" s="221"/>
      <c r="RFU142" s="221"/>
      <c r="RFV142" s="221"/>
      <c r="RFW142" s="221"/>
      <c r="RFX142" s="221"/>
      <c r="RFY142" s="221"/>
      <c r="RFZ142" s="221"/>
      <c r="RGA142" s="221"/>
      <c r="RGB142" s="221"/>
      <c r="RGC142" s="221"/>
      <c r="RGD142" s="221"/>
      <c r="RGE142" s="221"/>
      <c r="RGF142" s="221"/>
      <c r="RGG142" s="221"/>
      <c r="RGH142" s="221"/>
      <c r="RGI142" s="221"/>
      <c r="RGJ142" s="221"/>
      <c r="RGK142" s="221"/>
      <c r="RGL142" s="221"/>
      <c r="RGM142" s="221"/>
      <c r="RGN142" s="221"/>
      <c r="RGO142" s="221"/>
      <c r="RGP142" s="221"/>
      <c r="RGQ142" s="221"/>
      <c r="RGR142" s="221"/>
      <c r="RGS142" s="221"/>
      <c r="RGT142" s="221"/>
      <c r="RGU142" s="221"/>
      <c r="RGV142" s="221"/>
      <c r="RGW142" s="221"/>
      <c r="RGX142" s="221"/>
      <c r="RGY142" s="221"/>
      <c r="RGZ142" s="221"/>
      <c r="RHA142" s="221"/>
      <c r="RHB142" s="221"/>
      <c r="RHC142" s="221"/>
      <c r="RHD142" s="221"/>
      <c r="RHE142" s="221"/>
      <c r="RHF142" s="221"/>
      <c r="RHG142" s="221"/>
      <c r="RHH142" s="221"/>
      <c r="RHI142" s="221"/>
      <c r="RHJ142" s="221"/>
      <c r="RHK142" s="221"/>
      <c r="RHL142" s="221"/>
      <c r="RHM142" s="221"/>
      <c r="RHN142" s="221"/>
      <c r="RHO142" s="221"/>
      <c r="RHP142" s="221"/>
      <c r="RHQ142" s="221"/>
      <c r="RHR142" s="221"/>
      <c r="RHS142" s="221"/>
      <c r="RHT142" s="221"/>
      <c r="RHU142" s="221"/>
      <c r="RHV142" s="221"/>
      <c r="RHW142" s="221"/>
      <c r="RHX142" s="221"/>
      <c r="RHY142" s="221"/>
      <c r="RHZ142" s="221"/>
      <c r="RIA142" s="221"/>
      <c r="RIB142" s="221"/>
      <c r="RIC142" s="221"/>
      <c r="RID142" s="221"/>
      <c r="RIE142" s="221"/>
      <c r="RIF142" s="221"/>
      <c r="RIG142" s="221"/>
      <c r="RIH142" s="221"/>
      <c r="RII142" s="221"/>
      <c r="RIJ142" s="221"/>
      <c r="RIK142" s="221"/>
      <c r="RIL142" s="221"/>
      <c r="RIM142" s="221"/>
      <c r="RIN142" s="221"/>
      <c r="RIO142" s="221"/>
      <c r="RIP142" s="221"/>
      <c r="RIQ142" s="221"/>
      <c r="RIR142" s="221"/>
      <c r="RIS142" s="221"/>
      <c r="RIT142" s="221"/>
      <c r="RIU142" s="221"/>
      <c r="RIV142" s="221"/>
      <c r="RIW142" s="221"/>
      <c r="RIX142" s="221"/>
      <c r="RIY142" s="221"/>
      <c r="RIZ142" s="221"/>
      <c r="RJA142" s="221"/>
      <c r="RJB142" s="221"/>
      <c r="RJC142" s="221"/>
      <c r="RJD142" s="221"/>
      <c r="RJE142" s="221"/>
      <c r="RJF142" s="221"/>
      <c r="RJG142" s="221"/>
      <c r="RJH142" s="221"/>
      <c r="RJI142" s="221"/>
      <c r="RJJ142" s="221"/>
      <c r="RJK142" s="221"/>
      <c r="RJL142" s="221"/>
      <c r="RJM142" s="221"/>
      <c r="RJN142" s="221"/>
      <c r="RJO142" s="221"/>
      <c r="RJP142" s="221"/>
      <c r="RJQ142" s="221"/>
      <c r="RJR142" s="221"/>
      <c r="RJS142" s="221"/>
      <c r="RJT142" s="221"/>
      <c r="RJU142" s="221"/>
      <c r="RJV142" s="221"/>
      <c r="RJW142" s="221"/>
      <c r="RJX142" s="221"/>
      <c r="RJY142" s="221"/>
      <c r="RJZ142" s="221"/>
      <c r="RKA142" s="221"/>
      <c r="RKB142" s="221"/>
      <c r="RKC142" s="221"/>
      <c r="RKD142" s="221"/>
      <c r="RKE142" s="221"/>
      <c r="RKF142" s="221"/>
      <c r="RKG142" s="221"/>
      <c r="RKH142" s="221"/>
      <c r="RKI142" s="221"/>
      <c r="RKJ142" s="221"/>
      <c r="RKK142" s="221"/>
      <c r="RKL142" s="221"/>
      <c r="RKM142" s="221"/>
      <c r="RKN142" s="221"/>
      <c r="RKO142" s="221"/>
      <c r="RKP142" s="221"/>
      <c r="RKQ142" s="221"/>
      <c r="RKR142" s="221"/>
      <c r="RKS142" s="221"/>
      <c r="RKT142" s="221"/>
      <c r="RKU142" s="221"/>
      <c r="RKV142" s="221"/>
      <c r="RKW142" s="221"/>
      <c r="RKX142" s="221"/>
      <c r="RKY142" s="221"/>
      <c r="RKZ142" s="221"/>
      <c r="RLA142" s="221"/>
      <c r="RLB142" s="221"/>
      <c r="RLC142" s="221"/>
      <c r="RLD142" s="221"/>
      <c r="RLE142" s="221"/>
      <c r="RLF142" s="221"/>
      <c r="RLG142" s="221"/>
      <c r="RLH142" s="221"/>
      <c r="RLI142" s="221"/>
      <c r="RLJ142" s="221"/>
      <c r="RLK142" s="221"/>
      <c r="RLL142" s="221"/>
      <c r="RLM142" s="221"/>
      <c r="RLN142" s="221"/>
      <c r="RLO142" s="221"/>
      <c r="RLP142" s="221"/>
      <c r="RLQ142" s="221"/>
      <c r="RLR142" s="221"/>
      <c r="RLS142" s="221"/>
      <c r="RLT142" s="221"/>
      <c r="RLU142" s="221"/>
      <c r="RLV142" s="221"/>
      <c r="RLW142" s="221"/>
      <c r="RLX142" s="221"/>
      <c r="RLY142" s="221"/>
      <c r="RLZ142" s="221"/>
      <c r="RMA142" s="221"/>
      <c r="RMB142" s="221"/>
      <c r="RMC142" s="221"/>
      <c r="RMD142" s="221"/>
      <c r="RME142" s="221"/>
      <c r="RMF142" s="221"/>
      <c r="RMG142" s="221"/>
      <c r="RMH142" s="221"/>
      <c r="RMI142" s="221"/>
      <c r="RMJ142" s="221"/>
      <c r="RMK142" s="221"/>
      <c r="RML142" s="221"/>
      <c r="RMM142" s="221"/>
      <c r="RMN142" s="221"/>
      <c r="RMO142" s="221"/>
      <c r="RMP142" s="221"/>
      <c r="RMQ142" s="221"/>
      <c r="RMR142" s="221"/>
      <c r="RMS142" s="221"/>
      <c r="RMT142" s="221"/>
      <c r="RMU142" s="221"/>
      <c r="RMV142" s="221"/>
      <c r="RMW142" s="221"/>
      <c r="RMX142" s="221"/>
      <c r="RMY142" s="221"/>
      <c r="RMZ142" s="221"/>
      <c r="RNA142" s="221"/>
      <c r="RNB142" s="221"/>
      <c r="RNC142" s="221"/>
      <c r="RND142" s="221"/>
      <c r="RNE142" s="221"/>
      <c r="RNF142" s="221"/>
      <c r="RNG142" s="221"/>
      <c r="RNH142" s="221"/>
      <c r="RNI142" s="221"/>
      <c r="RNJ142" s="221"/>
      <c r="RNK142" s="221"/>
      <c r="RNL142" s="221"/>
      <c r="RNM142" s="221"/>
      <c r="RNN142" s="221"/>
      <c r="RNO142" s="221"/>
      <c r="RNP142" s="221"/>
      <c r="RNQ142" s="221"/>
      <c r="RNR142" s="221"/>
      <c r="RNS142" s="221"/>
      <c r="RNT142" s="221"/>
      <c r="RNU142" s="221"/>
      <c r="RNV142" s="221"/>
      <c r="RNW142" s="221"/>
      <c r="RNX142" s="221"/>
      <c r="RNY142" s="221"/>
      <c r="RNZ142" s="221"/>
      <c r="ROA142" s="221"/>
      <c r="ROB142" s="221"/>
      <c r="ROC142" s="221"/>
      <c r="ROD142" s="221"/>
      <c r="ROE142" s="221"/>
      <c r="ROF142" s="221"/>
      <c r="ROG142" s="221"/>
      <c r="ROH142" s="221"/>
      <c r="ROI142" s="221"/>
      <c r="ROJ142" s="221"/>
      <c r="ROK142" s="221"/>
      <c r="ROL142" s="221"/>
      <c r="ROM142" s="221"/>
      <c r="RON142" s="221"/>
      <c r="ROO142" s="221"/>
      <c r="ROP142" s="221"/>
      <c r="ROQ142" s="221"/>
      <c r="ROR142" s="221"/>
      <c r="ROS142" s="221"/>
      <c r="ROT142" s="221"/>
      <c r="ROU142" s="221"/>
      <c r="ROV142" s="221"/>
      <c r="ROW142" s="221"/>
      <c r="ROX142" s="221"/>
      <c r="ROY142" s="221"/>
      <c r="ROZ142" s="221"/>
      <c r="RPA142" s="221"/>
      <c r="RPB142" s="221"/>
      <c r="RPC142" s="221"/>
      <c r="RPD142" s="221"/>
      <c r="RPE142" s="221"/>
      <c r="RPF142" s="221"/>
      <c r="RPG142" s="221"/>
      <c r="RPH142" s="221"/>
      <c r="RPI142" s="221"/>
      <c r="RPJ142" s="221"/>
      <c r="RPK142" s="221"/>
      <c r="RPL142" s="221"/>
      <c r="RPM142" s="221"/>
      <c r="RPN142" s="221"/>
      <c r="RPO142" s="221"/>
      <c r="RPP142" s="221"/>
      <c r="RPQ142" s="221"/>
      <c r="RPR142" s="221"/>
      <c r="RPS142" s="221"/>
      <c r="RPT142" s="221"/>
      <c r="RPU142" s="221"/>
      <c r="RPV142" s="221"/>
      <c r="RPW142" s="221"/>
      <c r="RPX142" s="221"/>
      <c r="RPY142" s="221"/>
      <c r="RPZ142" s="221"/>
      <c r="RQA142" s="221"/>
      <c r="RQB142" s="221"/>
      <c r="RQC142" s="221"/>
      <c r="RQD142" s="221"/>
      <c r="RQE142" s="221"/>
      <c r="RQF142" s="221"/>
      <c r="RQG142" s="221"/>
      <c r="RQH142" s="221"/>
      <c r="RQI142" s="221"/>
      <c r="RQJ142" s="221"/>
      <c r="RQK142" s="221"/>
      <c r="RQL142" s="221"/>
      <c r="RQM142" s="221"/>
      <c r="RQN142" s="221"/>
      <c r="RQO142" s="221"/>
      <c r="RQP142" s="221"/>
      <c r="RQQ142" s="221"/>
      <c r="RQR142" s="221"/>
      <c r="RQS142" s="221"/>
      <c r="RQT142" s="221"/>
      <c r="RQU142" s="221"/>
      <c r="RQV142" s="221"/>
      <c r="RQW142" s="221"/>
      <c r="RQX142" s="221"/>
      <c r="RQY142" s="221"/>
      <c r="RQZ142" s="221"/>
      <c r="RRA142" s="221"/>
      <c r="RRB142" s="221"/>
      <c r="RRC142" s="221"/>
      <c r="RRD142" s="221"/>
      <c r="RRE142" s="221"/>
      <c r="RRF142" s="221"/>
      <c r="RRG142" s="221"/>
      <c r="RRH142" s="221"/>
      <c r="RRI142" s="221"/>
      <c r="RRJ142" s="221"/>
      <c r="RRK142" s="221"/>
      <c r="RRL142" s="221"/>
      <c r="RRM142" s="221"/>
      <c r="RRN142" s="221"/>
      <c r="RRO142" s="221"/>
      <c r="RRP142" s="221"/>
      <c r="RRQ142" s="221"/>
      <c r="RRR142" s="221"/>
      <c r="RRS142" s="221"/>
      <c r="RRT142" s="221"/>
      <c r="RRU142" s="221"/>
      <c r="RRV142" s="221"/>
      <c r="RRW142" s="221"/>
      <c r="RRX142" s="221"/>
      <c r="RRY142" s="221"/>
      <c r="RRZ142" s="221"/>
      <c r="RSA142" s="221"/>
      <c r="RSB142" s="221"/>
      <c r="RSC142" s="221"/>
      <c r="RSD142" s="221"/>
      <c r="RSE142" s="221"/>
      <c r="RSF142" s="221"/>
      <c r="RSG142" s="221"/>
      <c r="RSH142" s="221"/>
      <c r="RSI142" s="221"/>
      <c r="RSJ142" s="221"/>
      <c r="RSK142" s="221"/>
      <c r="RSL142" s="221"/>
      <c r="RSM142" s="221"/>
      <c r="RSN142" s="221"/>
      <c r="RSO142" s="221"/>
      <c r="RSP142" s="221"/>
      <c r="RSQ142" s="221"/>
      <c r="RSR142" s="221"/>
      <c r="RSS142" s="221"/>
      <c r="RST142" s="221"/>
      <c r="RSU142" s="221"/>
      <c r="RSV142" s="221"/>
      <c r="RSW142" s="221"/>
      <c r="RSX142" s="221"/>
      <c r="RSY142" s="221"/>
      <c r="RSZ142" s="221"/>
      <c r="RTA142" s="221"/>
      <c r="RTB142" s="221"/>
      <c r="RTC142" s="221"/>
      <c r="RTD142" s="221"/>
      <c r="RTE142" s="221"/>
      <c r="RTF142" s="221"/>
      <c r="RTG142" s="221"/>
      <c r="RTH142" s="221"/>
      <c r="RTI142" s="221"/>
      <c r="RTJ142" s="221"/>
      <c r="RTK142" s="221"/>
      <c r="RTL142" s="221"/>
      <c r="RTM142" s="221"/>
      <c r="RTN142" s="221"/>
      <c r="RTO142" s="221"/>
      <c r="RTP142" s="221"/>
      <c r="RTQ142" s="221"/>
      <c r="RTR142" s="221"/>
      <c r="RTS142" s="221"/>
      <c r="RTT142" s="221"/>
      <c r="RTU142" s="221"/>
      <c r="RTV142" s="221"/>
      <c r="RTW142" s="221"/>
      <c r="RTX142" s="221"/>
      <c r="RTY142" s="221"/>
      <c r="RTZ142" s="221"/>
      <c r="RUA142" s="221"/>
      <c r="RUB142" s="221"/>
      <c r="RUC142" s="221"/>
      <c r="RUD142" s="221"/>
      <c r="RUE142" s="221"/>
      <c r="RUF142" s="221"/>
      <c r="RUG142" s="221"/>
      <c r="RUH142" s="221"/>
      <c r="RUI142" s="221"/>
      <c r="RUJ142" s="221"/>
      <c r="RUK142" s="221"/>
      <c r="RUL142" s="221"/>
      <c r="RUM142" s="221"/>
      <c r="RUN142" s="221"/>
      <c r="RUO142" s="221"/>
      <c r="RUP142" s="221"/>
      <c r="RUQ142" s="221"/>
      <c r="RUR142" s="221"/>
      <c r="RUS142" s="221"/>
      <c r="RUT142" s="221"/>
      <c r="RUU142" s="221"/>
      <c r="RUV142" s="221"/>
      <c r="RUW142" s="221"/>
      <c r="RUX142" s="221"/>
      <c r="RUY142" s="221"/>
      <c r="RUZ142" s="221"/>
      <c r="RVA142" s="221"/>
      <c r="RVB142" s="221"/>
      <c r="RVC142" s="221"/>
      <c r="RVD142" s="221"/>
      <c r="RVE142" s="221"/>
      <c r="RVF142" s="221"/>
      <c r="RVG142" s="221"/>
      <c r="RVH142" s="221"/>
      <c r="RVI142" s="221"/>
      <c r="RVJ142" s="221"/>
      <c r="RVK142" s="221"/>
      <c r="RVL142" s="221"/>
      <c r="RVM142" s="221"/>
      <c r="RVN142" s="221"/>
      <c r="RVO142" s="221"/>
      <c r="RVP142" s="221"/>
      <c r="RVQ142" s="221"/>
      <c r="RVR142" s="221"/>
      <c r="RVS142" s="221"/>
      <c r="RVT142" s="221"/>
      <c r="RVU142" s="221"/>
      <c r="RVV142" s="221"/>
      <c r="RVW142" s="221"/>
      <c r="RVX142" s="221"/>
      <c r="RVY142" s="221"/>
      <c r="RVZ142" s="221"/>
      <c r="RWA142" s="221"/>
      <c r="RWB142" s="221"/>
      <c r="RWC142" s="221"/>
      <c r="RWD142" s="221"/>
      <c r="RWE142" s="221"/>
      <c r="RWF142" s="221"/>
      <c r="RWG142" s="221"/>
      <c r="RWH142" s="221"/>
      <c r="RWI142" s="221"/>
      <c r="RWJ142" s="221"/>
      <c r="RWK142" s="221"/>
      <c r="RWL142" s="221"/>
      <c r="RWM142" s="221"/>
      <c r="RWN142" s="221"/>
      <c r="RWO142" s="221"/>
      <c r="RWP142" s="221"/>
      <c r="RWQ142" s="221"/>
      <c r="RWR142" s="221"/>
      <c r="RWS142" s="221"/>
      <c r="RWT142" s="221"/>
      <c r="RWU142" s="221"/>
      <c r="RWV142" s="221"/>
      <c r="RWW142" s="221"/>
      <c r="RWX142" s="221"/>
      <c r="RWY142" s="221"/>
      <c r="RWZ142" s="221"/>
      <c r="RXA142" s="221"/>
      <c r="RXB142" s="221"/>
      <c r="RXC142" s="221"/>
      <c r="RXD142" s="221"/>
      <c r="RXE142" s="221"/>
      <c r="RXF142" s="221"/>
      <c r="RXG142" s="221"/>
      <c r="RXH142" s="221"/>
      <c r="RXI142" s="221"/>
      <c r="RXJ142" s="221"/>
      <c r="RXK142" s="221"/>
      <c r="RXL142" s="221"/>
      <c r="RXM142" s="221"/>
      <c r="RXN142" s="221"/>
      <c r="RXO142" s="221"/>
      <c r="RXP142" s="221"/>
      <c r="RXQ142" s="221"/>
      <c r="RXR142" s="221"/>
      <c r="RXS142" s="221"/>
      <c r="RXT142" s="221"/>
      <c r="RXU142" s="221"/>
      <c r="RXV142" s="221"/>
      <c r="RXW142" s="221"/>
      <c r="RXX142" s="221"/>
      <c r="RXY142" s="221"/>
      <c r="RXZ142" s="221"/>
      <c r="RYA142" s="221"/>
      <c r="RYB142" s="221"/>
      <c r="RYC142" s="221"/>
      <c r="RYD142" s="221"/>
      <c r="RYE142" s="221"/>
      <c r="RYF142" s="221"/>
      <c r="RYG142" s="221"/>
      <c r="RYH142" s="221"/>
      <c r="RYI142" s="221"/>
      <c r="RYJ142" s="221"/>
      <c r="RYK142" s="221"/>
      <c r="RYL142" s="221"/>
      <c r="RYM142" s="221"/>
      <c r="RYN142" s="221"/>
      <c r="RYO142" s="221"/>
      <c r="RYP142" s="221"/>
      <c r="RYQ142" s="221"/>
      <c r="RYR142" s="221"/>
      <c r="RYS142" s="221"/>
      <c r="RYT142" s="221"/>
      <c r="RYU142" s="221"/>
      <c r="RYV142" s="221"/>
      <c r="RYW142" s="221"/>
      <c r="RYX142" s="221"/>
      <c r="RYY142" s="221"/>
      <c r="RYZ142" s="221"/>
      <c r="RZA142" s="221"/>
      <c r="RZB142" s="221"/>
      <c r="RZC142" s="221"/>
      <c r="RZD142" s="221"/>
      <c r="RZE142" s="221"/>
      <c r="RZF142" s="221"/>
      <c r="RZG142" s="221"/>
      <c r="RZH142" s="221"/>
      <c r="RZI142" s="221"/>
      <c r="RZJ142" s="221"/>
      <c r="RZK142" s="221"/>
      <c r="RZL142" s="221"/>
      <c r="RZM142" s="221"/>
      <c r="RZN142" s="221"/>
      <c r="RZO142" s="221"/>
      <c r="RZP142" s="221"/>
      <c r="RZQ142" s="221"/>
      <c r="RZR142" s="221"/>
      <c r="RZS142" s="221"/>
      <c r="RZT142" s="221"/>
      <c r="RZU142" s="221"/>
      <c r="RZV142" s="221"/>
      <c r="RZW142" s="221"/>
      <c r="RZX142" s="221"/>
      <c r="RZY142" s="221"/>
      <c r="RZZ142" s="221"/>
      <c r="SAA142" s="221"/>
      <c r="SAB142" s="221"/>
      <c r="SAC142" s="221"/>
      <c r="SAD142" s="221"/>
      <c r="SAE142" s="221"/>
      <c r="SAF142" s="221"/>
      <c r="SAG142" s="221"/>
      <c r="SAH142" s="221"/>
      <c r="SAI142" s="221"/>
      <c r="SAJ142" s="221"/>
      <c r="SAK142" s="221"/>
      <c r="SAL142" s="221"/>
      <c r="SAM142" s="221"/>
      <c r="SAN142" s="221"/>
      <c r="SAO142" s="221"/>
      <c r="SAP142" s="221"/>
      <c r="SAQ142" s="221"/>
      <c r="SAR142" s="221"/>
      <c r="SAS142" s="221"/>
      <c r="SAT142" s="221"/>
      <c r="SAU142" s="221"/>
      <c r="SAV142" s="221"/>
      <c r="SAW142" s="221"/>
      <c r="SAX142" s="221"/>
      <c r="SAY142" s="221"/>
      <c r="SAZ142" s="221"/>
      <c r="SBA142" s="221"/>
      <c r="SBB142" s="221"/>
      <c r="SBC142" s="221"/>
      <c r="SBD142" s="221"/>
      <c r="SBE142" s="221"/>
      <c r="SBF142" s="221"/>
      <c r="SBG142" s="221"/>
      <c r="SBH142" s="221"/>
      <c r="SBI142" s="221"/>
      <c r="SBJ142" s="221"/>
      <c r="SBK142" s="221"/>
      <c r="SBL142" s="221"/>
      <c r="SBM142" s="221"/>
      <c r="SBN142" s="221"/>
      <c r="SBO142" s="221"/>
      <c r="SBP142" s="221"/>
      <c r="SBQ142" s="221"/>
      <c r="SBR142" s="221"/>
      <c r="SBS142" s="221"/>
      <c r="SBT142" s="221"/>
      <c r="SBU142" s="221"/>
      <c r="SBV142" s="221"/>
      <c r="SBW142" s="221"/>
      <c r="SBX142" s="221"/>
      <c r="SBY142" s="221"/>
      <c r="SBZ142" s="221"/>
      <c r="SCA142" s="221"/>
      <c r="SCB142" s="221"/>
      <c r="SCC142" s="221"/>
      <c r="SCD142" s="221"/>
      <c r="SCE142" s="221"/>
      <c r="SCF142" s="221"/>
      <c r="SCG142" s="221"/>
      <c r="SCH142" s="221"/>
      <c r="SCI142" s="221"/>
      <c r="SCJ142" s="221"/>
      <c r="SCK142" s="221"/>
      <c r="SCL142" s="221"/>
      <c r="SCM142" s="221"/>
      <c r="SCN142" s="221"/>
      <c r="SCO142" s="221"/>
      <c r="SCP142" s="221"/>
      <c r="SCQ142" s="221"/>
      <c r="SCR142" s="221"/>
      <c r="SCS142" s="221"/>
      <c r="SCT142" s="221"/>
      <c r="SCU142" s="221"/>
      <c r="SCV142" s="221"/>
      <c r="SCW142" s="221"/>
      <c r="SCX142" s="221"/>
      <c r="SCY142" s="221"/>
      <c r="SCZ142" s="221"/>
      <c r="SDA142" s="221"/>
      <c r="SDB142" s="221"/>
      <c r="SDC142" s="221"/>
      <c r="SDD142" s="221"/>
      <c r="SDE142" s="221"/>
      <c r="SDF142" s="221"/>
      <c r="SDG142" s="221"/>
      <c r="SDH142" s="221"/>
      <c r="SDI142" s="221"/>
      <c r="SDJ142" s="221"/>
      <c r="SDK142" s="221"/>
      <c r="SDL142" s="221"/>
      <c r="SDM142" s="221"/>
      <c r="SDN142" s="221"/>
      <c r="SDO142" s="221"/>
      <c r="SDP142" s="221"/>
      <c r="SDQ142" s="221"/>
      <c r="SDR142" s="221"/>
      <c r="SDS142" s="221"/>
      <c r="SDT142" s="221"/>
      <c r="SDU142" s="221"/>
      <c r="SDV142" s="221"/>
      <c r="SDW142" s="221"/>
      <c r="SDX142" s="221"/>
      <c r="SDY142" s="221"/>
      <c r="SDZ142" s="221"/>
      <c r="SEA142" s="221"/>
      <c r="SEB142" s="221"/>
      <c r="SEC142" s="221"/>
      <c r="SED142" s="221"/>
      <c r="SEE142" s="221"/>
      <c r="SEF142" s="221"/>
      <c r="SEG142" s="221"/>
      <c r="SEH142" s="221"/>
      <c r="SEI142" s="221"/>
      <c r="SEJ142" s="221"/>
      <c r="SEK142" s="221"/>
      <c r="SEL142" s="221"/>
      <c r="SEM142" s="221"/>
      <c r="SEN142" s="221"/>
      <c r="SEO142" s="221"/>
      <c r="SEP142" s="221"/>
      <c r="SEQ142" s="221"/>
      <c r="SER142" s="221"/>
      <c r="SES142" s="221"/>
      <c r="SET142" s="221"/>
      <c r="SEU142" s="221"/>
      <c r="SEV142" s="221"/>
      <c r="SEW142" s="221"/>
      <c r="SEX142" s="221"/>
      <c r="SEY142" s="221"/>
      <c r="SEZ142" s="221"/>
      <c r="SFA142" s="221"/>
      <c r="SFB142" s="221"/>
      <c r="SFC142" s="221"/>
      <c r="SFD142" s="221"/>
      <c r="SFE142" s="221"/>
      <c r="SFF142" s="221"/>
      <c r="SFG142" s="221"/>
      <c r="SFH142" s="221"/>
      <c r="SFI142" s="221"/>
      <c r="SFJ142" s="221"/>
      <c r="SFK142" s="221"/>
      <c r="SFL142" s="221"/>
      <c r="SFM142" s="221"/>
      <c r="SFN142" s="221"/>
      <c r="SFO142" s="221"/>
      <c r="SFP142" s="221"/>
      <c r="SFQ142" s="221"/>
      <c r="SFR142" s="221"/>
      <c r="SFS142" s="221"/>
      <c r="SFT142" s="221"/>
      <c r="SFU142" s="221"/>
      <c r="SFV142" s="221"/>
      <c r="SFW142" s="221"/>
      <c r="SFX142" s="221"/>
      <c r="SFY142" s="221"/>
      <c r="SFZ142" s="221"/>
      <c r="SGA142" s="221"/>
      <c r="SGB142" s="221"/>
      <c r="SGC142" s="221"/>
      <c r="SGD142" s="221"/>
      <c r="SGE142" s="221"/>
      <c r="SGF142" s="221"/>
      <c r="SGG142" s="221"/>
      <c r="SGH142" s="221"/>
      <c r="SGI142" s="221"/>
      <c r="SGJ142" s="221"/>
      <c r="SGK142" s="221"/>
      <c r="SGL142" s="221"/>
      <c r="SGM142" s="221"/>
      <c r="SGN142" s="221"/>
      <c r="SGO142" s="221"/>
      <c r="SGP142" s="221"/>
      <c r="SGQ142" s="221"/>
      <c r="SGR142" s="221"/>
      <c r="SGS142" s="221"/>
      <c r="SGT142" s="221"/>
      <c r="SGU142" s="221"/>
      <c r="SGV142" s="221"/>
      <c r="SGW142" s="221"/>
      <c r="SGX142" s="221"/>
      <c r="SGY142" s="221"/>
      <c r="SGZ142" s="221"/>
      <c r="SHA142" s="221"/>
      <c r="SHB142" s="221"/>
      <c r="SHC142" s="221"/>
      <c r="SHD142" s="221"/>
      <c r="SHE142" s="221"/>
      <c r="SHF142" s="221"/>
      <c r="SHG142" s="221"/>
      <c r="SHH142" s="221"/>
      <c r="SHI142" s="221"/>
      <c r="SHJ142" s="221"/>
      <c r="SHK142" s="221"/>
      <c r="SHL142" s="221"/>
      <c r="SHM142" s="221"/>
      <c r="SHN142" s="221"/>
      <c r="SHO142" s="221"/>
      <c r="SHP142" s="221"/>
      <c r="SHQ142" s="221"/>
      <c r="SHR142" s="221"/>
      <c r="SHS142" s="221"/>
      <c r="SHT142" s="221"/>
      <c r="SHU142" s="221"/>
      <c r="SHV142" s="221"/>
      <c r="SHW142" s="221"/>
      <c r="SHX142" s="221"/>
      <c r="SHY142" s="221"/>
      <c r="SHZ142" s="221"/>
      <c r="SIA142" s="221"/>
      <c r="SIB142" s="221"/>
      <c r="SIC142" s="221"/>
      <c r="SID142" s="221"/>
      <c r="SIE142" s="221"/>
      <c r="SIF142" s="221"/>
      <c r="SIG142" s="221"/>
      <c r="SIH142" s="221"/>
      <c r="SII142" s="221"/>
      <c r="SIJ142" s="221"/>
      <c r="SIK142" s="221"/>
      <c r="SIL142" s="221"/>
      <c r="SIM142" s="221"/>
      <c r="SIN142" s="221"/>
      <c r="SIO142" s="221"/>
      <c r="SIP142" s="221"/>
      <c r="SIQ142" s="221"/>
      <c r="SIR142" s="221"/>
      <c r="SIS142" s="221"/>
      <c r="SIT142" s="221"/>
      <c r="SIU142" s="221"/>
      <c r="SIV142" s="221"/>
      <c r="SIW142" s="221"/>
      <c r="SIX142" s="221"/>
      <c r="SIY142" s="221"/>
      <c r="SIZ142" s="221"/>
      <c r="SJA142" s="221"/>
      <c r="SJB142" s="221"/>
      <c r="SJC142" s="221"/>
      <c r="SJD142" s="221"/>
      <c r="SJE142" s="221"/>
      <c r="SJF142" s="221"/>
      <c r="SJG142" s="221"/>
      <c r="SJH142" s="221"/>
      <c r="SJI142" s="221"/>
      <c r="SJJ142" s="221"/>
      <c r="SJK142" s="221"/>
      <c r="SJL142" s="221"/>
      <c r="SJM142" s="221"/>
      <c r="SJN142" s="221"/>
      <c r="SJO142" s="221"/>
      <c r="SJP142" s="221"/>
      <c r="SJQ142" s="221"/>
      <c r="SJR142" s="221"/>
      <c r="SJS142" s="221"/>
      <c r="SJT142" s="221"/>
      <c r="SJU142" s="221"/>
      <c r="SJV142" s="221"/>
      <c r="SJW142" s="221"/>
      <c r="SJX142" s="221"/>
      <c r="SJY142" s="221"/>
      <c r="SJZ142" s="221"/>
      <c r="SKA142" s="221"/>
      <c r="SKB142" s="221"/>
      <c r="SKC142" s="221"/>
      <c r="SKD142" s="221"/>
      <c r="SKE142" s="221"/>
      <c r="SKF142" s="221"/>
      <c r="SKG142" s="221"/>
      <c r="SKH142" s="221"/>
      <c r="SKI142" s="221"/>
      <c r="SKJ142" s="221"/>
      <c r="SKK142" s="221"/>
      <c r="SKL142" s="221"/>
      <c r="SKM142" s="221"/>
      <c r="SKN142" s="221"/>
      <c r="SKO142" s="221"/>
      <c r="SKP142" s="221"/>
      <c r="SKQ142" s="221"/>
      <c r="SKR142" s="221"/>
      <c r="SKS142" s="221"/>
      <c r="SKT142" s="221"/>
      <c r="SKU142" s="221"/>
      <c r="SKV142" s="221"/>
      <c r="SKW142" s="221"/>
      <c r="SKX142" s="221"/>
      <c r="SKY142" s="221"/>
      <c r="SKZ142" s="221"/>
      <c r="SLA142" s="221"/>
      <c r="SLB142" s="221"/>
      <c r="SLC142" s="221"/>
      <c r="SLD142" s="221"/>
      <c r="SLE142" s="221"/>
      <c r="SLF142" s="221"/>
      <c r="SLG142" s="221"/>
      <c r="SLH142" s="221"/>
      <c r="SLI142" s="221"/>
      <c r="SLJ142" s="221"/>
      <c r="SLK142" s="221"/>
      <c r="SLL142" s="221"/>
      <c r="SLM142" s="221"/>
      <c r="SLN142" s="221"/>
      <c r="SLO142" s="221"/>
      <c r="SLP142" s="221"/>
      <c r="SLQ142" s="221"/>
      <c r="SLR142" s="221"/>
      <c r="SLS142" s="221"/>
      <c r="SLT142" s="221"/>
      <c r="SLU142" s="221"/>
      <c r="SLV142" s="221"/>
      <c r="SLW142" s="221"/>
      <c r="SLX142" s="221"/>
      <c r="SLY142" s="221"/>
      <c r="SLZ142" s="221"/>
      <c r="SMA142" s="221"/>
      <c r="SMB142" s="221"/>
      <c r="SMC142" s="221"/>
      <c r="SMD142" s="221"/>
      <c r="SME142" s="221"/>
      <c r="SMF142" s="221"/>
      <c r="SMG142" s="221"/>
      <c r="SMH142" s="221"/>
      <c r="SMI142" s="221"/>
      <c r="SMJ142" s="221"/>
      <c r="SMK142" s="221"/>
      <c r="SML142" s="221"/>
      <c r="SMM142" s="221"/>
      <c r="SMN142" s="221"/>
      <c r="SMO142" s="221"/>
      <c r="SMP142" s="221"/>
      <c r="SMQ142" s="221"/>
      <c r="SMR142" s="221"/>
      <c r="SMS142" s="221"/>
      <c r="SMT142" s="221"/>
      <c r="SMU142" s="221"/>
      <c r="SMV142" s="221"/>
      <c r="SMW142" s="221"/>
      <c r="SMX142" s="221"/>
      <c r="SMY142" s="221"/>
      <c r="SMZ142" s="221"/>
      <c r="SNA142" s="221"/>
      <c r="SNB142" s="221"/>
      <c r="SNC142" s="221"/>
      <c r="SND142" s="221"/>
      <c r="SNE142" s="221"/>
      <c r="SNF142" s="221"/>
      <c r="SNG142" s="221"/>
      <c r="SNH142" s="221"/>
      <c r="SNI142" s="221"/>
      <c r="SNJ142" s="221"/>
      <c r="SNK142" s="221"/>
      <c r="SNL142" s="221"/>
      <c r="SNM142" s="221"/>
      <c r="SNN142" s="221"/>
      <c r="SNO142" s="221"/>
      <c r="SNP142" s="221"/>
      <c r="SNQ142" s="221"/>
      <c r="SNR142" s="221"/>
      <c r="SNS142" s="221"/>
      <c r="SNT142" s="221"/>
      <c r="SNU142" s="221"/>
      <c r="SNV142" s="221"/>
      <c r="SNW142" s="221"/>
      <c r="SNX142" s="221"/>
      <c r="SNY142" s="221"/>
      <c r="SNZ142" s="221"/>
      <c r="SOA142" s="221"/>
      <c r="SOB142" s="221"/>
      <c r="SOC142" s="221"/>
      <c r="SOD142" s="221"/>
      <c r="SOE142" s="221"/>
      <c r="SOF142" s="221"/>
      <c r="SOG142" s="221"/>
      <c r="SOH142" s="221"/>
      <c r="SOI142" s="221"/>
      <c r="SOJ142" s="221"/>
      <c r="SOK142" s="221"/>
      <c r="SOL142" s="221"/>
      <c r="SOM142" s="221"/>
      <c r="SON142" s="221"/>
      <c r="SOO142" s="221"/>
      <c r="SOP142" s="221"/>
      <c r="SOQ142" s="221"/>
      <c r="SOR142" s="221"/>
      <c r="SOS142" s="221"/>
      <c r="SOT142" s="221"/>
      <c r="SOU142" s="221"/>
      <c r="SOV142" s="221"/>
      <c r="SOW142" s="221"/>
      <c r="SOX142" s="221"/>
      <c r="SOY142" s="221"/>
      <c r="SOZ142" s="221"/>
      <c r="SPA142" s="221"/>
      <c r="SPB142" s="221"/>
      <c r="SPC142" s="221"/>
      <c r="SPD142" s="221"/>
      <c r="SPE142" s="221"/>
      <c r="SPF142" s="221"/>
      <c r="SPG142" s="221"/>
      <c r="SPH142" s="221"/>
      <c r="SPI142" s="221"/>
      <c r="SPJ142" s="221"/>
      <c r="SPK142" s="221"/>
      <c r="SPL142" s="221"/>
      <c r="SPM142" s="221"/>
      <c r="SPN142" s="221"/>
      <c r="SPO142" s="221"/>
      <c r="SPP142" s="221"/>
      <c r="SPQ142" s="221"/>
      <c r="SPR142" s="221"/>
      <c r="SPS142" s="221"/>
      <c r="SPT142" s="221"/>
      <c r="SPU142" s="221"/>
      <c r="SPV142" s="221"/>
      <c r="SPW142" s="221"/>
      <c r="SPX142" s="221"/>
      <c r="SPY142" s="221"/>
      <c r="SPZ142" s="221"/>
      <c r="SQA142" s="221"/>
      <c r="SQB142" s="221"/>
      <c r="SQC142" s="221"/>
      <c r="SQD142" s="221"/>
      <c r="SQE142" s="221"/>
      <c r="SQF142" s="221"/>
      <c r="SQG142" s="221"/>
      <c r="SQH142" s="221"/>
      <c r="SQI142" s="221"/>
      <c r="SQJ142" s="221"/>
      <c r="SQK142" s="221"/>
      <c r="SQL142" s="221"/>
      <c r="SQM142" s="221"/>
      <c r="SQN142" s="221"/>
      <c r="SQO142" s="221"/>
      <c r="SQP142" s="221"/>
      <c r="SQQ142" s="221"/>
      <c r="SQR142" s="221"/>
      <c r="SQS142" s="221"/>
      <c r="SQT142" s="221"/>
      <c r="SQU142" s="221"/>
      <c r="SQV142" s="221"/>
      <c r="SQW142" s="221"/>
      <c r="SQX142" s="221"/>
      <c r="SQY142" s="221"/>
      <c r="SQZ142" s="221"/>
      <c r="SRA142" s="221"/>
      <c r="SRB142" s="221"/>
      <c r="SRC142" s="221"/>
      <c r="SRD142" s="221"/>
      <c r="SRE142" s="221"/>
      <c r="SRF142" s="221"/>
      <c r="SRG142" s="221"/>
      <c r="SRH142" s="221"/>
      <c r="SRI142" s="221"/>
      <c r="SRJ142" s="221"/>
      <c r="SRK142" s="221"/>
      <c r="SRL142" s="221"/>
      <c r="SRM142" s="221"/>
      <c r="SRN142" s="221"/>
      <c r="SRO142" s="221"/>
      <c r="SRP142" s="221"/>
      <c r="SRQ142" s="221"/>
      <c r="SRR142" s="221"/>
      <c r="SRS142" s="221"/>
      <c r="SRT142" s="221"/>
      <c r="SRU142" s="221"/>
      <c r="SRV142" s="221"/>
      <c r="SRW142" s="221"/>
      <c r="SRX142" s="221"/>
      <c r="SRY142" s="221"/>
      <c r="SRZ142" s="221"/>
      <c r="SSA142" s="221"/>
      <c r="SSB142" s="221"/>
      <c r="SSC142" s="221"/>
      <c r="SSD142" s="221"/>
      <c r="SSE142" s="221"/>
      <c r="SSF142" s="221"/>
      <c r="SSG142" s="221"/>
      <c r="SSH142" s="221"/>
      <c r="SSI142" s="221"/>
      <c r="SSJ142" s="221"/>
      <c r="SSK142" s="221"/>
      <c r="SSL142" s="221"/>
      <c r="SSM142" s="221"/>
      <c r="SSN142" s="221"/>
      <c r="SSO142" s="221"/>
      <c r="SSP142" s="221"/>
      <c r="SSQ142" s="221"/>
      <c r="SSR142" s="221"/>
      <c r="SSS142" s="221"/>
      <c r="SST142" s="221"/>
      <c r="SSU142" s="221"/>
      <c r="SSV142" s="221"/>
      <c r="SSW142" s="221"/>
      <c r="SSX142" s="221"/>
      <c r="SSY142" s="221"/>
      <c r="SSZ142" s="221"/>
      <c r="STA142" s="221"/>
      <c r="STB142" s="221"/>
      <c r="STC142" s="221"/>
      <c r="STD142" s="221"/>
      <c r="STE142" s="221"/>
      <c r="STF142" s="221"/>
      <c r="STG142" s="221"/>
      <c r="STH142" s="221"/>
      <c r="STI142" s="221"/>
      <c r="STJ142" s="221"/>
      <c r="STK142" s="221"/>
      <c r="STL142" s="221"/>
      <c r="STM142" s="221"/>
      <c r="STN142" s="221"/>
      <c r="STO142" s="221"/>
      <c r="STP142" s="221"/>
      <c r="STQ142" s="221"/>
      <c r="STR142" s="221"/>
      <c r="STS142" s="221"/>
      <c r="STT142" s="221"/>
      <c r="STU142" s="221"/>
      <c r="STV142" s="221"/>
      <c r="STW142" s="221"/>
      <c r="STX142" s="221"/>
      <c r="STY142" s="221"/>
      <c r="STZ142" s="221"/>
      <c r="SUA142" s="221"/>
      <c r="SUB142" s="221"/>
      <c r="SUC142" s="221"/>
      <c r="SUD142" s="221"/>
      <c r="SUE142" s="221"/>
      <c r="SUF142" s="221"/>
      <c r="SUG142" s="221"/>
      <c r="SUH142" s="221"/>
      <c r="SUI142" s="221"/>
      <c r="SUJ142" s="221"/>
      <c r="SUK142" s="221"/>
      <c r="SUL142" s="221"/>
      <c r="SUM142" s="221"/>
      <c r="SUN142" s="221"/>
      <c r="SUO142" s="221"/>
      <c r="SUP142" s="221"/>
      <c r="SUQ142" s="221"/>
      <c r="SUR142" s="221"/>
      <c r="SUS142" s="221"/>
      <c r="SUT142" s="221"/>
      <c r="SUU142" s="221"/>
      <c r="SUV142" s="221"/>
      <c r="SUW142" s="221"/>
      <c r="SUX142" s="221"/>
      <c r="SUY142" s="221"/>
      <c r="SUZ142" s="221"/>
      <c r="SVA142" s="221"/>
      <c r="SVB142" s="221"/>
      <c r="SVC142" s="221"/>
      <c r="SVD142" s="221"/>
      <c r="SVE142" s="221"/>
      <c r="SVF142" s="221"/>
      <c r="SVG142" s="221"/>
      <c r="SVH142" s="221"/>
      <c r="SVI142" s="221"/>
      <c r="SVJ142" s="221"/>
      <c r="SVK142" s="221"/>
      <c r="SVL142" s="221"/>
      <c r="SVM142" s="221"/>
      <c r="SVN142" s="221"/>
      <c r="SVO142" s="221"/>
      <c r="SVP142" s="221"/>
      <c r="SVQ142" s="221"/>
      <c r="SVR142" s="221"/>
      <c r="SVS142" s="221"/>
      <c r="SVT142" s="221"/>
      <c r="SVU142" s="221"/>
      <c r="SVV142" s="221"/>
      <c r="SVW142" s="221"/>
      <c r="SVX142" s="221"/>
      <c r="SVY142" s="221"/>
      <c r="SVZ142" s="221"/>
      <c r="SWA142" s="221"/>
      <c r="SWB142" s="221"/>
      <c r="SWC142" s="221"/>
      <c r="SWD142" s="221"/>
      <c r="SWE142" s="221"/>
      <c r="SWF142" s="221"/>
      <c r="SWG142" s="221"/>
      <c r="SWH142" s="221"/>
      <c r="SWI142" s="221"/>
      <c r="SWJ142" s="221"/>
      <c r="SWK142" s="221"/>
      <c r="SWL142" s="221"/>
      <c r="SWM142" s="221"/>
      <c r="SWN142" s="221"/>
      <c r="SWO142" s="221"/>
      <c r="SWP142" s="221"/>
      <c r="SWQ142" s="221"/>
      <c r="SWR142" s="221"/>
      <c r="SWS142" s="221"/>
      <c r="SWT142" s="221"/>
      <c r="SWU142" s="221"/>
      <c r="SWV142" s="221"/>
      <c r="SWW142" s="221"/>
      <c r="SWX142" s="221"/>
      <c r="SWY142" s="221"/>
      <c r="SWZ142" s="221"/>
      <c r="SXA142" s="221"/>
      <c r="SXB142" s="221"/>
      <c r="SXC142" s="221"/>
      <c r="SXD142" s="221"/>
      <c r="SXE142" s="221"/>
      <c r="SXF142" s="221"/>
      <c r="SXG142" s="221"/>
      <c r="SXH142" s="221"/>
      <c r="SXI142" s="221"/>
      <c r="SXJ142" s="221"/>
      <c r="SXK142" s="221"/>
      <c r="SXL142" s="221"/>
      <c r="SXM142" s="221"/>
      <c r="SXN142" s="221"/>
      <c r="SXO142" s="221"/>
      <c r="SXP142" s="221"/>
      <c r="SXQ142" s="221"/>
      <c r="SXR142" s="221"/>
      <c r="SXS142" s="221"/>
      <c r="SXT142" s="221"/>
      <c r="SXU142" s="221"/>
      <c r="SXV142" s="221"/>
      <c r="SXW142" s="221"/>
      <c r="SXX142" s="221"/>
      <c r="SXY142" s="221"/>
      <c r="SXZ142" s="221"/>
      <c r="SYA142" s="221"/>
      <c r="SYB142" s="221"/>
      <c r="SYC142" s="221"/>
      <c r="SYD142" s="221"/>
      <c r="SYE142" s="221"/>
      <c r="SYF142" s="221"/>
      <c r="SYG142" s="221"/>
      <c r="SYH142" s="221"/>
      <c r="SYI142" s="221"/>
      <c r="SYJ142" s="221"/>
      <c r="SYK142" s="221"/>
      <c r="SYL142" s="221"/>
      <c r="SYM142" s="221"/>
      <c r="SYN142" s="221"/>
      <c r="SYO142" s="221"/>
      <c r="SYP142" s="221"/>
      <c r="SYQ142" s="221"/>
      <c r="SYR142" s="221"/>
      <c r="SYS142" s="221"/>
      <c r="SYT142" s="221"/>
      <c r="SYU142" s="221"/>
      <c r="SYV142" s="221"/>
      <c r="SYW142" s="221"/>
      <c r="SYX142" s="221"/>
      <c r="SYY142" s="221"/>
      <c r="SYZ142" s="221"/>
      <c r="SZA142" s="221"/>
      <c r="SZB142" s="221"/>
      <c r="SZC142" s="221"/>
      <c r="SZD142" s="221"/>
      <c r="SZE142" s="221"/>
      <c r="SZF142" s="221"/>
      <c r="SZG142" s="221"/>
      <c r="SZH142" s="221"/>
      <c r="SZI142" s="221"/>
      <c r="SZJ142" s="221"/>
      <c r="SZK142" s="221"/>
      <c r="SZL142" s="221"/>
      <c r="SZM142" s="221"/>
      <c r="SZN142" s="221"/>
      <c r="SZO142" s="221"/>
      <c r="SZP142" s="221"/>
      <c r="SZQ142" s="221"/>
      <c r="SZR142" s="221"/>
      <c r="SZS142" s="221"/>
      <c r="SZT142" s="221"/>
      <c r="SZU142" s="221"/>
      <c r="SZV142" s="221"/>
      <c r="SZW142" s="221"/>
      <c r="SZX142" s="221"/>
      <c r="SZY142" s="221"/>
      <c r="SZZ142" s="221"/>
      <c r="TAA142" s="221"/>
      <c r="TAB142" s="221"/>
      <c r="TAC142" s="221"/>
      <c r="TAD142" s="221"/>
      <c r="TAE142" s="221"/>
      <c r="TAF142" s="221"/>
      <c r="TAG142" s="221"/>
      <c r="TAH142" s="221"/>
      <c r="TAI142" s="221"/>
      <c r="TAJ142" s="221"/>
      <c r="TAK142" s="221"/>
      <c r="TAL142" s="221"/>
      <c r="TAM142" s="221"/>
      <c r="TAN142" s="221"/>
      <c r="TAO142" s="221"/>
      <c r="TAP142" s="221"/>
      <c r="TAQ142" s="221"/>
      <c r="TAR142" s="221"/>
      <c r="TAS142" s="221"/>
      <c r="TAT142" s="221"/>
      <c r="TAU142" s="221"/>
      <c r="TAV142" s="221"/>
      <c r="TAW142" s="221"/>
      <c r="TAX142" s="221"/>
      <c r="TAY142" s="221"/>
      <c r="TAZ142" s="221"/>
      <c r="TBA142" s="221"/>
      <c r="TBB142" s="221"/>
      <c r="TBC142" s="221"/>
      <c r="TBD142" s="221"/>
      <c r="TBE142" s="221"/>
      <c r="TBF142" s="221"/>
      <c r="TBG142" s="221"/>
      <c r="TBH142" s="221"/>
      <c r="TBI142" s="221"/>
      <c r="TBJ142" s="221"/>
      <c r="TBK142" s="221"/>
      <c r="TBL142" s="221"/>
      <c r="TBM142" s="221"/>
      <c r="TBN142" s="221"/>
      <c r="TBO142" s="221"/>
      <c r="TBP142" s="221"/>
      <c r="TBQ142" s="221"/>
      <c r="TBR142" s="221"/>
      <c r="TBS142" s="221"/>
      <c r="TBT142" s="221"/>
      <c r="TBU142" s="221"/>
      <c r="TBV142" s="221"/>
      <c r="TBW142" s="221"/>
      <c r="TBX142" s="221"/>
      <c r="TBY142" s="221"/>
      <c r="TBZ142" s="221"/>
      <c r="TCA142" s="221"/>
      <c r="TCB142" s="221"/>
      <c r="TCC142" s="221"/>
      <c r="TCD142" s="221"/>
      <c r="TCE142" s="221"/>
      <c r="TCF142" s="221"/>
      <c r="TCG142" s="221"/>
      <c r="TCH142" s="221"/>
      <c r="TCI142" s="221"/>
      <c r="TCJ142" s="221"/>
      <c r="TCK142" s="221"/>
      <c r="TCL142" s="221"/>
      <c r="TCM142" s="221"/>
      <c r="TCN142" s="221"/>
      <c r="TCO142" s="221"/>
      <c r="TCP142" s="221"/>
      <c r="TCQ142" s="221"/>
      <c r="TCR142" s="221"/>
      <c r="TCS142" s="221"/>
      <c r="TCT142" s="221"/>
      <c r="TCU142" s="221"/>
      <c r="TCV142" s="221"/>
      <c r="TCW142" s="221"/>
      <c r="TCX142" s="221"/>
      <c r="TCY142" s="221"/>
      <c r="TCZ142" s="221"/>
      <c r="TDA142" s="221"/>
      <c r="TDB142" s="221"/>
      <c r="TDC142" s="221"/>
      <c r="TDD142" s="221"/>
      <c r="TDE142" s="221"/>
      <c r="TDF142" s="221"/>
      <c r="TDG142" s="221"/>
      <c r="TDH142" s="221"/>
      <c r="TDI142" s="221"/>
      <c r="TDJ142" s="221"/>
      <c r="TDK142" s="221"/>
      <c r="TDL142" s="221"/>
      <c r="TDM142" s="221"/>
      <c r="TDN142" s="221"/>
      <c r="TDO142" s="221"/>
      <c r="TDP142" s="221"/>
      <c r="TDQ142" s="221"/>
      <c r="TDR142" s="221"/>
      <c r="TDS142" s="221"/>
      <c r="TDT142" s="221"/>
      <c r="TDU142" s="221"/>
      <c r="TDV142" s="221"/>
      <c r="TDW142" s="221"/>
      <c r="TDX142" s="221"/>
      <c r="TDY142" s="221"/>
      <c r="TDZ142" s="221"/>
      <c r="TEA142" s="221"/>
      <c r="TEB142" s="221"/>
      <c r="TEC142" s="221"/>
      <c r="TED142" s="221"/>
      <c r="TEE142" s="221"/>
      <c r="TEF142" s="221"/>
      <c r="TEG142" s="221"/>
      <c r="TEH142" s="221"/>
      <c r="TEI142" s="221"/>
      <c r="TEJ142" s="221"/>
      <c r="TEK142" s="221"/>
      <c r="TEL142" s="221"/>
      <c r="TEM142" s="221"/>
      <c r="TEN142" s="221"/>
      <c r="TEO142" s="221"/>
      <c r="TEP142" s="221"/>
      <c r="TEQ142" s="221"/>
      <c r="TER142" s="221"/>
      <c r="TES142" s="221"/>
      <c r="TET142" s="221"/>
      <c r="TEU142" s="221"/>
      <c r="TEV142" s="221"/>
      <c r="TEW142" s="221"/>
      <c r="TEX142" s="221"/>
      <c r="TEY142" s="221"/>
      <c r="TEZ142" s="221"/>
      <c r="TFA142" s="221"/>
      <c r="TFB142" s="221"/>
      <c r="TFC142" s="221"/>
      <c r="TFD142" s="221"/>
      <c r="TFE142" s="221"/>
      <c r="TFF142" s="221"/>
      <c r="TFG142" s="221"/>
      <c r="TFH142" s="221"/>
      <c r="TFI142" s="221"/>
      <c r="TFJ142" s="221"/>
      <c r="TFK142" s="221"/>
      <c r="TFL142" s="221"/>
      <c r="TFM142" s="221"/>
      <c r="TFN142" s="221"/>
      <c r="TFO142" s="221"/>
      <c r="TFP142" s="221"/>
      <c r="TFQ142" s="221"/>
      <c r="TFR142" s="221"/>
      <c r="TFS142" s="221"/>
      <c r="TFT142" s="221"/>
      <c r="TFU142" s="221"/>
      <c r="TFV142" s="221"/>
      <c r="TFW142" s="221"/>
      <c r="TFX142" s="221"/>
      <c r="TFY142" s="221"/>
      <c r="TFZ142" s="221"/>
      <c r="TGA142" s="221"/>
      <c r="TGB142" s="221"/>
      <c r="TGC142" s="221"/>
      <c r="TGD142" s="221"/>
      <c r="TGE142" s="221"/>
      <c r="TGF142" s="221"/>
      <c r="TGG142" s="221"/>
      <c r="TGH142" s="221"/>
      <c r="TGI142" s="221"/>
      <c r="TGJ142" s="221"/>
      <c r="TGK142" s="221"/>
      <c r="TGL142" s="221"/>
      <c r="TGM142" s="221"/>
      <c r="TGN142" s="221"/>
      <c r="TGO142" s="221"/>
      <c r="TGP142" s="221"/>
      <c r="TGQ142" s="221"/>
      <c r="TGR142" s="221"/>
      <c r="TGS142" s="221"/>
      <c r="TGT142" s="221"/>
      <c r="TGU142" s="221"/>
      <c r="TGV142" s="221"/>
      <c r="TGW142" s="221"/>
      <c r="TGX142" s="221"/>
      <c r="TGY142" s="221"/>
      <c r="TGZ142" s="221"/>
      <c r="THA142" s="221"/>
      <c r="THB142" s="221"/>
      <c r="THC142" s="221"/>
      <c r="THD142" s="221"/>
      <c r="THE142" s="221"/>
      <c r="THF142" s="221"/>
      <c r="THG142" s="221"/>
      <c r="THH142" s="221"/>
      <c r="THI142" s="221"/>
      <c r="THJ142" s="221"/>
      <c r="THK142" s="221"/>
      <c r="THL142" s="221"/>
      <c r="THM142" s="221"/>
      <c r="THN142" s="221"/>
      <c r="THO142" s="221"/>
      <c r="THP142" s="221"/>
      <c r="THQ142" s="221"/>
      <c r="THR142" s="221"/>
      <c r="THS142" s="221"/>
      <c r="THT142" s="221"/>
      <c r="THU142" s="221"/>
      <c r="THV142" s="221"/>
      <c r="THW142" s="221"/>
      <c r="THX142" s="221"/>
      <c r="THY142" s="221"/>
      <c r="THZ142" s="221"/>
      <c r="TIA142" s="221"/>
      <c r="TIB142" s="221"/>
      <c r="TIC142" s="221"/>
      <c r="TID142" s="221"/>
      <c r="TIE142" s="221"/>
      <c r="TIF142" s="221"/>
      <c r="TIG142" s="221"/>
      <c r="TIH142" s="221"/>
      <c r="TII142" s="221"/>
      <c r="TIJ142" s="221"/>
      <c r="TIK142" s="221"/>
      <c r="TIL142" s="221"/>
      <c r="TIM142" s="221"/>
      <c r="TIN142" s="221"/>
      <c r="TIO142" s="221"/>
      <c r="TIP142" s="221"/>
      <c r="TIQ142" s="221"/>
      <c r="TIR142" s="221"/>
      <c r="TIS142" s="221"/>
      <c r="TIT142" s="221"/>
      <c r="TIU142" s="221"/>
      <c r="TIV142" s="221"/>
      <c r="TIW142" s="221"/>
      <c r="TIX142" s="221"/>
      <c r="TIY142" s="221"/>
      <c r="TIZ142" s="221"/>
      <c r="TJA142" s="221"/>
      <c r="TJB142" s="221"/>
      <c r="TJC142" s="221"/>
      <c r="TJD142" s="221"/>
      <c r="TJE142" s="221"/>
      <c r="TJF142" s="221"/>
      <c r="TJG142" s="221"/>
      <c r="TJH142" s="221"/>
      <c r="TJI142" s="221"/>
      <c r="TJJ142" s="221"/>
      <c r="TJK142" s="221"/>
      <c r="TJL142" s="221"/>
      <c r="TJM142" s="221"/>
      <c r="TJN142" s="221"/>
      <c r="TJO142" s="221"/>
      <c r="TJP142" s="221"/>
      <c r="TJQ142" s="221"/>
      <c r="TJR142" s="221"/>
      <c r="TJS142" s="221"/>
      <c r="TJT142" s="221"/>
      <c r="TJU142" s="221"/>
      <c r="TJV142" s="221"/>
      <c r="TJW142" s="221"/>
      <c r="TJX142" s="221"/>
      <c r="TJY142" s="221"/>
      <c r="TJZ142" s="221"/>
      <c r="TKA142" s="221"/>
      <c r="TKB142" s="221"/>
      <c r="TKC142" s="221"/>
      <c r="TKD142" s="221"/>
      <c r="TKE142" s="221"/>
      <c r="TKF142" s="221"/>
      <c r="TKG142" s="221"/>
      <c r="TKH142" s="221"/>
      <c r="TKI142" s="221"/>
      <c r="TKJ142" s="221"/>
      <c r="TKK142" s="221"/>
      <c r="TKL142" s="221"/>
      <c r="TKM142" s="221"/>
      <c r="TKN142" s="221"/>
      <c r="TKO142" s="221"/>
      <c r="TKP142" s="221"/>
      <c r="TKQ142" s="221"/>
      <c r="TKR142" s="221"/>
      <c r="TKS142" s="221"/>
      <c r="TKT142" s="221"/>
      <c r="TKU142" s="221"/>
      <c r="TKV142" s="221"/>
      <c r="TKW142" s="221"/>
      <c r="TKX142" s="221"/>
      <c r="TKY142" s="221"/>
      <c r="TKZ142" s="221"/>
      <c r="TLA142" s="221"/>
      <c r="TLB142" s="221"/>
      <c r="TLC142" s="221"/>
      <c r="TLD142" s="221"/>
      <c r="TLE142" s="221"/>
      <c r="TLF142" s="221"/>
      <c r="TLG142" s="221"/>
      <c r="TLH142" s="221"/>
      <c r="TLI142" s="221"/>
      <c r="TLJ142" s="221"/>
      <c r="TLK142" s="221"/>
      <c r="TLL142" s="221"/>
      <c r="TLM142" s="221"/>
      <c r="TLN142" s="221"/>
      <c r="TLO142" s="221"/>
      <c r="TLP142" s="221"/>
      <c r="TLQ142" s="221"/>
      <c r="TLR142" s="221"/>
      <c r="TLS142" s="221"/>
      <c r="TLT142" s="221"/>
      <c r="TLU142" s="221"/>
      <c r="TLV142" s="221"/>
      <c r="TLW142" s="221"/>
      <c r="TLX142" s="221"/>
      <c r="TLY142" s="221"/>
      <c r="TLZ142" s="221"/>
      <c r="TMA142" s="221"/>
      <c r="TMB142" s="221"/>
      <c r="TMC142" s="221"/>
      <c r="TMD142" s="221"/>
      <c r="TME142" s="221"/>
      <c r="TMF142" s="221"/>
      <c r="TMG142" s="221"/>
      <c r="TMH142" s="221"/>
      <c r="TMI142" s="221"/>
      <c r="TMJ142" s="221"/>
      <c r="TMK142" s="221"/>
      <c r="TML142" s="221"/>
      <c r="TMM142" s="221"/>
      <c r="TMN142" s="221"/>
      <c r="TMO142" s="221"/>
      <c r="TMP142" s="221"/>
      <c r="TMQ142" s="221"/>
      <c r="TMR142" s="221"/>
      <c r="TMS142" s="221"/>
      <c r="TMT142" s="221"/>
      <c r="TMU142" s="221"/>
      <c r="TMV142" s="221"/>
      <c r="TMW142" s="221"/>
      <c r="TMX142" s="221"/>
      <c r="TMY142" s="221"/>
      <c r="TMZ142" s="221"/>
      <c r="TNA142" s="221"/>
      <c r="TNB142" s="221"/>
      <c r="TNC142" s="221"/>
      <c r="TND142" s="221"/>
      <c r="TNE142" s="221"/>
      <c r="TNF142" s="221"/>
      <c r="TNG142" s="221"/>
      <c r="TNH142" s="221"/>
      <c r="TNI142" s="221"/>
      <c r="TNJ142" s="221"/>
      <c r="TNK142" s="221"/>
      <c r="TNL142" s="221"/>
      <c r="TNM142" s="221"/>
      <c r="TNN142" s="221"/>
      <c r="TNO142" s="221"/>
      <c r="TNP142" s="221"/>
      <c r="TNQ142" s="221"/>
      <c r="TNR142" s="221"/>
      <c r="TNS142" s="221"/>
      <c r="TNT142" s="221"/>
      <c r="TNU142" s="221"/>
      <c r="TNV142" s="221"/>
      <c r="TNW142" s="221"/>
      <c r="TNX142" s="221"/>
      <c r="TNY142" s="221"/>
      <c r="TNZ142" s="221"/>
      <c r="TOA142" s="221"/>
      <c r="TOB142" s="221"/>
      <c r="TOC142" s="221"/>
      <c r="TOD142" s="221"/>
      <c r="TOE142" s="221"/>
      <c r="TOF142" s="221"/>
      <c r="TOG142" s="221"/>
      <c r="TOH142" s="221"/>
      <c r="TOI142" s="221"/>
      <c r="TOJ142" s="221"/>
      <c r="TOK142" s="221"/>
      <c r="TOL142" s="221"/>
      <c r="TOM142" s="221"/>
      <c r="TON142" s="221"/>
      <c r="TOO142" s="221"/>
      <c r="TOP142" s="221"/>
      <c r="TOQ142" s="221"/>
      <c r="TOR142" s="221"/>
      <c r="TOS142" s="221"/>
      <c r="TOT142" s="221"/>
      <c r="TOU142" s="221"/>
      <c r="TOV142" s="221"/>
      <c r="TOW142" s="221"/>
      <c r="TOX142" s="221"/>
      <c r="TOY142" s="221"/>
      <c r="TOZ142" s="221"/>
      <c r="TPA142" s="221"/>
      <c r="TPB142" s="221"/>
      <c r="TPC142" s="221"/>
      <c r="TPD142" s="221"/>
      <c r="TPE142" s="221"/>
      <c r="TPF142" s="221"/>
      <c r="TPG142" s="221"/>
      <c r="TPH142" s="221"/>
      <c r="TPI142" s="221"/>
      <c r="TPJ142" s="221"/>
      <c r="TPK142" s="221"/>
      <c r="TPL142" s="221"/>
      <c r="TPM142" s="221"/>
      <c r="TPN142" s="221"/>
      <c r="TPO142" s="221"/>
      <c r="TPP142" s="221"/>
      <c r="TPQ142" s="221"/>
      <c r="TPR142" s="221"/>
      <c r="TPS142" s="221"/>
      <c r="TPT142" s="221"/>
      <c r="TPU142" s="221"/>
      <c r="TPV142" s="221"/>
      <c r="TPW142" s="221"/>
      <c r="TPX142" s="221"/>
      <c r="TPY142" s="221"/>
      <c r="TPZ142" s="221"/>
      <c r="TQA142" s="221"/>
      <c r="TQB142" s="221"/>
      <c r="TQC142" s="221"/>
      <c r="TQD142" s="221"/>
      <c r="TQE142" s="221"/>
      <c r="TQF142" s="221"/>
      <c r="TQG142" s="221"/>
      <c r="TQH142" s="221"/>
      <c r="TQI142" s="221"/>
      <c r="TQJ142" s="221"/>
      <c r="TQK142" s="221"/>
      <c r="TQL142" s="221"/>
      <c r="TQM142" s="221"/>
      <c r="TQN142" s="221"/>
      <c r="TQO142" s="221"/>
      <c r="TQP142" s="221"/>
      <c r="TQQ142" s="221"/>
      <c r="TQR142" s="221"/>
      <c r="TQS142" s="221"/>
      <c r="TQT142" s="221"/>
      <c r="TQU142" s="221"/>
      <c r="TQV142" s="221"/>
      <c r="TQW142" s="221"/>
      <c r="TQX142" s="221"/>
      <c r="TQY142" s="221"/>
      <c r="TQZ142" s="221"/>
      <c r="TRA142" s="221"/>
      <c r="TRB142" s="221"/>
      <c r="TRC142" s="221"/>
      <c r="TRD142" s="221"/>
      <c r="TRE142" s="221"/>
      <c r="TRF142" s="221"/>
      <c r="TRG142" s="221"/>
      <c r="TRH142" s="221"/>
      <c r="TRI142" s="221"/>
      <c r="TRJ142" s="221"/>
      <c r="TRK142" s="221"/>
      <c r="TRL142" s="221"/>
      <c r="TRM142" s="221"/>
      <c r="TRN142" s="221"/>
      <c r="TRO142" s="221"/>
      <c r="TRP142" s="221"/>
      <c r="TRQ142" s="221"/>
      <c r="TRR142" s="221"/>
      <c r="TRS142" s="221"/>
      <c r="TRT142" s="221"/>
      <c r="TRU142" s="221"/>
      <c r="TRV142" s="221"/>
      <c r="TRW142" s="221"/>
      <c r="TRX142" s="221"/>
      <c r="TRY142" s="221"/>
      <c r="TRZ142" s="221"/>
      <c r="TSA142" s="221"/>
      <c r="TSB142" s="221"/>
      <c r="TSC142" s="221"/>
      <c r="TSD142" s="221"/>
      <c r="TSE142" s="221"/>
      <c r="TSF142" s="221"/>
      <c r="TSG142" s="221"/>
      <c r="TSH142" s="221"/>
      <c r="TSI142" s="221"/>
      <c r="TSJ142" s="221"/>
      <c r="TSK142" s="221"/>
      <c r="TSL142" s="221"/>
      <c r="TSM142" s="221"/>
      <c r="TSN142" s="221"/>
      <c r="TSO142" s="221"/>
      <c r="TSP142" s="221"/>
      <c r="TSQ142" s="221"/>
      <c r="TSR142" s="221"/>
      <c r="TSS142" s="221"/>
      <c r="TST142" s="221"/>
      <c r="TSU142" s="221"/>
      <c r="TSV142" s="221"/>
      <c r="TSW142" s="221"/>
      <c r="TSX142" s="221"/>
      <c r="TSY142" s="221"/>
      <c r="TSZ142" s="221"/>
      <c r="TTA142" s="221"/>
      <c r="TTB142" s="221"/>
      <c r="TTC142" s="221"/>
      <c r="TTD142" s="221"/>
      <c r="TTE142" s="221"/>
      <c r="TTF142" s="221"/>
      <c r="TTG142" s="221"/>
      <c r="TTH142" s="221"/>
      <c r="TTI142" s="221"/>
      <c r="TTJ142" s="221"/>
      <c r="TTK142" s="221"/>
      <c r="TTL142" s="221"/>
      <c r="TTM142" s="221"/>
      <c r="TTN142" s="221"/>
      <c r="TTO142" s="221"/>
      <c r="TTP142" s="221"/>
      <c r="TTQ142" s="221"/>
      <c r="TTR142" s="221"/>
      <c r="TTS142" s="221"/>
      <c r="TTT142" s="221"/>
      <c r="TTU142" s="221"/>
      <c r="TTV142" s="221"/>
      <c r="TTW142" s="221"/>
      <c r="TTX142" s="221"/>
      <c r="TTY142" s="221"/>
      <c r="TTZ142" s="221"/>
      <c r="TUA142" s="221"/>
      <c r="TUB142" s="221"/>
      <c r="TUC142" s="221"/>
      <c r="TUD142" s="221"/>
      <c r="TUE142" s="221"/>
      <c r="TUF142" s="221"/>
      <c r="TUG142" s="221"/>
      <c r="TUH142" s="221"/>
      <c r="TUI142" s="221"/>
      <c r="TUJ142" s="221"/>
      <c r="TUK142" s="221"/>
      <c r="TUL142" s="221"/>
      <c r="TUM142" s="221"/>
      <c r="TUN142" s="221"/>
      <c r="TUO142" s="221"/>
      <c r="TUP142" s="221"/>
      <c r="TUQ142" s="221"/>
      <c r="TUR142" s="221"/>
      <c r="TUS142" s="221"/>
      <c r="TUT142" s="221"/>
      <c r="TUU142" s="221"/>
      <c r="TUV142" s="221"/>
      <c r="TUW142" s="221"/>
      <c r="TUX142" s="221"/>
      <c r="TUY142" s="221"/>
      <c r="TUZ142" s="221"/>
      <c r="TVA142" s="221"/>
      <c r="TVB142" s="221"/>
      <c r="TVC142" s="221"/>
      <c r="TVD142" s="221"/>
      <c r="TVE142" s="221"/>
      <c r="TVF142" s="221"/>
      <c r="TVG142" s="221"/>
      <c r="TVH142" s="221"/>
      <c r="TVI142" s="221"/>
      <c r="TVJ142" s="221"/>
      <c r="TVK142" s="221"/>
      <c r="TVL142" s="221"/>
      <c r="TVM142" s="221"/>
      <c r="TVN142" s="221"/>
      <c r="TVO142" s="221"/>
      <c r="TVP142" s="221"/>
      <c r="TVQ142" s="221"/>
      <c r="TVR142" s="221"/>
      <c r="TVS142" s="221"/>
      <c r="TVT142" s="221"/>
      <c r="TVU142" s="221"/>
      <c r="TVV142" s="221"/>
      <c r="TVW142" s="221"/>
      <c r="TVX142" s="221"/>
      <c r="TVY142" s="221"/>
      <c r="TVZ142" s="221"/>
      <c r="TWA142" s="221"/>
      <c r="TWB142" s="221"/>
      <c r="TWC142" s="221"/>
      <c r="TWD142" s="221"/>
      <c r="TWE142" s="221"/>
      <c r="TWF142" s="221"/>
      <c r="TWG142" s="221"/>
      <c r="TWH142" s="221"/>
      <c r="TWI142" s="221"/>
      <c r="TWJ142" s="221"/>
      <c r="TWK142" s="221"/>
      <c r="TWL142" s="221"/>
      <c r="TWM142" s="221"/>
      <c r="TWN142" s="221"/>
      <c r="TWO142" s="221"/>
      <c r="TWP142" s="221"/>
      <c r="TWQ142" s="221"/>
      <c r="TWR142" s="221"/>
      <c r="TWS142" s="221"/>
      <c r="TWT142" s="221"/>
      <c r="TWU142" s="221"/>
      <c r="TWV142" s="221"/>
      <c r="TWW142" s="221"/>
      <c r="TWX142" s="221"/>
      <c r="TWY142" s="221"/>
      <c r="TWZ142" s="221"/>
      <c r="TXA142" s="221"/>
      <c r="TXB142" s="221"/>
      <c r="TXC142" s="221"/>
      <c r="TXD142" s="221"/>
      <c r="TXE142" s="221"/>
      <c r="TXF142" s="221"/>
      <c r="TXG142" s="221"/>
      <c r="TXH142" s="221"/>
      <c r="TXI142" s="221"/>
      <c r="TXJ142" s="221"/>
      <c r="TXK142" s="221"/>
      <c r="TXL142" s="221"/>
      <c r="TXM142" s="221"/>
      <c r="TXN142" s="221"/>
      <c r="TXO142" s="221"/>
      <c r="TXP142" s="221"/>
      <c r="TXQ142" s="221"/>
      <c r="TXR142" s="221"/>
      <c r="TXS142" s="221"/>
      <c r="TXT142" s="221"/>
      <c r="TXU142" s="221"/>
      <c r="TXV142" s="221"/>
      <c r="TXW142" s="221"/>
      <c r="TXX142" s="221"/>
      <c r="TXY142" s="221"/>
      <c r="TXZ142" s="221"/>
      <c r="TYA142" s="221"/>
      <c r="TYB142" s="221"/>
      <c r="TYC142" s="221"/>
      <c r="TYD142" s="221"/>
      <c r="TYE142" s="221"/>
      <c r="TYF142" s="221"/>
      <c r="TYG142" s="221"/>
      <c r="TYH142" s="221"/>
      <c r="TYI142" s="221"/>
      <c r="TYJ142" s="221"/>
      <c r="TYK142" s="221"/>
      <c r="TYL142" s="221"/>
      <c r="TYM142" s="221"/>
      <c r="TYN142" s="221"/>
      <c r="TYO142" s="221"/>
      <c r="TYP142" s="221"/>
      <c r="TYQ142" s="221"/>
      <c r="TYR142" s="221"/>
      <c r="TYS142" s="221"/>
      <c r="TYT142" s="221"/>
      <c r="TYU142" s="221"/>
      <c r="TYV142" s="221"/>
      <c r="TYW142" s="221"/>
      <c r="TYX142" s="221"/>
      <c r="TYY142" s="221"/>
      <c r="TYZ142" s="221"/>
      <c r="TZA142" s="221"/>
      <c r="TZB142" s="221"/>
      <c r="TZC142" s="221"/>
      <c r="TZD142" s="221"/>
      <c r="TZE142" s="221"/>
      <c r="TZF142" s="221"/>
      <c r="TZG142" s="221"/>
      <c r="TZH142" s="221"/>
      <c r="TZI142" s="221"/>
      <c r="TZJ142" s="221"/>
      <c r="TZK142" s="221"/>
      <c r="TZL142" s="221"/>
      <c r="TZM142" s="221"/>
      <c r="TZN142" s="221"/>
      <c r="TZO142" s="221"/>
      <c r="TZP142" s="221"/>
      <c r="TZQ142" s="221"/>
      <c r="TZR142" s="221"/>
      <c r="TZS142" s="221"/>
      <c r="TZT142" s="221"/>
      <c r="TZU142" s="221"/>
      <c r="TZV142" s="221"/>
      <c r="TZW142" s="221"/>
      <c r="TZX142" s="221"/>
      <c r="TZY142" s="221"/>
      <c r="TZZ142" s="221"/>
      <c r="UAA142" s="221"/>
      <c r="UAB142" s="221"/>
      <c r="UAC142" s="221"/>
      <c r="UAD142" s="221"/>
      <c r="UAE142" s="221"/>
      <c r="UAF142" s="221"/>
      <c r="UAG142" s="221"/>
      <c r="UAH142" s="221"/>
      <c r="UAI142" s="221"/>
      <c r="UAJ142" s="221"/>
      <c r="UAK142" s="221"/>
      <c r="UAL142" s="221"/>
      <c r="UAM142" s="221"/>
      <c r="UAN142" s="221"/>
      <c r="UAO142" s="221"/>
      <c r="UAP142" s="221"/>
      <c r="UAQ142" s="221"/>
      <c r="UAR142" s="221"/>
      <c r="UAS142" s="221"/>
      <c r="UAT142" s="221"/>
      <c r="UAU142" s="221"/>
      <c r="UAV142" s="221"/>
      <c r="UAW142" s="221"/>
      <c r="UAX142" s="221"/>
      <c r="UAY142" s="221"/>
      <c r="UAZ142" s="221"/>
      <c r="UBA142" s="221"/>
      <c r="UBB142" s="221"/>
      <c r="UBC142" s="221"/>
      <c r="UBD142" s="221"/>
      <c r="UBE142" s="221"/>
      <c r="UBF142" s="221"/>
      <c r="UBG142" s="221"/>
      <c r="UBH142" s="221"/>
      <c r="UBI142" s="221"/>
      <c r="UBJ142" s="221"/>
      <c r="UBK142" s="221"/>
      <c r="UBL142" s="221"/>
      <c r="UBM142" s="221"/>
      <c r="UBN142" s="221"/>
      <c r="UBO142" s="221"/>
      <c r="UBP142" s="221"/>
      <c r="UBQ142" s="221"/>
      <c r="UBR142" s="221"/>
      <c r="UBS142" s="221"/>
      <c r="UBT142" s="221"/>
      <c r="UBU142" s="221"/>
      <c r="UBV142" s="221"/>
      <c r="UBW142" s="221"/>
      <c r="UBX142" s="221"/>
      <c r="UBY142" s="221"/>
      <c r="UBZ142" s="221"/>
      <c r="UCA142" s="221"/>
      <c r="UCB142" s="221"/>
      <c r="UCC142" s="221"/>
      <c r="UCD142" s="221"/>
      <c r="UCE142" s="221"/>
      <c r="UCF142" s="221"/>
      <c r="UCG142" s="221"/>
      <c r="UCH142" s="221"/>
      <c r="UCI142" s="221"/>
      <c r="UCJ142" s="221"/>
      <c r="UCK142" s="221"/>
      <c r="UCL142" s="221"/>
      <c r="UCM142" s="221"/>
      <c r="UCN142" s="221"/>
      <c r="UCO142" s="221"/>
      <c r="UCP142" s="221"/>
      <c r="UCQ142" s="221"/>
      <c r="UCR142" s="221"/>
      <c r="UCS142" s="221"/>
      <c r="UCT142" s="221"/>
      <c r="UCU142" s="221"/>
      <c r="UCV142" s="221"/>
      <c r="UCW142" s="221"/>
      <c r="UCX142" s="221"/>
      <c r="UCY142" s="221"/>
      <c r="UCZ142" s="221"/>
      <c r="UDA142" s="221"/>
      <c r="UDB142" s="221"/>
      <c r="UDC142" s="221"/>
      <c r="UDD142" s="221"/>
      <c r="UDE142" s="221"/>
      <c r="UDF142" s="221"/>
      <c r="UDG142" s="221"/>
      <c r="UDH142" s="221"/>
      <c r="UDI142" s="221"/>
      <c r="UDJ142" s="221"/>
      <c r="UDK142" s="221"/>
      <c r="UDL142" s="221"/>
      <c r="UDM142" s="221"/>
      <c r="UDN142" s="221"/>
      <c r="UDO142" s="221"/>
      <c r="UDP142" s="221"/>
      <c r="UDQ142" s="221"/>
      <c r="UDR142" s="221"/>
      <c r="UDS142" s="221"/>
      <c r="UDT142" s="221"/>
      <c r="UDU142" s="221"/>
      <c r="UDV142" s="221"/>
      <c r="UDW142" s="221"/>
      <c r="UDX142" s="221"/>
      <c r="UDY142" s="221"/>
      <c r="UDZ142" s="221"/>
      <c r="UEA142" s="221"/>
      <c r="UEB142" s="221"/>
      <c r="UEC142" s="221"/>
      <c r="UED142" s="221"/>
      <c r="UEE142" s="221"/>
      <c r="UEF142" s="221"/>
      <c r="UEG142" s="221"/>
      <c r="UEH142" s="221"/>
      <c r="UEI142" s="221"/>
      <c r="UEJ142" s="221"/>
      <c r="UEK142" s="221"/>
      <c r="UEL142" s="221"/>
      <c r="UEM142" s="221"/>
      <c r="UEN142" s="221"/>
      <c r="UEO142" s="221"/>
      <c r="UEP142" s="221"/>
      <c r="UEQ142" s="221"/>
      <c r="UER142" s="221"/>
      <c r="UES142" s="221"/>
      <c r="UET142" s="221"/>
      <c r="UEU142" s="221"/>
      <c r="UEV142" s="221"/>
      <c r="UEW142" s="221"/>
      <c r="UEX142" s="221"/>
      <c r="UEY142" s="221"/>
      <c r="UEZ142" s="221"/>
      <c r="UFA142" s="221"/>
      <c r="UFB142" s="221"/>
      <c r="UFC142" s="221"/>
      <c r="UFD142" s="221"/>
      <c r="UFE142" s="221"/>
      <c r="UFF142" s="221"/>
      <c r="UFG142" s="221"/>
      <c r="UFH142" s="221"/>
      <c r="UFI142" s="221"/>
      <c r="UFJ142" s="221"/>
      <c r="UFK142" s="221"/>
      <c r="UFL142" s="221"/>
      <c r="UFM142" s="221"/>
      <c r="UFN142" s="221"/>
      <c r="UFO142" s="221"/>
      <c r="UFP142" s="221"/>
      <c r="UFQ142" s="221"/>
      <c r="UFR142" s="221"/>
      <c r="UFS142" s="221"/>
      <c r="UFT142" s="221"/>
      <c r="UFU142" s="221"/>
      <c r="UFV142" s="221"/>
      <c r="UFW142" s="221"/>
      <c r="UFX142" s="221"/>
      <c r="UFY142" s="221"/>
      <c r="UFZ142" s="221"/>
      <c r="UGA142" s="221"/>
      <c r="UGB142" s="221"/>
      <c r="UGC142" s="221"/>
      <c r="UGD142" s="221"/>
      <c r="UGE142" s="221"/>
      <c r="UGF142" s="221"/>
      <c r="UGG142" s="221"/>
      <c r="UGH142" s="221"/>
      <c r="UGI142" s="221"/>
      <c r="UGJ142" s="221"/>
      <c r="UGK142" s="221"/>
      <c r="UGL142" s="221"/>
      <c r="UGM142" s="221"/>
      <c r="UGN142" s="221"/>
      <c r="UGO142" s="221"/>
      <c r="UGP142" s="221"/>
      <c r="UGQ142" s="221"/>
      <c r="UGR142" s="221"/>
      <c r="UGS142" s="221"/>
      <c r="UGT142" s="221"/>
      <c r="UGU142" s="221"/>
      <c r="UGV142" s="221"/>
      <c r="UGW142" s="221"/>
      <c r="UGX142" s="221"/>
      <c r="UGY142" s="221"/>
      <c r="UGZ142" s="221"/>
      <c r="UHA142" s="221"/>
      <c r="UHB142" s="221"/>
      <c r="UHC142" s="221"/>
      <c r="UHD142" s="221"/>
      <c r="UHE142" s="221"/>
      <c r="UHF142" s="221"/>
      <c r="UHG142" s="221"/>
      <c r="UHH142" s="221"/>
      <c r="UHI142" s="221"/>
      <c r="UHJ142" s="221"/>
      <c r="UHK142" s="221"/>
      <c r="UHL142" s="221"/>
      <c r="UHM142" s="221"/>
      <c r="UHN142" s="221"/>
      <c r="UHO142" s="221"/>
      <c r="UHP142" s="221"/>
      <c r="UHQ142" s="221"/>
      <c r="UHR142" s="221"/>
      <c r="UHS142" s="221"/>
      <c r="UHT142" s="221"/>
      <c r="UHU142" s="221"/>
      <c r="UHV142" s="221"/>
      <c r="UHW142" s="221"/>
      <c r="UHX142" s="221"/>
      <c r="UHY142" s="221"/>
      <c r="UHZ142" s="221"/>
      <c r="UIA142" s="221"/>
      <c r="UIB142" s="221"/>
      <c r="UIC142" s="221"/>
      <c r="UID142" s="221"/>
      <c r="UIE142" s="221"/>
      <c r="UIF142" s="221"/>
      <c r="UIG142" s="221"/>
      <c r="UIH142" s="221"/>
      <c r="UII142" s="221"/>
      <c r="UIJ142" s="221"/>
      <c r="UIK142" s="221"/>
      <c r="UIL142" s="221"/>
      <c r="UIM142" s="221"/>
      <c r="UIN142" s="221"/>
      <c r="UIO142" s="221"/>
      <c r="UIP142" s="221"/>
      <c r="UIQ142" s="221"/>
      <c r="UIR142" s="221"/>
      <c r="UIS142" s="221"/>
      <c r="UIT142" s="221"/>
      <c r="UIU142" s="221"/>
      <c r="UIV142" s="221"/>
      <c r="UIW142" s="221"/>
      <c r="UIX142" s="221"/>
      <c r="UIY142" s="221"/>
      <c r="UIZ142" s="221"/>
      <c r="UJA142" s="221"/>
      <c r="UJB142" s="221"/>
      <c r="UJC142" s="221"/>
      <c r="UJD142" s="221"/>
      <c r="UJE142" s="221"/>
      <c r="UJF142" s="221"/>
      <c r="UJG142" s="221"/>
      <c r="UJH142" s="221"/>
      <c r="UJI142" s="221"/>
      <c r="UJJ142" s="221"/>
      <c r="UJK142" s="221"/>
      <c r="UJL142" s="221"/>
      <c r="UJM142" s="221"/>
      <c r="UJN142" s="221"/>
      <c r="UJO142" s="221"/>
      <c r="UJP142" s="221"/>
      <c r="UJQ142" s="221"/>
      <c r="UJR142" s="221"/>
      <c r="UJS142" s="221"/>
      <c r="UJT142" s="221"/>
      <c r="UJU142" s="221"/>
      <c r="UJV142" s="221"/>
      <c r="UJW142" s="221"/>
      <c r="UJX142" s="221"/>
      <c r="UJY142" s="221"/>
      <c r="UJZ142" s="221"/>
      <c r="UKA142" s="221"/>
      <c r="UKB142" s="221"/>
      <c r="UKC142" s="221"/>
      <c r="UKD142" s="221"/>
      <c r="UKE142" s="221"/>
      <c r="UKF142" s="221"/>
      <c r="UKG142" s="221"/>
      <c r="UKH142" s="221"/>
      <c r="UKI142" s="221"/>
      <c r="UKJ142" s="221"/>
      <c r="UKK142" s="221"/>
      <c r="UKL142" s="221"/>
      <c r="UKM142" s="221"/>
      <c r="UKN142" s="221"/>
      <c r="UKO142" s="221"/>
      <c r="UKP142" s="221"/>
      <c r="UKQ142" s="221"/>
      <c r="UKR142" s="221"/>
      <c r="UKS142" s="221"/>
      <c r="UKT142" s="221"/>
      <c r="UKU142" s="221"/>
      <c r="UKV142" s="221"/>
      <c r="UKW142" s="221"/>
      <c r="UKX142" s="221"/>
      <c r="UKY142" s="221"/>
      <c r="UKZ142" s="221"/>
      <c r="ULA142" s="221"/>
      <c r="ULB142" s="221"/>
      <c r="ULC142" s="221"/>
      <c r="ULD142" s="221"/>
      <c r="ULE142" s="221"/>
      <c r="ULF142" s="221"/>
      <c r="ULG142" s="221"/>
      <c r="ULH142" s="221"/>
      <c r="ULI142" s="221"/>
      <c r="ULJ142" s="221"/>
      <c r="ULK142" s="221"/>
      <c r="ULL142" s="221"/>
      <c r="ULM142" s="221"/>
      <c r="ULN142" s="221"/>
      <c r="ULO142" s="221"/>
      <c r="ULP142" s="221"/>
      <c r="ULQ142" s="221"/>
      <c r="ULR142" s="221"/>
      <c r="ULS142" s="221"/>
      <c r="ULT142" s="221"/>
      <c r="ULU142" s="221"/>
      <c r="ULV142" s="221"/>
      <c r="ULW142" s="221"/>
      <c r="ULX142" s="221"/>
      <c r="ULY142" s="221"/>
      <c r="ULZ142" s="221"/>
      <c r="UMA142" s="221"/>
      <c r="UMB142" s="221"/>
      <c r="UMC142" s="221"/>
      <c r="UMD142" s="221"/>
      <c r="UME142" s="221"/>
      <c r="UMF142" s="221"/>
      <c r="UMG142" s="221"/>
      <c r="UMH142" s="221"/>
      <c r="UMI142" s="221"/>
      <c r="UMJ142" s="221"/>
      <c r="UMK142" s="221"/>
      <c r="UML142" s="221"/>
      <c r="UMM142" s="221"/>
      <c r="UMN142" s="221"/>
      <c r="UMO142" s="221"/>
      <c r="UMP142" s="221"/>
      <c r="UMQ142" s="221"/>
      <c r="UMR142" s="221"/>
      <c r="UMS142" s="221"/>
      <c r="UMT142" s="221"/>
      <c r="UMU142" s="221"/>
      <c r="UMV142" s="221"/>
      <c r="UMW142" s="221"/>
      <c r="UMX142" s="221"/>
      <c r="UMY142" s="221"/>
      <c r="UMZ142" s="221"/>
      <c r="UNA142" s="221"/>
      <c r="UNB142" s="221"/>
      <c r="UNC142" s="221"/>
      <c r="UND142" s="221"/>
      <c r="UNE142" s="221"/>
      <c r="UNF142" s="221"/>
      <c r="UNG142" s="221"/>
      <c r="UNH142" s="221"/>
      <c r="UNI142" s="221"/>
      <c r="UNJ142" s="221"/>
      <c r="UNK142" s="221"/>
      <c r="UNL142" s="221"/>
      <c r="UNM142" s="221"/>
      <c r="UNN142" s="221"/>
      <c r="UNO142" s="221"/>
      <c r="UNP142" s="221"/>
      <c r="UNQ142" s="221"/>
      <c r="UNR142" s="221"/>
      <c r="UNS142" s="221"/>
      <c r="UNT142" s="221"/>
      <c r="UNU142" s="221"/>
      <c r="UNV142" s="221"/>
      <c r="UNW142" s="221"/>
      <c r="UNX142" s="221"/>
      <c r="UNY142" s="221"/>
      <c r="UNZ142" s="221"/>
      <c r="UOA142" s="221"/>
      <c r="UOB142" s="221"/>
      <c r="UOC142" s="221"/>
      <c r="UOD142" s="221"/>
      <c r="UOE142" s="221"/>
      <c r="UOF142" s="221"/>
      <c r="UOG142" s="221"/>
      <c r="UOH142" s="221"/>
      <c r="UOI142" s="221"/>
      <c r="UOJ142" s="221"/>
      <c r="UOK142" s="221"/>
      <c r="UOL142" s="221"/>
      <c r="UOM142" s="221"/>
      <c r="UON142" s="221"/>
      <c r="UOO142" s="221"/>
      <c r="UOP142" s="221"/>
      <c r="UOQ142" s="221"/>
      <c r="UOR142" s="221"/>
      <c r="UOS142" s="221"/>
      <c r="UOT142" s="221"/>
      <c r="UOU142" s="221"/>
      <c r="UOV142" s="221"/>
      <c r="UOW142" s="221"/>
      <c r="UOX142" s="221"/>
      <c r="UOY142" s="221"/>
      <c r="UOZ142" s="221"/>
      <c r="UPA142" s="221"/>
      <c r="UPB142" s="221"/>
      <c r="UPC142" s="221"/>
      <c r="UPD142" s="221"/>
      <c r="UPE142" s="221"/>
      <c r="UPF142" s="221"/>
      <c r="UPG142" s="221"/>
      <c r="UPH142" s="221"/>
      <c r="UPI142" s="221"/>
      <c r="UPJ142" s="221"/>
      <c r="UPK142" s="221"/>
      <c r="UPL142" s="221"/>
      <c r="UPM142" s="221"/>
      <c r="UPN142" s="221"/>
      <c r="UPO142" s="221"/>
      <c r="UPP142" s="221"/>
      <c r="UPQ142" s="221"/>
      <c r="UPR142" s="221"/>
      <c r="UPS142" s="221"/>
      <c r="UPT142" s="221"/>
      <c r="UPU142" s="221"/>
      <c r="UPV142" s="221"/>
      <c r="UPW142" s="221"/>
      <c r="UPX142" s="221"/>
      <c r="UPY142" s="221"/>
      <c r="UPZ142" s="221"/>
      <c r="UQA142" s="221"/>
      <c r="UQB142" s="221"/>
      <c r="UQC142" s="221"/>
      <c r="UQD142" s="221"/>
      <c r="UQE142" s="221"/>
      <c r="UQF142" s="221"/>
      <c r="UQG142" s="221"/>
      <c r="UQH142" s="221"/>
      <c r="UQI142" s="221"/>
      <c r="UQJ142" s="221"/>
      <c r="UQK142" s="221"/>
      <c r="UQL142" s="221"/>
      <c r="UQM142" s="221"/>
      <c r="UQN142" s="221"/>
      <c r="UQO142" s="221"/>
      <c r="UQP142" s="221"/>
      <c r="UQQ142" s="221"/>
      <c r="UQR142" s="221"/>
      <c r="UQS142" s="221"/>
      <c r="UQT142" s="221"/>
      <c r="UQU142" s="221"/>
      <c r="UQV142" s="221"/>
      <c r="UQW142" s="221"/>
      <c r="UQX142" s="221"/>
      <c r="UQY142" s="221"/>
      <c r="UQZ142" s="221"/>
      <c r="URA142" s="221"/>
      <c r="URB142" s="221"/>
      <c r="URC142" s="221"/>
      <c r="URD142" s="221"/>
      <c r="URE142" s="221"/>
      <c r="URF142" s="221"/>
      <c r="URG142" s="221"/>
      <c r="URH142" s="221"/>
      <c r="URI142" s="221"/>
      <c r="URJ142" s="221"/>
      <c r="URK142" s="221"/>
      <c r="URL142" s="221"/>
      <c r="URM142" s="221"/>
      <c r="URN142" s="221"/>
      <c r="URO142" s="221"/>
      <c r="URP142" s="221"/>
      <c r="URQ142" s="221"/>
      <c r="URR142" s="221"/>
      <c r="URS142" s="221"/>
      <c r="URT142" s="221"/>
      <c r="URU142" s="221"/>
      <c r="URV142" s="221"/>
      <c r="URW142" s="221"/>
      <c r="URX142" s="221"/>
      <c r="URY142" s="221"/>
      <c r="URZ142" s="221"/>
      <c r="USA142" s="221"/>
      <c r="USB142" s="221"/>
      <c r="USC142" s="221"/>
      <c r="USD142" s="221"/>
      <c r="USE142" s="221"/>
      <c r="USF142" s="221"/>
      <c r="USG142" s="221"/>
      <c r="USH142" s="221"/>
      <c r="USI142" s="221"/>
      <c r="USJ142" s="221"/>
      <c r="USK142" s="221"/>
      <c r="USL142" s="221"/>
      <c r="USM142" s="221"/>
      <c r="USN142" s="221"/>
      <c r="USO142" s="221"/>
      <c r="USP142" s="221"/>
      <c r="USQ142" s="221"/>
      <c r="USR142" s="221"/>
      <c r="USS142" s="221"/>
      <c r="UST142" s="221"/>
      <c r="USU142" s="221"/>
      <c r="USV142" s="221"/>
      <c r="USW142" s="221"/>
      <c r="USX142" s="221"/>
      <c r="USY142" s="221"/>
      <c r="USZ142" s="221"/>
      <c r="UTA142" s="221"/>
      <c r="UTB142" s="221"/>
      <c r="UTC142" s="221"/>
      <c r="UTD142" s="221"/>
      <c r="UTE142" s="221"/>
      <c r="UTF142" s="221"/>
      <c r="UTG142" s="221"/>
      <c r="UTH142" s="221"/>
      <c r="UTI142" s="221"/>
      <c r="UTJ142" s="221"/>
      <c r="UTK142" s="221"/>
      <c r="UTL142" s="221"/>
      <c r="UTM142" s="221"/>
      <c r="UTN142" s="221"/>
      <c r="UTO142" s="221"/>
      <c r="UTP142" s="221"/>
      <c r="UTQ142" s="221"/>
      <c r="UTR142" s="221"/>
      <c r="UTS142" s="221"/>
      <c r="UTT142" s="221"/>
      <c r="UTU142" s="221"/>
      <c r="UTV142" s="221"/>
      <c r="UTW142" s="221"/>
      <c r="UTX142" s="221"/>
      <c r="UTY142" s="221"/>
      <c r="UTZ142" s="221"/>
      <c r="UUA142" s="221"/>
      <c r="UUB142" s="221"/>
      <c r="UUC142" s="221"/>
      <c r="UUD142" s="221"/>
      <c r="UUE142" s="221"/>
      <c r="UUF142" s="221"/>
      <c r="UUG142" s="221"/>
      <c r="UUH142" s="221"/>
      <c r="UUI142" s="221"/>
      <c r="UUJ142" s="221"/>
      <c r="UUK142" s="221"/>
      <c r="UUL142" s="221"/>
      <c r="UUM142" s="221"/>
      <c r="UUN142" s="221"/>
      <c r="UUO142" s="221"/>
      <c r="UUP142" s="221"/>
      <c r="UUQ142" s="221"/>
      <c r="UUR142" s="221"/>
      <c r="UUS142" s="221"/>
      <c r="UUT142" s="221"/>
      <c r="UUU142" s="221"/>
      <c r="UUV142" s="221"/>
      <c r="UUW142" s="221"/>
      <c r="UUX142" s="221"/>
      <c r="UUY142" s="221"/>
      <c r="UUZ142" s="221"/>
      <c r="UVA142" s="221"/>
      <c r="UVB142" s="221"/>
      <c r="UVC142" s="221"/>
      <c r="UVD142" s="221"/>
      <c r="UVE142" s="221"/>
      <c r="UVF142" s="221"/>
      <c r="UVG142" s="221"/>
      <c r="UVH142" s="221"/>
      <c r="UVI142" s="221"/>
      <c r="UVJ142" s="221"/>
      <c r="UVK142" s="221"/>
      <c r="UVL142" s="221"/>
      <c r="UVM142" s="221"/>
      <c r="UVN142" s="221"/>
      <c r="UVO142" s="221"/>
      <c r="UVP142" s="221"/>
      <c r="UVQ142" s="221"/>
      <c r="UVR142" s="221"/>
      <c r="UVS142" s="221"/>
      <c r="UVT142" s="221"/>
      <c r="UVU142" s="221"/>
      <c r="UVV142" s="221"/>
      <c r="UVW142" s="221"/>
      <c r="UVX142" s="221"/>
      <c r="UVY142" s="221"/>
      <c r="UVZ142" s="221"/>
      <c r="UWA142" s="221"/>
      <c r="UWB142" s="221"/>
      <c r="UWC142" s="221"/>
      <c r="UWD142" s="221"/>
      <c r="UWE142" s="221"/>
      <c r="UWF142" s="221"/>
      <c r="UWG142" s="221"/>
      <c r="UWH142" s="221"/>
      <c r="UWI142" s="221"/>
      <c r="UWJ142" s="221"/>
      <c r="UWK142" s="221"/>
      <c r="UWL142" s="221"/>
      <c r="UWM142" s="221"/>
      <c r="UWN142" s="221"/>
      <c r="UWO142" s="221"/>
      <c r="UWP142" s="221"/>
      <c r="UWQ142" s="221"/>
      <c r="UWR142" s="221"/>
      <c r="UWS142" s="221"/>
      <c r="UWT142" s="221"/>
      <c r="UWU142" s="221"/>
      <c r="UWV142" s="221"/>
      <c r="UWW142" s="221"/>
      <c r="UWX142" s="221"/>
      <c r="UWY142" s="221"/>
      <c r="UWZ142" s="221"/>
      <c r="UXA142" s="221"/>
      <c r="UXB142" s="221"/>
      <c r="UXC142" s="221"/>
      <c r="UXD142" s="221"/>
      <c r="UXE142" s="221"/>
      <c r="UXF142" s="221"/>
      <c r="UXG142" s="221"/>
      <c r="UXH142" s="221"/>
      <c r="UXI142" s="221"/>
      <c r="UXJ142" s="221"/>
      <c r="UXK142" s="221"/>
      <c r="UXL142" s="221"/>
      <c r="UXM142" s="221"/>
      <c r="UXN142" s="221"/>
      <c r="UXO142" s="221"/>
      <c r="UXP142" s="221"/>
      <c r="UXQ142" s="221"/>
      <c r="UXR142" s="221"/>
      <c r="UXS142" s="221"/>
      <c r="UXT142" s="221"/>
      <c r="UXU142" s="221"/>
      <c r="UXV142" s="221"/>
      <c r="UXW142" s="221"/>
      <c r="UXX142" s="221"/>
      <c r="UXY142" s="221"/>
      <c r="UXZ142" s="221"/>
      <c r="UYA142" s="221"/>
      <c r="UYB142" s="221"/>
      <c r="UYC142" s="221"/>
      <c r="UYD142" s="221"/>
      <c r="UYE142" s="221"/>
      <c r="UYF142" s="221"/>
      <c r="UYG142" s="221"/>
      <c r="UYH142" s="221"/>
      <c r="UYI142" s="221"/>
      <c r="UYJ142" s="221"/>
      <c r="UYK142" s="221"/>
      <c r="UYL142" s="221"/>
      <c r="UYM142" s="221"/>
      <c r="UYN142" s="221"/>
      <c r="UYO142" s="221"/>
      <c r="UYP142" s="221"/>
      <c r="UYQ142" s="221"/>
      <c r="UYR142" s="221"/>
      <c r="UYS142" s="221"/>
      <c r="UYT142" s="221"/>
      <c r="UYU142" s="221"/>
      <c r="UYV142" s="221"/>
      <c r="UYW142" s="221"/>
      <c r="UYX142" s="221"/>
      <c r="UYY142" s="221"/>
      <c r="UYZ142" s="221"/>
      <c r="UZA142" s="221"/>
      <c r="UZB142" s="221"/>
      <c r="UZC142" s="221"/>
      <c r="UZD142" s="221"/>
      <c r="UZE142" s="221"/>
      <c r="UZF142" s="221"/>
      <c r="UZG142" s="221"/>
      <c r="UZH142" s="221"/>
      <c r="UZI142" s="221"/>
      <c r="UZJ142" s="221"/>
      <c r="UZK142" s="221"/>
      <c r="UZL142" s="221"/>
      <c r="UZM142" s="221"/>
      <c r="UZN142" s="221"/>
      <c r="UZO142" s="221"/>
      <c r="UZP142" s="221"/>
      <c r="UZQ142" s="221"/>
      <c r="UZR142" s="221"/>
      <c r="UZS142" s="221"/>
      <c r="UZT142" s="221"/>
      <c r="UZU142" s="221"/>
      <c r="UZV142" s="221"/>
      <c r="UZW142" s="221"/>
      <c r="UZX142" s="221"/>
      <c r="UZY142" s="221"/>
      <c r="UZZ142" s="221"/>
      <c r="VAA142" s="221"/>
      <c r="VAB142" s="221"/>
      <c r="VAC142" s="221"/>
      <c r="VAD142" s="221"/>
      <c r="VAE142" s="221"/>
      <c r="VAF142" s="221"/>
      <c r="VAG142" s="221"/>
      <c r="VAH142" s="221"/>
      <c r="VAI142" s="221"/>
      <c r="VAJ142" s="221"/>
      <c r="VAK142" s="221"/>
      <c r="VAL142" s="221"/>
      <c r="VAM142" s="221"/>
      <c r="VAN142" s="221"/>
      <c r="VAO142" s="221"/>
      <c r="VAP142" s="221"/>
      <c r="VAQ142" s="221"/>
      <c r="VAR142" s="221"/>
      <c r="VAS142" s="221"/>
      <c r="VAT142" s="221"/>
      <c r="VAU142" s="221"/>
      <c r="VAV142" s="221"/>
      <c r="VAW142" s="221"/>
      <c r="VAX142" s="221"/>
      <c r="VAY142" s="221"/>
      <c r="VAZ142" s="221"/>
      <c r="VBA142" s="221"/>
      <c r="VBB142" s="221"/>
      <c r="VBC142" s="221"/>
      <c r="VBD142" s="221"/>
      <c r="VBE142" s="221"/>
      <c r="VBF142" s="221"/>
      <c r="VBG142" s="221"/>
      <c r="VBH142" s="221"/>
      <c r="VBI142" s="221"/>
      <c r="VBJ142" s="221"/>
      <c r="VBK142" s="221"/>
      <c r="VBL142" s="221"/>
      <c r="VBM142" s="221"/>
      <c r="VBN142" s="221"/>
      <c r="VBO142" s="221"/>
      <c r="VBP142" s="221"/>
      <c r="VBQ142" s="221"/>
      <c r="VBR142" s="221"/>
      <c r="VBS142" s="221"/>
      <c r="VBT142" s="221"/>
      <c r="VBU142" s="221"/>
      <c r="VBV142" s="221"/>
      <c r="VBW142" s="221"/>
      <c r="VBX142" s="221"/>
      <c r="VBY142" s="221"/>
      <c r="VBZ142" s="221"/>
      <c r="VCA142" s="221"/>
      <c r="VCB142" s="221"/>
      <c r="VCC142" s="221"/>
      <c r="VCD142" s="221"/>
      <c r="VCE142" s="221"/>
      <c r="VCF142" s="221"/>
      <c r="VCG142" s="221"/>
      <c r="VCH142" s="221"/>
      <c r="VCI142" s="221"/>
      <c r="VCJ142" s="221"/>
      <c r="VCK142" s="221"/>
      <c r="VCL142" s="221"/>
      <c r="VCM142" s="221"/>
      <c r="VCN142" s="221"/>
      <c r="VCO142" s="221"/>
      <c r="VCP142" s="221"/>
      <c r="VCQ142" s="221"/>
      <c r="VCR142" s="221"/>
      <c r="VCS142" s="221"/>
      <c r="VCT142" s="221"/>
      <c r="VCU142" s="221"/>
      <c r="VCV142" s="221"/>
      <c r="VCW142" s="221"/>
      <c r="VCX142" s="221"/>
      <c r="VCY142" s="221"/>
      <c r="VCZ142" s="221"/>
      <c r="VDA142" s="221"/>
      <c r="VDB142" s="221"/>
      <c r="VDC142" s="221"/>
      <c r="VDD142" s="221"/>
      <c r="VDE142" s="221"/>
      <c r="VDF142" s="221"/>
      <c r="VDG142" s="221"/>
      <c r="VDH142" s="221"/>
      <c r="VDI142" s="221"/>
      <c r="VDJ142" s="221"/>
      <c r="VDK142" s="221"/>
      <c r="VDL142" s="221"/>
      <c r="VDM142" s="221"/>
      <c r="VDN142" s="221"/>
      <c r="VDO142" s="221"/>
      <c r="VDP142" s="221"/>
      <c r="VDQ142" s="221"/>
      <c r="VDR142" s="221"/>
      <c r="VDS142" s="221"/>
      <c r="VDT142" s="221"/>
      <c r="VDU142" s="221"/>
      <c r="VDV142" s="221"/>
      <c r="VDW142" s="221"/>
      <c r="VDX142" s="221"/>
      <c r="VDY142" s="221"/>
      <c r="VDZ142" s="221"/>
      <c r="VEA142" s="221"/>
      <c r="VEB142" s="221"/>
      <c r="VEC142" s="221"/>
      <c r="VED142" s="221"/>
      <c r="VEE142" s="221"/>
      <c r="VEF142" s="221"/>
      <c r="VEG142" s="221"/>
      <c r="VEH142" s="221"/>
      <c r="VEI142" s="221"/>
      <c r="VEJ142" s="221"/>
      <c r="VEK142" s="221"/>
      <c r="VEL142" s="221"/>
      <c r="VEM142" s="221"/>
      <c r="VEN142" s="221"/>
      <c r="VEO142" s="221"/>
      <c r="VEP142" s="221"/>
      <c r="VEQ142" s="221"/>
      <c r="VER142" s="221"/>
      <c r="VES142" s="221"/>
      <c r="VET142" s="221"/>
      <c r="VEU142" s="221"/>
      <c r="VEV142" s="221"/>
      <c r="VEW142" s="221"/>
      <c r="VEX142" s="221"/>
      <c r="VEY142" s="221"/>
      <c r="VEZ142" s="221"/>
      <c r="VFA142" s="221"/>
      <c r="VFB142" s="221"/>
      <c r="VFC142" s="221"/>
      <c r="VFD142" s="221"/>
      <c r="VFE142" s="221"/>
      <c r="VFF142" s="221"/>
      <c r="VFG142" s="221"/>
      <c r="VFH142" s="221"/>
      <c r="VFI142" s="221"/>
      <c r="VFJ142" s="221"/>
      <c r="VFK142" s="221"/>
      <c r="VFL142" s="221"/>
      <c r="VFM142" s="221"/>
      <c r="VFN142" s="221"/>
      <c r="VFO142" s="221"/>
      <c r="VFP142" s="221"/>
      <c r="VFQ142" s="221"/>
      <c r="VFR142" s="221"/>
      <c r="VFS142" s="221"/>
      <c r="VFT142" s="221"/>
      <c r="VFU142" s="221"/>
      <c r="VFV142" s="221"/>
      <c r="VFW142" s="221"/>
      <c r="VFX142" s="221"/>
      <c r="VFY142" s="221"/>
      <c r="VFZ142" s="221"/>
      <c r="VGA142" s="221"/>
      <c r="VGB142" s="221"/>
      <c r="VGC142" s="221"/>
      <c r="VGD142" s="221"/>
      <c r="VGE142" s="221"/>
      <c r="VGF142" s="221"/>
      <c r="VGG142" s="221"/>
      <c r="VGH142" s="221"/>
      <c r="VGI142" s="221"/>
      <c r="VGJ142" s="221"/>
      <c r="VGK142" s="221"/>
      <c r="VGL142" s="221"/>
      <c r="VGM142" s="221"/>
      <c r="VGN142" s="221"/>
      <c r="VGO142" s="221"/>
      <c r="VGP142" s="221"/>
      <c r="VGQ142" s="221"/>
      <c r="VGR142" s="221"/>
      <c r="VGS142" s="221"/>
      <c r="VGT142" s="221"/>
      <c r="VGU142" s="221"/>
      <c r="VGV142" s="221"/>
      <c r="VGW142" s="221"/>
      <c r="VGX142" s="221"/>
      <c r="VGY142" s="221"/>
      <c r="VGZ142" s="221"/>
      <c r="VHA142" s="221"/>
      <c r="VHB142" s="221"/>
      <c r="VHC142" s="221"/>
      <c r="VHD142" s="221"/>
      <c r="VHE142" s="221"/>
      <c r="VHF142" s="221"/>
      <c r="VHG142" s="221"/>
      <c r="VHH142" s="221"/>
      <c r="VHI142" s="221"/>
      <c r="VHJ142" s="221"/>
      <c r="VHK142" s="221"/>
      <c r="VHL142" s="221"/>
      <c r="VHM142" s="221"/>
      <c r="VHN142" s="221"/>
      <c r="VHO142" s="221"/>
      <c r="VHP142" s="221"/>
      <c r="VHQ142" s="221"/>
      <c r="VHR142" s="221"/>
      <c r="VHS142" s="221"/>
      <c r="VHT142" s="221"/>
      <c r="VHU142" s="221"/>
      <c r="VHV142" s="221"/>
      <c r="VHW142" s="221"/>
      <c r="VHX142" s="221"/>
      <c r="VHY142" s="221"/>
      <c r="VHZ142" s="221"/>
      <c r="VIA142" s="221"/>
      <c r="VIB142" s="221"/>
      <c r="VIC142" s="221"/>
      <c r="VID142" s="221"/>
      <c r="VIE142" s="221"/>
      <c r="VIF142" s="221"/>
      <c r="VIG142" s="221"/>
      <c r="VIH142" s="221"/>
      <c r="VII142" s="221"/>
      <c r="VIJ142" s="221"/>
      <c r="VIK142" s="221"/>
      <c r="VIL142" s="221"/>
      <c r="VIM142" s="221"/>
      <c r="VIN142" s="221"/>
      <c r="VIO142" s="221"/>
      <c r="VIP142" s="221"/>
      <c r="VIQ142" s="221"/>
      <c r="VIR142" s="221"/>
      <c r="VIS142" s="221"/>
      <c r="VIT142" s="221"/>
      <c r="VIU142" s="221"/>
      <c r="VIV142" s="221"/>
      <c r="VIW142" s="221"/>
      <c r="VIX142" s="221"/>
      <c r="VIY142" s="221"/>
      <c r="VIZ142" s="221"/>
      <c r="VJA142" s="221"/>
      <c r="VJB142" s="221"/>
      <c r="VJC142" s="221"/>
      <c r="VJD142" s="221"/>
      <c r="VJE142" s="221"/>
      <c r="VJF142" s="221"/>
      <c r="VJG142" s="221"/>
      <c r="VJH142" s="221"/>
      <c r="VJI142" s="221"/>
      <c r="VJJ142" s="221"/>
      <c r="VJK142" s="221"/>
      <c r="VJL142" s="221"/>
      <c r="VJM142" s="221"/>
      <c r="VJN142" s="221"/>
      <c r="VJO142" s="221"/>
      <c r="VJP142" s="221"/>
      <c r="VJQ142" s="221"/>
      <c r="VJR142" s="221"/>
      <c r="VJS142" s="221"/>
      <c r="VJT142" s="221"/>
      <c r="VJU142" s="221"/>
      <c r="VJV142" s="221"/>
      <c r="VJW142" s="221"/>
      <c r="VJX142" s="221"/>
      <c r="VJY142" s="221"/>
      <c r="VJZ142" s="221"/>
      <c r="VKA142" s="221"/>
      <c r="VKB142" s="221"/>
      <c r="VKC142" s="221"/>
      <c r="VKD142" s="221"/>
      <c r="VKE142" s="221"/>
      <c r="VKF142" s="221"/>
      <c r="VKG142" s="221"/>
      <c r="VKH142" s="221"/>
      <c r="VKI142" s="221"/>
      <c r="VKJ142" s="221"/>
      <c r="VKK142" s="221"/>
      <c r="VKL142" s="221"/>
      <c r="VKM142" s="221"/>
      <c r="VKN142" s="221"/>
      <c r="VKO142" s="221"/>
      <c r="VKP142" s="221"/>
      <c r="VKQ142" s="221"/>
      <c r="VKR142" s="221"/>
      <c r="VKS142" s="221"/>
      <c r="VKT142" s="221"/>
      <c r="VKU142" s="221"/>
      <c r="VKV142" s="221"/>
      <c r="VKW142" s="221"/>
      <c r="VKX142" s="221"/>
      <c r="VKY142" s="221"/>
      <c r="VKZ142" s="221"/>
      <c r="VLA142" s="221"/>
      <c r="VLB142" s="221"/>
      <c r="VLC142" s="221"/>
      <c r="VLD142" s="221"/>
      <c r="VLE142" s="221"/>
      <c r="VLF142" s="221"/>
      <c r="VLG142" s="221"/>
      <c r="VLH142" s="221"/>
      <c r="VLI142" s="221"/>
      <c r="VLJ142" s="221"/>
      <c r="VLK142" s="221"/>
      <c r="VLL142" s="221"/>
      <c r="VLM142" s="221"/>
      <c r="VLN142" s="221"/>
      <c r="VLO142" s="221"/>
      <c r="VLP142" s="221"/>
      <c r="VLQ142" s="221"/>
      <c r="VLR142" s="221"/>
      <c r="VLS142" s="221"/>
      <c r="VLT142" s="221"/>
      <c r="VLU142" s="221"/>
      <c r="VLV142" s="221"/>
      <c r="VLW142" s="221"/>
      <c r="VLX142" s="221"/>
      <c r="VLY142" s="221"/>
      <c r="VLZ142" s="221"/>
      <c r="VMA142" s="221"/>
      <c r="VMB142" s="221"/>
      <c r="VMC142" s="221"/>
      <c r="VMD142" s="221"/>
      <c r="VME142" s="221"/>
      <c r="VMF142" s="221"/>
      <c r="VMG142" s="221"/>
      <c r="VMH142" s="221"/>
      <c r="VMI142" s="221"/>
      <c r="VMJ142" s="221"/>
      <c r="VMK142" s="221"/>
      <c r="VML142" s="221"/>
      <c r="VMM142" s="221"/>
      <c r="VMN142" s="221"/>
      <c r="VMO142" s="221"/>
      <c r="VMP142" s="221"/>
      <c r="VMQ142" s="221"/>
      <c r="VMR142" s="221"/>
      <c r="VMS142" s="221"/>
      <c r="VMT142" s="221"/>
      <c r="VMU142" s="221"/>
      <c r="VMV142" s="221"/>
      <c r="VMW142" s="221"/>
      <c r="VMX142" s="221"/>
      <c r="VMY142" s="221"/>
      <c r="VMZ142" s="221"/>
      <c r="VNA142" s="221"/>
      <c r="VNB142" s="221"/>
      <c r="VNC142" s="221"/>
      <c r="VND142" s="221"/>
      <c r="VNE142" s="221"/>
      <c r="VNF142" s="221"/>
      <c r="VNG142" s="221"/>
      <c r="VNH142" s="221"/>
      <c r="VNI142" s="221"/>
      <c r="VNJ142" s="221"/>
      <c r="VNK142" s="221"/>
      <c r="VNL142" s="221"/>
      <c r="VNM142" s="221"/>
      <c r="VNN142" s="221"/>
      <c r="VNO142" s="221"/>
      <c r="VNP142" s="221"/>
      <c r="VNQ142" s="221"/>
      <c r="VNR142" s="221"/>
      <c r="VNS142" s="221"/>
      <c r="VNT142" s="221"/>
      <c r="VNU142" s="221"/>
      <c r="VNV142" s="221"/>
      <c r="VNW142" s="221"/>
      <c r="VNX142" s="221"/>
      <c r="VNY142" s="221"/>
      <c r="VNZ142" s="221"/>
      <c r="VOA142" s="221"/>
      <c r="VOB142" s="221"/>
      <c r="VOC142" s="221"/>
      <c r="VOD142" s="221"/>
      <c r="VOE142" s="221"/>
      <c r="VOF142" s="221"/>
      <c r="VOG142" s="221"/>
      <c r="VOH142" s="221"/>
      <c r="VOI142" s="221"/>
      <c r="VOJ142" s="221"/>
      <c r="VOK142" s="221"/>
      <c r="VOL142" s="221"/>
      <c r="VOM142" s="221"/>
      <c r="VON142" s="221"/>
      <c r="VOO142" s="221"/>
      <c r="VOP142" s="221"/>
      <c r="VOQ142" s="221"/>
      <c r="VOR142" s="221"/>
      <c r="VOS142" s="221"/>
      <c r="VOT142" s="221"/>
      <c r="VOU142" s="221"/>
      <c r="VOV142" s="221"/>
      <c r="VOW142" s="221"/>
      <c r="VOX142" s="221"/>
      <c r="VOY142" s="221"/>
      <c r="VOZ142" s="221"/>
      <c r="VPA142" s="221"/>
      <c r="VPB142" s="221"/>
      <c r="VPC142" s="221"/>
      <c r="VPD142" s="221"/>
      <c r="VPE142" s="221"/>
      <c r="VPF142" s="221"/>
      <c r="VPG142" s="221"/>
      <c r="VPH142" s="221"/>
      <c r="VPI142" s="221"/>
      <c r="VPJ142" s="221"/>
      <c r="VPK142" s="221"/>
      <c r="VPL142" s="221"/>
      <c r="VPM142" s="221"/>
      <c r="VPN142" s="221"/>
      <c r="VPO142" s="221"/>
      <c r="VPP142" s="221"/>
      <c r="VPQ142" s="221"/>
      <c r="VPR142" s="221"/>
      <c r="VPS142" s="221"/>
      <c r="VPT142" s="221"/>
      <c r="VPU142" s="221"/>
      <c r="VPV142" s="221"/>
      <c r="VPW142" s="221"/>
      <c r="VPX142" s="221"/>
      <c r="VPY142" s="221"/>
      <c r="VPZ142" s="221"/>
      <c r="VQA142" s="221"/>
      <c r="VQB142" s="221"/>
      <c r="VQC142" s="221"/>
      <c r="VQD142" s="221"/>
      <c r="VQE142" s="221"/>
      <c r="VQF142" s="221"/>
      <c r="VQG142" s="221"/>
      <c r="VQH142" s="221"/>
      <c r="VQI142" s="221"/>
      <c r="VQJ142" s="221"/>
      <c r="VQK142" s="221"/>
      <c r="VQL142" s="221"/>
      <c r="VQM142" s="221"/>
      <c r="VQN142" s="221"/>
      <c r="VQO142" s="221"/>
      <c r="VQP142" s="221"/>
      <c r="VQQ142" s="221"/>
      <c r="VQR142" s="221"/>
      <c r="VQS142" s="221"/>
      <c r="VQT142" s="221"/>
      <c r="VQU142" s="221"/>
      <c r="VQV142" s="221"/>
      <c r="VQW142" s="221"/>
      <c r="VQX142" s="221"/>
      <c r="VQY142" s="221"/>
      <c r="VQZ142" s="221"/>
      <c r="VRA142" s="221"/>
      <c r="VRB142" s="221"/>
      <c r="VRC142" s="221"/>
      <c r="VRD142" s="221"/>
      <c r="VRE142" s="221"/>
      <c r="VRF142" s="221"/>
      <c r="VRG142" s="221"/>
      <c r="VRH142" s="221"/>
      <c r="VRI142" s="221"/>
      <c r="VRJ142" s="221"/>
      <c r="VRK142" s="221"/>
      <c r="VRL142" s="221"/>
      <c r="VRM142" s="221"/>
      <c r="VRN142" s="221"/>
      <c r="VRO142" s="221"/>
      <c r="VRP142" s="221"/>
      <c r="VRQ142" s="221"/>
      <c r="VRR142" s="221"/>
      <c r="VRS142" s="221"/>
      <c r="VRT142" s="221"/>
      <c r="VRU142" s="221"/>
      <c r="VRV142" s="221"/>
      <c r="VRW142" s="221"/>
      <c r="VRX142" s="221"/>
      <c r="VRY142" s="221"/>
      <c r="VRZ142" s="221"/>
      <c r="VSA142" s="221"/>
      <c r="VSB142" s="221"/>
      <c r="VSC142" s="221"/>
      <c r="VSD142" s="221"/>
      <c r="VSE142" s="221"/>
      <c r="VSF142" s="221"/>
      <c r="VSG142" s="221"/>
      <c r="VSH142" s="221"/>
      <c r="VSI142" s="221"/>
      <c r="VSJ142" s="221"/>
      <c r="VSK142" s="221"/>
      <c r="VSL142" s="221"/>
      <c r="VSM142" s="221"/>
      <c r="VSN142" s="221"/>
      <c r="VSO142" s="221"/>
      <c r="VSP142" s="221"/>
      <c r="VSQ142" s="221"/>
      <c r="VSR142" s="221"/>
      <c r="VSS142" s="221"/>
      <c r="VST142" s="221"/>
      <c r="VSU142" s="221"/>
      <c r="VSV142" s="221"/>
      <c r="VSW142" s="221"/>
      <c r="VSX142" s="221"/>
      <c r="VSY142" s="221"/>
      <c r="VSZ142" s="221"/>
      <c r="VTA142" s="221"/>
      <c r="VTB142" s="221"/>
      <c r="VTC142" s="221"/>
      <c r="VTD142" s="221"/>
      <c r="VTE142" s="221"/>
      <c r="VTF142" s="221"/>
      <c r="VTG142" s="221"/>
      <c r="VTH142" s="221"/>
      <c r="VTI142" s="221"/>
      <c r="VTJ142" s="221"/>
      <c r="VTK142" s="221"/>
      <c r="VTL142" s="221"/>
      <c r="VTM142" s="221"/>
      <c r="VTN142" s="221"/>
      <c r="VTO142" s="221"/>
      <c r="VTP142" s="221"/>
      <c r="VTQ142" s="221"/>
      <c r="VTR142" s="221"/>
      <c r="VTS142" s="221"/>
      <c r="VTT142" s="221"/>
      <c r="VTU142" s="221"/>
      <c r="VTV142" s="221"/>
      <c r="VTW142" s="221"/>
      <c r="VTX142" s="221"/>
      <c r="VTY142" s="221"/>
      <c r="VTZ142" s="221"/>
      <c r="VUA142" s="221"/>
      <c r="VUB142" s="221"/>
      <c r="VUC142" s="221"/>
      <c r="VUD142" s="221"/>
      <c r="VUE142" s="221"/>
      <c r="VUF142" s="221"/>
      <c r="VUG142" s="221"/>
      <c r="VUH142" s="221"/>
      <c r="VUI142" s="221"/>
      <c r="VUJ142" s="221"/>
      <c r="VUK142" s="221"/>
      <c r="VUL142" s="221"/>
      <c r="VUM142" s="221"/>
      <c r="VUN142" s="221"/>
      <c r="VUO142" s="221"/>
      <c r="VUP142" s="221"/>
      <c r="VUQ142" s="221"/>
      <c r="VUR142" s="221"/>
      <c r="VUS142" s="221"/>
      <c r="VUT142" s="221"/>
      <c r="VUU142" s="221"/>
      <c r="VUV142" s="221"/>
      <c r="VUW142" s="221"/>
      <c r="VUX142" s="221"/>
      <c r="VUY142" s="221"/>
      <c r="VUZ142" s="221"/>
      <c r="VVA142" s="221"/>
      <c r="VVB142" s="221"/>
      <c r="VVC142" s="221"/>
      <c r="VVD142" s="221"/>
      <c r="VVE142" s="221"/>
      <c r="VVF142" s="221"/>
      <c r="VVG142" s="221"/>
      <c r="VVH142" s="221"/>
      <c r="VVI142" s="221"/>
      <c r="VVJ142" s="221"/>
      <c r="VVK142" s="221"/>
      <c r="VVL142" s="221"/>
      <c r="VVM142" s="221"/>
      <c r="VVN142" s="221"/>
      <c r="VVO142" s="221"/>
      <c r="VVP142" s="221"/>
      <c r="VVQ142" s="221"/>
      <c r="VVR142" s="221"/>
      <c r="VVS142" s="221"/>
      <c r="VVT142" s="221"/>
      <c r="VVU142" s="221"/>
      <c r="VVV142" s="221"/>
      <c r="VVW142" s="221"/>
      <c r="VVX142" s="221"/>
      <c r="VVY142" s="221"/>
      <c r="VVZ142" s="221"/>
      <c r="VWA142" s="221"/>
      <c r="VWB142" s="221"/>
      <c r="VWC142" s="221"/>
      <c r="VWD142" s="221"/>
      <c r="VWE142" s="221"/>
      <c r="VWF142" s="221"/>
      <c r="VWG142" s="221"/>
      <c r="VWH142" s="221"/>
      <c r="VWI142" s="221"/>
      <c r="VWJ142" s="221"/>
      <c r="VWK142" s="221"/>
      <c r="VWL142" s="221"/>
      <c r="VWM142" s="221"/>
      <c r="VWN142" s="221"/>
      <c r="VWO142" s="221"/>
      <c r="VWP142" s="221"/>
      <c r="VWQ142" s="221"/>
      <c r="VWR142" s="221"/>
      <c r="VWS142" s="221"/>
      <c r="VWT142" s="221"/>
      <c r="VWU142" s="221"/>
      <c r="VWV142" s="221"/>
      <c r="VWW142" s="221"/>
      <c r="VWX142" s="221"/>
      <c r="VWY142" s="221"/>
      <c r="VWZ142" s="221"/>
      <c r="VXA142" s="221"/>
      <c r="VXB142" s="221"/>
      <c r="VXC142" s="221"/>
      <c r="VXD142" s="221"/>
      <c r="VXE142" s="221"/>
      <c r="VXF142" s="221"/>
      <c r="VXG142" s="221"/>
      <c r="VXH142" s="221"/>
      <c r="VXI142" s="221"/>
      <c r="VXJ142" s="221"/>
      <c r="VXK142" s="221"/>
      <c r="VXL142" s="221"/>
      <c r="VXM142" s="221"/>
      <c r="VXN142" s="221"/>
      <c r="VXO142" s="221"/>
      <c r="VXP142" s="221"/>
      <c r="VXQ142" s="221"/>
      <c r="VXR142" s="221"/>
      <c r="VXS142" s="221"/>
      <c r="VXT142" s="221"/>
      <c r="VXU142" s="221"/>
      <c r="VXV142" s="221"/>
      <c r="VXW142" s="221"/>
      <c r="VXX142" s="221"/>
      <c r="VXY142" s="221"/>
      <c r="VXZ142" s="221"/>
      <c r="VYA142" s="221"/>
      <c r="VYB142" s="221"/>
      <c r="VYC142" s="221"/>
      <c r="VYD142" s="221"/>
      <c r="VYE142" s="221"/>
      <c r="VYF142" s="221"/>
      <c r="VYG142" s="221"/>
      <c r="VYH142" s="221"/>
      <c r="VYI142" s="221"/>
      <c r="VYJ142" s="221"/>
      <c r="VYK142" s="221"/>
      <c r="VYL142" s="221"/>
      <c r="VYM142" s="221"/>
      <c r="VYN142" s="221"/>
      <c r="VYO142" s="221"/>
      <c r="VYP142" s="221"/>
      <c r="VYQ142" s="221"/>
      <c r="VYR142" s="221"/>
      <c r="VYS142" s="221"/>
      <c r="VYT142" s="221"/>
      <c r="VYU142" s="221"/>
      <c r="VYV142" s="221"/>
      <c r="VYW142" s="221"/>
      <c r="VYX142" s="221"/>
      <c r="VYY142" s="221"/>
      <c r="VYZ142" s="221"/>
      <c r="VZA142" s="221"/>
      <c r="VZB142" s="221"/>
      <c r="VZC142" s="221"/>
      <c r="VZD142" s="221"/>
      <c r="VZE142" s="221"/>
      <c r="VZF142" s="221"/>
      <c r="VZG142" s="221"/>
      <c r="VZH142" s="221"/>
      <c r="VZI142" s="221"/>
      <c r="VZJ142" s="221"/>
      <c r="VZK142" s="221"/>
      <c r="VZL142" s="221"/>
      <c r="VZM142" s="221"/>
      <c r="VZN142" s="221"/>
      <c r="VZO142" s="221"/>
      <c r="VZP142" s="221"/>
      <c r="VZQ142" s="221"/>
      <c r="VZR142" s="221"/>
      <c r="VZS142" s="221"/>
      <c r="VZT142" s="221"/>
      <c r="VZU142" s="221"/>
      <c r="VZV142" s="221"/>
      <c r="VZW142" s="221"/>
      <c r="VZX142" s="221"/>
      <c r="VZY142" s="221"/>
      <c r="VZZ142" s="221"/>
      <c r="WAA142" s="221"/>
      <c r="WAB142" s="221"/>
      <c r="WAC142" s="221"/>
      <c r="WAD142" s="221"/>
      <c r="WAE142" s="221"/>
      <c r="WAF142" s="221"/>
      <c r="WAG142" s="221"/>
      <c r="WAH142" s="221"/>
      <c r="WAI142" s="221"/>
      <c r="WAJ142" s="221"/>
      <c r="WAK142" s="221"/>
      <c r="WAL142" s="221"/>
      <c r="WAM142" s="221"/>
      <c r="WAN142" s="221"/>
      <c r="WAO142" s="221"/>
      <c r="WAP142" s="221"/>
      <c r="WAQ142" s="221"/>
      <c r="WAR142" s="221"/>
      <c r="WAS142" s="221"/>
      <c r="WAT142" s="221"/>
      <c r="WAU142" s="221"/>
      <c r="WAV142" s="221"/>
      <c r="WAW142" s="221"/>
      <c r="WAX142" s="221"/>
      <c r="WAY142" s="221"/>
      <c r="WAZ142" s="221"/>
      <c r="WBA142" s="221"/>
      <c r="WBB142" s="221"/>
      <c r="WBC142" s="221"/>
      <c r="WBD142" s="221"/>
      <c r="WBE142" s="221"/>
      <c r="WBF142" s="221"/>
      <c r="WBG142" s="221"/>
      <c r="WBH142" s="221"/>
      <c r="WBI142" s="221"/>
      <c r="WBJ142" s="221"/>
      <c r="WBK142" s="221"/>
      <c r="WBL142" s="221"/>
      <c r="WBM142" s="221"/>
      <c r="WBN142" s="221"/>
      <c r="WBO142" s="221"/>
      <c r="WBP142" s="221"/>
      <c r="WBQ142" s="221"/>
      <c r="WBR142" s="221"/>
      <c r="WBS142" s="221"/>
      <c r="WBT142" s="221"/>
      <c r="WBU142" s="221"/>
      <c r="WBV142" s="221"/>
      <c r="WBW142" s="221"/>
      <c r="WBX142" s="221"/>
      <c r="WBY142" s="221"/>
      <c r="WBZ142" s="221"/>
      <c r="WCA142" s="221"/>
      <c r="WCB142" s="221"/>
      <c r="WCC142" s="221"/>
      <c r="WCD142" s="221"/>
      <c r="WCE142" s="221"/>
      <c r="WCF142" s="221"/>
      <c r="WCG142" s="221"/>
      <c r="WCH142" s="221"/>
      <c r="WCI142" s="221"/>
      <c r="WCJ142" s="221"/>
      <c r="WCK142" s="221"/>
      <c r="WCL142" s="221"/>
      <c r="WCM142" s="221"/>
      <c r="WCN142" s="221"/>
      <c r="WCO142" s="221"/>
      <c r="WCP142" s="221"/>
      <c r="WCQ142" s="221"/>
      <c r="WCR142" s="221"/>
      <c r="WCS142" s="221"/>
      <c r="WCT142" s="221"/>
      <c r="WCU142" s="221"/>
      <c r="WCV142" s="221"/>
      <c r="WCW142" s="221"/>
      <c r="WCX142" s="221"/>
      <c r="WCY142" s="221"/>
      <c r="WCZ142" s="221"/>
      <c r="WDA142" s="221"/>
      <c r="WDB142" s="221"/>
      <c r="WDC142" s="221"/>
      <c r="WDD142" s="221"/>
      <c r="WDE142" s="221"/>
      <c r="WDF142" s="221"/>
      <c r="WDG142" s="221"/>
      <c r="WDH142" s="221"/>
      <c r="WDI142" s="221"/>
      <c r="WDJ142" s="221"/>
      <c r="WDK142" s="221"/>
      <c r="WDL142" s="221"/>
      <c r="WDM142" s="221"/>
      <c r="WDN142" s="221"/>
      <c r="WDO142" s="221"/>
      <c r="WDP142" s="221"/>
      <c r="WDQ142" s="221"/>
      <c r="WDR142" s="221"/>
      <c r="WDS142" s="221"/>
      <c r="WDT142" s="221"/>
      <c r="WDU142" s="221"/>
      <c r="WDV142" s="221"/>
      <c r="WDW142" s="221"/>
      <c r="WDX142" s="221"/>
      <c r="WDY142" s="221"/>
      <c r="WDZ142" s="221"/>
      <c r="WEA142" s="221"/>
      <c r="WEB142" s="221"/>
      <c r="WEC142" s="221"/>
      <c r="WED142" s="221"/>
      <c r="WEE142" s="221"/>
      <c r="WEF142" s="221"/>
      <c r="WEG142" s="221"/>
      <c r="WEH142" s="221"/>
      <c r="WEI142" s="221"/>
      <c r="WEJ142" s="221"/>
      <c r="WEK142" s="221"/>
      <c r="WEL142" s="221"/>
      <c r="WEM142" s="221"/>
      <c r="WEN142" s="221"/>
      <c r="WEO142" s="221"/>
      <c r="WEP142" s="221"/>
      <c r="WEQ142" s="221"/>
      <c r="WER142" s="221"/>
      <c r="WES142" s="221"/>
      <c r="WET142" s="221"/>
      <c r="WEU142" s="221"/>
      <c r="WEV142" s="221"/>
      <c r="WEW142" s="221"/>
      <c r="WEX142" s="221"/>
      <c r="WEY142" s="221"/>
      <c r="WEZ142" s="221"/>
      <c r="WFA142" s="221"/>
      <c r="WFB142" s="221"/>
      <c r="WFC142" s="221"/>
      <c r="WFD142" s="221"/>
      <c r="WFE142" s="221"/>
      <c r="WFF142" s="221"/>
      <c r="WFG142" s="221"/>
      <c r="WFH142" s="221"/>
      <c r="WFI142" s="221"/>
      <c r="WFJ142" s="221"/>
      <c r="WFK142" s="221"/>
      <c r="WFL142" s="221"/>
      <c r="WFM142" s="221"/>
      <c r="WFN142" s="221"/>
      <c r="WFO142" s="221"/>
      <c r="WFP142" s="221"/>
      <c r="WFQ142" s="221"/>
      <c r="WFR142" s="221"/>
      <c r="WFS142" s="221"/>
      <c r="WFT142" s="221"/>
      <c r="WFU142" s="221"/>
      <c r="WFV142" s="221"/>
      <c r="WFW142" s="221"/>
      <c r="WFX142" s="221"/>
      <c r="WFY142" s="221"/>
      <c r="WFZ142" s="221"/>
      <c r="WGA142" s="221"/>
      <c r="WGB142" s="221"/>
      <c r="WGC142" s="221"/>
      <c r="WGD142" s="221"/>
      <c r="WGE142" s="221"/>
      <c r="WGF142" s="221"/>
      <c r="WGG142" s="221"/>
      <c r="WGH142" s="221"/>
      <c r="WGI142" s="221"/>
      <c r="WGJ142" s="221"/>
      <c r="WGK142" s="221"/>
      <c r="WGL142" s="221"/>
      <c r="WGM142" s="221"/>
      <c r="WGN142" s="221"/>
      <c r="WGO142" s="221"/>
      <c r="WGP142" s="221"/>
      <c r="WGQ142" s="221"/>
      <c r="WGR142" s="221"/>
      <c r="WGS142" s="221"/>
      <c r="WGT142" s="221"/>
      <c r="WGU142" s="221"/>
      <c r="WGV142" s="221"/>
      <c r="WGW142" s="221"/>
      <c r="WGX142" s="221"/>
      <c r="WGY142" s="221"/>
      <c r="WGZ142" s="221"/>
      <c r="WHA142" s="221"/>
      <c r="WHB142" s="221"/>
      <c r="WHC142" s="221"/>
      <c r="WHD142" s="221"/>
      <c r="WHE142" s="221"/>
      <c r="WHF142" s="221"/>
      <c r="WHG142" s="221"/>
      <c r="WHH142" s="221"/>
      <c r="WHI142" s="221"/>
      <c r="WHJ142" s="221"/>
      <c r="WHK142" s="221"/>
      <c r="WHL142" s="221"/>
      <c r="WHM142" s="221"/>
      <c r="WHN142" s="221"/>
      <c r="WHO142" s="221"/>
      <c r="WHP142" s="221"/>
      <c r="WHQ142" s="221"/>
      <c r="WHR142" s="221"/>
      <c r="WHS142" s="221"/>
      <c r="WHT142" s="221"/>
      <c r="WHU142" s="221"/>
      <c r="WHV142" s="221"/>
      <c r="WHW142" s="221"/>
      <c r="WHX142" s="221"/>
      <c r="WHY142" s="221"/>
      <c r="WHZ142" s="221"/>
      <c r="WIA142" s="221"/>
      <c r="WIB142" s="221"/>
      <c r="WIC142" s="221"/>
      <c r="WID142" s="221"/>
      <c r="WIE142" s="221"/>
      <c r="WIF142" s="221"/>
      <c r="WIG142" s="221"/>
      <c r="WIH142" s="221"/>
      <c r="WII142" s="221"/>
      <c r="WIJ142" s="221"/>
      <c r="WIK142" s="221"/>
      <c r="WIL142" s="221"/>
      <c r="WIM142" s="221"/>
      <c r="WIN142" s="221"/>
      <c r="WIO142" s="221"/>
      <c r="WIP142" s="221"/>
      <c r="WIQ142" s="221"/>
      <c r="WIR142" s="221"/>
      <c r="WIS142" s="221"/>
      <c r="WIT142" s="221"/>
      <c r="WIU142" s="221"/>
      <c r="WIV142" s="221"/>
      <c r="WIW142" s="221"/>
      <c r="WIX142" s="221"/>
      <c r="WIY142" s="221"/>
      <c r="WIZ142" s="221"/>
      <c r="WJA142" s="221"/>
      <c r="WJB142" s="221"/>
      <c r="WJC142" s="221"/>
      <c r="WJD142" s="221"/>
      <c r="WJE142" s="221"/>
      <c r="WJF142" s="221"/>
      <c r="WJG142" s="221"/>
      <c r="WJH142" s="221"/>
      <c r="WJI142" s="221"/>
      <c r="WJJ142" s="221"/>
      <c r="WJK142" s="221"/>
      <c r="WJL142" s="221"/>
      <c r="WJM142" s="221"/>
      <c r="WJN142" s="221"/>
      <c r="WJO142" s="221"/>
      <c r="WJP142" s="221"/>
      <c r="WJQ142" s="221"/>
      <c r="WJR142" s="221"/>
      <c r="WJS142" s="221"/>
      <c r="WJT142" s="221"/>
      <c r="WJU142" s="221"/>
      <c r="WJV142" s="221"/>
      <c r="WJW142" s="221"/>
      <c r="WJX142" s="221"/>
      <c r="WJY142" s="221"/>
      <c r="WJZ142" s="221"/>
      <c r="WKA142" s="221"/>
      <c r="WKB142" s="221"/>
      <c r="WKC142" s="221"/>
      <c r="WKD142" s="221"/>
      <c r="WKE142" s="221"/>
      <c r="WKF142" s="221"/>
      <c r="WKG142" s="221"/>
      <c r="WKH142" s="221"/>
      <c r="WKI142" s="221"/>
      <c r="WKJ142" s="221"/>
      <c r="WKK142" s="221"/>
      <c r="WKL142" s="221"/>
      <c r="WKM142" s="221"/>
      <c r="WKN142" s="221"/>
      <c r="WKO142" s="221"/>
      <c r="WKP142" s="221"/>
      <c r="WKQ142" s="221"/>
      <c r="WKR142" s="221"/>
      <c r="WKS142" s="221"/>
      <c r="WKT142" s="221"/>
      <c r="WKU142" s="221"/>
      <c r="WKV142" s="221"/>
      <c r="WKW142" s="221"/>
      <c r="WKX142" s="221"/>
      <c r="WKY142" s="221"/>
      <c r="WKZ142" s="221"/>
      <c r="WLA142" s="221"/>
      <c r="WLB142" s="221"/>
      <c r="WLC142" s="221"/>
      <c r="WLD142" s="221"/>
      <c r="WLE142" s="221"/>
      <c r="WLF142" s="221"/>
      <c r="WLG142" s="221"/>
      <c r="WLH142" s="221"/>
      <c r="WLI142" s="221"/>
      <c r="WLJ142" s="221"/>
      <c r="WLK142" s="221"/>
      <c r="WLL142" s="221"/>
      <c r="WLM142" s="221"/>
      <c r="WLN142" s="221"/>
      <c r="WLO142" s="221"/>
      <c r="WLP142" s="221"/>
      <c r="WLQ142" s="221"/>
      <c r="WLR142" s="221"/>
      <c r="WLS142" s="221"/>
      <c r="WLT142" s="221"/>
      <c r="WLU142" s="221"/>
      <c r="WLV142" s="221"/>
      <c r="WLW142" s="221"/>
      <c r="WLX142" s="221"/>
      <c r="WLY142" s="221"/>
      <c r="WLZ142" s="221"/>
      <c r="WMA142" s="221"/>
      <c r="WMB142" s="221"/>
      <c r="WMC142" s="221"/>
      <c r="WMD142" s="221"/>
      <c r="WME142" s="221"/>
      <c r="WMF142" s="221"/>
      <c r="WMG142" s="221"/>
      <c r="WMH142" s="221"/>
      <c r="WMI142" s="221"/>
      <c r="WMJ142" s="221"/>
      <c r="WMK142" s="221"/>
      <c r="WML142" s="221"/>
      <c r="WMM142" s="221"/>
      <c r="WMN142" s="221"/>
      <c r="WMO142" s="221"/>
      <c r="WMP142" s="221"/>
      <c r="WMQ142" s="221"/>
      <c r="WMR142" s="221"/>
      <c r="WMS142" s="221"/>
      <c r="WMT142" s="221"/>
      <c r="WMU142" s="221"/>
      <c r="WMV142" s="221"/>
      <c r="WMW142" s="221"/>
      <c r="WMX142" s="221"/>
      <c r="WMY142" s="221"/>
      <c r="WMZ142" s="221"/>
      <c r="WNA142" s="221"/>
      <c r="WNB142" s="221"/>
      <c r="WNC142" s="221"/>
      <c r="WND142" s="221"/>
      <c r="WNE142" s="221"/>
      <c r="WNF142" s="221"/>
      <c r="WNG142" s="221"/>
      <c r="WNH142" s="221"/>
      <c r="WNI142" s="221"/>
      <c r="WNJ142" s="221"/>
      <c r="WNK142" s="221"/>
      <c r="WNL142" s="221"/>
      <c r="WNM142" s="221"/>
      <c r="WNN142" s="221"/>
      <c r="WNO142" s="221"/>
      <c r="WNP142" s="221"/>
      <c r="WNQ142" s="221"/>
      <c r="WNR142" s="221"/>
      <c r="WNS142" s="221"/>
      <c r="WNT142" s="221"/>
      <c r="WNU142" s="221"/>
      <c r="WNV142" s="221"/>
      <c r="WNW142" s="221"/>
      <c r="WNX142" s="221"/>
      <c r="WNY142" s="221"/>
      <c r="WNZ142" s="221"/>
      <c r="WOA142" s="221"/>
      <c r="WOB142" s="221"/>
      <c r="WOC142" s="221"/>
      <c r="WOD142" s="221"/>
      <c r="WOE142" s="221"/>
      <c r="WOF142" s="221"/>
      <c r="WOG142" s="221"/>
      <c r="WOH142" s="221"/>
      <c r="WOI142" s="221"/>
      <c r="WOJ142" s="221"/>
      <c r="WOK142" s="221"/>
      <c r="WOL142" s="221"/>
      <c r="WOM142" s="221"/>
      <c r="WON142" s="221"/>
      <c r="WOO142" s="221"/>
      <c r="WOP142" s="221"/>
      <c r="WOQ142" s="221"/>
      <c r="WOR142" s="221"/>
      <c r="WOS142" s="221"/>
      <c r="WOT142" s="221"/>
      <c r="WOU142" s="221"/>
      <c r="WOV142" s="221"/>
      <c r="WOW142" s="221"/>
      <c r="WOX142" s="221"/>
      <c r="WOY142" s="221"/>
      <c r="WOZ142" s="221"/>
      <c r="WPA142" s="221"/>
      <c r="WPB142" s="221"/>
      <c r="WPC142" s="221"/>
      <c r="WPD142" s="221"/>
      <c r="WPE142" s="221"/>
      <c r="WPF142" s="221"/>
      <c r="WPG142" s="221"/>
      <c r="WPH142" s="221"/>
      <c r="WPI142" s="221"/>
      <c r="WPJ142" s="221"/>
      <c r="WPK142" s="221"/>
      <c r="WPL142" s="221"/>
      <c r="WPM142" s="221"/>
      <c r="WPN142" s="221"/>
      <c r="WPO142" s="221"/>
      <c r="WPP142" s="221"/>
      <c r="WPQ142" s="221"/>
      <c r="WPR142" s="221"/>
      <c r="WPS142" s="221"/>
      <c r="WPT142" s="221"/>
      <c r="WPU142" s="221"/>
      <c r="WPV142" s="221"/>
      <c r="WPW142" s="221"/>
      <c r="WPX142" s="221"/>
      <c r="WPY142" s="221"/>
      <c r="WPZ142" s="221"/>
      <c r="WQA142" s="221"/>
      <c r="WQB142" s="221"/>
      <c r="WQC142" s="221"/>
      <c r="WQD142" s="221"/>
      <c r="WQE142" s="221"/>
      <c r="WQF142" s="221"/>
      <c r="WQG142" s="221"/>
      <c r="WQH142" s="221"/>
      <c r="WQI142" s="221"/>
      <c r="WQJ142" s="221"/>
      <c r="WQK142" s="221"/>
      <c r="WQL142" s="221"/>
      <c r="WQM142" s="221"/>
      <c r="WQN142" s="221"/>
      <c r="WQO142" s="221"/>
      <c r="WQP142" s="221"/>
      <c r="WQQ142" s="221"/>
      <c r="WQR142" s="221"/>
      <c r="WQS142" s="221"/>
      <c r="WQT142" s="221"/>
      <c r="WQU142" s="221"/>
      <c r="WQV142" s="221"/>
      <c r="WQW142" s="221"/>
      <c r="WQX142" s="221"/>
      <c r="WQY142" s="221"/>
      <c r="WQZ142" s="221"/>
      <c r="WRA142" s="221"/>
      <c r="WRB142" s="221"/>
      <c r="WRC142" s="221"/>
      <c r="WRD142" s="221"/>
      <c r="WRE142" s="221"/>
      <c r="WRF142" s="221"/>
      <c r="WRG142" s="221"/>
      <c r="WRH142" s="221"/>
      <c r="WRI142" s="221"/>
      <c r="WRJ142" s="221"/>
      <c r="WRK142" s="221"/>
      <c r="WRL142" s="221"/>
      <c r="WRM142" s="221"/>
      <c r="WRN142" s="221"/>
      <c r="WRO142" s="221"/>
      <c r="WRP142" s="221"/>
      <c r="WRQ142" s="221"/>
      <c r="WRR142" s="221"/>
      <c r="WRS142" s="221"/>
      <c r="WRT142" s="221"/>
      <c r="WRU142" s="221"/>
      <c r="WRV142" s="221"/>
      <c r="WRW142" s="221"/>
      <c r="WRX142" s="221"/>
      <c r="WRY142" s="221"/>
      <c r="WRZ142" s="221"/>
      <c r="WSA142" s="221"/>
      <c r="WSB142" s="221"/>
      <c r="WSC142" s="221"/>
      <c r="WSD142" s="221"/>
      <c r="WSE142" s="221"/>
      <c r="WSF142" s="221"/>
      <c r="WSG142" s="221"/>
      <c r="WSH142" s="221"/>
      <c r="WSI142" s="221"/>
      <c r="WSJ142" s="221"/>
      <c r="WSK142" s="221"/>
      <c r="WSL142" s="221"/>
      <c r="WSM142" s="221"/>
      <c r="WSN142" s="221"/>
      <c r="WSO142" s="221"/>
      <c r="WSP142" s="221"/>
      <c r="WSQ142" s="221"/>
      <c r="WSR142" s="221"/>
      <c r="WSS142" s="221"/>
      <c r="WST142" s="221"/>
      <c r="WSU142" s="221"/>
      <c r="WSV142" s="221"/>
      <c r="WSW142" s="221"/>
      <c r="WSX142" s="221"/>
      <c r="WSY142" s="221"/>
      <c r="WSZ142" s="221"/>
      <c r="WTA142" s="221"/>
      <c r="WTB142" s="221"/>
      <c r="WTC142" s="221"/>
      <c r="WTD142" s="221"/>
      <c r="WTE142" s="221"/>
      <c r="WTF142" s="221"/>
      <c r="WTG142" s="221"/>
      <c r="WTH142" s="221"/>
      <c r="WTI142" s="221"/>
      <c r="WTJ142" s="221"/>
      <c r="WTK142" s="221"/>
      <c r="WTL142" s="221"/>
      <c r="WTM142" s="221"/>
      <c r="WTN142" s="221"/>
      <c r="WTO142" s="221"/>
      <c r="WTP142" s="221"/>
      <c r="WTQ142" s="221"/>
      <c r="WTR142" s="221"/>
      <c r="WTS142" s="221"/>
      <c r="WTT142" s="221"/>
      <c r="WTU142" s="221"/>
      <c r="WTV142" s="221"/>
      <c r="WTW142" s="221"/>
      <c r="WTX142" s="221"/>
      <c r="WTY142" s="221"/>
      <c r="WTZ142" s="221"/>
      <c r="WUA142" s="221"/>
      <c r="WUB142" s="221"/>
      <c r="WUC142" s="221"/>
      <c r="WUD142" s="221"/>
      <c r="WUE142" s="221"/>
      <c r="WUF142" s="221"/>
      <c r="WUG142" s="221"/>
      <c r="WUH142" s="221"/>
      <c r="WUI142" s="221"/>
      <c r="WUJ142" s="221"/>
      <c r="WUK142" s="221"/>
      <c r="WUL142" s="221"/>
      <c r="WUM142" s="221"/>
      <c r="WUN142" s="221"/>
      <c r="WUO142" s="221"/>
      <c r="WUP142" s="221"/>
      <c r="WUQ142" s="221"/>
      <c r="WUR142" s="221"/>
      <c r="WUS142" s="221"/>
      <c r="WUT142" s="221"/>
      <c r="WUU142" s="221"/>
      <c r="WUV142" s="221"/>
      <c r="WUW142" s="221"/>
      <c r="WUX142" s="221"/>
      <c r="WUY142" s="221"/>
      <c r="WUZ142" s="221"/>
      <c r="WVA142" s="221"/>
      <c r="WVB142" s="221"/>
      <c r="WVC142" s="221"/>
      <c r="WVD142" s="221"/>
      <c r="WVE142" s="221"/>
      <c r="WVF142" s="221"/>
      <c r="WVG142" s="221"/>
      <c r="WVH142" s="221"/>
      <c r="WVI142" s="221"/>
      <c r="WVJ142" s="221"/>
      <c r="WVK142" s="221"/>
      <c r="WVL142" s="221"/>
      <c r="WVM142" s="221"/>
      <c r="WVN142" s="221"/>
      <c r="WVO142" s="221"/>
      <c r="WVP142" s="221"/>
      <c r="WVQ142" s="221"/>
      <c r="WVR142" s="221"/>
      <c r="WVS142" s="221"/>
      <c r="WVT142" s="221"/>
      <c r="WVU142" s="221"/>
      <c r="WVV142" s="221"/>
      <c r="WVW142" s="221"/>
      <c r="WVX142" s="221"/>
      <c r="WVY142" s="221"/>
      <c r="WVZ142" s="221"/>
      <c r="WWA142" s="221"/>
      <c r="WWB142" s="221"/>
      <c r="WWC142" s="221"/>
      <c r="WWD142" s="221"/>
      <c r="WWE142" s="221"/>
      <c r="WWF142" s="221"/>
      <c r="WWG142" s="221"/>
      <c r="WWH142" s="221"/>
      <c r="WWI142" s="221"/>
      <c r="WWJ142" s="221"/>
      <c r="WWK142" s="221"/>
      <c r="WWL142" s="221"/>
      <c r="WWM142" s="221"/>
      <c r="WWN142" s="221"/>
      <c r="WWO142" s="221"/>
      <c r="WWP142" s="221"/>
      <c r="WWQ142" s="221"/>
      <c r="WWR142" s="221"/>
      <c r="WWS142" s="221"/>
      <c r="WWT142" s="221"/>
      <c r="WWU142" s="221"/>
      <c r="WWV142" s="221"/>
      <c r="WWW142" s="221"/>
      <c r="WWX142" s="221"/>
      <c r="WWY142" s="221"/>
      <c r="WWZ142" s="221"/>
      <c r="WXA142" s="221"/>
      <c r="WXB142" s="221"/>
      <c r="WXC142" s="221"/>
      <c r="WXD142" s="221"/>
      <c r="WXE142" s="221"/>
      <c r="WXF142" s="221"/>
      <c r="WXG142" s="221"/>
      <c r="WXH142" s="221"/>
      <c r="WXI142" s="221"/>
      <c r="WXJ142" s="221"/>
      <c r="WXK142" s="221"/>
      <c r="WXL142" s="221"/>
      <c r="WXM142" s="221"/>
      <c r="WXN142" s="221"/>
      <c r="WXO142" s="221"/>
      <c r="WXP142" s="221"/>
      <c r="WXQ142" s="221"/>
      <c r="WXR142" s="221"/>
      <c r="WXS142" s="221"/>
      <c r="WXT142" s="221"/>
      <c r="WXU142" s="221"/>
      <c r="WXV142" s="221"/>
      <c r="WXW142" s="221"/>
      <c r="WXX142" s="221"/>
      <c r="WXY142" s="221"/>
      <c r="WXZ142" s="221"/>
      <c r="WYA142" s="221"/>
      <c r="WYB142" s="221"/>
      <c r="WYC142" s="221"/>
      <c r="WYD142" s="221"/>
      <c r="WYE142" s="221"/>
      <c r="WYF142" s="221"/>
      <c r="WYG142" s="221"/>
      <c r="WYH142" s="221"/>
      <c r="WYI142" s="221"/>
      <c r="WYJ142" s="221"/>
      <c r="WYK142" s="221"/>
      <c r="WYL142" s="221"/>
      <c r="WYM142" s="221"/>
      <c r="WYN142" s="221"/>
      <c r="WYO142" s="221"/>
      <c r="WYP142" s="221"/>
      <c r="WYQ142" s="221"/>
      <c r="WYR142" s="221"/>
      <c r="WYS142" s="221"/>
      <c r="WYT142" s="221"/>
      <c r="WYU142" s="221"/>
      <c r="WYV142" s="221"/>
      <c r="WYW142" s="221"/>
      <c r="WYX142" s="221"/>
      <c r="WYY142" s="221"/>
      <c r="WYZ142" s="221"/>
      <c r="WZA142" s="221"/>
      <c r="WZB142" s="221"/>
      <c r="WZC142" s="221"/>
      <c r="WZD142" s="221"/>
      <c r="WZE142" s="221"/>
      <c r="WZF142" s="221"/>
      <c r="WZG142" s="221"/>
      <c r="WZH142" s="221"/>
      <c r="WZI142" s="221"/>
      <c r="WZJ142" s="221"/>
      <c r="WZK142" s="221"/>
      <c r="WZL142" s="221"/>
      <c r="WZM142" s="221"/>
      <c r="WZN142" s="221"/>
      <c r="WZO142" s="221"/>
      <c r="WZP142" s="221"/>
      <c r="WZQ142" s="221"/>
      <c r="WZR142" s="221"/>
      <c r="WZS142" s="221"/>
      <c r="WZT142" s="221"/>
      <c r="WZU142" s="221"/>
      <c r="WZV142" s="221"/>
      <c r="WZW142" s="221"/>
      <c r="WZX142" s="221"/>
      <c r="WZY142" s="221"/>
      <c r="WZZ142" s="221"/>
      <c r="XAA142" s="221"/>
      <c r="XAB142" s="221"/>
      <c r="XAC142" s="221"/>
      <c r="XAD142" s="221"/>
      <c r="XAE142" s="221"/>
      <c r="XAF142" s="221"/>
      <c r="XAG142" s="221"/>
      <c r="XAH142" s="221"/>
      <c r="XAI142" s="221"/>
      <c r="XAJ142" s="221"/>
      <c r="XAK142" s="221"/>
      <c r="XAL142" s="221"/>
      <c r="XAM142" s="221"/>
      <c r="XAN142" s="221"/>
      <c r="XAO142" s="221"/>
      <c r="XAP142" s="221"/>
      <c r="XAQ142" s="221"/>
      <c r="XAR142" s="221"/>
      <c r="XAS142" s="221"/>
      <c r="XAT142" s="221"/>
      <c r="XAU142" s="221"/>
      <c r="XAV142" s="221"/>
      <c r="XAW142" s="221"/>
      <c r="XAX142" s="221"/>
      <c r="XAY142" s="221"/>
      <c r="XAZ142" s="221"/>
      <c r="XBA142" s="221"/>
      <c r="XBB142" s="221"/>
      <c r="XBC142" s="221"/>
      <c r="XBD142" s="221"/>
      <c r="XBE142" s="221"/>
      <c r="XBF142" s="221"/>
      <c r="XBG142" s="221"/>
      <c r="XBH142" s="221"/>
      <c r="XBI142" s="221"/>
      <c r="XBJ142" s="221"/>
      <c r="XBK142" s="221"/>
      <c r="XBL142" s="221"/>
      <c r="XBM142" s="221"/>
      <c r="XBN142" s="221"/>
      <c r="XBO142" s="221"/>
      <c r="XBP142" s="221"/>
      <c r="XBQ142" s="221"/>
      <c r="XBR142" s="221"/>
      <c r="XBS142" s="221"/>
      <c r="XBT142" s="221"/>
      <c r="XBU142" s="221"/>
      <c r="XBV142" s="221"/>
      <c r="XBW142" s="221"/>
      <c r="XBX142" s="221"/>
      <c r="XBY142" s="221"/>
      <c r="XBZ142" s="221"/>
      <c r="XCA142" s="221"/>
      <c r="XCB142" s="221"/>
      <c r="XCC142" s="221"/>
      <c r="XCD142" s="221"/>
      <c r="XCE142" s="221"/>
      <c r="XCF142" s="221"/>
      <c r="XCG142" s="221"/>
      <c r="XCH142" s="221"/>
      <c r="XCI142" s="221"/>
      <c r="XCJ142" s="221"/>
      <c r="XCK142" s="221"/>
      <c r="XCL142" s="221"/>
      <c r="XCM142" s="221"/>
      <c r="XCN142" s="221"/>
      <c r="XCO142" s="221"/>
      <c r="XCP142" s="221"/>
      <c r="XCQ142" s="221"/>
      <c r="XCR142" s="221"/>
      <c r="XCS142" s="221"/>
      <c r="XCT142" s="221"/>
      <c r="XCU142" s="221"/>
      <c r="XCV142" s="221"/>
      <c r="XCW142" s="221"/>
      <c r="XCX142" s="221"/>
      <c r="XCY142" s="221"/>
      <c r="XCZ142" s="221"/>
      <c r="XDA142" s="221"/>
      <c r="XDB142" s="221"/>
      <c r="XDC142" s="221"/>
      <c r="XDD142" s="221"/>
      <c r="XDE142" s="221"/>
      <c r="XDF142" s="221"/>
      <c r="XDG142" s="221"/>
      <c r="XDH142" s="221"/>
      <c r="XDI142" s="221"/>
      <c r="XDJ142" s="221"/>
      <c r="XDK142" s="221"/>
      <c r="XDL142" s="221"/>
      <c r="XDM142" s="221"/>
      <c r="XDN142" s="221"/>
      <c r="XDO142" s="221"/>
      <c r="XDP142" s="221"/>
      <c r="XDQ142" s="221"/>
      <c r="XDR142" s="221"/>
      <c r="XDS142" s="221"/>
      <c r="XDT142" s="221"/>
      <c r="XDU142" s="221"/>
      <c r="XDV142" s="221"/>
      <c r="XDW142" s="221"/>
      <c r="XDX142" s="221"/>
      <c r="XDY142" s="221"/>
      <c r="XDZ142" s="221"/>
      <c r="XEA142" s="221"/>
      <c r="XEB142" s="221"/>
      <c r="XEC142" s="221"/>
      <c r="XED142" s="221"/>
      <c r="XEE142" s="221"/>
      <c r="XEF142" s="221"/>
      <c r="XEG142" s="221"/>
      <c r="XEH142" s="221"/>
      <c r="XEI142" s="221"/>
      <c r="XEJ142" s="221"/>
      <c r="XEK142" s="221"/>
      <c r="XEL142" s="221"/>
      <c r="XEM142" s="221"/>
      <c r="XEN142" s="221"/>
      <c r="XEO142" s="221"/>
      <c r="XEP142" s="221"/>
      <c r="XEQ142" s="221"/>
      <c r="XER142" s="221"/>
      <c r="XES142" s="221"/>
      <c r="XET142" s="221"/>
    </row>
    <row r="143" spans="1:16374" ht="24.95" customHeight="1">
      <c r="A143" s="33" t="s">
        <v>2406</v>
      </c>
      <c r="B143" s="33" t="s">
        <v>407</v>
      </c>
      <c r="C143" s="33" t="s">
        <v>2416</v>
      </c>
      <c r="D143" s="4" t="s">
        <v>2417</v>
      </c>
      <c r="E143" s="33" t="s">
        <v>2064</v>
      </c>
      <c r="F143" s="34" t="s">
        <v>2418</v>
      </c>
      <c r="G143" s="35">
        <v>44504</v>
      </c>
      <c r="H143" s="36" t="s">
        <v>374</v>
      </c>
      <c r="I143" s="182" t="s">
        <v>2842</v>
      </c>
    </row>
    <row r="144" spans="1:16374" ht="24.95" customHeight="1"/>
    <row r="145" ht="24.95" customHeight="1"/>
  </sheetData>
  <autoFilter ref="A1:Z140" xr:uid="{00000000-0009-0000-0000-000001000000}"/>
  <phoneticPr fontId="7"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계약파일리스트</vt:lpstr>
      <vt:lpstr>커미션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1710-D001</dc:creator>
  <cp:lastModifiedBy>2206-D001</cp:lastModifiedBy>
  <cp:lastPrinted>2021-07-20T05:48:59Z</cp:lastPrinted>
  <dcterms:created xsi:type="dcterms:W3CDTF">2019-01-16T06:46:34Z</dcterms:created>
  <dcterms:modified xsi:type="dcterms:W3CDTF">2023-02-06T02:28:09Z</dcterms:modified>
</cp:coreProperties>
</file>