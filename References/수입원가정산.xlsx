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laude\ERP_OT\"/>
    </mc:Choice>
  </mc:AlternateContent>
  <xr:revisionPtr revIDLastSave="0" documentId="8_{0BEFBFF4-3869-4BB5-AF56-FC412486B17D}" xr6:coauthVersionLast="47" xr6:coauthVersionMax="47" xr10:uidLastSave="{00000000-0000-0000-0000-000000000000}"/>
  <bookViews>
    <workbookView xWindow="3908" yWindow="248" windowWidth="25005" windowHeight="15450" xr2:uid="{5FEDE254-2E15-4E1E-B30A-E003828A58F9}"/>
  </bookViews>
  <sheets>
    <sheet name="양식" sheetId="1" r:id="rId1"/>
  </sheets>
  <definedNames>
    <definedName name="_xlnm.Print_Area" localSheetId="0">양식!$A$1:$BD$94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25" i="1" l="1"/>
  <c r="AL124" i="1"/>
  <c r="AL135" i="1" s="1"/>
  <c r="AO123" i="1"/>
  <c r="N116" i="1"/>
  <c r="N106" i="1"/>
  <c r="AL136" i="1" s="1"/>
  <c r="AE105" i="1"/>
  <c r="AE106" i="1" s="1"/>
  <c r="H120" i="1" s="1"/>
  <c r="AL91" i="1"/>
  <c r="AL90" i="1"/>
  <c r="AL89" i="1"/>
  <c r="AL88" i="1"/>
  <c r="AL87" i="1"/>
  <c r="AL86" i="1"/>
  <c r="AL85" i="1"/>
  <c r="AL84" i="1"/>
  <c r="AL83" i="1"/>
  <c r="AL82" i="1"/>
  <c r="AL81" i="1"/>
  <c r="AO80" i="1"/>
  <c r="N73" i="1"/>
  <c r="N63" i="1"/>
  <c r="AE62" i="1"/>
  <c r="AE61" i="1"/>
  <c r="AE60" i="1"/>
  <c r="AE63" i="1" s="1"/>
  <c r="H77" i="1" s="1"/>
  <c r="AL45" i="1"/>
  <c r="AL44" i="1"/>
  <c r="AL43" i="1"/>
  <c r="AL42" i="1"/>
  <c r="AL41" i="1"/>
  <c r="AL40" i="1"/>
  <c r="AX40" i="1" s="1"/>
  <c r="AR40" i="1" s="1"/>
  <c r="AL39" i="1"/>
  <c r="AX39" i="1" s="1"/>
  <c r="AR39" i="1" s="1"/>
  <c r="AL38" i="1"/>
  <c r="AX38" i="1" s="1"/>
  <c r="AR38" i="1" s="1"/>
  <c r="AL37" i="1"/>
  <c r="AX37" i="1" s="1"/>
  <c r="AR37" i="1" s="1"/>
  <c r="AL36" i="1"/>
  <c r="AL35" i="1"/>
  <c r="AL46" i="1" s="1"/>
  <c r="AO34" i="1"/>
  <c r="N27" i="1"/>
  <c r="N17" i="1"/>
  <c r="AE16" i="1"/>
  <c r="AE15" i="1"/>
  <c r="AE14" i="1"/>
  <c r="AE17" i="1" s="1"/>
  <c r="H31" i="1" s="1"/>
  <c r="AX42" i="1" l="1"/>
  <c r="AR42" i="1" s="1"/>
  <c r="AX43" i="1"/>
  <c r="AR43" i="1" s="1"/>
  <c r="AX44" i="1"/>
  <c r="AR44" i="1" s="1"/>
  <c r="AX90" i="1"/>
  <c r="AR90" i="1" s="1"/>
  <c r="AX83" i="1"/>
  <c r="AR83" i="1" s="1"/>
  <c r="AX91" i="1"/>
  <c r="AR91" i="1" s="1"/>
  <c r="AX41" i="1"/>
  <c r="AR41" i="1" s="1"/>
  <c r="AX87" i="1"/>
  <c r="AR87" i="1" s="1"/>
  <c r="AX88" i="1"/>
  <c r="AR88" i="1" s="1"/>
  <c r="AX45" i="1"/>
  <c r="AR45" i="1" s="1"/>
  <c r="AL93" i="1"/>
  <c r="AL47" i="1"/>
  <c r="AX35" i="1"/>
  <c r="AX36" i="1"/>
  <c r="AR36" i="1" s="1"/>
  <c r="AX125" i="1"/>
  <c r="AR125" i="1" s="1"/>
  <c r="AX124" i="1"/>
  <c r="AL92" i="1"/>
  <c r="AX82" i="1" s="1"/>
  <c r="AR82" i="1" s="1"/>
  <c r="AX135" i="1" l="1"/>
  <c r="AX136" i="1" s="1"/>
  <c r="AR124" i="1"/>
  <c r="AX86" i="1"/>
  <c r="AR86" i="1" s="1"/>
  <c r="AX89" i="1"/>
  <c r="AR89" i="1" s="1"/>
  <c r="AX81" i="1"/>
  <c r="AX85" i="1"/>
  <c r="AR85" i="1" s="1"/>
  <c r="AR35" i="1"/>
  <c r="AX46" i="1"/>
  <c r="AX47" i="1" s="1"/>
  <c r="AX84" i="1"/>
  <c r="AR84" i="1" s="1"/>
  <c r="AX92" i="1" l="1"/>
  <c r="AX93" i="1" s="1"/>
  <c r="AR81" i="1"/>
</calcChain>
</file>

<file path=xl/sharedStrings.xml><?xml version="1.0" encoding="utf-8"?>
<sst xmlns="http://schemas.openxmlformats.org/spreadsheetml/2006/main" count="155" uniqueCount="53">
  <si>
    <t>수 입 원 가  정 산  ( 2025 / 01 /  )</t>
    <phoneticPr fontId="3" type="noConversion"/>
  </si>
  <si>
    <t>오션테크㈜</t>
    <phoneticPr fontId="3" type="noConversion"/>
  </si>
  <si>
    <t>1. 신고번호</t>
    <phoneticPr fontId="3" type="noConversion"/>
  </si>
  <si>
    <t>2. 공급자</t>
    <phoneticPr fontId="3" type="noConversion"/>
  </si>
  <si>
    <t>3. 신고일</t>
    <phoneticPr fontId="3" type="noConversion"/>
  </si>
  <si>
    <t>4. 수입원가</t>
    <phoneticPr fontId="3" type="noConversion"/>
  </si>
  <si>
    <t>항목</t>
    <phoneticPr fontId="3" type="noConversion"/>
  </si>
  <si>
    <t>일자</t>
    <phoneticPr fontId="3" type="noConversion"/>
  </si>
  <si>
    <t>외화금액</t>
    <phoneticPr fontId="3" type="noConversion"/>
  </si>
  <si>
    <t>환율</t>
    <phoneticPr fontId="3" type="noConversion"/>
  </si>
  <si>
    <t>원화금액</t>
    <phoneticPr fontId="3" type="noConversion"/>
  </si>
  <si>
    <t>(1) 송금액</t>
    <phoneticPr fontId="3" type="noConversion"/>
  </si>
  <si>
    <t xml:space="preserve">INVOICE. </t>
    <phoneticPr fontId="3" type="noConversion"/>
  </si>
  <si>
    <t>소                        계</t>
    <phoneticPr fontId="3" type="noConversion"/>
  </si>
  <si>
    <t>(2)관세,통관,운송료</t>
    <phoneticPr fontId="3" type="noConversion"/>
  </si>
  <si>
    <t>구   분</t>
    <phoneticPr fontId="3" type="noConversion"/>
  </si>
  <si>
    <t>금      액</t>
    <phoneticPr fontId="3" type="noConversion"/>
  </si>
  <si>
    <t>부가가치세</t>
    <phoneticPr fontId="3" type="noConversion"/>
  </si>
  <si>
    <t>비                                 고</t>
    <phoneticPr fontId="3" type="noConversion"/>
  </si>
  <si>
    <t xml:space="preserve">   1)관세</t>
    <phoneticPr fontId="3" type="noConversion"/>
  </si>
  <si>
    <t>인천공항</t>
    <phoneticPr fontId="3" type="noConversion"/>
  </si>
  <si>
    <t xml:space="preserve">   2)운반비(국외)</t>
    <phoneticPr fontId="3" type="noConversion"/>
  </si>
  <si>
    <t>(AWB no. )</t>
    <phoneticPr fontId="3" type="noConversion"/>
  </si>
  <si>
    <t xml:space="preserve">   3)운반비(국내)</t>
    <phoneticPr fontId="3" type="noConversion"/>
  </si>
  <si>
    <t xml:space="preserve">   4)통관수수료</t>
    <phoneticPr fontId="3" type="noConversion"/>
  </si>
  <si>
    <t xml:space="preserve"> </t>
    <phoneticPr fontId="3" type="noConversion"/>
  </si>
  <si>
    <t xml:space="preserve">   5)창고보관료</t>
    <phoneticPr fontId="3" type="noConversion"/>
  </si>
  <si>
    <t xml:space="preserve">   6)취급수수료</t>
    <phoneticPr fontId="3" type="noConversion"/>
  </si>
  <si>
    <t>송금수수료</t>
    <phoneticPr fontId="3" type="noConversion"/>
  </si>
  <si>
    <t>소                계</t>
    <phoneticPr fontId="3" type="noConversion"/>
  </si>
  <si>
    <t>5. 수입원가합계</t>
    <phoneticPr fontId="3" type="noConversion"/>
  </si>
  <si>
    <t>구분</t>
    <phoneticPr fontId="3" type="noConversion"/>
  </si>
  <si>
    <t>수입원가</t>
    <phoneticPr fontId="3" type="noConversion"/>
  </si>
  <si>
    <t>공급가액계</t>
    <phoneticPr fontId="3" type="noConversion"/>
  </si>
  <si>
    <t>금액</t>
    <phoneticPr fontId="3" type="noConversion"/>
  </si>
  <si>
    <t>6. 모델,규격</t>
    <phoneticPr fontId="3" type="noConversion"/>
  </si>
  <si>
    <t>수량</t>
  </si>
  <si>
    <t>단  가</t>
    <phoneticPr fontId="3" type="noConversion"/>
  </si>
  <si>
    <t>()</t>
    <phoneticPr fontId="3" type="noConversion"/>
  </si>
  <si>
    <t xml:space="preserve">금  액  </t>
    <phoneticPr fontId="3" type="noConversion"/>
  </si>
  <si>
    <t>원화단가</t>
    <phoneticPr fontId="3" type="noConversion"/>
  </si>
  <si>
    <t>원화총액</t>
    <phoneticPr fontId="3" type="noConversion"/>
  </si>
  <si>
    <t>수 입 원 가  정 산  ( 2025 / 12 / 26 )</t>
    <phoneticPr fontId="3" type="noConversion"/>
  </si>
  <si>
    <t>11045-25-120314M</t>
    <phoneticPr fontId="3" type="noConversion"/>
  </si>
  <si>
    <t>JW Fishers</t>
    <phoneticPr fontId="3" type="noConversion"/>
  </si>
  <si>
    <t>INVOICE. 29430</t>
    <phoneticPr fontId="3" type="noConversion"/>
  </si>
  <si>
    <t>한성해운(주) (B/L no. NAEH72055)</t>
    <phoneticPr fontId="3" type="noConversion"/>
  </si>
  <si>
    <t>㈜케이비공항물류</t>
    <phoneticPr fontId="3" type="noConversion"/>
  </si>
  <si>
    <t>삼정관세사</t>
    <phoneticPr fontId="3" type="noConversion"/>
  </si>
  <si>
    <t>오션재고</t>
    <phoneticPr fontId="3" type="noConversion"/>
  </si>
  <si>
    <t>(USD)</t>
    <phoneticPr fontId="3" type="noConversion"/>
  </si>
  <si>
    <t>DHI-1 (sn.048)</t>
    <phoneticPr fontId="3" type="noConversion"/>
  </si>
  <si>
    <t>MFT-1 (sn.496~515)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</si>
</sst>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76" formatCode="#,##0.00_ "/>
    <numFmt numFmtId="177" formatCode="_-* #,##0.00_-;\-* #,##0.00_-;_-* &quot;-&quot;_-;_-@_-"/>
    <numFmt numFmtId="178" formatCode="#,##0_ "/>
  </numFmts>
  <fonts count="24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8"/>
      <color rgb="FFFF0000"/>
      <name val="돋움"/>
      <family val="3"/>
      <charset val="129"/>
    </font>
    <font>
      <sz val="8"/>
      <name val="돋움"/>
      <family val="3"/>
      <charset val="129"/>
    </font>
    <font>
      <b/>
      <sz val="10"/>
      <color indexed="8"/>
      <name val="돋움"/>
      <family val="3"/>
      <charset val="129"/>
    </font>
    <font>
      <b/>
      <sz val="10"/>
      <name val="돋움"/>
      <family val="3"/>
      <charset val="129"/>
    </font>
    <font>
      <sz val="9"/>
      <name val="돋움"/>
      <family val="3"/>
      <charset val="129"/>
    </font>
    <font>
      <b/>
      <sz val="9"/>
      <color rgb="FFFF0000"/>
      <name val="돋움"/>
      <family val="3"/>
      <charset val="129"/>
    </font>
    <font>
      <b/>
      <sz val="18"/>
      <name val="돋움"/>
      <family val="3"/>
      <charset val="129"/>
    </font>
    <font>
      <sz val="10"/>
      <name val="돋움"/>
      <family val="3"/>
      <charset val="129"/>
    </font>
    <font>
      <sz val="12"/>
      <name val="돋움"/>
      <family val="3"/>
      <charset val="129"/>
    </font>
    <font>
      <sz val="10"/>
      <color theme="3"/>
      <name val="돋움"/>
      <family val="3"/>
      <charset val="129"/>
    </font>
    <font>
      <b/>
      <sz val="10"/>
      <color rgb="FFFF0000"/>
      <name val="돋움"/>
      <family val="3"/>
      <charset val="129"/>
    </font>
    <font>
      <sz val="10"/>
      <color rgb="FFFF0000"/>
      <name val="돋움"/>
      <family val="3"/>
      <charset val="129"/>
    </font>
    <font>
      <b/>
      <sz val="11"/>
      <name val="돋움"/>
      <family val="3"/>
      <charset val="129"/>
    </font>
    <font>
      <b/>
      <sz val="4"/>
      <color rgb="FFFF0000"/>
      <name val="돋움"/>
      <family val="3"/>
      <charset val="129"/>
    </font>
    <font>
      <b/>
      <sz val="4"/>
      <name val="돋움"/>
      <family val="3"/>
      <charset val="129"/>
    </font>
    <font>
      <sz val="4"/>
      <name val="돋움"/>
      <family val="3"/>
      <charset val="129"/>
    </font>
    <font>
      <b/>
      <sz val="9"/>
      <name val="돋움"/>
      <family val="3"/>
      <charset val="129"/>
    </font>
    <font>
      <sz val="14"/>
      <name val="돋움"/>
      <family val="3"/>
      <charset val="129"/>
    </font>
    <font>
      <sz val="9"/>
      <color rgb="FFFF0000"/>
      <name val="돋움"/>
      <family val="3"/>
      <charset val="129"/>
    </font>
    <font>
      <sz val="14"/>
      <color rgb="FFFF0000"/>
      <name val="돋움"/>
      <family val="3"/>
      <charset val="129"/>
    </font>
    <font>
      <sz val="10"/>
      <color rgb="FF00B0F0"/>
      <name val="돋움"/>
      <family val="3"/>
      <charset val="129"/>
    </font>
    <font>
      <sz val="10"/>
      <color rgb="FF00B050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/>
  </cellStyleXfs>
  <cellXfs count="198">
    <xf numFmtId="0" fontId="0" fillId="0" borderId="0" xfId="0">
      <alignment vertical="center"/>
    </xf>
    <xf numFmtId="0" fontId="2" fillId="2" borderId="0" xfId="0" applyFont="1" applyFill="1" applyAlignment="1">
      <alignment horizontal="right" vertical="center"/>
    </xf>
    <xf numFmtId="0" fontId="0" fillId="2" borderId="0" xfId="0" applyFill="1">
      <alignment vertical="center"/>
    </xf>
    <xf numFmtId="41" fontId="4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>
      <alignment vertical="center"/>
    </xf>
    <xf numFmtId="0" fontId="7" fillId="2" borderId="0" xfId="0" applyFont="1" applyFill="1">
      <alignment vertical="center"/>
    </xf>
    <xf numFmtId="0" fontId="8" fillId="3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10" fillId="2" borderId="5" xfId="0" applyFont="1" applyFill="1" applyBorder="1" applyAlignment="1">
      <alignment horizontal="left" vertical="center"/>
    </xf>
    <xf numFmtId="0" fontId="11" fillId="2" borderId="0" xfId="0" applyFont="1" applyFill="1">
      <alignment vertical="center"/>
    </xf>
    <xf numFmtId="14" fontId="11" fillId="2" borderId="0" xfId="0" applyNumberFormat="1" applyFont="1" applyFill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9" fillId="2" borderId="6" xfId="0" applyFont="1" applyFill="1" applyBorder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14" fontId="9" fillId="4" borderId="11" xfId="0" applyNumberFormat="1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41" fontId="9" fillId="4" borderId="11" xfId="0" applyNumberFormat="1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left" vertical="center"/>
    </xf>
    <xf numFmtId="0" fontId="9" fillId="4" borderId="13" xfId="0" applyFont="1" applyFill="1" applyBorder="1" applyAlignment="1">
      <alignment horizontal="left" vertical="center"/>
    </xf>
    <xf numFmtId="0" fontId="9" fillId="2" borderId="14" xfId="0" applyFont="1" applyFill="1" applyBorder="1" applyAlignment="1">
      <alignment horizontal="left" vertical="center"/>
    </xf>
    <xf numFmtId="0" fontId="9" fillId="2" borderId="15" xfId="0" applyFont="1" applyFill="1" applyBorder="1" applyAlignment="1">
      <alignment horizontal="left" vertical="center"/>
    </xf>
    <xf numFmtId="0" fontId="9" fillId="2" borderId="16" xfId="0" applyFont="1" applyFill="1" applyBorder="1" applyAlignment="1">
      <alignment horizontal="left" vertical="center"/>
    </xf>
    <xf numFmtId="14" fontId="9" fillId="2" borderId="17" xfId="0" applyNumberFormat="1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43" fontId="9" fillId="2" borderId="17" xfId="0" applyNumberFormat="1" applyFont="1" applyFill="1" applyBorder="1" applyAlignment="1">
      <alignment horizontal="center" vertical="center"/>
    </xf>
    <xf numFmtId="176" fontId="9" fillId="2" borderId="18" xfId="0" applyNumberFormat="1" applyFont="1" applyFill="1" applyBorder="1" applyAlignment="1">
      <alignment horizontal="center" vertical="center"/>
    </xf>
    <xf numFmtId="176" fontId="9" fillId="2" borderId="15" xfId="0" applyNumberFormat="1" applyFont="1" applyFill="1" applyBorder="1" applyAlignment="1">
      <alignment horizontal="center" vertical="center"/>
    </xf>
    <xf numFmtId="176" fontId="9" fillId="2" borderId="16" xfId="0" applyNumberFormat="1" applyFont="1" applyFill="1" applyBorder="1" applyAlignment="1">
      <alignment horizontal="center" vertical="center"/>
    </xf>
    <xf numFmtId="41" fontId="9" fillId="2" borderId="18" xfId="0" applyNumberFormat="1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12" fillId="2" borderId="18" xfId="0" applyFont="1" applyFill="1" applyBorder="1" applyAlignment="1">
      <alignment horizontal="left" vertical="center"/>
    </xf>
    <xf numFmtId="0" fontId="12" fillId="2" borderId="15" xfId="0" applyFont="1" applyFill="1" applyBorder="1" applyAlignment="1">
      <alignment horizontal="left" vertical="center"/>
    </xf>
    <xf numFmtId="0" fontId="9" fillId="2" borderId="15" xfId="0" applyFont="1" applyFill="1" applyBorder="1" applyAlignment="1">
      <alignment horizontal="left" vertical="center"/>
    </xf>
    <xf numFmtId="0" fontId="9" fillId="2" borderId="19" xfId="0" applyFont="1" applyFill="1" applyBorder="1" applyAlignment="1">
      <alignment horizontal="left" vertical="center"/>
    </xf>
    <xf numFmtId="14" fontId="9" fillId="2" borderId="18" xfId="0" applyNumberFormat="1" applyFont="1" applyFill="1" applyBorder="1" applyAlignment="1">
      <alignment horizontal="center" vertical="center"/>
    </xf>
    <xf numFmtId="14" fontId="9" fillId="2" borderId="15" xfId="0" applyNumberFormat="1" applyFont="1" applyFill="1" applyBorder="1" applyAlignment="1">
      <alignment horizontal="center" vertical="center"/>
    </xf>
    <xf numFmtId="14" fontId="9" fillId="2" borderId="16" xfId="0" applyNumberFormat="1" applyFont="1" applyFill="1" applyBorder="1" applyAlignment="1">
      <alignment horizontal="center" vertical="center"/>
    </xf>
    <xf numFmtId="43" fontId="9" fillId="2" borderId="18" xfId="0" applyNumberFormat="1" applyFont="1" applyFill="1" applyBorder="1" applyAlignment="1">
      <alignment horizontal="center" vertical="center"/>
    </xf>
    <xf numFmtId="43" fontId="9" fillId="2" borderId="15" xfId="0" applyNumberFormat="1" applyFont="1" applyFill="1" applyBorder="1" applyAlignment="1">
      <alignment horizontal="center" vertical="center"/>
    </xf>
    <xf numFmtId="43" fontId="9" fillId="2" borderId="16" xfId="0" applyNumberFormat="1" applyFont="1" applyFill="1" applyBorder="1" applyAlignment="1">
      <alignment horizontal="center" vertical="center"/>
    </xf>
    <xf numFmtId="0" fontId="13" fillId="2" borderId="18" xfId="0" applyFont="1" applyFill="1" applyBorder="1" applyAlignment="1">
      <alignment horizontal="left" vertical="center"/>
    </xf>
    <xf numFmtId="0" fontId="13" fillId="2" borderId="15" xfId="0" applyFont="1" applyFill="1" applyBorder="1" applyAlignment="1">
      <alignment horizontal="left" vertical="center"/>
    </xf>
    <xf numFmtId="0" fontId="14" fillId="2" borderId="0" xfId="0" applyFont="1" applyFill="1">
      <alignment vertical="center"/>
    </xf>
    <xf numFmtId="0" fontId="14" fillId="0" borderId="0" xfId="0" applyFont="1">
      <alignment vertical="center"/>
    </xf>
    <xf numFmtId="0" fontId="15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horizontal="left" vertical="center"/>
    </xf>
    <xf numFmtId="0" fontId="17" fillId="2" borderId="0" xfId="0" applyFont="1" applyFill="1">
      <alignment vertical="center"/>
    </xf>
    <xf numFmtId="0" fontId="5" fillId="5" borderId="20" xfId="0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horizontal="center" vertical="center"/>
    </xf>
    <xf numFmtId="177" fontId="5" fillId="6" borderId="22" xfId="1" applyNumberFormat="1" applyFont="1" applyFill="1" applyBorder="1" applyAlignment="1">
      <alignment horizontal="center" vertical="center"/>
    </xf>
    <xf numFmtId="177" fontId="5" fillId="6" borderId="23" xfId="1" applyNumberFormat="1" applyFont="1" applyFill="1" applyBorder="1" applyAlignment="1">
      <alignment horizontal="center" vertical="center"/>
    </xf>
    <xf numFmtId="177" fontId="5" fillId="6" borderId="24" xfId="1" applyNumberFormat="1" applyFont="1" applyFill="1" applyBorder="1" applyAlignment="1">
      <alignment horizontal="center" vertical="center"/>
    </xf>
    <xf numFmtId="176" fontId="5" fillId="5" borderId="22" xfId="0" applyNumberFormat="1" applyFont="1" applyFill="1" applyBorder="1" applyAlignment="1">
      <alignment horizontal="center" vertical="center"/>
    </xf>
    <xf numFmtId="176" fontId="5" fillId="5" borderId="23" xfId="0" applyNumberFormat="1" applyFont="1" applyFill="1" applyBorder="1" applyAlignment="1">
      <alignment horizontal="center" vertical="center"/>
    </xf>
    <xf numFmtId="176" fontId="5" fillId="5" borderId="24" xfId="0" applyNumberFormat="1" applyFont="1" applyFill="1" applyBorder="1" applyAlignment="1">
      <alignment horizontal="center" vertical="center"/>
    </xf>
    <xf numFmtId="41" fontId="5" fillId="5" borderId="22" xfId="0" applyNumberFormat="1" applyFont="1" applyFill="1" applyBorder="1" applyAlignment="1">
      <alignment horizontal="center" vertical="center"/>
    </xf>
    <xf numFmtId="41" fontId="5" fillId="5" borderId="23" xfId="0" applyNumberFormat="1" applyFont="1" applyFill="1" applyBorder="1" applyAlignment="1">
      <alignment horizontal="center" vertical="center"/>
    </xf>
    <xf numFmtId="41" fontId="5" fillId="5" borderId="24" xfId="0" applyNumberFormat="1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/>
    </xf>
    <xf numFmtId="0" fontId="16" fillId="2" borderId="2" xfId="0" applyFont="1" applyFill="1" applyBorder="1" applyAlignment="1">
      <alignment horizontal="left" vertical="center"/>
    </xf>
    <xf numFmtId="41" fontId="17" fillId="2" borderId="26" xfId="0" applyNumberFormat="1" applyFont="1" applyFill="1" applyBorder="1" applyAlignment="1">
      <alignment horizontal="right" vertical="center" indent="1"/>
    </xf>
    <xf numFmtId="41" fontId="17" fillId="2" borderId="27" xfId="0" applyNumberFormat="1" applyFont="1" applyFill="1" applyBorder="1" applyAlignment="1">
      <alignment horizontal="right" vertical="center" indent="1"/>
    </xf>
    <xf numFmtId="41" fontId="17" fillId="2" borderId="28" xfId="0" applyNumberFormat="1" applyFont="1" applyFill="1" applyBorder="1" applyAlignment="1">
      <alignment horizontal="right" vertical="center" indent="1"/>
    </xf>
    <xf numFmtId="0" fontId="17" fillId="2" borderId="2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9" fillId="2" borderId="29" xfId="0" applyFont="1" applyFill="1" applyBorder="1" applyAlignment="1">
      <alignment horizontal="left" vertical="center"/>
    </xf>
    <xf numFmtId="0" fontId="9" fillId="2" borderId="30" xfId="0" applyFont="1" applyFill="1" applyBorder="1" applyAlignment="1">
      <alignment horizontal="left" vertical="center"/>
    </xf>
    <xf numFmtId="0" fontId="9" fillId="2" borderId="31" xfId="0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center" vertical="center"/>
    </xf>
    <xf numFmtId="0" fontId="9" fillId="2" borderId="33" xfId="0" applyFont="1" applyFill="1" applyBorder="1" applyAlignment="1">
      <alignment horizontal="center" vertical="center"/>
    </xf>
    <xf numFmtId="0" fontId="9" fillId="2" borderId="31" xfId="0" applyFont="1" applyFill="1" applyBorder="1" applyAlignment="1">
      <alignment horizontal="distributed" vertical="center" indent="1"/>
    </xf>
    <xf numFmtId="0" fontId="9" fillId="2" borderId="32" xfId="0" applyFont="1" applyFill="1" applyBorder="1" applyAlignment="1">
      <alignment horizontal="distributed" vertical="center" indent="1"/>
    </xf>
    <xf numFmtId="0" fontId="9" fillId="2" borderId="33" xfId="0" applyFont="1" applyFill="1" applyBorder="1" applyAlignment="1">
      <alignment horizontal="distributed" vertical="center" indent="1"/>
    </xf>
    <xf numFmtId="0" fontId="9" fillId="2" borderId="30" xfId="0" applyFont="1" applyFill="1" applyBorder="1" applyAlignment="1">
      <alignment horizontal="left" vertical="center"/>
    </xf>
    <xf numFmtId="0" fontId="9" fillId="2" borderId="34" xfId="0" applyFont="1" applyFill="1" applyBorder="1" applyAlignment="1">
      <alignment horizontal="left" vertical="center"/>
    </xf>
    <xf numFmtId="0" fontId="9" fillId="4" borderId="11" xfId="0" applyFont="1" applyFill="1" applyBorder="1" applyAlignment="1">
      <alignment horizontal="distributed" vertical="center" indent="1"/>
    </xf>
    <xf numFmtId="0" fontId="9" fillId="2" borderId="35" xfId="0" applyFont="1" applyFill="1" applyBorder="1" applyAlignment="1">
      <alignment horizontal="left" vertical="center"/>
    </xf>
    <xf numFmtId="0" fontId="9" fillId="2" borderId="17" xfId="0" applyFont="1" applyFill="1" applyBorder="1" applyAlignment="1">
      <alignment horizontal="left" vertical="center"/>
    </xf>
    <xf numFmtId="0" fontId="9" fillId="2" borderId="18" xfId="0" applyFont="1" applyFill="1" applyBorder="1" applyAlignment="1">
      <alignment horizontal="left" vertical="center"/>
    </xf>
    <xf numFmtId="41" fontId="9" fillId="2" borderId="17" xfId="0" applyNumberFormat="1" applyFont="1" applyFill="1" applyBorder="1" applyAlignment="1">
      <alignment horizontal="right" vertical="center" indent="1"/>
    </xf>
    <xf numFmtId="178" fontId="9" fillId="2" borderId="17" xfId="0" applyNumberFormat="1" applyFont="1" applyFill="1" applyBorder="1" applyAlignment="1">
      <alignment horizontal="right" vertical="center" indent="1"/>
    </xf>
    <xf numFmtId="0" fontId="9" fillId="2" borderId="18" xfId="0" applyFont="1" applyFill="1" applyBorder="1" applyAlignment="1">
      <alignment horizontal="left" vertical="center" indent="1"/>
    </xf>
    <xf numFmtId="0" fontId="9" fillId="2" borderId="15" xfId="0" applyFont="1" applyFill="1" applyBorder="1" applyAlignment="1">
      <alignment horizontal="left" vertical="center" indent="1"/>
    </xf>
    <xf numFmtId="0" fontId="18" fillId="2" borderId="0" xfId="0" applyFont="1" applyFill="1">
      <alignment vertical="center"/>
    </xf>
    <xf numFmtId="178" fontId="5" fillId="5" borderId="22" xfId="0" applyNumberFormat="1" applyFont="1" applyFill="1" applyBorder="1" applyAlignment="1">
      <alignment horizontal="right" vertical="center"/>
    </xf>
    <xf numFmtId="178" fontId="5" fillId="5" borderId="23" xfId="0" applyNumberFormat="1" applyFont="1" applyFill="1" applyBorder="1" applyAlignment="1">
      <alignment horizontal="right" vertical="center"/>
    </xf>
    <xf numFmtId="178" fontId="5" fillId="5" borderId="24" xfId="0" applyNumberFormat="1" applyFont="1" applyFill="1" applyBorder="1" applyAlignment="1">
      <alignment horizontal="right" vertical="center"/>
    </xf>
    <xf numFmtId="178" fontId="5" fillId="5" borderId="21" xfId="0" applyNumberFormat="1" applyFont="1" applyFill="1" applyBorder="1" applyAlignment="1">
      <alignment horizontal="right" vertical="center" indent="1"/>
    </xf>
    <xf numFmtId="41" fontId="5" fillId="5" borderId="22" xfId="0" applyNumberFormat="1" applyFont="1" applyFill="1" applyBorder="1" applyAlignment="1">
      <alignment horizontal="right" vertical="center" indent="1"/>
    </xf>
    <xf numFmtId="41" fontId="5" fillId="5" borderId="23" xfId="0" applyNumberFormat="1" applyFont="1" applyFill="1" applyBorder="1" applyAlignment="1">
      <alignment horizontal="right" vertical="center" indent="1"/>
    </xf>
    <xf numFmtId="0" fontId="5" fillId="2" borderId="36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41" fontId="9" fillId="2" borderId="31" xfId="0" applyNumberFormat="1" applyFont="1" applyFill="1" applyBorder="1" applyAlignment="1">
      <alignment horizontal="right" vertical="center" indent="1"/>
    </xf>
    <xf numFmtId="41" fontId="9" fillId="2" borderId="32" xfId="0" applyNumberFormat="1" applyFont="1" applyFill="1" applyBorder="1" applyAlignment="1">
      <alignment horizontal="right" vertical="center" indent="1"/>
    </xf>
    <xf numFmtId="41" fontId="9" fillId="2" borderId="33" xfId="0" applyNumberFormat="1" applyFont="1" applyFill="1" applyBorder="1" applyAlignment="1">
      <alignment horizontal="right" vertical="center" indent="1"/>
    </xf>
    <xf numFmtId="0" fontId="19" fillId="2" borderId="6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9" fillId="4" borderId="37" xfId="0" applyFont="1" applyFill="1" applyBorder="1" applyAlignment="1">
      <alignment horizontal="distributed" vertical="center" indent="1"/>
    </xf>
    <xf numFmtId="0" fontId="9" fillId="4" borderId="28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distributed" vertical="center" indent="1"/>
    </xf>
    <xf numFmtId="0" fontId="9" fillId="2" borderId="21" xfId="0" applyFont="1" applyFill="1" applyBorder="1" applyAlignment="1">
      <alignment horizontal="distributed" vertical="center" indent="1"/>
    </xf>
    <xf numFmtId="41" fontId="5" fillId="7" borderId="21" xfId="0" applyNumberFormat="1" applyFont="1" applyFill="1" applyBorder="1" applyAlignment="1">
      <alignment horizontal="right" vertical="center" indent="1"/>
    </xf>
    <xf numFmtId="41" fontId="9" fillId="2" borderId="21" xfId="0" applyNumberFormat="1" applyFont="1" applyFill="1" applyBorder="1" applyAlignment="1">
      <alignment horizontal="right" vertical="center" indent="1"/>
    </xf>
    <xf numFmtId="0" fontId="20" fillId="2" borderId="22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25" xfId="0" applyFont="1" applyFill="1" applyBorder="1" applyAlignment="1">
      <alignment horizontal="center" vertical="center"/>
    </xf>
    <xf numFmtId="0" fontId="21" fillId="2" borderId="6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9" fillId="4" borderId="38" xfId="0" applyFont="1" applyFill="1" applyBorder="1" applyAlignment="1">
      <alignment horizontal="center" vertical="center"/>
    </xf>
    <xf numFmtId="0" fontId="9" fillId="4" borderId="39" xfId="0" applyFont="1" applyFill="1" applyBorder="1" applyAlignment="1">
      <alignment horizontal="center" vertical="center"/>
    </xf>
    <xf numFmtId="0" fontId="9" fillId="4" borderId="40" xfId="0" applyFont="1" applyFill="1" applyBorder="1" applyAlignment="1">
      <alignment horizontal="center" vertical="center"/>
    </xf>
    <xf numFmtId="0" fontId="9" fillId="4" borderId="41" xfId="0" applyFont="1" applyFill="1" applyBorder="1" applyAlignment="1">
      <alignment horizontal="center" vertical="center"/>
    </xf>
    <xf numFmtId="0" fontId="9" fillId="4" borderId="42" xfId="0" applyFont="1" applyFill="1" applyBorder="1" applyAlignment="1">
      <alignment horizontal="center" vertical="center"/>
    </xf>
    <xf numFmtId="0" fontId="9" fillId="2" borderId="37" xfId="0" applyFont="1" applyFill="1" applyBorder="1">
      <alignment vertical="center"/>
    </xf>
    <xf numFmtId="0" fontId="9" fillId="2" borderId="11" xfId="0" applyFont="1" applyFill="1" applyBorder="1">
      <alignment vertical="center"/>
    </xf>
    <xf numFmtId="0" fontId="9" fillId="2" borderId="11" xfId="0" applyFont="1" applyFill="1" applyBorder="1" applyAlignment="1">
      <alignment horizontal="distributed" vertical="center" indent="1"/>
    </xf>
    <xf numFmtId="177" fontId="9" fillId="2" borderId="11" xfId="1" applyNumberFormat="1" applyFont="1" applyFill="1" applyBorder="1" applyAlignment="1">
      <alignment horizontal="right" vertical="center" indent="1"/>
    </xf>
    <xf numFmtId="177" fontId="9" fillId="2" borderId="17" xfId="0" applyNumberFormat="1" applyFont="1" applyFill="1" applyBorder="1" applyAlignment="1">
      <alignment horizontal="center" vertical="center"/>
    </xf>
    <xf numFmtId="41" fontId="9" fillId="2" borderId="17" xfId="1" applyFont="1" applyFill="1" applyBorder="1" applyAlignment="1">
      <alignment horizontal="right" vertical="center"/>
    </xf>
    <xf numFmtId="41" fontId="9" fillId="2" borderId="43" xfId="1" applyFont="1" applyFill="1" applyBorder="1" applyAlignment="1">
      <alignment horizontal="right" vertical="center"/>
    </xf>
    <xf numFmtId="0" fontId="9" fillId="2" borderId="35" xfId="0" applyFont="1" applyFill="1" applyBorder="1">
      <alignment vertical="center"/>
    </xf>
    <xf numFmtId="0" fontId="9" fillId="2" borderId="17" xfId="0" applyFont="1" applyFill="1" applyBorder="1">
      <alignment vertical="center"/>
    </xf>
    <xf numFmtId="0" fontId="9" fillId="2" borderId="17" xfId="0" applyFont="1" applyFill="1" applyBorder="1" applyAlignment="1">
      <alignment horizontal="distributed" vertical="center" indent="1"/>
    </xf>
    <xf numFmtId="177" fontId="9" fillId="2" borderId="17" xfId="1" applyNumberFormat="1" applyFont="1" applyFill="1" applyBorder="1" applyAlignment="1">
      <alignment horizontal="right" vertical="center" indent="1"/>
    </xf>
    <xf numFmtId="0" fontId="12" fillId="2" borderId="0" xfId="0" applyFont="1" applyFill="1" applyAlignment="1">
      <alignment horizontal="left" vertical="center"/>
    </xf>
    <xf numFmtId="177" fontId="9" fillId="2" borderId="17" xfId="0" applyNumberFormat="1" applyFont="1" applyFill="1" applyBorder="1" applyAlignment="1">
      <alignment horizontal="right" vertical="center" indent="1"/>
    </xf>
    <xf numFmtId="177" fontId="9" fillId="2" borderId="17" xfId="0" applyNumberFormat="1" applyFont="1" applyFill="1" applyBorder="1" applyAlignment="1">
      <alignment horizontal="right" vertical="center"/>
    </xf>
    <xf numFmtId="41" fontId="5" fillId="2" borderId="0" xfId="0" applyNumberFormat="1" applyFont="1" applyFill="1" applyAlignment="1">
      <alignment horizontal="left" vertical="center"/>
    </xf>
    <xf numFmtId="0" fontId="22" fillId="2" borderId="0" xfId="0" applyFont="1" applyFill="1">
      <alignment vertical="center"/>
    </xf>
    <xf numFmtId="0" fontId="9" fillId="2" borderId="17" xfId="1" applyNumberFormat="1" applyFont="1" applyFill="1" applyBorder="1" applyAlignment="1">
      <alignment horizontal="right" vertical="center"/>
    </xf>
    <xf numFmtId="0" fontId="23" fillId="2" borderId="0" xfId="0" applyFont="1" applyFill="1">
      <alignment vertical="center"/>
    </xf>
    <xf numFmtId="41" fontId="4" fillId="2" borderId="0" xfId="0" applyNumberFormat="1" applyFont="1" applyFill="1" applyAlignment="1">
      <alignment horizontal="center" vertical="center"/>
    </xf>
    <xf numFmtId="0" fontId="9" fillId="2" borderId="20" xfId="0" applyFont="1" applyFill="1" applyBorder="1" applyAlignment="1">
      <alignment horizontal="left" vertical="center"/>
    </xf>
    <xf numFmtId="0" fontId="9" fillId="2" borderId="21" xfId="0" applyFont="1" applyFill="1" applyBorder="1" applyAlignment="1">
      <alignment horizontal="left" vertical="center"/>
    </xf>
    <xf numFmtId="177" fontId="9" fillId="2" borderId="21" xfId="0" applyNumberFormat="1" applyFont="1" applyFill="1" applyBorder="1" applyAlignment="1">
      <alignment horizontal="center" vertical="center"/>
    </xf>
    <xf numFmtId="41" fontId="5" fillId="0" borderId="0" xfId="0" applyNumberFormat="1" applyFont="1" applyAlignment="1">
      <alignment horizontal="left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5" xfId="0" applyFont="1" applyFill="1" applyBorder="1" applyAlignment="1">
      <alignment horizontal="center" vertical="center"/>
    </xf>
    <xf numFmtId="0" fontId="5" fillId="5" borderId="45" xfId="0" applyFont="1" applyFill="1" applyBorder="1" applyAlignment="1">
      <alignment horizontal="distributed" vertical="center" indent="1"/>
    </xf>
    <xf numFmtId="177" fontId="5" fillId="5" borderId="41" xfId="0" applyNumberFormat="1" applyFont="1" applyFill="1" applyBorder="1" applyAlignment="1">
      <alignment horizontal="center" vertical="center"/>
    </xf>
    <xf numFmtId="177" fontId="5" fillId="5" borderId="39" xfId="0" applyNumberFormat="1" applyFont="1" applyFill="1" applyBorder="1" applyAlignment="1">
      <alignment horizontal="center" vertical="center"/>
    </xf>
    <xf numFmtId="177" fontId="5" fillId="5" borderId="40" xfId="0" applyNumberFormat="1" applyFont="1" applyFill="1" applyBorder="1" applyAlignment="1">
      <alignment horizontal="center" vertical="center"/>
    </xf>
    <xf numFmtId="177" fontId="5" fillId="6" borderId="41" xfId="0" applyNumberFormat="1" applyFont="1" applyFill="1" applyBorder="1" applyAlignment="1">
      <alignment horizontal="right" vertical="center"/>
    </xf>
    <xf numFmtId="177" fontId="5" fillId="6" borderId="39" xfId="0" applyNumberFormat="1" applyFont="1" applyFill="1" applyBorder="1" applyAlignment="1">
      <alignment horizontal="right" vertical="center"/>
    </xf>
    <xf numFmtId="177" fontId="5" fillId="6" borderId="40" xfId="0" applyNumberFormat="1" applyFont="1" applyFill="1" applyBorder="1" applyAlignment="1">
      <alignment horizontal="right" vertical="center"/>
    </xf>
    <xf numFmtId="41" fontId="5" fillId="5" borderId="33" xfId="1" applyFont="1" applyFill="1" applyBorder="1" applyAlignment="1">
      <alignment horizontal="right" vertical="center"/>
    </xf>
    <xf numFmtId="41" fontId="5" fillId="5" borderId="6" xfId="1" applyFont="1" applyFill="1" applyBorder="1" applyAlignment="1">
      <alignment horizontal="right" vertical="center"/>
    </xf>
    <xf numFmtId="41" fontId="5" fillId="5" borderId="31" xfId="1" applyFont="1" applyFill="1" applyBorder="1" applyAlignment="1">
      <alignment horizontal="right" vertical="center"/>
    </xf>
    <xf numFmtId="41" fontId="4" fillId="7" borderId="41" xfId="1" applyFont="1" applyFill="1" applyBorder="1" applyAlignment="1">
      <alignment horizontal="center" vertical="center"/>
    </xf>
    <xf numFmtId="41" fontId="4" fillId="7" borderId="39" xfId="1" applyFont="1" applyFill="1" applyBorder="1" applyAlignment="1">
      <alignment horizontal="center" vertical="center"/>
    </xf>
    <xf numFmtId="41" fontId="4" fillId="7" borderId="42" xfId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41" fontId="12" fillId="0" borderId="2" xfId="0" applyNumberFormat="1" applyFont="1" applyBorder="1" applyAlignment="1">
      <alignment horizontal="center" vertical="center"/>
    </xf>
    <xf numFmtId="0" fontId="0" fillId="8" borderId="0" xfId="0" applyFill="1" applyAlignment="1">
      <alignment horizontal="left" vertical="center"/>
    </xf>
    <xf numFmtId="0" fontId="9" fillId="7" borderId="14" xfId="0" applyFont="1" applyFill="1" applyBorder="1" applyAlignment="1">
      <alignment horizontal="left" vertical="center"/>
    </xf>
    <xf numFmtId="0" fontId="9" fillId="7" borderId="15" xfId="0" applyFont="1" applyFill="1" applyBorder="1" applyAlignment="1">
      <alignment horizontal="left" vertical="center"/>
    </xf>
    <xf numFmtId="0" fontId="9" fillId="7" borderId="16" xfId="0" applyFont="1" applyFill="1" applyBorder="1" applyAlignment="1">
      <alignment horizontal="left" vertical="center"/>
    </xf>
    <xf numFmtId="14" fontId="9" fillId="7" borderId="17" xfId="0" applyNumberFormat="1" applyFont="1" applyFill="1" applyBorder="1" applyAlignment="1">
      <alignment horizontal="center" vertical="center"/>
    </xf>
    <xf numFmtId="0" fontId="9" fillId="7" borderId="17" xfId="0" applyFont="1" applyFill="1" applyBorder="1" applyAlignment="1">
      <alignment horizontal="center" vertical="center"/>
    </xf>
    <xf numFmtId="43" fontId="9" fillId="7" borderId="17" xfId="0" applyNumberFormat="1" applyFont="1" applyFill="1" applyBorder="1" applyAlignment="1">
      <alignment horizontal="center" vertical="center"/>
    </xf>
    <xf numFmtId="176" fontId="9" fillId="7" borderId="18" xfId="0" applyNumberFormat="1" applyFont="1" applyFill="1" applyBorder="1" applyAlignment="1">
      <alignment horizontal="center" vertical="center"/>
    </xf>
    <xf numFmtId="176" fontId="9" fillId="7" borderId="15" xfId="0" applyNumberFormat="1" applyFont="1" applyFill="1" applyBorder="1" applyAlignment="1">
      <alignment horizontal="center" vertical="center"/>
    </xf>
    <xf numFmtId="176" fontId="9" fillId="7" borderId="16" xfId="0" applyNumberFormat="1" applyFont="1" applyFill="1" applyBorder="1" applyAlignment="1">
      <alignment horizontal="center" vertical="center"/>
    </xf>
    <xf numFmtId="41" fontId="9" fillId="7" borderId="18" xfId="0" applyNumberFormat="1" applyFont="1" applyFill="1" applyBorder="1" applyAlignment="1">
      <alignment horizontal="center" vertical="center"/>
    </xf>
    <xf numFmtId="0" fontId="9" fillId="7" borderId="15" xfId="0" applyFont="1" applyFill="1" applyBorder="1" applyAlignment="1">
      <alignment horizontal="center" vertical="center"/>
    </xf>
    <xf numFmtId="0" fontId="9" fillId="7" borderId="16" xfId="0" applyFont="1" applyFill="1" applyBorder="1" applyAlignment="1">
      <alignment horizontal="center" vertical="center"/>
    </xf>
    <xf numFmtId="0" fontId="13" fillId="7" borderId="18" xfId="0" applyFont="1" applyFill="1" applyBorder="1" applyAlignment="1">
      <alignment horizontal="left" vertical="center"/>
    </xf>
    <xf numFmtId="0" fontId="13" fillId="7" borderId="15" xfId="0" applyFont="1" applyFill="1" applyBorder="1" applyAlignment="1">
      <alignment horizontal="left" vertical="center"/>
    </xf>
    <xf numFmtId="0" fontId="9" fillId="7" borderId="15" xfId="0" applyFont="1" applyFill="1" applyBorder="1" applyAlignment="1">
      <alignment horizontal="left" vertical="center"/>
    </xf>
    <xf numFmtId="0" fontId="9" fillId="7" borderId="19" xfId="0" applyFont="1" applyFill="1" applyBorder="1" applyAlignment="1">
      <alignment horizontal="left" vertical="center"/>
    </xf>
    <xf numFmtId="0" fontId="20" fillId="7" borderId="22" xfId="0" applyFont="1" applyFill="1" applyBorder="1" applyAlignment="1">
      <alignment horizontal="center" vertical="center"/>
    </xf>
    <xf numFmtId="0" fontId="20" fillId="7" borderId="23" xfId="0" applyFont="1" applyFill="1" applyBorder="1" applyAlignment="1">
      <alignment horizontal="center" vertical="center"/>
    </xf>
    <xf numFmtId="0" fontId="20" fillId="7" borderId="25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0FAF7-77E3-4A48-9BF5-73666C4C0D98}">
  <sheetPr>
    <pageSetUpPr fitToPage="1"/>
  </sheetPr>
  <dimension ref="A1:BP136"/>
  <sheetViews>
    <sheetView tabSelected="1" topLeftCell="A78" zoomScaleNormal="100" zoomScaleSheetLayoutView="70" workbookViewId="0">
      <selection activeCell="BE102" sqref="BE102"/>
    </sheetView>
  </sheetViews>
  <sheetFormatPr defaultColWidth="2.64453125" defaultRowHeight="13.5" x14ac:dyDescent="0.3"/>
  <cols>
    <col min="1" max="1" width="9.87890625" style="1" customWidth="1"/>
    <col min="55" max="55" width="3.52734375" bestFit="1" customWidth="1"/>
    <col min="56" max="56" width="10.234375" style="4" customWidth="1"/>
    <col min="57" max="57" width="38" style="5" customWidth="1"/>
    <col min="58" max="59" width="2.64453125" style="5" hidden="1" customWidth="1"/>
    <col min="60" max="60" width="3.41015625" style="6" hidden="1" customWidth="1"/>
    <col min="61" max="61" width="4.64453125" style="5" hidden="1" customWidth="1"/>
    <col min="62" max="62" width="2.64453125" style="5" hidden="1" customWidth="1"/>
    <col min="63" max="63" width="2.64453125" style="5"/>
    <col min="64" max="64" width="6.3515625" style="5" customWidth="1"/>
    <col min="65" max="67" width="2.64453125" style="5"/>
    <col min="68" max="68" width="2.64453125" style="159"/>
  </cols>
  <sheetData>
    <row r="1" spans="1:68" x14ac:dyDescent="0.3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3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/>
    </row>
    <row r="2" spans="1:68" s="2" customFormat="1" ht="13.5" customHeight="1" x14ac:dyDescent="0.3">
      <c r="A2" s="1"/>
      <c r="BD2" s="4"/>
      <c r="BE2" s="5"/>
      <c r="BF2" s="5"/>
      <c r="BG2" s="5"/>
      <c r="BH2" s="6"/>
    </row>
    <row r="3" spans="1:68" s="2" customFormat="1" ht="13.5" customHeight="1" x14ac:dyDescent="0.3">
      <c r="A3" s="1"/>
      <c r="BD3" s="4"/>
      <c r="BE3" s="5"/>
      <c r="BF3" s="5"/>
    </row>
    <row r="4" spans="1:68" s="2" customFormat="1" ht="13.5" customHeight="1" x14ac:dyDescent="0.3">
      <c r="A4" s="1"/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4"/>
      <c r="BE4" s="5"/>
      <c r="BF4" s="5"/>
    </row>
    <row r="5" spans="1:68" s="2" customFormat="1" x14ac:dyDescent="0.3">
      <c r="A5" s="1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4"/>
      <c r="BE5" s="5"/>
      <c r="BF5" s="5"/>
    </row>
    <row r="6" spans="1:68" s="2" customFormat="1" x14ac:dyDescent="0.3">
      <c r="A6" s="1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4"/>
    </row>
    <row r="7" spans="1:68" s="2" customFormat="1" ht="23.25" x14ac:dyDescent="0.3">
      <c r="A7" s="1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9"/>
      <c r="BB7" s="9"/>
      <c r="BC7" s="10">
        <v>1</v>
      </c>
      <c r="BD7" s="4"/>
    </row>
    <row r="8" spans="1:68" s="2" customFormat="1" ht="15.75" x14ac:dyDescent="0.3">
      <c r="A8" s="1"/>
      <c r="B8" s="11" t="s">
        <v>1</v>
      </c>
      <c r="C8" s="12"/>
      <c r="D8" s="12"/>
      <c r="E8" s="12"/>
      <c r="F8" s="12"/>
      <c r="G8" s="12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4"/>
      <c r="BD8" s="4"/>
    </row>
    <row r="9" spans="1:68" s="2" customFormat="1" ht="15.75" x14ac:dyDescent="0.3">
      <c r="A9" s="1"/>
      <c r="B9" s="15" t="s">
        <v>2</v>
      </c>
      <c r="C9" s="16"/>
      <c r="D9" s="16"/>
      <c r="E9" s="16"/>
      <c r="F9" s="16"/>
      <c r="G9" s="16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8"/>
      <c r="U9" s="19"/>
      <c r="V9" s="19"/>
      <c r="W9" s="19"/>
      <c r="X9" s="19"/>
      <c r="Y9" s="19"/>
      <c r="Z9" s="19"/>
      <c r="AA9" s="19"/>
      <c r="AB9" s="19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20"/>
      <c r="BD9" s="4"/>
    </row>
    <row r="10" spans="1:68" s="2" customFormat="1" ht="15.75" x14ac:dyDescent="0.3">
      <c r="A10" s="1"/>
      <c r="B10" s="15" t="s">
        <v>3</v>
      </c>
      <c r="C10" s="16"/>
      <c r="D10" s="16"/>
      <c r="E10" s="16"/>
      <c r="F10" s="16"/>
      <c r="G10" s="16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0"/>
      <c r="BD10" s="4"/>
    </row>
    <row r="11" spans="1:68" s="2" customFormat="1" ht="15.75" x14ac:dyDescent="0.3">
      <c r="A11" s="1"/>
      <c r="B11" s="15" t="s">
        <v>4</v>
      </c>
      <c r="C11" s="16"/>
      <c r="D11" s="16"/>
      <c r="E11" s="16"/>
      <c r="F11" s="16"/>
      <c r="G11" s="16"/>
      <c r="H11" s="22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20"/>
      <c r="BD11" s="4"/>
    </row>
    <row r="12" spans="1:68" s="2" customFormat="1" ht="15.75" x14ac:dyDescent="0.3">
      <c r="A12" s="1"/>
      <c r="B12" s="23" t="s">
        <v>5</v>
      </c>
      <c r="C12" s="4"/>
      <c r="D12" s="4"/>
      <c r="E12" s="4"/>
      <c r="F12" s="4"/>
      <c r="G12" s="4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24"/>
      <c r="BA12" s="24"/>
      <c r="BB12" s="24"/>
      <c r="BC12" s="25"/>
      <c r="BD12" s="4"/>
    </row>
    <row r="13" spans="1:68" s="2" customFormat="1" x14ac:dyDescent="0.3">
      <c r="A13" s="1"/>
      <c r="B13" s="26" t="s">
        <v>6</v>
      </c>
      <c r="C13" s="27"/>
      <c r="D13" s="27"/>
      <c r="E13" s="27"/>
      <c r="F13" s="27"/>
      <c r="G13" s="28"/>
      <c r="H13" s="29" t="s">
        <v>7</v>
      </c>
      <c r="I13" s="30"/>
      <c r="J13" s="30"/>
      <c r="K13" s="30"/>
      <c r="L13" s="30"/>
      <c r="M13" s="30"/>
      <c r="N13" s="31" t="s">
        <v>8</v>
      </c>
      <c r="O13" s="31"/>
      <c r="P13" s="31"/>
      <c r="Q13" s="31"/>
      <c r="R13" s="31"/>
      <c r="S13" s="31"/>
      <c r="T13" s="31"/>
      <c r="U13" s="31"/>
      <c r="V13" s="31"/>
      <c r="W13" s="31"/>
      <c r="X13" s="32" t="s">
        <v>9</v>
      </c>
      <c r="Y13" s="27"/>
      <c r="Z13" s="27"/>
      <c r="AA13" s="27"/>
      <c r="AB13" s="27"/>
      <c r="AC13" s="27"/>
      <c r="AD13" s="28"/>
      <c r="AE13" s="32" t="s">
        <v>10</v>
      </c>
      <c r="AF13" s="27"/>
      <c r="AG13" s="27"/>
      <c r="AH13" s="27"/>
      <c r="AI13" s="27"/>
      <c r="AJ13" s="27"/>
      <c r="AK13" s="28"/>
      <c r="AL13" s="32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33"/>
      <c r="BB13" s="33"/>
      <c r="BC13" s="34"/>
      <c r="BD13" s="4"/>
    </row>
    <row r="14" spans="1:68" s="2" customFormat="1" x14ac:dyDescent="0.3">
      <c r="A14" s="1"/>
      <c r="B14" s="35" t="s">
        <v>11</v>
      </c>
      <c r="C14" s="36"/>
      <c r="D14" s="36"/>
      <c r="E14" s="36"/>
      <c r="F14" s="36"/>
      <c r="G14" s="37"/>
      <c r="H14" s="38"/>
      <c r="I14" s="39"/>
      <c r="J14" s="39"/>
      <c r="K14" s="39"/>
      <c r="L14" s="39"/>
      <c r="M14" s="39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1"/>
      <c r="Y14" s="42"/>
      <c r="Z14" s="42"/>
      <c r="AA14" s="42"/>
      <c r="AB14" s="42"/>
      <c r="AC14" s="42"/>
      <c r="AD14" s="43"/>
      <c r="AE14" s="44">
        <f>X14*N14</f>
        <v>0</v>
      </c>
      <c r="AF14" s="45"/>
      <c r="AG14" s="45"/>
      <c r="AH14" s="45"/>
      <c r="AI14" s="45"/>
      <c r="AJ14" s="45"/>
      <c r="AK14" s="46"/>
      <c r="AL14" s="47" t="s">
        <v>12</v>
      </c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9"/>
      <c r="BB14" s="49"/>
      <c r="BC14" s="50"/>
      <c r="BD14" s="4"/>
    </row>
    <row r="15" spans="1:68" s="60" customFormat="1" x14ac:dyDescent="0.3">
      <c r="A15" s="1"/>
      <c r="B15" s="35"/>
      <c r="C15" s="36"/>
      <c r="D15" s="36"/>
      <c r="E15" s="36"/>
      <c r="F15" s="36"/>
      <c r="G15" s="37"/>
      <c r="H15" s="51"/>
      <c r="I15" s="52"/>
      <c r="J15" s="52"/>
      <c r="K15" s="52"/>
      <c r="L15" s="52"/>
      <c r="M15" s="53"/>
      <c r="N15" s="54"/>
      <c r="O15" s="55"/>
      <c r="P15" s="55"/>
      <c r="Q15" s="55"/>
      <c r="R15" s="55"/>
      <c r="S15" s="55"/>
      <c r="T15" s="55"/>
      <c r="U15" s="55"/>
      <c r="V15" s="55"/>
      <c r="W15" s="56"/>
      <c r="X15" s="41"/>
      <c r="Y15" s="42"/>
      <c r="Z15" s="42"/>
      <c r="AA15" s="42"/>
      <c r="AB15" s="42"/>
      <c r="AC15" s="42"/>
      <c r="AD15" s="43"/>
      <c r="AE15" s="44">
        <f>X15*N15</f>
        <v>0</v>
      </c>
      <c r="AF15" s="45"/>
      <c r="AG15" s="45"/>
      <c r="AH15" s="45"/>
      <c r="AI15" s="45"/>
      <c r="AJ15" s="45"/>
      <c r="AK15" s="46"/>
      <c r="AL15" s="57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49"/>
      <c r="BB15" s="49"/>
      <c r="BC15" s="50"/>
      <c r="BD15" s="4"/>
      <c r="BE15" s="59"/>
      <c r="BF15" s="59"/>
      <c r="BG15" s="59"/>
      <c r="BH15" s="59"/>
      <c r="BI15" s="59"/>
      <c r="BJ15" s="59"/>
      <c r="BK15" s="59"/>
      <c r="BL15" s="59"/>
      <c r="BM15" s="59"/>
      <c r="BN15" s="59"/>
      <c r="BO15" s="59"/>
    </row>
    <row r="16" spans="1:68" s="63" customFormat="1" ht="12.75" x14ac:dyDescent="0.3">
      <c r="A16" s="61"/>
      <c r="B16" s="35"/>
      <c r="C16" s="36"/>
      <c r="D16" s="36"/>
      <c r="E16" s="36"/>
      <c r="F16" s="36"/>
      <c r="G16" s="37"/>
      <c r="H16" s="51"/>
      <c r="I16" s="52"/>
      <c r="J16" s="52"/>
      <c r="K16" s="52"/>
      <c r="L16" s="52"/>
      <c r="M16" s="53"/>
      <c r="N16" s="54"/>
      <c r="O16" s="55"/>
      <c r="P16" s="55"/>
      <c r="Q16" s="55"/>
      <c r="R16" s="55"/>
      <c r="S16" s="55"/>
      <c r="T16" s="55"/>
      <c r="U16" s="55"/>
      <c r="V16" s="55"/>
      <c r="W16" s="56"/>
      <c r="X16" s="41"/>
      <c r="Y16" s="42"/>
      <c r="Z16" s="42"/>
      <c r="AA16" s="42"/>
      <c r="AB16" s="42"/>
      <c r="AC16" s="42"/>
      <c r="AD16" s="43"/>
      <c r="AE16" s="44">
        <f>X16*N16</f>
        <v>0</v>
      </c>
      <c r="AF16" s="45"/>
      <c r="AG16" s="45"/>
      <c r="AH16" s="45"/>
      <c r="AI16" s="45"/>
      <c r="AJ16" s="45"/>
      <c r="AK16" s="46"/>
      <c r="AL16" s="57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49"/>
      <c r="BB16" s="49"/>
      <c r="BC16" s="50"/>
      <c r="BD16" s="62"/>
    </row>
    <row r="17" spans="1:67" s="2" customFormat="1" x14ac:dyDescent="0.3">
      <c r="A17" s="1"/>
      <c r="B17" s="64" t="s">
        <v>13</v>
      </c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6">
        <f>SUM(N14:W16)</f>
        <v>0</v>
      </c>
      <c r="O17" s="67"/>
      <c r="P17" s="67"/>
      <c r="Q17" s="67"/>
      <c r="R17" s="67"/>
      <c r="S17" s="67"/>
      <c r="T17" s="67"/>
      <c r="U17" s="67"/>
      <c r="V17" s="67"/>
      <c r="W17" s="68"/>
      <c r="X17" s="69"/>
      <c r="Y17" s="70"/>
      <c r="Z17" s="70"/>
      <c r="AA17" s="70"/>
      <c r="AB17" s="70"/>
      <c r="AC17" s="70"/>
      <c r="AD17" s="71"/>
      <c r="AE17" s="72">
        <f>SUM(AE14:AK16)</f>
        <v>0</v>
      </c>
      <c r="AF17" s="73"/>
      <c r="AG17" s="73"/>
      <c r="AH17" s="73"/>
      <c r="AI17" s="73"/>
      <c r="AJ17" s="73"/>
      <c r="AK17" s="74"/>
      <c r="AL17" s="75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7"/>
      <c r="BB17" s="77"/>
      <c r="BC17" s="78"/>
      <c r="BD17" s="4"/>
    </row>
    <row r="18" spans="1:67" s="2" customFormat="1" ht="13.5" customHeight="1" x14ac:dyDescent="0.3">
      <c r="A18" s="1"/>
      <c r="B18" s="79"/>
      <c r="C18" s="80"/>
      <c r="D18" s="80"/>
      <c r="E18" s="80"/>
      <c r="F18" s="80"/>
      <c r="G18" s="80"/>
      <c r="H18" s="81"/>
      <c r="I18" s="82"/>
      <c r="J18" s="82"/>
      <c r="K18" s="82"/>
      <c r="L18" s="82"/>
      <c r="M18" s="83"/>
      <c r="N18" s="81"/>
      <c r="O18" s="82"/>
      <c r="P18" s="82"/>
      <c r="Q18" s="82"/>
      <c r="R18" s="82"/>
      <c r="S18" s="82"/>
      <c r="T18" s="82"/>
      <c r="U18" s="82"/>
      <c r="V18" s="82"/>
      <c r="W18" s="83"/>
      <c r="X18" s="81"/>
      <c r="Y18" s="82"/>
      <c r="Z18" s="82"/>
      <c r="AA18" s="82"/>
      <c r="AB18" s="82"/>
      <c r="AC18" s="82"/>
      <c r="AD18" s="83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5"/>
      <c r="BD18" s="4"/>
    </row>
    <row r="19" spans="1:67" s="2" customFormat="1" x14ac:dyDescent="0.3">
      <c r="A19" s="1"/>
      <c r="B19" s="86" t="s">
        <v>14</v>
      </c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8"/>
      <c r="O19" s="89"/>
      <c r="P19" s="89"/>
      <c r="Q19" s="89"/>
      <c r="R19" s="89"/>
      <c r="S19" s="89"/>
      <c r="T19" s="89"/>
      <c r="U19" s="89"/>
      <c r="V19" s="89"/>
      <c r="W19" s="90"/>
      <c r="X19" s="91"/>
      <c r="Y19" s="92"/>
      <c r="Z19" s="92"/>
      <c r="AA19" s="92"/>
      <c r="AB19" s="92"/>
      <c r="AC19" s="92"/>
      <c r="AD19" s="93"/>
      <c r="AE19" s="88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89"/>
      <c r="AQ19" s="89"/>
      <c r="AR19" s="89"/>
      <c r="AS19" s="89"/>
      <c r="AT19" s="89"/>
      <c r="AU19" s="89"/>
      <c r="AV19" s="89"/>
      <c r="AW19" s="89"/>
      <c r="AX19" s="89"/>
      <c r="AY19" s="89"/>
      <c r="AZ19" s="90"/>
      <c r="BA19" s="94"/>
      <c r="BB19" s="94"/>
      <c r="BC19" s="95"/>
      <c r="BD19" s="4"/>
    </row>
    <row r="20" spans="1:67" s="2" customFormat="1" x14ac:dyDescent="0.3">
      <c r="A20" s="1"/>
      <c r="B20" s="26" t="s">
        <v>15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30" t="s">
        <v>16</v>
      </c>
      <c r="O20" s="30"/>
      <c r="P20" s="30"/>
      <c r="Q20" s="30"/>
      <c r="R20" s="30"/>
      <c r="S20" s="30"/>
      <c r="T20" s="30"/>
      <c r="U20" s="30"/>
      <c r="V20" s="30"/>
      <c r="W20" s="30"/>
      <c r="X20" s="96" t="s">
        <v>17</v>
      </c>
      <c r="Y20" s="96"/>
      <c r="Z20" s="96"/>
      <c r="AA20" s="96"/>
      <c r="AB20" s="96"/>
      <c r="AC20" s="96"/>
      <c r="AD20" s="96"/>
      <c r="AE20" s="30" t="s">
        <v>18</v>
      </c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2"/>
      <c r="BA20" s="33"/>
      <c r="BB20" s="33"/>
      <c r="BC20" s="34"/>
      <c r="BD20" s="4"/>
    </row>
    <row r="21" spans="1:67" s="2" customFormat="1" x14ac:dyDescent="0.3">
      <c r="A21" s="1"/>
      <c r="B21" s="97" t="s">
        <v>19</v>
      </c>
      <c r="C21" s="98"/>
      <c r="D21" s="98"/>
      <c r="E21" s="98"/>
      <c r="F21" s="98"/>
      <c r="G21" s="99"/>
      <c r="H21" s="53"/>
      <c r="I21" s="39"/>
      <c r="J21" s="39"/>
      <c r="K21" s="39"/>
      <c r="L21" s="39"/>
      <c r="M21" s="39"/>
      <c r="N21" s="100">
        <v>0</v>
      </c>
      <c r="O21" s="100"/>
      <c r="P21" s="100"/>
      <c r="Q21" s="100"/>
      <c r="R21" s="100"/>
      <c r="S21" s="100"/>
      <c r="T21" s="100"/>
      <c r="U21" s="100"/>
      <c r="V21" s="100"/>
      <c r="W21" s="100"/>
      <c r="X21" s="101"/>
      <c r="Y21" s="101"/>
      <c r="Z21" s="101"/>
      <c r="AA21" s="101"/>
      <c r="AB21" s="101"/>
      <c r="AC21" s="101"/>
      <c r="AD21" s="101"/>
      <c r="AE21" s="102" t="s">
        <v>20</v>
      </c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49"/>
      <c r="BB21" s="49"/>
      <c r="BC21" s="50"/>
      <c r="BD21" s="4"/>
    </row>
    <row r="22" spans="1:67" s="2" customFormat="1" x14ac:dyDescent="0.3">
      <c r="A22" s="1"/>
      <c r="B22" s="97" t="s">
        <v>21</v>
      </c>
      <c r="C22" s="98"/>
      <c r="D22" s="98"/>
      <c r="E22" s="98"/>
      <c r="F22" s="98"/>
      <c r="G22" s="99"/>
      <c r="H22" s="53"/>
      <c r="I22" s="39"/>
      <c r="J22" s="39"/>
      <c r="K22" s="39"/>
      <c r="L22" s="39"/>
      <c r="M22" s="39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1"/>
      <c r="Y22" s="101"/>
      <c r="Z22" s="101"/>
      <c r="AA22" s="101"/>
      <c r="AB22" s="101"/>
      <c r="AC22" s="101"/>
      <c r="AD22" s="101"/>
      <c r="AE22" s="102" t="s">
        <v>22</v>
      </c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49"/>
      <c r="BB22" s="49"/>
      <c r="BC22" s="50"/>
      <c r="BD22" s="4"/>
    </row>
    <row r="23" spans="1:67" s="2" customFormat="1" x14ac:dyDescent="0.3">
      <c r="A23" s="1"/>
      <c r="B23" s="97" t="s">
        <v>23</v>
      </c>
      <c r="C23" s="98"/>
      <c r="D23" s="98"/>
      <c r="E23" s="98"/>
      <c r="F23" s="98"/>
      <c r="G23" s="99"/>
      <c r="H23" s="53"/>
      <c r="I23" s="39"/>
      <c r="J23" s="39"/>
      <c r="K23" s="39"/>
      <c r="L23" s="39"/>
      <c r="M23" s="39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1"/>
      <c r="Y23" s="101"/>
      <c r="Z23" s="101"/>
      <c r="AA23" s="101"/>
      <c r="AB23" s="101"/>
      <c r="AC23" s="101"/>
      <c r="AD23" s="101"/>
      <c r="AE23" s="102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49"/>
      <c r="BB23" s="49"/>
      <c r="BC23" s="50"/>
      <c r="BD23" s="4"/>
    </row>
    <row r="24" spans="1:67" s="2" customFormat="1" ht="13.5" customHeight="1" x14ac:dyDescent="0.3">
      <c r="A24" s="1"/>
      <c r="B24" s="97" t="s">
        <v>24</v>
      </c>
      <c r="C24" s="98"/>
      <c r="D24" s="98"/>
      <c r="E24" s="98"/>
      <c r="F24" s="98"/>
      <c r="G24" s="99"/>
      <c r="H24" s="53"/>
      <c r="I24" s="39"/>
      <c r="J24" s="39"/>
      <c r="K24" s="39"/>
      <c r="L24" s="39"/>
      <c r="M24" s="39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1" t="s">
        <v>25</v>
      </c>
      <c r="Y24" s="101"/>
      <c r="Z24" s="101"/>
      <c r="AA24" s="101"/>
      <c r="AB24" s="101"/>
      <c r="AC24" s="101"/>
      <c r="AD24" s="101"/>
      <c r="AE24" s="102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49"/>
      <c r="BB24" s="49"/>
      <c r="BC24" s="50"/>
      <c r="BD24" s="4"/>
    </row>
    <row r="25" spans="1:67" s="60" customFormat="1" x14ac:dyDescent="0.3">
      <c r="A25" s="1"/>
      <c r="B25" s="97" t="s">
        <v>26</v>
      </c>
      <c r="C25" s="98"/>
      <c r="D25" s="98"/>
      <c r="E25" s="98"/>
      <c r="F25" s="98"/>
      <c r="G25" s="99"/>
      <c r="H25" s="53"/>
      <c r="I25" s="39"/>
      <c r="J25" s="39"/>
      <c r="K25" s="39"/>
      <c r="L25" s="39"/>
      <c r="M25" s="39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1" t="s">
        <v>25</v>
      </c>
      <c r="Y25" s="101"/>
      <c r="Z25" s="101"/>
      <c r="AA25" s="101"/>
      <c r="AB25" s="101"/>
      <c r="AC25" s="101"/>
      <c r="AD25" s="101"/>
      <c r="AE25" s="102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49"/>
      <c r="BB25" s="49"/>
      <c r="BC25" s="50"/>
      <c r="BD25" s="4"/>
      <c r="BE25" s="104"/>
      <c r="BF25" s="104"/>
      <c r="BG25" s="104"/>
      <c r="BH25" s="6"/>
      <c r="BI25" s="59"/>
      <c r="BJ25" s="59"/>
      <c r="BK25" s="59"/>
      <c r="BL25" s="59"/>
      <c r="BM25" s="59"/>
      <c r="BN25" s="59"/>
      <c r="BO25" s="59"/>
    </row>
    <row r="26" spans="1:67" s="63" customFormat="1" ht="12.75" x14ac:dyDescent="0.3">
      <c r="A26" s="61"/>
      <c r="B26" s="97" t="s">
        <v>27</v>
      </c>
      <c r="C26" s="98"/>
      <c r="D26" s="98"/>
      <c r="E26" s="98"/>
      <c r="F26" s="98"/>
      <c r="G26" s="99"/>
      <c r="H26" s="53"/>
      <c r="I26" s="39"/>
      <c r="J26" s="39"/>
      <c r="K26" s="39"/>
      <c r="L26" s="39"/>
      <c r="M26" s="39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1"/>
      <c r="Y26" s="101"/>
      <c r="Z26" s="101"/>
      <c r="AA26" s="101"/>
      <c r="AB26" s="101"/>
      <c r="AC26" s="101"/>
      <c r="AD26" s="101"/>
      <c r="AE26" s="102" t="s">
        <v>28</v>
      </c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/>
      <c r="BA26" s="49"/>
      <c r="BB26" s="49"/>
      <c r="BC26" s="50"/>
      <c r="BD26" s="62"/>
    </row>
    <row r="27" spans="1:67" s="2" customFormat="1" x14ac:dyDescent="0.3">
      <c r="A27" s="1"/>
      <c r="B27" s="64" t="s">
        <v>29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105">
        <f>SUM(N21:W26)</f>
        <v>0</v>
      </c>
      <c r="O27" s="106"/>
      <c r="P27" s="106"/>
      <c r="Q27" s="106"/>
      <c r="R27" s="106"/>
      <c r="S27" s="106"/>
      <c r="T27" s="106"/>
      <c r="U27" s="106"/>
      <c r="V27" s="106"/>
      <c r="W27" s="107"/>
      <c r="X27" s="108"/>
      <c r="Y27" s="108"/>
      <c r="Z27" s="108"/>
      <c r="AA27" s="108"/>
      <c r="AB27" s="108"/>
      <c r="AC27" s="108"/>
      <c r="AD27" s="108"/>
      <c r="AE27" s="109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77"/>
      <c r="BB27" s="77"/>
      <c r="BC27" s="78"/>
      <c r="BD27" s="4"/>
    </row>
    <row r="28" spans="1:67" s="2" customFormat="1" ht="13.5" customHeight="1" x14ac:dyDescent="0.3">
      <c r="A28" s="1"/>
      <c r="B28" s="79"/>
      <c r="C28" s="80"/>
      <c r="D28" s="80"/>
      <c r="E28" s="80"/>
      <c r="F28" s="80"/>
      <c r="G28" s="80"/>
      <c r="H28" s="81"/>
      <c r="I28" s="82"/>
      <c r="J28" s="82"/>
      <c r="K28" s="82"/>
      <c r="L28" s="82"/>
      <c r="M28" s="83"/>
      <c r="N28" s="81"/>
      <c r="O28" s="82"/>
      <c r="P28" s="82"/>
      <c r="Q28" s="82"/>
      <c r="R28" s="82"/>
      <c r="S28" s="82"/>
      <c r="T28" s="82"/>
      <c r="U28" s="82"/>
      <c r="V28" s="82"/>
      <c r="W28" s="83"/>
      <c r="X28" s="81"/>
      <c r="Y28" s="82"/>
      <c r="Z28" s="82"/>
      <c r="AA28" s="82"/>
      <c r="AB28" s="82"/>
      <c r="AC28" s="82"/>
      <c r="AD28" s="83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5"/>
      <c r="BD28" s="4"/>
    </row>
    <row r="29" spans="1:67" s="2" customFormat="1" ht="13.5" customHeight="1" x14ac:dyDescent="0.3">
      <c r="A29" s="1"/>
      <c r="B29" s="111" t="s">
        <v>30</v>
      </c>
      <c r="C29" s="112"/>
      <c r="D29" s="112"/>
      <c r="E29" s="112"/>
      <c r="F29" s="112"/>
      <c r="G29" s="112"/>
      <c r="H29" s="113" t="s">
        <v>25</v>
      </c>
      <c r="I29" s="114"/>
      <c r="J29" s="114"/>
      <c r="K29" s="114"/>
      <c r="L29" s="114"/>
      <c r="M29" s="115"/>
      <c r="N29" s="113"/>
      <c r="O29" s="114"/>
      <c r="P29" s="114"/>
      <c r="Q29" s="114"/>
      <c r="R29" s="114"/>
      <c r="S29" s="114"/>
      <c r="T29" s="114"/>
      <c r="U29" s="114"/>
      <c r="V29" s="114"/>
      <c r="W29" s="115"/>
      <c r="X29" s="113"/>
      <c r="Y29" s="114"/>
      <c r="Z29" s="114"/>
      <c r="AA29" s="114"/>
      <c r="AB29" s="114"/>
      <c r="AC29" s="114"/>
      <c r="AD29" s="115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7"/>
      <c r="BD29" s="4"/>
    </row>
    <row r="30" spans="1:67" s="63" customFormat="1" ht="12.75" x14ac:dyDescent="0.3">
      <c r="A30" s="61"/>
      <c r="B30" s="118" t="s">
        <v>31</v>
      </c>
      <c r="C30" s="96"/>
      <c r="D30" s="96"/>
      <c r="E30" s="96"/>
      <c r="F30" s="96"/>
      <c r="G30" s="96"/>
      <c r="H30" s="96" t="s">
        <v>32</v>
      </c>
      <c r="I30" s="96"/>
      <c r="J30" s="96"/>
      <c r="K30" s="96"/>
      <c r="L30" s="96"/>
      <c r="M30" s="96"/>
      <c r="N30" s="96" t="s">
        <v>33</v>
      </c>
      <c r="O30" s="96"/>
      <c r="P30" s="96"/>
      <c r="Q30" s="96"/>
      <c r="R30" s="96"/>
      <c r="S30" s="96"/>
      <c r="T30" s="96"/>
      <c r="U30" s="96"/>
      <c r="V30" s="96"/>
      <c r="W30" s="96"/>
      <c r="X30" s="96" t="s">
        <v>17</v>
      </c>
      <c r="Y30" s="96"/>
      <c r="Z30" s="96"/>
      <c r="AA30" s="96"/>
      <c r="AB30" s="96"/>
      <c r="AC30" s="96"/>
      <c r="AD30" s="96"/>
      <c r="AE30" s="119" t="s">
        <v>18</v>
      </c>
      <c r="AF30" s="120"/>
      <c r="AG30" s="120"/>
      <c r="AH30" s="120"/>
      <c r="AI30" s="120"/>
      <c r="AJ30" s="120"/>
      <c r="AK30" s="120"/>
      <c r="AL30" s="120"/>
      <c r="AM30" s="120"/>
      <c r="AN30" s="120"/>
      <c r="AO30" s="120"/>
      <c r="AP30" s="120"/>
      <c r="AQ30" s="120"/>
      <c r="AR30" s="120"/>
      <c r="AS30" s="120"/>
      <c r="AT30" s="120"/>
      <c r="AU30" s="120"/>
      <c r="AV30" s="120"/>
      <c r="AW30" s="120"/>
      <c r="AX30" s="120"/>
      <c r="AY30" s="120"/>
      <c r="AZ30" s="120"/>
      <c r="BA30" s="120"/>
      <c r="BB30" s="120"/>
      <c r="BC30" s="121"/>
      <c r="BD30" s="62"/>
    </row>
    <row r="31" spans="1:67" s="2" customFormat="1" x14ac:dyDescent="0.3">
      <c r="A31" s="1"/>
      <c r="B31" s="122" t="s">
        <v>34</v>
      </c>
      <c r="C31" s="123"/>
      <c r="D31" s="123"/>
      <c r="E31" s="123"/>
      <c r="F31" s="123"/>
      <c r="G31" s="123"/>
      <c r="H31" s="124">
        <f>AE17+N27</f>
        <v>0</v>
      </c>
      <c r="I31" s="124"/>
      <c r="J31" s="124"/>
      <c r="K31" s="124"/>
      <c r="L31" s="124"/>
      <c r="M31" s="124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6"/>
      <c r="AF31" s="127"/>
      <c r="AG31" s="127"/>
      <c r="AH31" s="127"/>
      <c r="AI31" s="127"/>
      <c r="AJ31" s="127"/>
      <c r="AK31" s="127"/>
      <c r="AL31" s="127"/>
      <c r="AM31" s="127"/>
      <c r="AN31" s="127"/>
      <c r="AO31" s="127"/>
      <c r="AP31" s="127"/>
      <c r="AQ31" s="127"/>
      <c r="AR31" s="127"/>
      <c r="AS31" s="127"/>
      <c r="AT31" s="127"/>
      <c r="AU31" s="127"/>
      <c r="AV31" s="127"/>
      <c r="AW31" s="127"/>
      <c r="AX31" s="127"/>
      <c r="AY31" s="127"/>
      <c r="AZ31" s="127"/>
      <c r="BA31" s="127"/>
      <c r="BB31" s="127"/>
      <c r="BC31" s="128"/>
      <c r="BD31" s="4"/>
    </row>
    <row r="32" spans="1:67" s="2" customFormat="1" ht="13.5" customHeight="1" x14ac:dyDescent="0.3">
      <c r="A32" s="1"/>
      <c r="B32" s="79"/>
      <c r="C32" s="80"/>
      <c r="D32" s="80"/>
      <c r="E32" s="80"/>
      <c r="F32" s="80"/>
      <c r="G32" s="80"/>
      <c r="H32" s="81"/>
      <c r="I32" s="82"/>
      <c r="J32" s="82"/>
      <c r="K32" s="82"/>
      <c r="L32" s="82"/>
      <c r="M32" s="83"/>
      <c r="N32" s="81"/>
      <c r="O32" s="82"/>
      <c r="P32" s="82"/>
      <c r="Q32" s="82"/>
      <c r="R32" s="82"/>
      <c r="S32" s="82"/>
      <c r="T32" s="82"/>
      <c r="U32" s="82"/>
      <c r="V32" s="82"/>
      <c r="W32" s="83"/>
      <c r="X32" s="81"/>
      <c r="Y32" s="82"/>
      <c r="Z32" s="82"/>
      <c r="AA32" s="82"/>
      <c r="AB32" s="82"/>
      <c r="AC32" s="82"/>
      <c r="AD32" s="83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5"/>
      <c r="BD32" s="4"/>
    </row>
    <row r="33" spans="1:68" s="2" customFormat="1" ht="17.649999999999999" x14ac:dyDescent="0.3">
      <c r="A33" s="1"/>
      <c r="B33" s="111" t="s">
        <v>35</v>
      </c>
      <c r="C33" s="112"/>
      <c r="D33" s="112"/>
      <c r="E33" s="112"/>
      <c r="F33" s="112"/>
      <c r="G33" s="112"/>
      <c r="H33" s="113" t="s">
        <v>25</v>
      </c>
      <c r="I33" s="114"/>
      <c r="J33" s="114"/>
      <c r="K33" s="114"/>
      <c r="L33" s="114"/>
      <c r="M33" s="115"/>
      <c r="N33" s="113"/>
      <c r="O33" s="114"/>
      <c r="P33" s="114"/>
      <c r="Q33" s="114"/>
      <c r="R33" s="114"/>
      <c r="S33" s="114"/>
      <c r="T33" s="114"/>
      <c r="U33" s="114"/>
      <c r="V33" s="114"/>
      <c r="W33" s="115"/>
      <c r="X33" s="113"/>
      <c r="Y33" s="114"/>
      <c r="Z33" s="114"/>
      <c r="AA33" s="114"/>
      <c r="AB33" s="114"/>
      <c r="AC33" s="114"/>
      <c r="AD33" s="115"/>
      <c r="AE33" s="129"/>
      <c r="AF33" s="129"/>
      <c r="AG33" s="129"/>
      <c r="AH33" s="129"/>
      <c r="AI33" s="129"/>
      <c r="AJ33" s="129"/>
      <c r="AK33" s="129"/>
      <c r="AL33" s="129"/>
      <c r="AM33" s="129"/>
      <c r="AN33" s="129"/>
      <c r="AO33" s="129"/>
      <c r="AP33" s="129"/>
      <c r="AQ33" s="129"/>
      <c r="AR33" s="129"/>
      <c r="AS33" s="129"/>
      <c r="AT33" s="129"/>
      <c r="AU33" s="129"/>
      <c r="AV33" s="129"/>
      <c r="AW33" s="129"/>
      <c r="AX33" s="129"/>
      <c r="AY33" s="129"/>
      <c r="AZ33" s="129"/>
      <c r="BA33" s="129"/>
      <c r="BB33" s="129"/>
      <c r="BC33" s="130"/>
      <c r="BD33" s="4"/>
      <c r="BE33" s="5"/>
      <c r="BF33" s="5"/>
      <c r="BG33" s="5"/>
      <c r="BH33" s="6"/>
    </row>
    <row r="34" spans="1:68" s="2" customFormat="1" x14ac:dyDescent="0.3">
      <c r="A34" s="1"/>
      <c r="B34" s="131" t="s">
        <v>31</v>
      </c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132"/>
      <c r="T34" s="132"/>
      <c r="U34" s="132"/>
      <c r="V34" s="132"/>
      <c r="W34" s="133"/>
      <c r="X34" s="96" t="s">
        <v>36</v>
      </c>
      <c r="Y34" s="96"/>
      <c r="Z34" s="96"/>
      <c r="AA34" s="96"/>
      <c r="AB34" s="96"/>
      <c r="AC34" s="96"/>
      <c r="AD34" s="96"/>
      <c r="AE34" s="134" t="s">
        <v>37</v>
      </c>
      <c r="AF34" s="132"/>
      <c r="AG34" s="132"/>
      <c r="AH34" s="132"/>
      <c r="AI34" s="132" t="s">
        <v>38</v>
      </c>
      <c r="AJ34" s="132"/>
      <c r="AK34" s="133"/>
      <c r="AL34" s="134" t="s">
        <v>39</v>
      </c>
      <c r="AM34" s="132"/>
      <c r="AN34" s="132"/>
      <c r="AO34" s="132" t="str">
        <f>AI34</f>
        <v>()</v>
      </c>
      <c r="AP34" s="132"/>
      <c r="AQ34" s="133"/>
      <c r="AR34" s="134" t="s">
        <v>40</v>
      </c>
      <c r="AS34" s="132"/>
      <c r="AT34" s="132"/>
      <c r="AU34" s="132"/>
      <c r="AV34" s="132"/>
      <c r="AW34" s="135"/>
      <c r="AX34" s="131" t="s">
        <v>41</v>
      </c>
      <c r="AY34" s="132"/>
      <c r="AZ34" s="132"/>
      <c r="BA34" s="132"/>
      <c r="BB34" s="132"/>
      <c r="BC34" s="135"/>
      <c r="BD34" s="4"/>
      <c r="BE34" s="5"/>
      <c r="BF34" s="5"/>
      <c r="BG34" s="5"/>
      <c r="BH34" s="6"/>
    </row>
    <row r="35" spans="1:68" s="2" customFormat="1" ht="13.5" customHeight="1" x14ac:dyDescent="0.3">
      <c r="A35" s="1"/>
      <c r="B35" s="136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8"/>
      <c r="Y35" s="138"/>
      <c r="Z35" s="138"/>
      <c r="AA35" s="138"/>
      <c r="AB35" s="138"/>
      <c r="AC35" s="138"/>
      <c r="AD35" s="138"/>
      <c r="AE35" s="139"/>
      <c r="AF35" s="139"/>
      <c r="AG35" s="139"/>
      <c r="AH35" s="139"/>
      <c r="AI35" s="139"/>
      <c r="AJ35" s="139"/>
      <c r="AK35" s="139"/>
      <c r="AL35" s="140">
        <f>X35*AE35</f>
        <v>0</v>
      </c>
      <c r="AM35" s="140"/>
      <c r="AN35" s="140"/>
      <c r="AO35" s="140"/>
      <c r="AP35" s="140"/>
      <c r="AQ35" s="140"/>
      <c r="AR35" s="141" t="e">
        <f>AX35/X35</f>
        <v>#DIV/0!</v>
      </c>
      <c r="AS35" s="141"/>
      <c r="AT35" s="141"/>
      <c r="AU35" s="141"/>
      <c r="AV35" s="141"/>
      <c r="AW35" s="141"/>
      <c r="AX35" s="141" t="e">
        <f>AL35/AL46*H31</f>
        <v>#DIV/0!</v>
      </c>
      <c r="AY35" s="141"/>
      <c r="AZ35" s="141"/>
      <c r="BA35" s="141"/>
      <c r="BB35" s="141"/>
      <c r="BC35" s="142"/>
      <c r="BD35" s="4"/>
      <c r="BE35" s="5"/>
      <c r="BF35" s="5"/>
      <c r="BG35" s="5"/>
      <c r="BH35" s="6"/>
    </row>
    <row r="36" spans="1:68" s="2" customFormat="1" x14ac:dyDescent="0.3">
      <c r="A36" s="1"/>
      <c r="B36" s="143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5"/>
      <c r="Y36" s="145"/>
      <c r="Z36" s="145"/>
      <c r="AA36" s="145"/>
      <c r="AB36" s="145"/>
      <c r="AC36" s="145"/>
      <c r="AD36" s="145"/>
      <c r="AE36" s="146"/>
      <c r="AF36" s="146"/>
      <c r="AG36" s="146"/>
      <c r="AH36" s="146"/>
      <c r="AI36" s="146"/>
      <c r="AJ36" s="146"/>
      <c r="AK36" s="146"/>
      <c r="AL36" s="140">
        <f t="shared" ref="AL36:AL45" si="0">X36*AE36</f>
        <v>0</v>
      </c>
      <c r="AM36" s="140"/>
      <c r="AN36" s="140"/>
      <c r="AO36" s="140"/>
      <c r="AP36" s="140"/>
      <c r="AQ36" s="140"/>
      <c r="AR36" s="141" t="e">
        <f t="shared" ref="AR36:AR45" si="1">AX36/X36</f>
        <v>#DIV/0!</v>
      </c>
      <c r="AS36" s="141"/>
      <c r="AT36" s="141"/>
      <c r="AU36" s="141"/>
      <c r="AV36" s="141"/>
      <c r="AW36" s="141"/>
      <c r="AX36" s="141" t="e">
        <f>AL36/AL46*H31</f>
        <v>#DIV/0!</v>
      </c>
      <c r="AY36" s="141"/>
      <c r="AZ36" s="141"/>
      <c r="BA36" s="141"/>
      <c r="BB36" s="141"/>
      <c r="BC36" s="142"/>
      <c r="BD36" s="147"/>
      <c r="BE36" s="5"/>
      <c r="BF36" s="5"/>
      <c r="BG36" s="5"/>
      <c r="BH36" s="6"/>
    </row>
    <row r="37" spans="1:68" s="2" customFormat="1" x14ac:dyDescent="0.3">
      <c r="A37" s="1"/>
      <c r="B37" s="143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5"/>
      <c r="Y37" s="145"/>
      <c r="Z37" s="145"/>
      <c r="AA37" s="145"/>
      <c r="AB37" s="145"/>
      <c r="AC37" s="145"/>
      <c r="AD37" s="145"/>
      <c r="AE37" s="148"/>
      <c r="AF37" s="148"/>
      <c r="AG37" s="148"/>
      <c r="AH37" s="148"/>
      <c r="AI37" s="148"/>
      <c r="AJ37" s="148"/>
      <c r="AK37" s="148"/>
      <c r="AL37" s="140">
        <f t="shared" si="0"/>
        <v>0</v>
      </c>
      <c r="AM37" s="140"/>
      <c r="AN37" s="140"/>
      <c r="AO37" s="140"/>
      <c r="AP37" s="140"/>
      <c r="AQ37" s="140"/>
      <c r="AR37" s="141" t="e">
        <f t="shared" si="1"/>
        <v>#DIV/0!</v>
      </c>
      <c r="AS37" s="141"/>
      <c r="AT37" s="141"/>
      <c r="AU37" s="141"/>
      <c r="AV37" s="141"/>
      <c r="AW37" s="141"/>
      <c r="AX37" s="141" t="e">
        <f>AL37/AL46*H31</f>
        <v>#DIV/0!</v>
      </c>
      <c r="AY37" s="141"/>
      <c r="AZ37" s="141"/>
      <c r="BA37" s="141"/>
      <c r="BB37" s="141"/>
      <c r="BC37" s="142"/>
      <c r="BD37" s="147"/>
      <c r="BE37" s="5"/>
      <c r="BF37" s="5"/>
      <c r="BG37" s="5"/>
      <c r="BH37" s="6"/>
    </row>
    <row r="38" spans="1:68" s="2" customFormat="1" ht="13.5" customHeight="1" x14ac:dyDescent="0.3">
      <c r="A38" s="1"/>
      <c r="B38" s="143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5"/>
      <c r="Y38" s="145"/>
      <c r="Z38" s="145"/>
      <c r="AA38" s="145"/>
      <c r="AB38" s="145"/>
      <c r="AC38" s="145"/>
      <c r="AD38" s="145"/>
      <c r="AE38" s="148"/>
      <c r="AF38" s="148"/>
      <c r="AG38" s="148"/>
      <c r="AH38" s="148"/>
      <c r="AI38" s="148"/>
      <c r="AJ38" s="148"/>
      <c r="AK38" s="148"/>
      <c r="AL38" s="140">
        <f t="shared" si="0"/>
        <v>0</v>
      </c>
      <c r="AM38" s="140"/>
      <c r="AN38" s="140"/>
      <c r="AO38" s="140"/>
      <c r="AP38" s="140"/>
      <c r="AQ38" s="140"/>
      <c r="AR38" s="141" t="e">
        <f t="shared" si="1"/>
        <v>#DIV/0!</v>
      </c>
      <c r="AS38" s="141"/>
      <c r="AT38" s="141"/>
      <c r="AU38" s="141"/>
      <c r="AV38" s="141"/>
      <c r="AW38" s="141"/>
      <c r="AX38" s="141" t="e">
        <f>AL38/AL46*H31</f>
        <v>#DIV/0!</v>
      </c>
      <c r="AY38" s="141"/>
      <c r="AZ38" s="141"/>
      <c r="BA38" s="141"/>
      <c r="BB38" s="141"/>
      <c r="BC38" s="142"/>
      <c r="BD38" s="4"/>
      <c r="BE38" s="5"/>
      <c r="BF38" s="5"/>
      <c r="BG38" s="5"/>
      <c r="BH38" s="6"/>
    </row>
    <row r="39" spans="1:68" s="2" customFormat="1" x14ac:dyDescent="0.3">
      <c r="A39" s="1"/>
      <c r="B39" s="143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39"/>
      <c r="Y39" s="39"/>
      <c r="Z39" s="39"/>
      <c r="AA39" s="39"/>
      <c r="AB39" s="39"/>
      <c r="AC39" s="39"/>
      <c r="AD39" s="39"/>
      <c r="AE39" s="149"/>
      <c r="AF39" s="149"/>
      <c r="AG39" s="149"/>
      <c r="AH39" s="149"/>
      <c r="AI39" s="149"/>
      <c r="AJ39" s="149"/>
      <c r="AK39" s="149"/>
      <c r="AL39" s="140">
        <f t="shared" si="0"/>
        <v>0</v>
      </c>
      <c r="AM39" s="140"/>
      <c r="AN39" s="140"/>
      <c r="AO39" s="140"/>
      <c r="AP39" s="140"/>
      <c r="AQ39" s="140"/>
      <c r="AR39" s="141" t="e">
        <f t="shared" si="1"/>
        <v>#DIV/0!</v>
      </c>
      <c r="AS39" s="141"/>
      <c r="AT39" s="141"/>
      <c r="AU39" s="141"/>
      <c r="AV39" s="141"/>
      <c r="AW39" s="141"/>
      <c r="AX39" s="141" t="e">
        <f>AL39/AL46*H31</f>
        <v>#DIV/0!</v>
      </c>
      <c r="AY39" s="141"/>
      <c r="AZ39" s="141"/>
      <c r="BA39" s="141"/>
      <c r="BB39" s="141"/>
      <c r="BC39" s="142"/>
      <c r="BD39" s="150"/>
      <c r="BE39" s="5"/>
      <c r="BF39" s="5"/>
      <c r="BG39" s="5"/>
      <c r="BH39" s="6"/>
      <c r="BI39" s="151"/>
    </row>
    <row r="40" spans="1:68" s="2" customFormat="1" x14ac:dyDescent="0.3">
      <c r="A40" s="1"/>
      <c r="B40" s="143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39"/>
      <c r="Y40" s="39"/>
      <c r="Z40" s="39"/>
      <c r="AA40" s="39"/>
      <c r="AB40" s="39"/>
      <c r="AC40" s="39"/>
      <c r="AD40" s="39"/>
      <c r="AE40" s="149"/>
      <c r="AF40" s="149"/>
      <c r="AG40" s="149"/>
      <c r="AH40" s="149"/>
      <c r="AI40" s="149"/>
      <c r="AJ40" s="149"/>
      <c r="AK40" s="149"/>
      <c r="AL40" s="140">
        <f t="shared" si="0"/>
        <v>0</v>
      </c>
      <c r="AM40" s="140"/>
      <c r="AN40" s="140"/>
      <c r="AO40" s="140"/>
      <c r="AP40" s="140"/>
      <c r="AQ40" s="140"/>
      <c r="AR40" s="141" t="e">
        <f t="shared" si="1"/>
        <v>#DIV/0!</v>
      </c>
      <c r="AS40" s="141"/>
      <c r="AT40" s="141"/>
      <c r="AU40" s="141"/>
      <c r="AV40" s="141"/>
      <c r="AW40" s="141"/>
      <c r="AX40" s="152" t="e">
        <f>AL40/AL46*H31</f>
        <v>#DIV/0!</v>
      </c>
      <c r="AY40" s="141"/>
      <c r="AZ40" s="141"/>
      <c r="BA40" s="141"/>
      <c r="BB40" s="141"/>
      <c r="BC40" s="142"/>
      <c r="BD40" s="150"/>
      <c r="BE40" s="5"/>
      <c r="BF40" s="5"/>
      <c r="BG40" s="5"/>
      <c r="BH40" s="6"/>
    </row>
    <row r="41" spans="1:68" s="2" customFormat="1" x14ac:dyDescent="0.3">
      <c r="A41" s="1"/>
      <c r="B41" s="143"/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39"/>
      <c r="Y41" s="39"/>
      <c r="Z41" s="39"/>
      <c r="AA41" s="39"/>
      <c r="AB41" s="39"/>
      <c r="AC41" s="39"/>
      <c r="AD41" s="39"/>
      <c r="AE41" s="149"/>
      <c r="AF41" s="149"/>
      <c r="AG41" s="149"/>
      <c r="AH41" s="149"/>
      <c r="AI41" s="149"/>
      <c r="AJ41" s="149"/>
      <c r="AK41" s="149"/>
      <c r="AL41" s="140">
        <f t="shared" si="0"/>
        <v>0</v>
      </c>
      <c r="AM41" s="140"/>
      <c r="AN41" s="140"/>
      <c r="AO41" s="140"/>
      <c r="AP41" s="140"/>
      <c r="AQ41" s="140"/>
      <c r="AR41" s="141" t="e">
        <f t="shared" si="1"/>
        <v>#DIV/0!</v>
      </c>
      <c r="AS41" s="141"/>
      <c r="AT41" s="141"/>
      <c r="AU41" s="141"/>
      <c r="AV41" s="141"/>
      <c r="AW41" s="141"/>
      <c r="AX41" s="152" t="e">
        <f>AL41/AL46*H31</f>
        <v>#DIV/0!</v>
      </c>
      <c r="AY41" s="141"/>
      <c r="AZ41" s="141"/>
      <c r="BA41" s="141"/>
      <c r="BB41" s="141"/>
      <c r="BC41" s="142"/>
      <c r="BD41" s="150"/>
      <c r="BE41" s="5"/>
      <c r="BF41" s="5"/>
      <c r="BG41" s="5"/>
      <c r="BH41" s="6"/>
    </row>
    <row r="42" spans="1:68" s="2" customFormat="1" x14ac:dyDescent="0.3">
      <c r="A42" s="1"/>
      <c r="B42" s="143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39"/>
      <c r="Y42" s="39"/>
      <c r="Z42" s="39"/>
      <c r="AA42" s="39"/>
      <c r="AB42" s="39"/>
      <c r="AC42" s="39"/>
      <c r="AD42" s="39"/>
      <c r="AE42" s="149"/>
      <c r="AF42" s="149"/>
      <c r="AG42" s="149"/>
      <c r="AH42" s="149"/>
      <c r="AI42" s="149"/>
      <c r="AJ42" s="149"/>
      <c r="AK42" s="149"/>
      <c r="AL42" s="140">
        <f t="shared" si="0"/>
        <v>0</v>
      </c>
      <c r="AM42" s="140"/>
      <c r="AN42" s="140"/>
      <c r="AO42" s="140"/>
      <c r="AP42" s="140"/>
      <c r="AQ42" s="140"/>
      <c r="AR42" s="141" t="e">
        <f t="shared" si="1"/>
        <v>#DIV/0!</v>
      </c>
      <c r="AS42" s="141"/>
      <c r="AT42" s="141"/>
      <c r="AU42" s="141"/>
      <c r="AV42" s="141"/>
      <c r="AW42" s="141"/>
      <c r="AX42" s="152" t="e">
        <f>AL42/AL46*H31</f>
        <v>#DIV/0!</v>
      </c>
      <c r="AY42" s="141"/>
      <c r="AZ42" s="141"/>
      <c r="BA42" s="141"/>
      <c r="BB42" s="141"/>
      <c r="BC42" s="142"/>
      <c r="BD42" s="150"/>
      <c r="BE42" s="5"/>
      <c r="BF42" s="5"/>
      <c r="BG42" s="5"/>
      <c r="BH42" s="6"/>
    </row>
    <row r="43" spans="1:68" s="2" customFormat="1" x14ac:dyDescent="0.3">
      <c r="A43" s="1"/>
      <c r="B43" s="143"/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39"/>
      <c r="Y43" s="39"/>
      <c r="Z43" s="39"/>
      <c r="AA43" s="39"/>
      <c r="AB43" s="39"/>
      <c r="AC43" s="39"/>
      <c r="AD43" s="39"/>
      <c r="AE43" s="149"/>
      <c r="AF43" s="149"/>
      <c r="AG43" s="149"/>
      <c r="AH43" s="149"/>
      <c r="AI43" s="149"/>
      <c r="AJ43" s="149"/>
      <c r="AK43" s="149"/>
      <c r="AL43" s="140">
        <f t="shared" si="0"/>
        <v>0</v>
      </c>
      <c r="AM43" s="140"/>
      <c r="AN43" s="140"/>
      <c r="AO43" s="140"/>
      <c r="AP43" s="140"/>
      <c r="AQ43" s="140"/>
      <c r="AR43" s="141" t="e">
        <f t="shared" si="1"/>
        <v>#DIV/0!</v>
      </c>
      <c r="AS43" s="141"/>
      <c r="AT43" s="141"/>
      <c r="AU43" s="141"/>
      <c r="AV43" s="141"/>
      <c r="AW43" s="141"/>
      <c r="AX43" s="152" t="e">
        <f>AL43/AL46*H31</f>
        <v>#DIV/0!</v>
      </c>
      <c r="AY43" s="141"/>
      <c r="AZ43" s="141"/>
      <c r="BA43" s="141"/>
      <c r="BB43" s="141"/>
      <c r="BC43" s="142"/>
      <c r="BD43" s="150"/>
      <c r="BE43" s="5"/>
      <c r="BF43" s="5"/>
      <c r="BG43" s="5"/>
      <c r="BH43" s="6"/>
      <c r="BI43" s="153"/>
    </row>
    <row r="44" spans="1:68" s="60" customFormat="1" x14ac:dyDescent="0.3">
      <c r="A44" s="1"/>
      <c r="B44" s="143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39"/>
      <c r="Y44" s="39"/>
      <c r="Z44" s="39"/>
      <c r="AA44" s="39"/>
      <c r="AB44" s="39"/>
      <c r="AC44" s="39"/>
      <c r="AD44" s="39"/>
      <c r="AE44" s="149"/>
      <c r="AF44" s="149"/>
      <c r="AG44" s="149"/>
      <c r="AH44" s="149"/>
      <c r="AI44" s="149"/>
      <c r="AJ44" s="149"/>
      <c r="AK44" s="149"/>
      <c r="AL44" s="140">
        <f t="shared" si="0"/>
        <v>0</v>
      </c>
      <c r="AM44" s="140"/>
      <c r="AN44" s="140"/>
      <c r="AO44" s="140"/>
      <c r="AP44" s="140"/>
      <c r="AQ44" s="140"/>
      <c r="AR44" s="141" t="e">
        <f t="shared" si="1"/>
        <v>#DIV/0!</v>
      </c>
      <c r="AS44" s="141"/>
      <c r="AT44" s="141"/>
      <c r="AU44" s="141"/>
      <c r="AV44" s="141"/>
      <c r="AW44" s="141"/>
      <c r="AX44" s="152" t="e">
        <f>AL44/AL46*H31</f>
        <v>#DIV/0!</v>
      </c>
      <c r="AY44" s="141"/>
      <c r="AZ44" s="141"/>
      <c r="BA44" s="141"/>
      <c r="BB44" s="141"/>
      <c r="BC44" s="142"/>
      <c r="BD44" s="154"/>
      <c r="BE44" s="59"/>
      <c r="BF44" s="59"/>
      <c r="BG44" s="59"/>
      <c r="BH44" s="59"/>
      <c r="BI44" s="59"/>
      <c r="BJ44" s="59"/>
      <c r="BK44" s="59"/>
      <c r="BL44" s="59"/>
      <c r="BM44" s="59"/>
      <c r="BN44" s="59"/>
      <c r="BO44" s="59"/>
    </row>
    <row r="45" spans="1:68" x14ac:dyDescent="0.3">
      <c r="B45" s="155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156"/>
      <c r="S45" s="156"/>
      <c r="T45" s="156"/>
      <c r="U45" s="156"/>
      <c r="V45" s="156"/>
      <c r="W45" s="156"/>
      <c r="X45" s="123"/>
      <c r="Y45" s="123"/>
      <c r="Z45" s="123"/>
      <c r="AA45" s="123"/>
      <c r="AB45" s="123"/>
      <c r="AC45" s="123"/>
      <c r="AD45" s="123"/>
      <c r="AE45" s="157"/>
      <c r="AF45" s="157"/>
      <c r="AG45" s="157"/>
      <c r="AH45" s="157"/>
      <c r="AI45" s="157"/>
      <c r="AJ45" s="157"/>
      <c r="AK45" s="157"/>
      <c r="AL45" s="140">
        <f t="shared" si="0"/>
        <v>0</v>
      </c>
      <c r="AM45" s="140"/>
      <c r="AN45" s="140"/>
      <c r="AO45" s="140"/>
      <c r="AP45" s="140"/>
      <c r="AQ45" s="140"/>
      <c r="AR45" s="141" t="e">
        <f t="shared" si="1"/>
        <v>#DIV/0!</v>
      </c>
      <c r="AS45" s="141"/>
      <c r="AT45" s="141"/>
      <c r="AU45" s="141"/>
      <c r="AV45" s="141"/>
      <c r="AW45" s="141"/>
      <c r="AX45" s="152" t="e">
        <f>AL45/AL46*H31</f>
        <v>#DIV/0!</v>
      </c>
      <c r="AY45" s="141"/>
      <c r="AZ45" s="141"/>
      <c r="BA45" s="141"/>
      <c r="BB45" s="141"/>
      <c r="BC45" s="142"/>
      <c r="BD45" s="158"/>
      <c r="BE45" s="159"/>
      <c r="BF45" s="159"/>
      <c r="BG45" s="159"/>
      <c r="BH45" s="160"/>
      <c r="BI45"/>
      <c r="BJ45"/>
      <c r="BK45"/>
      <c r="BL45"/>
      <c r="BM45"/>
      <c r="BN45"/>
      <c r="BO45"/>
      <c r="BP45"/>
    </row>
    <row r="46" spans="1:68" s="2" customFormat="1" x14ac:dyDescent="0.3">
      <c r="A46" s="1"/>
      <c r="B46" s="161"/>
      <c r="C46" s="162"/>
      <c r="D46" s="162"/>
      <c r="E46" s="162"/>
      <c r="F46" s="162"/>
      <c r="G46" s="162"/>
      <c r="H46" s="162"/>
      <c r="I46" s="162"/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3"/>
      <c r="Y46" s="163"/>
      <c r="Z46" s="163"/>
      <c r="AA46" s="163"/>
      <c r="AB46" s="163"/>
      <c r="AC46" s="163"/>
      <c r="AD46" s="163"/>
      <c r="AE46" s="164"/>
      <c r="AF46" s="165"/>
      <c r="AG46" s="165"/>
      <c r="AH46" s="165"/>
      <c r="AI46" s="165"/>
      <c r="AJ46" s="165"/>
      <c r="AK46" s="166"/>
      <c r="AL46" s="167">
        <f>SUM(AL35:AL45)</f>
        <v>0</v>
      </c>
      <c r="AM46" s="168"/>
      <c r="AN46" s="168"/>
      <c r="AO46" s="168"/>
      <c r="AP46" s="168"/>
      <c r="AQ46" s="169"/>
      <c r="AR46" s="170"/>
      <c r="AS46" s="171"/>
      <c r="AT46" s="171"/>
      <c r="AU46" s="171"/>
      <c r="AV46" s="171"/>
      <c r="AW46" s="172"/>
      <c r="AX46" s="173" t="e">
        <f>SUM(AX35:AX45)</f>
        <v>#DIV/0!</v>
      </c>
      <c r="AY46" s="174"/>
      <c r="AZ46" s="174"/>
      <c r="BA46" s="174"/>
      <c r="BB46" s="174"/>
      <c r="BC46" s="175"/>
      <c r="BD46" s="4"/>
      <c r="BE46" s="5"/>
      <c r="BF46" s="5"/>
      <c r="BG46" s="5"/>
      <c r="BH46" s="6"/>
      <c r="BI46" s="5"/>
      <c r="BJ46" s="5"/>
      <c r="BK46" s="5"/>
      <c r="BL46" s="5"/>
      <c r="BM46" s="5"/>
      <c r="BN46" s="5"/>
      <c r="BO46" s="5"/>
      <c r="BP46" s="5"/>
    </row>
    <row r="47" spans="1:68" x14ac:dyDescent="0.3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176" t="b">
        <f>IF(N17=AL46,TRUE, FALSE)</f>
        <v>1</v>
      </c>
      <c r="AM47" s="176"/>
      <c r="AN47" s="176"/>
      <c r="AO47" s="176"/>
      <c r="AP47" s="176"/>
      <c r="AQ47" s="176"/>
      <c r="AR47" s="2"/>
      <c r="AS47" s="2"/>
      <c r="AT47" s="2"/>
      <c r="AU47" s="2"/>
      <c r="AV47" s="2"/>
      <c r="AW47" s="2"/>
      <c r="AX47" s="177" t="e">
        <f>IF(AX46=H31,TRUE,FALSE)</f>
        <v>#DIV/0!</v>
      </c>
      <c r="AY47" s="177"/>
      <c r="AZ47" s="177"/>
      <c r="BA47" s="177"/>
      <c r="BB47" s="177"/>
      <c r="BC47" s="177"/>
      <c r="BD47" s="3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/>
    </row>
    <row r="48" spans="1:68" s="2" customFormat="1" ht="13.5" customHeight="1" x14ac:dyDescent="0.3">
      <c r="A48" s="1"/>
      <c r="BD48" s="4"/>
      <c r="BE48" s="5"/>
      <c r="BF48" s="5"/>
      <c r="BG48" s="5"/>
      <c r="BH48" s="6"/>
    </row>
    <row r="49" spans="1:67" s="2" customFormat="1" ht="13.5" customHeight="1" x14ac:dyDescent="0.3">
      <c r="A49" s="1"/>
      <c r="BD49" s="4"/>
      <c r="BE49" s="5"/>
      <c r="BF49" s="5"/>
    </row>
    <row r="50" spans="1:67" s="2" customFormat="1" ht="13.5" customHeight="1" x14ac:dyDescent="0.3">
      <c r="A50" s="1"/>
      <c r="B50" s="7" t="s">
        <v>0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4"/>
      <c r="BE50" s="5"/>
      <c r="BF50" s="5"/>
    </row>
    <row r="51" spans="1:67" s="2" customFormat="1" ht="14.45" customHeight="1" x14ac:dyDescent="0.3">
      <c r="A51" s="1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4"/>
      <c r="BE51" s="5"/>
      <c r="BF51" s="5"/>
    </row>
    <row r="52" spans="1:67" s="2" customFormat="1" ht="14.45" customHeight="1" x14ac:dyDescent="0.3">
      <c r="A52" s="1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4"/>
    </row>
    <row r="53" spans="1:67" s="2" customFormat="1" ht="23.25" x14ac:dyDescent="0.3">
      <c r="A53" s="1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9"/>
      <c r="BB53" s="9"/>
      <c r="BC53" s="10">
        <v>2</v>
      </c>
      <c r="BD53" s="4"/>
    </row>
    <row r="54" spans="1:67" s="2" customFormat="1" ht="15.75" x14ac:dyDescent="0.3">
      <c r="A54" s="1"/>
      <c r="B54" s="11" t="s">
        <v>1</v>
      </c>
      <c r="C54" s="12"/>
      <c r="D54" s="12"/>
      <c r="E54" s="12"/>
      <c r="F54" s="12"/>
      <c r="G54" s="12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4"/>
      <c r="BD54" s="4"/>
    </row>
    <row r="55" spans="1:67" s="2" customFormat="1" ht="15.75" x14ac:dyDescent="0.3">
      <c r="A55" s="1"/>
      <c r="B55" s="15" t="s">
        <v>2</v>
      </c>
      <c r="C55" s="16"/>
      <c r="D55" s="16"/>
      <c r="E55" s="16"/>
      <c r="F55" s="16"/>
      <c r="G55" s="16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8"/>
      <c r="U55" s="19"/>
      <c r="V55" s="19"/>
      <c r="W55" s="19"/>
      <c r="X55" s="19"/>
      <c r="Y55" s="19"/>
      <c r="Z55" s="19"/>
      <c r="AA55" s="19"/>
      <c r="AB55" s="19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20"/>
      <c r="BD55" s="4"/>
    </row>
    <row r="56" spans="1:67" s="2" customFormat="1" ht="15.75" x14ac:dyDescent="0.3">
      <c r="A56" s="1"/>
      <c r="B56" s="15" t="s">
        <v>3</v>
      </c>
      <c r="C56" s="16"/>
      <c r="D56" s="16"/>
      <c r="E56" s="16"/>
      <c r="F56" s="16"/>
      <c r="G56" s="16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0"/>
      <c r="BD56" s="4"/>
    </row>
    <row r="57" spans="1:67" s="2" customFormat="1" ht="15.75" x14ac:dyDescent="0.3">
      <c r="A57" s="1"/>
      <c r="B57" s="15" t="s">
        <v>4</v>
      </c>
      <c r="C57" s="16"/>
      <c r="D57" s="16"/>
      <c r="E57" s="16"/>
      <c r="F57" s="16"/>
      <c r="G57" s="16"/>
      <c r="H57" s="22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20"/>
      <c r="BD57" s="4"/>
    </row>
    <row r="58" spans="1:67" s="2" customFormat="1" ht="15.75" x14ac:dyDescent="0.3">
      <c r="A58" s="1"/>
      <c r="B58" s="23" t="s">
        <v>5</v>
      </c>
      <c r="C58" s="4"/>
      <c r="D58" s="4"/>
      <c r="E58" s="4"/>
      <c r="F58" s="4"/>
      <c r="G58" s="4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24"/>
      <c r="BA58" s="24"/>
      <c r="BB58" s="24"/>
      <c r="BC58" s="25"/>
      <c r="BD58" s="4"/>
    </row>
    <row r="59" spans="1:67" s="2" customFormat="1" x14ac:dyDescent="0.3">
      <c r="A59" s="1"/>
      <c r="B59" s="26" t="s">
        <v>6</v>
      </c>
      <c r="C59" s="27"/>
      <c r="D59" s="27"/>
      <c r="E59" s="27"/>
      <c r="F59" s="27"/>
      <c r="G59" s="28"/>
      <c r="H59" s="29" t="s">
        <v>7</v>
      </c>
      <c r="I59" s="30"/>
      <c r="J59" s="30"/>
      <c r="K59" s="30"/>
      <c r="L59" s="30"/>
      <c r="M59" s="30"/>
      <c r="N59" s="31" t="s">
        <v>8</v>
      </c>
      <c r="O59" s="31"/>
      <c r="P59" s="31"/>
      <c r="Q59" s="31"/>
      <c r="R59" s="31"/>
      <c r="S59" s="31"/>
      <c r="T59" s="31"/>
      <c r="U59" s="31"/>
      <c r="V59" s="31"/>
      <c r="W59" s="31"/>
      <c r="X59" s="32" t="s">
        <v>9</v>
      </c>
      <c r="Y59" s="27"/>
      <c r="Z59" s="27"/>
      <c r="AA59" s="27"/>
      <c r="AB59" s="27"/>
      <c r="AC59" s="27"/>
      <c r="AD59" s="28"/>
      <c r="AE59" s="32" t="s">
        <v>10</v>
      </c>
      <c r="AF59" s="27"/>
      <c r="AG59" s="27"/>
      <c r="AH59" s="27"/>
      <c r="AI59" s="27"/>
      <c r="AJ59" s="27"/>
      <c r="AK59" s="28"/>
      <c r="AL59" s="32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33"/>
      <c r="BB59" s="33"/>
      <c r="BC59" s="34"/>
      <c r="BD59" s="4"/>
    </row>
    <row r="60" spans="1:67" s="2" customFormat="1" x14ac:dyDescent="0.3">
      <c r="A60" s="1"/>
      <c r="B60" s="35" t="s">
        <v>11</v>
      </c>
      <c r="C60" s="36"/>
      <c r="D60" s="36"/>
      <c r="E60" s="36"/>
      <c r="F60" s="36"/>
      <c r="G60" s="37"/>
      <c r="H60" s="38"/>
      <c r="I60" s="39"/>
      <c r="J60" s="39"/>
      <c r="K60" s="39"/>
      <c r="L60" s="39"/>
      <c r="M60" s="39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1"/>
      <c r="Y60" s="42"/>
      <c r="Z60" s="42"/>
      <c r="AA60" s="42"/>
      <c r="AB60" s="42"/>
      <c r="AC60" s="42"/>
      <c r="AD60" s="43"/>
      <c r="AE60" s="44">
        <f>X60*N60</f>
        <v>0</v>
      </c>
      <c r="AF60" s="45"/>
      <c r="AG60" s="45"/>
      <c r="AH60" s="45"/>
      <c r="AI60" s="45"/>
      <c r="AJ60" s="45"/>
      <c r="AK60" s="46"/>
      <c r="AL60" s="57" t="s">
        <v>12</v>
      </c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49"/>
      <c r="BB60" s="49"/>
      <c r="BC60" s="50"/>
      <c r="BD60" s="4"/>
    </row>
    <row r="61" spans="1:67" s="60" customFormat="1" x14ac:dyDescent="0.3">
      <c r="A61" s="1"/>
      <c r="B61" s="35"/>
      <c r="C61" s="36"/>
      <c r="D61" s="36"/>
      <c r="E61" s="36"/>
      <c r="F61" s="36"/>
      <c r="G61" s="37"/>
      <c r="H61" s="51"/>
      <c r="I61" s="52"/>
      <c r="J61" s="52"/>
      <c r="K61" s="52"/>
      <c r="L61" s="52"/>
      <c r="M61" s="53"/>
      <c r="N61" s="54"/>
      <c r="O61" s="55"/>
      <c r="P61" s="55"/>
      <c r="Q61" s="55"/>
      <c r="R61" s="55"/>
      <c r="S61" s="55"/>
      <c r="T61" s="55"/>
      <c r="U61" s="55"/>
      <c r="V61" s="55"/>
      <c r="W61" s="56"/>
      <c r="X61" s="41"/>
      <c r="Y61" s="42"/>
      <c r="Z61" s="42"/>
      <c r="AA61" s="42"/>
      <c r="AB61" s="42"/>
      <c r="AC61" s="42"/>
      <c r="AD61" s="43"/>
      <c r="AE61" s="44">
        <f>X61*N61</f>
        <v>0</v>
      </c>
      <c r="AF61" s="45"/>
      <c r="AG61" s="45"/>
      <c r="AH61" s="45"/>
      <c r="AI61" s="45"/>
      <c r="AJ61" s="45"/>
      <c r="AK61" s="46"/>
      <c r="AL61" s="57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49"/>
      <c r="BB61" s="49"/>
      <c r="BC61" s="50"/>
      <c r="BD61" s="4"/>
      <c r="BE61" s="59"/>
      <c r="BF61" s="59"/>
      <c r="BG61" s="59"/>
      <c r="BH61" s="59"/>
      <c r="BI61" s="59"/>
      <c r="BJ61" s="59"/>
      <c r="BK61" s="59"/>
      <c r="BL61" s="59"/>
      <c r="BM61" s="59"/>
      <c r="BN61" s="59"/>
      <c r="BO61" s="59"/>
    </row>
    <row r="62" spans="1:67" s="63" customFormat="1" ht="12.75" x14ac:dyDescent="0.3">
      <c r="A62" s="61"/>
      <c r="B62" s="35"/>
      <c r="C62" s="36"/>
      <c r="D62" s="36"/>
      <c r="E62" s="36"/>
      <c r="F62" s="36"/>
      <c r="G62" s="37"/>
      <c r="H62" s="51"/>
      <c r="I62" s="52"/>
      <c r="J62" s="52"/>
      <c r="K62" s="52"/>
      <c r="L62" s="52"/>
      <c r="M62" s="53"/>
      <c r="N62" s="54"/>
      <c r="O62" s="55"/>
      <c r="P62" s="55"/>
      <c r="Q62" s="55"/>
      <c r="R62" s="55"/>
      <c r="S62" s="55"/>
      <c r="T62" s="55"/>
      <c r="U62" s="55"/>
      <c r="V62" s="55"/>
      <c r="W62" s="56"/>
      <c r="X62" s="41"/>
      <c r="Y62" s="42"/>
      <c r="Z62" s="42"/>
      <c r="AA62" s="42"/>
      <c r="AB62" s="42"/>
      <c r="AC62" s="42"/>
      <c r="AD62" s="43"/>
      <c r="AE62" s="44">
        <f>X62*N62</f>
        <v>0</v>
      </c>
      <c r="AF62" s="45"/>
      <c r="AG62" s="45"/>
      <c r="AH62" s="45"/>
      <c r="AI62" s="45"/>
      <c r="AJ62" s="45"/>
      <c r="AK62" s="46"/>
      <c r="AL62" s="57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49"/>
      <c r="BB62" s="49"/>
      <c r="BC62" s="50"/>
      <c r="BD62" s="62"/>
    </row>
    <row r="63" spans="1:67" s="2" customFormat="1" x14ac:dyDescent="0.3">
      <c r="A63" s="1"/>
      <c r="B63" s="64" t="s">
        <v>13</v>
      </c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6">
        <f>SUM(N60:W62)</f>
        <v>0</v>
      </c>
      <c r="O63" s="67"/>
      <c r="P63" s="67"/>
      <c r="Q63" s="67"/>
      <c r="R63" s="67"/>
      <c r="S63" s="67"/>
      <c r="T63" s="67"/>
      <c r="U63" s="67"/>
      <c r="V63" s="67"/>
      <c r="W63" s="68"/>
      <c r="X63" s="69"/>
      <c r="Y63" s="70"/>
      <c r="Z63" s="70"/>
      <c r="AA63" s="70"/>
      <c r="AB63" s="70"/>
      <c r="AC63" s="70"/>
      <c r="AD63" s="71"/>
      <c r="AE63" s="72">
        <f>SUM(AE60:AK62)</f>
        <v>0</v>
      </c>
      <c r="AF63" s="73"/>
      <c r="AG63" s="73"/>
      <c r="AH63" s="73"/>
      <c r="AI63" s="73"/>
      <c r="AJ63" s="73"/>
      <c r="AK63" s="74"/>
      <c r="AL63" s="75"/>
      <c r="AM63" s="76"/>
      <c r="AN63" s="76"/>
      <c r="AO63" s="76"/>
      <c r="AP63" s="76"/>
      <c r="AQ63" s="76"/>
      <c r="AR63" s="76"/>
      <c r="AS63" s="76"/>
      <c r="AT63" s="76"/>
      <c r="AU63" s="76"/>
      <c r="AV63" s="76"/>
      <c r="AW63" s="76"/>
      <c r="AX63" s="76"/>
      <c r="AY63" s="76"/>
      <c r="AZ63" s="76"/>
      <c r="BA63" s="77"/>
      <c r="BB63" s="77"/>
      <c r="BC63" s="78"/>
      <c r="BD63" s="4"/>
    </row>
    <row r="64" spans="1:67" s="2" customFormat="1" ht="13.5" customHeight="1" x14ac:dyDescent="0.3">
      <c r="A64" s="1"/>
      <c r="B64" s="79"/>
      <c r="C64" s="80"/>
      <c r="D64" s="80"/>
      <c r="E64" s="80"/>
      <c r="F64" s="80"/>
      <c r="G64" s="80"/>
      <c r="H64" s="81"/>
      <c r="I64" s="82"/>
      <c r="J64" s="82"/>
      <c r="K64" s="82"/>
      <c r="L64" s="82"/>
      <c r="M64" s="83"/>
      <c r="N64" s="81"/>
      <c r="O64" s="82"/>
      <c r="P64" s="82"/>
      <c r="Q64" s="82"/>
      <c r="R64" s="82"/>
      <c r="S64" s="82"/>
      <c r="T64" s="82"/>
      <c r="U64" s="82"/>
      <c r="V64" s="82"/>
      <c r="W64" s="83"/>
      <c r="X64" s="81"/>
      <c r="Y64" s="82"/>
      <c r="Z64" s="82"/>
      <c r="AA64" s="82"/>
      <c r="AB64" s="82"/>
      <c r="AC64" s="82"/>
      <c r="AD64" s="83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5"/>
      <c r="BD64" s="4"/>
    </row>
    <row r="65" spans="1:67" s="2" customFormat="1" x14ac:dyDescent="0.3">
      <c r="A65" s="1"/>
      <c r="B65" s="86" t="s">
        <v>14</v>
      </c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8"/>
      <c r="O65" s="89"/>
      <c r="P65" s="89"/>
      <c r="Q65" s="89"/>
      <c r="R65" s="89"/>
      <c r="S65" s="89"/>
      <c r="T65" s="89"/>
      <c r="U65" s="89"/>
      <c r="V65" s="89"/>
      <c r="W65" s="90"/>
      <c r="X65" s="91"/>
      <c r="Y65" s="92"/>
      <c r="Z65" s="92"/>
      <c r="AA65" s="92"/>
      <c r="AB65" s="92"/>
      <c r="AC65" s="92"/>
      <c r="AD65" s="93"/>
      <c r="AE65" s="88"/>
      <c r="AF65" s="89"/>
      <c r="AG65" s="89"/>
      <c r="AH65" s="89"/>
      <c r="AI65" s="89"/>
      <c r="AJ65" s="89"/>
      <c r="AK65" s="89"/>
      <c r="AL65" s="89"/>
      <c r="AM65" s="89"/>
      <c r="AN65" s="89"/>
      <c r="AO65" s="89"/>
      <c r="AP65" s="89"/>
      <c r="AQ65" s="89"/>
      <c r="AR65" s="89"/>
      <c r="AS65" s="89"/>
      <c r="AT65" s="89"/>
      <c r="AU65" s="89"/>
      <c r="AV65" s="89"/>
      <c r="AW65" s="89"/>
      <c r="AX65" s="89"/>
      <c r="AY65" s="89"/>
      <c r="AZ65" s="90"/>
      <c r="BA65" s="94"/>
      <c r="BB65" s="94"/>
      <c r="BC65" s="95"/>
      <c r="BD65" s="4"/>
    </row>
    <row r="66" spans="1:67" s="2" customFormat="1" x14ac:dyDescent="0.3">
      <c r="A66" s="1"/>
      <c r="B66" s="26" t="s">
        <v>15</v>
      </c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30" t="s">
        <v>16</v>
      </c>
      <c r="O66" s="30"/>
      <c r="P66" s="30"/>
      <c r="Q66" s="30"/>
      <c r="R66" s="30"/>
      <c r="S66" s="30"/>
      <c r="T66" s="30"/>
      <c r="U66" s="30"/>
      <c r="V66" s="30"/>
      <c r="W66" s="30"/>
      <c r="X66" s="96" t="s">
        <v>17</v>
      </c>
      <c r="Y66" s="96"/>
      <c r="Z66" s="96"/>
      <c r="AA66" s="96"/>
      <c r="AB66" s="96"/>
      <c r="AC66" s="96"/>
      <c r="AD66" s="96"/>
      <c r="AE66" s="30" t="s">
        <v>18</v>
      </c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2"/>
      <c r="BA66" s="33"/>
      <c r="BB66" s="33"/>
      <c r="BC66" s="34"/>
      <c r="BD66" s="4"/>
    </row>
    <row r="67" spans="1:67" s="2" customFormat="1" x14ac:dyDescent="0.3">
      <c r="A67" s="1"/>
      <c r="B67" s="97" t="s">
        <v>19</v>
      </c>
      <c r="C67" s="98"/>
      <c r="D67" s="98"/>
      <c r="E67" s="98"/>
      <c r="F67" s="98"/>
      <c r="G67" s="99"/>
      <c r="H67" s="53"/>
      <c r="I67" s="39"/>
      <c r="J67" s="39"/>
      <c r="K67" s="39"/>
      <c r="L67" s="39"/>
      <c r="M67" s="39"/>
      <c r="N67" s="100">
        <v>0</v>
      </c>
      <c r="O67" s="100"/>
      <c r="P67" s="100"/>
      <c r="Q67" s="100"/>
      <c r="R67" s="100"/>
      <c r="S67" s="100"/>
      <c r="T67" s="100"/>
      <c r="U67" s="100"/>
      <c r="V67" s="100"/>
      <c r="W67" s="100"/>
      <c r="X67" s="101"/>
      <c r="Y67" s="101"/>
      <c r="Z67" s="101"/>
      <c r="AA67" s="101"/>
      <c r="AB67" s="101"/>
      <c r="AC67" s="101"/>
      <c r="AD67" s="101"/>
      <c r="AE67" s="102" t="s">
        <v>20</v>
      </c>
      <c r="AF67" s="103"/>
      <c r="AG67" s="103"/>
      <c r="AH67" s="103"/>
      <c r="AI67" s="103"/>
      <c r="AJ67" s="103"/>
      <c r="AK67" s="103"/>
      <c r="AL67" s="103"/>
      <c r="AM67" s="103"/>
      <c r="AN67" s="103"/>
      <c r="AO67" s="103"/>
      <c r="AP67" s="103"/>
      <c r="AQ67" s="103"/>
      <c r="AR67" s="103"/>
      <c r="AS67" s="103"/>
      <c r="AT67" s="103"/>
      <c r="AU67" s="103"/>
      <c r="AV67" s="103"/>
      <c r="AW67" s="103"/>
      <c r="AX67" s="103"/>
      <c r="AY67" s="103"/>
      <c r="AZ67" s="103"/>
      <c r="BA67" s="49"/>
      <c r="BB67" s="49"/>
      <c r="BC67" s="50"/>
      <c r="BD67" s="4"/>
    </row>
    <row r="68" spans="1:67" s="2" customFormat="1" x14ac:dyDescent="0.3">
      <c r="A68" s="1"/>
      <c r="B68" s="97" t="s">
        <v>21</v>
      </c>
      <c r="C68" s="98"/>
      <c r="D68" s="98"/>
      <c r="E68" s="98"/>
      <c r="F68" s="98"/>
      <c r="G68" s="99"/>
      <c r="H68" s="53"/>
      <c r="I68" s="39"/>
      <c r="J68" s="39"/>
      <c r="K68" s="39"/>
      <c r="L68" s="39"/>
      <c r="M68" s="39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1"/>
      <c r="Y68" s="101"/>
      <c r="Z68" s="101"/>
      <c r="AA68" s="101"/>
      <c r="AB68" s="101"/>
      <c r="AC68" s="101"/>
      <c r="AD68" s="101"/>
      <c r="AE68" s="102" t="s">
        <v>22</v>
      </c>
      <c r="AF68" s="103"/>
      <c r="AG68" s="103"/>
      <c r="AH68" s="103"/>
      <c r="AI68" s="103"/>
      <c r="AJ68" s="103"/>
      <c r="AK68" s="103"/>
      <c r="AL68" s="103"/>
      <c r="AM68" s="103"/>
      <c r="AN68" s="103"/>
      <c r="AO68" s="103"/>
      <c r="AP68" s="103"/>
      <c r="AQ68" s="103"/>
      <c r="AR68" s="103"/>
      <c r="AS68" s="103"/>
      <c r="AT68" s="103"/>
      <c r="AU68" s="103"/>
      <c r="AV68" s="103"/>
      <c r="AW68" s="103"/>
      <c r="AX68" s="103"/>
      <c r="AY68" s="103"/>
      <c r="AZ68" s="103"/>
      <c r="BA68" s="49"/>
      <c r="BB68" s="49"/>
      <c r="BC68" s="50"/>
      <c r="BD68" s="4"/>
    </row>
    <row r="69" spans="1:67" s="2" customFormat="1" x14ac:dyDescent="0.3">
      <c r="A69" s="1"/>
      <c r="B69" s="97" t="s">
        <v>23</v>
      </c>
      <c r="C69" s="98"/>
      <c r="D69" s="98"/>
      <c r="E69" s="98"/>
      <c r="F69" s="98"/>
      <c r="G69" s="99"/>
      <c r="H69" s="53"/>
      <c r="I69" s="39"/>
      <c r="J69" s="39"/>
      <c r="K69" s="39"/>
      <c r="L69" s="39"/>
      <c r="M69" s="39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1"/>
      <c r="Y69" s="101"/>
      <c r="Z69" s="101"/>
      <c r="AA69" s="101"/>
      <c r="AB69" s="101"/>
      <c r="AC69" s="101"/>
      <c r="AD69" s="101"/>
      <c r="AE69" s="102"/>
      <c r="AF69" s="103"/>
      <c r="AG69" s="103"/>
      <c r="AH69" s="103"/>
      <c r="AI69" s="103"/>
      <c r="AJ69" s="103"/>
      <c r="AK69" s="103"/>
      <c r="AL69" s="103"/>
      <c r="AM69" s="103"/>
      <c r="AN69" s="103"/>
      <c r="AO69" s="103"/>
      <c r="AP69" s="103"/>
      <c r="AQ69" s="103"/>
      <c r="AR69" s="103"/>
      <c r="AS69" s="103"/>
      <c r="AT69" s="103"/>
      <c r="AU69" s="103"/>
      <c r="AV69" s="103"/>
      <c r="AW69" s="103"/>
      <c r="AX69" s="103"/>
      <c r="AY69" s="103"/>
      <c r="AZ69" s="103"/>
      <c r="BA69" s="49"/>
      <c r="BB69" s="49"/>
      <c r="BC69" s="50"/>
      <c r="BD69" s="4"/>
    </row>
    <row r="70" spans="1:67" s="2" customFormat="1" ht="13.5" customHeight="1" x14ac:dyDescent="0.3">
      <c r="A70" s="1"/>
      <c r="B70" s="97" t="s">
        <v>24</v>
      </c>
      <c r="C70" s="98"/>
      <c r="D70" s="98"/>
      <c r="E70" s="98"/>
      <c r="F70" s="98"/>
      <c r="G70" s="99"/>
      <c r="H70" s="53"/>
      <c r="I70" s="39"/>
      <c r="J70" s="39"/>
      <c r="K70" s="39"/>
      <c r="L70" s="39"/>
      <c r="M70" s="39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1" t="s">
        <v>25</v>
      </c>
      <c r="Y70" s="101"/>
      <c r="Z70" s="101"/>
      <c r="AA70" s="101"/>
      <c r="AB70" s="101"/>
      <c r="AC70" s="101"/>
      <c r="AD70" s="101"/>
      <c r="AE70" s="102"/>
      <c r="AF70" s="103"/>
      <c r="AG70" s="103"/>
      <c r="AH70" s="103"/>
      <c r="AI70" s="103"/>
      <c r="AJ70" s="103"/>
      <c r="AK70" s="103"/>
      <c r="AL70" s="103"/>
      <c r="AM70" s="103"/>
      <c r="AN70" s="103"/>
      <c r="AO70" s="103"/>
      <c r="AP70" s="103"/>
      <c r="AQ70" s="103"/>
      <c r="AR70" s="103"/>
      <c r="AS70" s="103"/>
      <c r="AT70" s="103"/>
      <c r="AU70" s="103"/>
      <c r="AV70" s="103"/>
      <c r="AW70" s="103"/>
      <c r="AX70" s="103"/>
      <c r="AY70" s="103"/>
      <c r="AZ70" s="103"/>
      <c r="BA70" s="49"/>
      <c r="BB70" s="49"/>
      <c r="BC70" s="50"/>
      <c r="BD70" s="4"/>
    </row>
    <row r="71" spans="1:67" s="60" customFormat="1" x14ac:dyDescent="0.3">
      <c r="A71" s="1"/>
      <c r="B71" s="97" t="s">
        <v>26</v>
      </c>
      <c r="C71" s="98"/>
      <c r="D71" s="98"/>
      <c r="E71" s="98"/>
      <c r="F71" s="98"/>
      <c r="G71" s="99"/>
      <c r="H71" s="53"/>
      <c r="I71" s="39"/>
      <c r="J71" s="39"/>
      <c r="K71" s="39"/>
      <c r="L71" s="39"/>
      <c r="M71" s="39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1" t="s">
        <v>25</v>
      </c>
      <c r="Y71" s="101"/>
      <c r="Z71" s="101"/>
      <c r="AA71" s="101"/>
      <c r="AB71" s="101"/>
      <c r="AC71" s="101"/>
      <c r="AD71" s="101"/>
      <c r="AE71" s="102"/>
      <c r="AF71" s="103"/>
      <c r="AG71" s="103"/>
      <c r="AH71" s="103"/>
      <c r="AI71" s="103"/>
      <c r="AJ71" s="103"/>
      <c r="AK71" s="103"/>
      <c r="AL71" s="103"/>
      <c r="AM71" s="103"/>
      <c r="AN71" s="103"/>
      <c r="AO71" s="103"/>
      <c r="AP71" s="103"/>
      <c r="AQ71" s="103"/>
      <c r="AR71" s="103"/>
      <c r="AS71" s="103"/>
      <c r="AT71" s="103"/>
      <c r="AU71" s="103"/>
      <c r="AV71" s="103"/>
      <c r="AW71" s="103"/>
      <c r="AX71" s="103"/>
      <c r="AY71" s="103"/>
      <c r="AZ71" s="103"/>
      <c r="BA71" s="49"/>
      <c r="BB71" s="49"/>
      <c r="BC71" s="50"/>
      <c r="BD71" s="4"/>
      <c r="BE71" s="104"/>
      <c r="BF71" s="104"/>
      <c r="BG71" s="104"/>
      <c r="BH71" s="6"/>
      <c r="BI71" s="59"/>
      <c r="BJ71" s="59"/>
      <c r="BK71" s="59"/>
      <c r="BL71" s="59"/>
      <c r="BM71" s="59"/>
      <c r="BN71" s="59"/>
      <c r="BO71" s="59"/>
    </row>
    <row r="72" spans="1:67" s="63" customFormat="1" ht="12.75" x14ac:dyDescent="0.3">
      <c r="A72" s="61"/>
      <c r="B72" s="97" t="s">
        <v>27</v>
      </c>
      <c r="C72" s="98"/>
      <c r="D72" s="98"/>
      <c r="E72" s="98"/>
      <c r="F72" s="98"/>
      <c r="G72" s="99"/>
      <c r="H72" s="53"/>
      <c r="I72" s="39"/>
      <c r="J72" s="39"/>
      <c r="K72" s="39"/>
      <c r="L72" s="39"/>
      <c r="M72" s="39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1"/>
      <c r="Y72" s="101"/>
      <c r="Z72" s="101"/>
      <c r="AA72" s="101"/>
      <c r="AB72" s="101"/>
      <c r="AC72" s="101"/>
      <c r="AD72" s="101"/>
      <c r="AE72" s="102" t="s">
        <v>28</v>
      </c>
      <c r="AF72" s="103"/>
      <c r="AG72" s="103"/>
      <c r="AH72" s="103"/>
      <c r="AI72" s="103"/>
      <c r="AJ72" s="103"/>
      <c r="AK72" s="103"/>
      <c r="AL72" s="103"/>
      <c r="AM72" s="103"/>
      <c r="AN72" s="103"/>
      <c r="AO72" s="103"/>
      <c r="AP72" s="103"/>
      <c r="AQ72" s="103"/>
      <c r="AR72" s="103"/>
      <c r="AS72" s="103"/>
      <c r="AT72" s="103"/>
      <c r="AU72" s="103"/>
      <c r="AV72" s="103"/>
      <c r="AW72" s="103"/>
      <c r="AX72" s="103"/>
      <c r="AY72" s="103"/>
      <c r="AZ72" s="103"/>
      <c r="BA72" s="49"/>
      <c r="BB72" s="49"/>
      <c r="BC72" s="50"/>
      <c r="BD72" s="62"/>
    </row>
    <row r="73" spans="1:67" s="2" customFormat="1" x14ac:dyDescent="0.3">
      <c r="A73" s="1"/>
      <c r="B73" s="64" t="s">
        <v>29</v>
      </c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105">
        <f>SUM(N67:W72)</f>
        <v>0</v>
      </c>
      <c r="O73" s="106"/>
      <c r="P73" s="106"/>
      <c r="Q73" s="106"/>
      <c r="R73" s="106"/>
      <c r="S73" s="106"/>
      <c r="T73" s="106"/>
      <c r="U73" s="106"/>
      <c r="V73" s="106"/>
      <c r="W73" s="107"/>
      <c r="X73" s="108"/>
      <c r="Y73" s="108"/>
      <c r="Z73" s="108"/>
      <c r="AA73" s="108"/>
      <c r="AB73" s="108"/>
      <c r="AC73" s="108"/>
      <c r="AD73" s="108"/>
      <c r="AE73" s="109"/>
      <c r="AF73" s="110"/>
      <c r="AG73" s="110"/>
      <c r="AH73" s="110"/>
      <c r="AI73" s="110"/>
      <c r="AJ73" s="110"/>
      <c r="AK73" s="110"/>
      <c r="AL73" s="110"/>
      <c r="AM73" s="110"/>
      <c r="AN73" s="110"/>
      <c r="AO73" s="110"/>
      <c r="AP73" s="110"/>
      <c r="AQ73" s="110"/>
      <c r="AR73" s="110"/>
      <c r="AS73" s="110"/>
      <c r="AT73" s="110"/>
      <c r="AU73" s="110"/>
      <c r="AV73" s="110"/>
      <c r="AW73" s="110"/>
      <c r="AX73" s="110"/>
      <c r="AY73" s="110"/>
      <c r="AZ73" s="110"/>
      <c r="BA73" s="77"/>
      <c r="BB73" s="77"/>
      <c r="BC73" s="78"/>
      <c r="BD73" s="4"/>
    </row>
    <row r="74" spans="1:67" s="2" customFormat="1" ht="13.5" customHeight="1" x14ac:dyDescent="0.3">
      <c r="A74" s="1"/>
      <c r="B74" s="79"/>
      <c r="C74" s="80"/>
      <c r="D74" s="80"/>
      <c r="E74" s="80"/>
      <c r="F74" s="80"/>
      <c r="G74" s="80"/>
      <c r="H74" s="81"/>
      <c r="I74" s="82"/>
      <c r="J74" s="82"/>
      <c r="K74" s="82"/>
      <c r="L74" s="82"/>
      <c r="M74" s="83"/>
      <c r="N74" s="81"/>
      <c r="O74" s="82"/>
      <c r="P74" s="82"/>
      <c r="Q74" s="82"/>
      <c r="R74" s="82"/>
      <c r="S74" s="82"/>
      <c r="T74" s="82"/>
      <c r="U74" s="82"/>
      <c r="V74" s="82"/>
      <c r="W74" s="83"/>
      <c r="X74" s="81"/>
      <c r="Y74" s="82"/>
      <c r="Z74" s="82"/>
      <c r="AA74" s="82"/>
      <c r="AB74" s="82"/>
      <c r="AC74" s="82"/>
      <c r="AD74" s="83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84"/>
      <c r="BB74" s="84"/>
      <c r="BC74" s="85"/>
      <c r="BD74" s="4"/>
    </row>
    <row r="75" spans="1:67" s="2" customFormat="1" ht="13.5" customHeight="1" x14ac:dyDescent="0.3">
      <c r="A75" s="1"/>
      <c r="B75" s="111" t="s">
        <v>30</v>
      </c>
      <c r="C75" s="112"/>
      <c r="D75" s="112"/>
      <c r="E75" s="112"/>
      <c r="F75" s="112"/>
      <c r="G75" s="112"/>
      <c r="H75" s="113" t="s">
        <v>25</v>
      </c>
      <c r="I75" s="114"/>
      <c r="J75" s="114"/>
      <c r="K75" s="114"/>
      <c r="L75" s="114"/>
      <c r="M75" s="115"/>
      <c r="N75" s="113"/>
      <c r="O75" s="114"/>
      <c r="P75" s="114"/>
      <c r="Q75" s="114"/>
      <c r="R75" s="114"/>
      <c r="S75" s="114"/>
      <c r="T75" s="114"/>
      <c r="U75" s="114"/>
      <c r="V75" s="114"/>
      <c r="W75" s="115"/>
      <c r="X75" s="113"/>
      <c r="Y75" s="114"/>
      <c r="Z75" s="114"/>
      <c r="AA75" s="114"/>
      <c r="AB75" s="114"/>
      <c r="AC75" s="114"/>
      <c r="AD75" s="115"/>
      <c r="AE75" s="116"/>
      <c r="AF75" s="116"/>
      <c r="AG75" s="116"/>
      <c r="AH75" s="116"/>
      <c r="AI75" s="116"/>
      <c r="AJ75" s="116"/>
      <c r="AK75" s="116"/>
      <c r="AL75" s="116"/>
      <c r="AM75" s="116"/>
      <c r="AN75" s="116"/>
      <c r="AO75" s="116"/>
      <c r="AP75" s="116"/>
      <c r="AQ75" s="116"/>
      <c r="AR75" s="116"/>
      <c r="AS75" s="116"/>
      <c r="AT75" s="116"/>
      <c r="AU75" s="116"/>
      <c r="AV75" s="116"/>
      <c r="AW75" s="116"/>
      <c r="AX75" s="116"/>
      <c r="AY75" s="116"/>
      <c r="AZ75" s="116"/>
      <c r="BA75" s="116"/>
      <c r="BB75" s="116"/>
      <c r="BC75" s="117"/>
      <c r="BD75" s="4"/>
    </row>
    <row r="76" spans="1:67" s="63" customFormat="1" ht="12.75" x14ac:dyDescent="0.3">
      <c r="A76" s="61"/>
      <c r="B76" s="118" t="s">
        <v>31</v>
      </c>
      <c r="C76" s="96"/>
      <c r="D76" s="96"/>
      <c r="E76" s="96"/>
      <c r="F76" s="96"/>
      <c r="G76" s="96"/>
      <c r="H76" s="96" t="s">
        <v>32</v>
      </c>
      <c r="I76" s="96"/>
      <c r="J76" s="96"/>
      <c r="K76" s="96"/>
      <c r="L76" s="96"/>
      <c r="M76" s="96"/>
      <c r="N76" s="96" t="s">
        <v>33</v>
      </c>
      <c r="O76" s="96"/>
      <c r="P76" s="96"/>
      <c r="Q76" s="96"/>
      <c r="R76" s="96"/>
      <c r="S76" s="96"/>
      <c r="T76" s="96"/>
      <c r="U76" s="96"/>
      <c r="V76" s="96"/>
      <c r="W76" s="96"/>
      <c r="X76" s="96" t="s">
        <v>17</v>
      </c>
      <c r="Y76" s="96"/>
      <c r="Z76" s="96"/>
      <c r="AA76" s="96"/>
      <c r="AB76" s="96"/>
      <c r="AC76" s="96"/>
      <c r="AD76" s="96"/>
      <c r="AE76" s="119" t="s">
        <v>18</v>
      </c>
      <c r="AF76" s="120"/>
      <c r="AG76" s="120"/>
      <c r="AH76" s="120"/>
      <c r="AI76" s="120"/>
      <c r="AJ76" s="120"/>
      <c r="AK76" s="120"/>
      <c r="AL76" s="120"/>
      <c r="AM76" s="120"/>
      <c r="AN76" s="120"/>
      <c r="AO76" s="120"/>
      <c r="AP76" s="120"/>
      <c r="AQ76" s="120"/>
      <c r="AR76" s="120"/>
      <c r="AS76" s="120"/>
      <c r="AT76" s="120"/>
      <c r="AU76" s="120"/>
      <c r="AV76" s="120"/>
      <c r="AW76" s="120"/>
      <c r="AX76" s="120"/>
      <c r="AY76" s="120"/>
      <c r="AZ76" s="120"/>
      <c r="BA76" s="120"/>
      <c r="BB76" s="120"/>
      <c r="BC76" s="121"/>
      <c r="BD76" s="62"/>
    </row>
    <row r="77" spans="1:67" s="2" customFormat="1" x14ac:dyDescent="0.3">
      <c r="A77" s="1"/>
      <c r="B77" s="122" t="s">
        <v>34</v>
      </c>
      <c r="C77" s="123"/>
      <c r="D77" s="123"/>
      <c r="E77" s="123"/>
      <c r="F77" s="123"/>
      <c r="G77" s="123"/>
      <c r="H77" s="124">
        <f>AE63+N73</f>
        <v>0</v>
      </c>
      <c r="I77" s="124"/>
      <c r="J77" s="124"/>
      <c r="K77" s="124"/>
      <c r="L77" s="124"/>
      <c r="M77" s="124"/>
      <c r="N77" s="125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5"/>
      <c r="Z77" s="125"/>
      <c r="AA77" s="125"/>
      <c r="AB77" s="125"/>
      <c r="AC77" s="125"/>
      <c r="AD77" s="125"/>
      <c r="AE77" s="126"/>
      <c r="AF77" s="127"/>
      <c r="AG77" s="127"/>
      <c r="AH77" s="127"/>
      <c r="AI77" s="127"/>
      <c r="AJ77" s="127"/>
      <c r="AK77" s="127"/>
      <c r="AL77" s="127"/>
      <c r="AM77" s="127"/>
      <c r="AN77" s="127"/>
      <c r="AO77" s="127"/>
      <c r="AP77" s="127"/>
      <c r="AQ77" s="127"/>
      <c r="AR77" s="127"/>
      <c r="AS77" s="127"/>
      <c r="AT77" s="127"/>
      <c r="AU77" s="127"/>
      <c r="AV77" s="127"/>
      <c r="AW77" s="127"/>
      <c r="AX77" s="127"/>
      <c r="AY77" s="127"/>
      <c r="AZ77" s="127"/>
      <c r="BA77" s="127"/>
      <c r="BB77" s="127"/>
      <c r="BC77" s="128"/>
      <c r="BD77" s="4"/>
    </row>
    <row r="78" spans="1:67" s="2" customFormat="1" ht="13.5" customHeight="1" x14ac:dyDescent="0.3">
      <c r="A78" s="1"/>
      <c r="B78" s="79"/>
      <c r="C78" s="80"/>
      <c r="D78" s="80"/>
      <c r="E78" s="80"/>
      <c r="F78" s="80"/>
      <c r="G78" s="80"/>
      <c r="H78" s="81"/>
      <c r="I78" s="82"/>
      <c r="J78" s="82"/>
      <c r="K78" s="82"/>
      <c r="L78" s="82"/>
      <c r="M78" s="83"/>
      <c r="N78" s="81"/>
      <c r="O78" s="82"/>
      <c r="P78" s="82"/>
      <c r="Q78" s="82"/>
      <c r="R78" s="82"/>
      <c r="S78" s="82"/>
      <c r="T78" s="82"/>
      <c r="U78" s="82"/>
      <c r="V78" s="82"/>
      <c r="W78" s="83"/>
      <c r="X78" s="81"/>
      <c r="Y78" s="82"/>
      <c r="Z78" s="82"/>
      <c r="AA78" s="82"/>
      <c r="AB78" s="82"/>
      <c r="AC78" s="82"/>
      <c r="AD78" s="83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84"/>
      <c r="BB78" s="84"/>
      <c r="BC78" s="85"/>
      <c r="BD78" s="4"/>
    </row>
    <row r="79" spans="1:67" s="2" customFormat="1" ht="17.649999999999999" x14ac:dyDescent="0.3">
      <c r="A79" s="1"/>
      <c r="B79" s="111" t="s">
        <v>35</v>
      </c>
      <c r="C79" s="112"/>
      <c r="D79" s="112"/>
      <c r="E79" s="112"/>
      <c r="F79" s="112"/>
      <c r="G79" s="112"/>
      <c r="H79" s="113" t="s">
        <v>25</v>
      </c>
      <c r="I79" s="114"/>
      <c r="J79" s="114"/>
      <c r="K79" s="114"/>
      <c r="L79" s="114"/>
      <c r="M79" s="115"/>
      <c r="N79" s="113"/>
      <c r="O79" s="114"/>
      <c r="P79" s="114"/>
      <c r="Q79" s="114"/>
      <c r="R79" s="114"/>
      <c r="S79" s="114"/>
      <c r="T79" s="114"/>
      <c r="U79" s="114"/>
      <c r="V79" s="114"/>
      <c r="W79" s="115"/>
      <c r="X79" s="113"/>
      <c r="Y79" s="114"/>
      <c r="Z79" s="114"/>
      <c r="AA79" s="114"/>
      <c r="AB79" s="114"/>
      <c r="AC79" s="114"/>
      <c r="AD79" s="115"/>
      <c r="AE79" s="129"/>
      <c r="AF79" s="129"/>
      <c r="AG79" s="129"/>
      <c r="AH79" s="129"/>
      <c r="AI79" s="129"/>
      <c r="AJ79" s="129"/>
      <c r="AK79" s="129"/>
      <c r="AL79" s="129"/>
      <c r="AM79" s="129"/>
      <c r="AN79" s="129"/>
      <c r="AO79" s="129"/>
      <c r="AP79" s="129"/>
      <c r="AQ79" s="129"/>
      <c r="AR79" s="129"/>
      <c r="AS79" s="129"/>
      <c r="AT79" s="129"/>
      <c r="AU79" s="129"/>
      <c r="AV79" s="129"/>
      <c r="AW79" s="129"/>
      <c r="AX79" s="129"/>
      <c r="AY79" s="129"/>
      <c r="AZ79" s="129"/>
      <c r="BA79" s="129"/>
      <c r="BB79" s="129"/>
      <c r="BC79" s="130"/>
      <c r="BD79" s="4"/>
      <c r="BE79" s="5"/>
      <c r="BF79" s="5"/>
      <c r="BG79" s="5"/>
      <c r="BH79" s="6"/>
    </row>
    <row r="80" spans="1:67" s="2" customFormat="1" x14ac:dyDescent="0.3">
      <c r="A80" s="1"/>
      <c r="B80" s="131" t="s">
        <v>31</v>
      </c>
      <c r="C80" s="132"/>
      <c r="D80" s="132"/>
      <c r="E80" s="132"/>
      <c r="F80" s="132"/>
      <c r="G80" s="132"/>
      <c r="H80" s="132"/>
      <c r="I80" s="132"/>
      <c r="J80" s="132"/>
      <c r="K80" s="132"/>
      <c r="L80" s="132"/>
      <c r="M80" s="132"/>
      <c r="N80" s="132"/>
      <c r="O80" s="132"/>
      <c r="P80" s="132"/>
      <c r="Q80" s="132"/>
      <c r="R80" s="132"/>
      <c r="S80" s="132"/>
      <c r="T80" s="132"/>
      <c r="U80" s="132"/>
      <c r="V80" s="132"/>
      <c r="W80" s="133"/>
      <c r="X80" s="96" t="s">
        <v>36</v>
      </c>
      <c r="Y80" s="96"/>
      <c r="Z80" s="96"/>
      <c r="AA80" s="96"/>
      <c r="AB80" s="96"/>
      <c r="AC80" s="96"/>
      <c r="AD80" s="96"/>
      <c r="AE80" s="134" t="s">
        <v>37</v>
      </c>
      <c r="AF80" s="132"/>
      <c r="AG80" s="132"/>
      <c r="AH80" s="132"/>
      <c r="AI80" s="132" t="s">
        <v>38</v>
      </c>
      <c r="AJ80" s="132"/>
      <c r="AK80" s="133"/>
      <c r="AL80" s="134" t="s">
        <v>39</v>
      </c>
      <c r="AM80" s="132"/>
      <c r="AN80" s="132"/>
      <c r="AO80" s="132" t="str">
        <f>AI80</f>
        <v>()</v>
      </c>
      <c r="AP80" s="132"/>
      <c r="AQ80" s="133"/>
      <c r="AR80" s="134" t="s">
        <v>40</v>
      </c>
      <c r="AS80" s="132"/>
      <c r="AT80" s="132"/>
      <c r="AU80" s="132"/>
      <c r="AV80" s="132"/>
      <c r="AW80" s="135"/>
      <c r="AX80" s="131" t="s">
        <v>41</v>
      </c>
      <c r="AY80" s="132"/>
      <c r="AZ80" s="132"/>
      <c r="BA80" s="132"/>
      <c r="BB80" s="132"/>
      <c r="BC80" s="135"/>
      <c r="BD80" s="4"/>
      <c r="BE80" s="5"/>
      <c r="BF80" s="5"/>
      <c r="BG80" s="5"/>
      <c r="BH80" s="6"/>
    </row>
    <row r="81" spans="1:68" s="2" customFormat="1" ht="13.5" customHeight="1" x14ac:dyDescent="0.3">
      <c r="A81" s="1"/>
      <c r="B81" s="136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8"/>
      <c r="Y81" s="138"/>
      <c r="Z81" s="138"/>
      <c r="AA81" s="138"/>
      <c r="AB81" s="138"/>
      <c r="AC81" s="138"/>
      <c r="AD81" s="138"/>
      <c r="AE81" s="139"/>
      <c r="AF81" s="139"/>
      <c r="AG81" s="139"/>
      <c r="AH81" s="139"/>
      <c r="AI81" s="139"/>
      <c r="AJ81" s="139"/>
      <c r="AK81" s="139"/>
      <c r="AL81" s="140">
        <f>X81*AE81</f>
        <v>0</v>
      </c>
      <c r="AM81" s="140"/>
      <c r="AN81" s="140"/>
      <c r="AO81" s="140"/>
      <c r="AP81" s="140"/>
      <c r="AQ81" s="140"/>
      <c r="AR81" s="141" t="e">
        <f>AX81/X81</f>
        <v>#DIV/0!</v>
      </c>
      <c r="AS81" s="141"/>
      <c r="AT81" s="141"/>
      <c r="AU81" s="141"/>
      <c r="AV81" s="141"/>
      <c r="AW81" s="141"/>
      <c r="AX81" s="141" t="e">
        <f>AL81/AL92*H77</f>
        <v>#DIV/0!</v>
      </c>
      <c r="AY81" s="141"/>
      <c r="AZ81" s="141"/>
      <c r="BA81" s="141"/>
      <c r="BB81" s="141"/>
      <c r="BC81" s="142"/>
      <c r="BD81" s="4"/>
      <c r="BE81" s="5"/>
      <c r="BF81" s="5"/>
      <c r="BG81" s="5"/>
      <c r="BH81" s="6"/>
    </row>
    <row r="82" spans="1:68" s="2" customFormat="1" x14ac:dyDescent="0.3">
      <c r="A82" s="1"/>
      <c r="B82" s="143"/>
      <c r="C82" s="144"/>
      <c r="D82" s="144"/>
      <c r="E82" s="144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44"/>
      <c r="R82" s="144"/>
      <c r="S82" s="144"/>
      <c r="T82" s="144"/>
      <c r="U82" s="144"/>
      <c r="V82" s="144"/>
      <c r="W82" s="144"/>
      <c r="X82" s="145"/>
      <c r="Y82" s="145"/>
      <c r="Z82" s="145"/>
      <c r="AA82" s="145"/>
      <c r="AB82" s="145"/>
      <c r="AC82" s="145"/>
      <c r="AD82" s="145"/>
      <c r="AE82" s="146"/>
      <c r="AF82" s="146"/>
      <c r="AG82" s="146"/>
      <c r="AH82" s="146"/>
      <c r="AI82" s="146"/>
      <c r="AJ82" s="146"/>
      <c r="AK82" s="146"/>
      <c r="AL82" s="140">
        <f t="shared" ref="AL82:AL91" si="2">X82*AE82</f>
        <v>0</v>
      </c>
      <c r="AM82" s="140"/>
      <c r="AN82" s="140"/>
      <c r="AO82" s="140"/>
      <c r="AP82" s="140"/>
      <c r="AQ82" s="140"/>
      <c r="AR82" s="141" t="e">
        <f t="shared" ref="AR82:AR91" si="3">AX82/X82</f>
        <v>#DIV/0!</v>
      </c>
      <c r="AS82" s="141"/>
      <c r="AT82" s="141"/>
      <c r="AU82" s="141"/>
      <c r="AV82" s="141"/>
      <c r="AW82" s="141"/>
      <c r="AX82" s="141" t="e">
        <f>AL82/AL92*H77</f>
        <v>#DIV/0!</v>
      </c>
      <c r="AY82" s="141"/>
      <c r="AZ82" s="141"/>
      <c r="BA82" s="141"/>
      <c r="BB82" s="141"/>
      <c r="BC82" s="142"/>
      <c r="BD82" s="147"/>
      <c r="BE82" s="5"/>
      <c r="BF82" s="5"/>
      <c r="BG82" s="5"/>
      <c r="BH82" s="6"/>
    </row>
    <row r="83" spans="1:68" s="2" customFormat="1" x14ac:dyDescent="0.3">
      <c r="A83" s="1"/>
      <c r="B83" s="143"/>
      <c r="C83" s="144"/>
      <c r="D83" s="144"/>
      <c r="E83" s="144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44"/>
      <c r="S83" s="144"/>
      <c r="T83" s="144"/>
      <c r="U83" s="144"/>
      <c r="V83" s="144"/>
      <c r="W83" s="144"/>
      <c r="X83" s="145"/>
      <c r="Y83" s="145"/>
      <c r="Z83" s="145"/>
      <c r="AA83" s="145"/>
      <c r="AB83" s="145"/>
      <c r="AC83" s="145"/>
      <c r="AD83" s="145"/>
      <c r="AE83" s="148"/>
      <c r="AF83" s="148"/>
      <c r="AG83" s="148"/>
      <c r="AH83" s="148"/>
      <c r="AI83" s="148"/>
      <c r="AJ83" s="148"/>
      <c r="AK83" s="148"/>
      <c r="AL83" s="140">
        <f t="shared" si="2"/>
        <v>0</v>
      </c>
      <c r="AM83" s="140"/>
      <c r="AN83" s="140"/>
      <c r="AO83" s="140"/>
      <c r="AP83" s="140"/>
      <c r="AQ83" s="140"/>
      <c r="AR83" s="141" t="e">
        <f t="shared" si="3"/>
        <v>#DIV/0!</v>
      </c>
      <c r="AS83" s="141"/>
      <c r="AT83" s="141"/>
      <c r="AU83" s="141"/>
      <c r="AV83" s="141"/>
      <c r="AW83" s="141"/>
      <c r="AX83" s="141" t="e">
        <f>AL83/AL92*H77</f>
        <v>#DIV/0!</v>
      </c>
      <c r="AY83" s="141"/>
      <c r="AZ83" s="141"/>
      <c r="BA83" s="141"/>
      <c r="BB83" s="141"/>
      <c r="BC83" s="142"/>
      <c r="BD83" s="147"/>
      <c r="BE83" s="5"/>
      <c r="BF83" s="5"/>
      <c r="BG83" s="5"/>
      <c r="BH83" s="6"/>
    </row>
    <row r="84" spans="1:68" s="2" customFormat="1" ht="13.5" customHeight="1" x14ac:dyDescent="0.3">
      <c r="A84" s="1"/>
      <c r="B84" s="143"/>
      <c r="C84" s="144"/>
      <c r="D84" s="144"/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44"/>
      <c r="S84" s="144"/>
      <c r="T84" s="144"/>
      <c r="U84" s="144"/>
      <c r="V84" s="144"/>
      <c r="W84" s="144"/>
      <c r="X84" s="145"/>
      <c r="Y84" s="145"/>
      <c r="Z84" s="145"/>
      <c r="AA84" s="145"/>
      <c r="AB84" s="145"/>
      <c r="AC84" s="145"/>
      <c r="AD84" s="145"/>
      <c r="AE84" s="148"/>
      <c r="AF84" s="148"/>
      <c r="AG84" s="148"/>
      <c r="AH84" s="148"/>
      <c r="AI84" s="148"/>
      <c r="AJ84" s="148"/>
      <c r="AK84" s="148"/>
      <c r="AL84" s="140">
        <f t="shared" si="2"/>
        <v>0</v>
      </c>
      <c r="AM84" s="140"/>
      <c r="AN84" s="140"/>
      <c r="AO84" s="140"/>
      <c r="AP84" s="140"/>
      <c r="AQ84" s="140"/>
      <c r="AR84" s="141" t="e">
        <f t="shared" si="3"/>
        <v>#DIV/0!</v>
      </c>
      <c r="AS84" s="141"/>
      <c r="AT84" s="141"/>
      <c r="AU84" s="141"/>
      <c r="AV84" s="141"/>
      <c r="AW84" s="141"/>
      <c r="AX84" s="141" t="e">
        <f>AL84/AL92*H77</f>
        <v>#DIV/0!</v>
      </c>
      <c r="AY84" s="141"/>
      <c r="AZ84" s="141"/>
      <c r="BA84" s="141"/>
      <c r="BB84" s="141"/>
      <c r="BC84" s="142"/>
      <c r="BD84" s="4"/>
      <c r="BE84" s="5"/>
      <c r="BF84" s="5"/>
      <c r="BG84" s="5"/>
      <c r="BH84" s="6"/>
    </row>
    <row r="85" spans="1:68" s="2" customFormat="1" x14ac:dyDescent="0.3">
      <c r="A85" s="1"/>
      <c r="B85" s="143"/>
      <c r="C85" s="144"/>
      <c r="D85" s="144"/>
      <c r="E85" s="144"/>
      <c r="F85" s="144"/>
      <c r="G85" s="144"/>
      <c r="H85" s="144"/>
      <c r="I85" s="144"/>
      <c r="J85" s="144"/>
      <c r="K85" s="144"/>
      <c r="L85" s="144"/>
      <c r="M85" s="144"/>
      <c r="N85" s="144"/>
      <c r="O85" s="144"/>
      <c r="P85" s="144"/>
      <c r="Q85" s="144"/>
      <c r="R85" s="144"/>
      <c r="S85" s="144"/>
      <c r="T85" s="144"/>
      <c r="U85" s="144"/>
      <c r="V85" s="144"/>
      <c r="W85" s="144"/>
      <c r="X85" s="39"/>
      <c r="Y85" s="39"/>
      <c r="Z85" s="39"/>
      <c r="AA85" s="39"/>
      <c r="AB85" s="39"/>
      <c r="AC85" s="39"/>
      <c r="AD85" s="39"/>
      <c r="AE85" s="149"/>
      <c r="AF85" s="149"/>
      <c r="AG85" s="149"/>
      <c r="AH85" s="149"/>
      <c r="AI85" s="149"/>
      <c r="AJ85" s="149"/>
      <c r="AK85" s="149"/>
      <c r="AL85" s="140">
        <f t="shared" si="2"/>
        <v>0</v>
      </c>
      <c r="AM85" s="140"/>
      <c r="AN85" s="140"/>
      <c r="AO85" s="140"/>
      <c r="AP85" s="140"/>
      <c r="AQ85" s="140"/>
      <c r="AR85" s="141" t="e">
        <f t="shared" si="3"/>
        <v>#DIV/0!</v>
      </c>
      <c r="AS85" s="141"/>
      <c r="AT85" s="141"/>
      <c r="AU85" s="141"/>
      <c r="AV85" s="141"/>
      <c r="AW85" s="141"/>
      <c r="AX85" s="141" t="e">
        <f>AL85/AL92*H77</f>
        <v>#DIV/0!</v>
      </c>
      <c r="AY85" s="141"/>
      <c r="AZ85" s="141"/>
      <c r="BA85" s="141"/>
      <c r="BB85" s="141"/>
      <c r="BC85" s="142"/>
      <c r="BD85" s="150"/>
      <c r="BE85" s="5"/>
      <c r="BF85" s="5"/>
      <c r="BG85" s="5"/>
      <c r="BH85" s="6"/>
      <c r="BI85" s="151"/>
    </row>
    <row r="86" spans="1:68" s="2" customFormat="1" x14ac:dyDescent="0.3">
      <c r="A86" s="1"/>
      <c r="B86" s="143"/>
      <c r="C86" s="144"/>
      <c r="D86" s="144"/>
      <c r="E86" s="144"/>
      <c r="F86" s="144"/>
      <c r="G86" s="144"/>
      <c r="H86" s="144"/>
      <c r="I86" s="144"/>
      <c r="J86" s="144"/>
      <c r="K86" s="144"/>
      <c r="L86" s="144"/>
      <c r="M86" s="144"/>
      <c r="N86" s="144"/>
      <c r="O86" s="144"/>
      <c r="P86" s="144"/>
      <c r="Q86" s="144"/>
      <c r="R86" s="144"/>
      <c r="S86" s="144"/>
      <c r="T86" s="144"/>
      <c r="U86" s="144"/>
      <c r="V86" s="144"/>
      <c r="W86" s="144"/>
      <c r="X86" s="39"/>
      <c r="Y86" s="39"/>
      <c r="Z86" s="39"/>
      <c r="AA86" s="39"/>
      <c r="AB86" s="39"/>
      <c r="AC86" s="39"/>
      <c r="AD86" s="39"/>
      <c r="AE86" s="149"/>
      <c r="AF86" s="149"/>
      <c r="AG86" s="149"/>
      <c r="AH86" s="149"/>
      <c r="AI86" s="149"/>
      <c r="AJ86" s="149"/>
      <c r="AK86" s="149"/>
      <c r="AL86" s="140">
        <f t="shared" si="2"/>
        <v>0</v>
      </c>
      <c r="AM86" s="140"/>
      <c r="AN86" s="140"/>
      <c r="AO86" s="140"/>
      <c r="AP86" s="140"/>
      <c r="AQ86" s="140"/>
      <c r="AR86" s="141" t="e">
        <f t="shared" si="3"/>
        <v>#DIV/0!</v>
      </c>
      <c r="AS86" s="141"/>
      <c r="AT86" s="141"/>
      <c r="AU86" s="141"/>
      <c r="AV86" s="141"/>
      <c r="AW86" s="141"/>
      <c r="AX86" s="152" t="e">
        <f>AL86/AL92*H77</f>
        <v>#DIV/0!</v>
      </c>
      <c r="AY86" s="141"/>
      <c r="AZ86" s="141"/>
      <c r="BA86" s="141"/>
      <c r="BB86" s="141"/>
      <c r="BC86" s="142"/>
      <c r="BD86" s="150"/>
      <c r="BE86" s="5"/>
      <c r="BF86" s="5"/>
      <c r="BG86" s="5"/>
      <c r="BH86" s="6"/>
    </row>
    <row r="87" spans="1:68" s="2" customFormat="1" x14ac:dyDescent="0.3">
      <c r="A87" s="1"/>
      <c r="B87" s="143"/>
      <c r="C87" s="144"/>
      <c r="D87" s="144"/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4"/>
      <c r="V87" s="144"/>
      <c r="W87" s="144"/>
      <c r="X87" s="39"/>
      <c r="Y87" s="39"/>
      <c r="Z87" s="39"/>
      <c r="AA87" s="39"/>
      <c r="AB87" s="39"/>
      <c r="AC87" s="39"/>
      <c r="AD87" s="39"/>
      <c r="AE87" s="149"/>
      <c r="AF87" s="149"/>
      <c r="AG87" s="149"/>
      <c r="AH87" s="149"/>
      <c r="AI87" s="149"/>
      <c r="AJ87" s="149"/>
      <c r="AK87" s="149"/>
      <c r="AL87" s="140">
        <f t="shared" si="2"/>
        <v>0</v>
      </c>
      <c r="AM87" s="140"/>
      <c r="AN87" s="140"/>
      <c r="AO87" s="140"/>
      <c r="AP87" s="140"/>
      <c r="AQ87" s="140"/>
      <c r="AR87" s="141" t="e">
        <f t="shared" si="3"/>
        <v>#DIV/0!</v>
      </c>
      <c r="AS87" s="141"/>
      <c r="AT87" s="141"/>
      <c r="AU87" s="141"/>
      <c r="AV87" s="141"/>
      <c r="AW87" s="141"/>
      <c r="AX87" s="152" t="e">
        <f>AL87/AL92*H77</f>
        <v>#DIV/0!</v>
      </c>
      <c r="AY87" s="141"/>
      <c r="AZ87" s="141"/>
      <c r="BA87" s="141"/>
      <c r="BB87" s="141"/>
      <c r="BC87" s="142"/>
      <c r="BD87" s="150"/>
      <c r="BE87" s="5"/>
      <c r="BF87" s="5"/>
      <c r="BG87" s="5"/>
      <c r="BH87" s="6"/>
    </row>
    <row r="88" spans="1:68" s="2" customFormat="1" x14ac:dyDescent="0.3">
      <c r="A88" s="1"/>
      <c r="B88" s="143"/>
      <c r="C88" s="144"/>
      <c r="D88" s="144"/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4"/>
      <c r="V88" s="144"/>
      <c r="W88" s="144"/>
      <c r="X88" s="39"/>
      <c r="Y88" s="39"/>
      <c r="Z88" s="39"/>
      <c r="AA88" s="39"/>
      <c r="AB88" s="39"/>
      <c r="AC88" s="39"/>
      <c r="AD88" s="39"/>
      <c r="AE88" s="149"/>
      <c r="AF88" s="149"/>
      <c r="AG88" s="149"/>
      <c r="AH88" s="149"/>
      <c r="AI88" s="149"/>
      <c r="AJ88" s="149"/>
      <c r="AK88" s="149"/>
      <c r="AL88" s="140">
        <f t="shared" si="2"/>
        <v>0</v>
      </c>
      <c r="AM88" s="140"/>
      <c r="AN88" s="140"/>
      <c r="AO88" s="140"/>
      <c r="AP88" s="140"/>
      <c r="AQ88" s="140"/>
      <c r="AR88" s="141" t="e">
        <f t="shared" si="3"/>
        <v>#DIV/0!</v>
      </c>
      <c r="AS88" s="141"/>
      <c r="AT88" s="141"/>
      <c r="AU88" s="141"/>
      <c r="AV88" s="141"/>
      <c r="AW88" s="141"/>
      <c r="AX88" s="152" t="e">
        <f>AL88/AL92*H77</f>
        <v>#DIV/0!</v>
      </c>
      <c r="AY88" s="141"/>
      <c r="AZ88" s="141"/>
      <c r="BA88" s="141"/>
      <c r="BB88" s="141"/>
      <c r="BC88" s="142"/>
      <c r="BD88" s="150"/>
      <c r="BE88" s="5"/>
      <c r="BF88" s="5"/>
      <c r="BG88" s="5"/>
      <c r="BH88" s="6"/>
    </row>
    <row r="89" spans="1:68" s="2" customFormat="1" x14ac:dyDescent="0.3">
      <c r="A89" s="1"/>
      <c r="B89" s="143"/>
      <c r="C89" s="144"/>
      <c r="D89" s="144"/>
      <c r="E89" s="144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4"/>
      <c r="V89" s="144"/>
      <c r="W89" s="144"/>
      <c r="X89" s="39"/>
      <c r="Y89" s="39"/>
      <c r="Z89" s="39"/>
      <c r="AA89" s="39"/>
      <c r="AB89" s="39"/>
      <c r="AC89" s="39"/>
      <c r="AD89" s="39"/>
      <c r="AE89" s="149"/>
      <c r="AF89" s="149"/>
      <c r="AG89" s="149"/>
      <c r="AH89" s="149"/>
      <c r="AI89" s="149"/>
      <c r="AJ89" s="149"/>
      <c r="AK89" s="149"/>
      <c r="AL89" s="140">
        <f t="shared" si="2"/>
        <v>0</v>
      </c>
      <c r="AM89" s="140"/>
      <c r="AN89" s="140"/>
      <c r="AO89" s="140"/>
      <c r="AP89" s="140"/>
      <c r="AQ89" s="140"/>
      <c r="AR89" s="141" t="e">
        <f t="shared" si="3"/>
        <v>#DIV/0!</v>
      </c>
      <c r="AS89" s="141"/>
      <c r="AT89" s="141"/>
      <c r="AU89" s="141"/>
      <c r="AV89" s="141"/>
      <c r="AW89" s="141"/>
      <c r="AX89" s="152" t="e">
        <f>AL89/AL92*H77</f>
        <v>#DIV/0!</v>
      </c>
      <c r="AY89" s="141"/>
      <c r="AZ89" s="141"/>
      <c r="BA89" s="141"/>
      <c r="BB89" s="141"/>
      <c r="BC89" s="142"/>
      <c r="BD89" s="150"/>
      <c r="BE89" s="5"/>
      <c r="BF89" s="5"/>
      <c r="BG89" s="5"/>
      <c r="BH89" s="6"/>
      <c r="BI89" s="153"/>
    </row>
    <row r="90" spans="1:68" s="60" customFormat="1" x14ac:dyDescent="0.3">
      <c r="A90" s="1"/>
      <c r="B90" s="143"/>
      <c r="C90" s="144"/>
      <c r="D90" s="144"/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4"/>
      <c r="V90" s="144"/>
      <c r="W90" s="144"/>
      <c r="X90" s="39"/>
      <c r="Y90" s="39"/>
      <c r="Z90" s="39"/>
      <c r="AA90" s="39"/>
      <c r="AB90" s="39"/>
      <c r="AC90" s="39"/>
      <c r="AD90" s="39"/>
      <c r="AE90" s="149"/>
      <c r="AF90" s="149"/>
      <c r="AG90" s="149"/>
      <c r="AH90" s="149"/>
      <c r="AI90" s="149"/>
      <c r="AJ90" s="149"/>
      <c r="AK90" s="149"/>
      <c r="AL90" s="140">
        <f t="shared" si="2"/>
        <v>0</v>
      </c>
      <c r="AM90" s="140"/>
      <c r="AN90" s="140"/>
      <c r="AO90" s="140"/>
      <c r="AP90" s="140"/>
      <c r="AQ90" s="140"/>
      <c r="AR90" s="141" t="e">
        <f t="shared" si="3"/>
        <v>#DIV/0!</v>
      </c>
      <c r="AS90" s="141"/>
      <c r="AT90" s="141"/>
      <c r="AU90" s="141"/>
      <c r="AV90" s="141"/>
      <c r="AW90" s="141"/>
      <c r="AX90" s="152" t="e">
        <f>AL90/AL92*H77</f>
        <v>#DIV/0!</v>
      </c>
      <c r="AY90" s="141"/>
      <c r="AZ90" s="141"/>
      <c r="BA90" s="141"/>
      <c r="BB90" s="141"/>
      <c r="BC90" s="142"/>
      <c r="BD90" s="154"/>
      <c r="BE90" s="59"/>
      <c r="BF90" s="59"/>
      <c r="BG90" s="59"/>
      <c r="BH90" s="59"/>
      <c r="BI90" s="59"/>
      <c r="BJ90" s="59"/>
      <c r="BK90" s="59"/>
      <c r="BL90" s="59"/>
      <c r="BM90" s="59"/>
      <c r="BN90" s="59"/>
      <c r="BO90" s="59"/>
    </row>
    <row r="91" spans="1:68" x14ac:dyDescent="0.3">
      <c r="B91" s="155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156"/>
      <c r="S91" s="156"/>
      <c r="T91" s="156"/>
      <c r="U91" s="156"/>
      <c r="V91" s="156"/>
      <c r="W91" s="156"/>
      <c r="X91" s="123"/>
      <c r="Y91" s="123"/>
      <c r="Z91" s="123"/>
      <c r="AA91" s="123"/>
      <c r="AB91" s="123"/>
      <c r="AC91" s="123"/>
      <c r="AD91" s="123"/>
      <c r="AE91" s="157"/>
      <c r="AF91" s="157"/>
      <c r="AG91" s="157"/>
      <c r="AH91" s="157"/>
      <c r="AI91" s="157"/>
      <c r="AJ91" s="157"/>
      <c r="AK91" s="157"/>
      <c r="AL91" s="140">
        <f t="shared" si="2"/>
        <v>0</v>
      </c>
      <c r="AM91" s="140"/>
      <c r="AN91" s="140"/>
      <c r="AO91" s="140"/>
      <c r="AP91" s="140"/>
      <c r="AQ91" s="140"/>
      <c r="AR91" s="141" t="e">
        <f t="shared" si="3"/>
        <v>#DIV/0!</v>
      </c>
      <c r="AS91" s="141"/>
      <c r="AT91" s="141"/>
      <c r="AU91" s="141"/>
      <c r="AV91" s="141"/>
      <c r="AW91" s="141"/>
      <c r="AX91" s="152" t="e">
        <f>AL91/AL92*H77</f>
        <v>#DIV/0!</v>
      </c>
      <c r="AY91" s="141"/>
      <c r="AZ91" s="141"/>
      <c r="BA91" s="141"/>
      <c r="BB91" s="141"/>
      <c r="BC91" s="142"/>
      <c r="BD91" s="158"/>
      <c r="BE91" s="159"/>
      <c r="BF91" s="159"/>
      <c r="BG91" s="159"/>
      <c r="BH91" s="160"/>
      <c r="BI91"/>
      <c r="BJ91"/>
      <c r="BK91"/>
      <c r="BL91"/>
      <c r="BM91"/>
      <c r="BN91"/>
      <c r="BO91"/>
      <c r="BP91"/>
    </row>
    <row r="92" spans="1:68" s="2" customFormat="1" x14ac:dyDescent="0.3">
      <c r="A92" s="1"/>
      <c r="B92" s="161"/>
      <c r="C92" s="162"/>
      <c r="D92" s="162"/>
      <c r="E92" s="162"/>
      <c r="F92" s="162"/>
      <c r="G92" s="162"/>
      <c r="H92" s="162"/>
      <c r="I92" s="162"/>
      <c r="J92" s="162"/>
      <c r="K92" s="162"/>
      <c r="L92" s="162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2"/>
      <c r="X92" s="163"/>
      <c r="Y92" s="163"/>
      <c r="Z92" s="163"/>
      <c r="AA92" s="163"/>
      <c r="AB92" s="163"/>
      <c r="AC92" s="163"/>
      <c r="AD92" s="163"/>
      <c r="AE92" s="164"/>
      <c r="AF92" s="165"/>
      <c r="AG92" s="165"/>
      <c r="AH92" s="165"/>
      <c r="AI92" s="165"/>
      <c r="AJ92" s="165"/>
      <c r="AK92" s="166"/>
      <c r="AL92" s="167">
        <f>SUM(AL81:AL91)</f>
        <v>0</v>
      </c>
      <c r="AM92" s="168"/>
      <c r="AN92" s="168"/>
      <c r="AO92" s="168"/>
      <c r="AP92" s="168"/>
      <c r="AQ92" s="169"/>
      <c r="AR92" s="170"/>
      <c r="AS92" s="171"/>
      <c r="AT92" s="171"/>
      <c r="AU92" s="171"/>
      <c r="AV92" s="171"/>
      <c r="AW92" s="172"/>
      <c r="AX92" s="173" t="e">
        <f>SUM(AX81:AX91)</f>
        <v>#DIV/0!</v>
      </c>
      <c r="AY92" s="174"/>
      <c r="AZ92" s="174"/>
      <c r="BA92" s="174"/>
      <c r="BB92" s="174"/>
      <c r="BC92" s="175"/>
      <c r="BD92" s="4"/>
      <c r="BE92" s="5"/>
      <c r="BF92" s="5"/>
      <c r="BG92" s="5"/>
      <c r="BH92" s="6"/>
      <c r="BI92" s="5"/>
      <c r="BJ92" s="5"/>
      <c r="BK92" s="5"/>
      <c r="BL92" s="5"/>
      <c r="BM92" s="5"/>
      <c r="BN92" s="5"/>
      <c r="BO92" s="5"/>
      <c r="BP92" s="5"/>
    </row>
    <row r="93" spans="1:68" x14ac:dyDescent="0.3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176" t="b">
        <f>IF(N63=AL92,TRUE, FALSE)</f>
        <v>1</v>
      </c>
      <c r="AM93" s="176"/>
      <c r="AN93" s="176"/>
      <c r="AO93" s="176"/>
      <c r="AP93" s="176"/>
      <c r="AQ93" s="176"/>
      <c r="AR93" s="2"/>
      <c r="AS93" s="2"/>
      <c r="AT93" s="2"/>
      <c r="AU93" s="2"/>
      <c r="AV93" s="2"/>
      <c r="AW93" s="2"/>
      <c r="AX93" s="177" t="e">
        <f>IF(AX92=H77,TRUE,FALSE)</f>
        <v>#DIV/0!</v>
      </c>
      <c r="AY93" s="177"/>
      <c r="AZ93" s="177"/>
      <c r="BA93" s="177"/>
      <c r="BB93" s="177"/>
      <c r="BC93" s="177"/>
      <c r="BD93" s="3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/>
    </row>
    <row r="94" spans="1:68" s="2" customFormat="1" ht="13.5" customHeight="1" x14ac:dyDescent="0.3">
      <c r="A94" s="1"/>
      <c r="BD94" s="4"/>
      <c r="BE94" s="5"/>
      <c r="BF94" s="5"/>
      <c r="BG94" s="5"/>
      <c r="BH94" s="6"/>
    </row>
    <row r="95" spans="1:68" x14ac:dyDescent="0.3">
      <c r="B95" s="7" t="s">
        <v>42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</row>
    <row r="96" spans="1:68" x14ac:dyDescent="0.3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</row>
    <row r="97" spans="2:55" x14ac:dyDescent="0.3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</row>
    <row r="98" spans="2:55" ht="23.25" x14ac:dyDescent="0.3"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9"/>
      <c r="BB98" s="9"/>
      <c r="BC98" s="178">
        <v>22</v>
      </c>
    </row>
    <row r="99" spans="2:55" ht="15.75" x14ac:dyDescent="0.3">
      <c r="B99" s="11" t="s">
        <v>1</v>
      </c>
      <c r="C99" s="12"/>
      <c r="D99" s="12"/>
      <c r="E99" s="12"/>
      <c r="F99" s="12"/>
      <c r="G99" s="12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4"/>
    </row>
    <row r="100" spans="2:55" ht="15.75" x14ac:dyDescent="0.3">
      <c r="B100" s="15" t="s">
        <v>2</v>
      </c>
      <c r="C100" s="16"/>
      <c r="D100" s="16"/>
      <c r="E100" s="16"/>
      <c r="F100" s="16"/>
      <c r="G100" s="16"/>
      <c r="H100" s="17" t="s">
        <v>43</v>
      </c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8"/>
      <c r="U100" s="19"/>
      <c r="V100" s="19"/>
      <c r="W100" s="19"/>
      <c r="X100" s="19"/>
      <c r="Y100" s="19"/>
      <c r="Z100" s="19"/>
      <c r="AA100" s="19"/>
      <c r="AB100" s="19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20"/>
    </row>
    <row r="101" spans="2:55" ht="15.75" x14ac:dyDescent="0.3">
      <c r="B101" s="15" t="s">
        <v>3</v>
      </c>
      <c r="C101" s="16"/>
      <c r="D101" s="16"/>
      <c r="E101" s="16"/>
      <c r="F101" s="16"/>
      <c r="G101" s="16"/>
      <c r="H101" s="21" t="s">
        <v>44</v>
      </c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0"/>
    </row>
    <row r="102" spans="2:55" ht="15.75" x14ac:dyDescent="0.3">
      <c r="B102" s="15" t="s">
        <v>4</v>
      </c>
      <c r="C102" s="16"/>
      <c r="D102" s="16"/>
      <c r="E102" s="16"/>
      <c r="F102" s="16"/>
      <c r="G102" s="16"/>
      <c r="H102" s="22">
        <v>46017</v>
      </c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20"/>
    </row>
    <row r="103" spans="2:55" ht="15.75" x14ac:dyDescent="0.3">
      <c r="B103" s="23" t="s">
        <v>5</v>
      </c>
      <c r="C103" s="4"/>
      <c r="D103" s="4"/>
      <c r="E103" s="4"/>
      <c r="F103" s="4"/>
      <c r="G103" s="4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24"/>
      <c r="BA103" s="24"/>
      <c r="BB103" s="24"/>
      <c r="BC103" s="25"/>
    </row>
    <row r="104" spans="2:55" x14ac:dyDescent="0.3">
      <c r="B104" s="26" t="s">
        <v>6</v>
      </c>
      <c r="C104" s="27"/>
      <c r="D104" s="27"/>
      <c r="E104" s="27"/>
      <c r="F104" s="27"/>
      <c r="G104" s="28"/>
      <c r="H104" s="29" t="s">
        <v>7</v>
      </c>
      <c r="I104" s="30"/>
      <c r="J104" s="30"/>
      <c r="K104" s="30"/>
      <c r="L104" s="30"/>
      <c r="M104" s="30"/>
      <c r="N104" s="31" t="s">
        <v>8</v>
      </c>
      <c r="O104" s="31"/>
      <c r="P104" s="31"/>
      <c r="Q104" s="31"/>
      <c r="R104" s="31"/>
      <c r="S104" s="31"/>
      <c r="T104" s="31"/>
      <c r="U104" s="31"/>
      <c r="V104" s="31"/>
      <c r="W104" s="31"/>
      <c r="X104" s="32" t="s">
        <v>9</v>
      </c>
      <c r="Y104" s="27"/>
      <c r="Z104" s="27"/>
      <c r="AA104" s="27"/>
      <c r="AB104" s="27"/>
      <c r="AC104" s="27"/>
      <c r="AD104" s="28"/>
      <c r="AE104" s="32" t="s">
        <v>10</v>
      </c>
      <c r="AF104" s="27"/>
      <c r="AG104" s="27"/>
      <c r="AH104" s="27"/>
      <c r="AI104" s="27"/>
      <c r="AJ104" s="27"/>
      <c r="AK104" s="28"/>
      <c r="AL104" s="32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33"/>
      <c r="BB104" s="33"/>
      <c r="BC104" s="34"/>
    </row>
    <row r="105" spans="2:55" x14ac:dyDescent="0.3">
      <c r="B105" s="179" t="s">
        <v>11</v>
      </c>
      <c r="C105" s="180"/>
      <c r="D105" s="180"/>
      <c r="E105" s="180"/>
      <c r="F105" s="180"/>
      <c r="G105" s="181"/>
      <c r="H105" s="182">
        <v>46043</v>
      </c>
      <c r="I105" s="183"/>
      <c r="J105" s="183"/>
      <c r="K105" s="183"/>
      <c r="L105" s="183"/>
      <c r="M105" s="183"/>
      <c r="N105" s="184">
        <v>42660.1</v>
      </c>
      <c r="O105" s="184"/>
      <c r="P105" s="184"/>
      <c r="Q105" s="184"/>
      <c r="R105" s="184"/>
      <c r="S105" s="184"/>
      <c r="T105" s="184"/>
      <c r="U105" s="184"/>
      <c r="V105" s="184"/>
      <c r="W105" s="184"/>
      <c r="X105" s="185">
        <v>1434.9</v>
      </c>
      <c r="Y105" s="186"/>
      <c r="Z105" s="186"/>
      <c r="AA105" s="186"/>
      <c r="AB105" s="186"/>
      <c r="AC105" s="186"/>
      <c r="AD105" s="187"/>
      <c r="AE105" s="188">
        <f>X105*N105</f>
        <v>61212977.490000002</v>
      </c>
      <c r="AF105" s="189"/>
      <c r="AG105" s="189"/>
      <c r="AH105" s="189"/>
      <c r="AI105" s="189"/>
      <c r="AJ105" s="189"/>
      <c r="AK105" s="190"/>
      <c r="AL105" s="191" t="s">
        <v>45</v>
      </c>
      <c r="AM105" s="192"/>
      <c r="AN105" s="192"/>
      <c r="AO105" s="192"/>
      <c r="AP105" s="192"/>
      <c r="AQ105" s="192"/>
      <c r="AR105" s="192"/>
      <c r="AS105" s="192"/>
      <c r="AT105" s="192"/>
      <c r="AU105" s="192"/>
      <c r="AV105" s="192"/>
      <c r="AW105" s="192"/>
      <c r="AX105" s="192"/>
      <c r="AY105" s="192"/>
      <c r="AZ105" s="192"/>
      <c r="BA105" s="193"/>
      <c r="BB105" s="193"/>
      <c r="BC105" s="194"/>
    </row>
    <row r="106" spans="2:55" x14ac:dyDescent="0.3">
      <c r="B106" s="64" t="s">
        <v>13</v>
      </c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6">
        <f>SUM(N105:W105)</f>
        <v>42660.1</v>
      </c>
      <c r="O106" s="67"/>
      <c r="P106" s="67"/>
      <c r="Q106" s="67"/>
      <c r="R106" s="67"/>
      <c r="S106" s="67"/>
      <c r="T106" s="67"/>
      <c r="U106" s="67"/>
      <c r="V106" s="67"/>
      <c r="W106" s="68"/>
      <c r="X106" s="69"/>
      <c r="Y106" s="70"/>
      <c r="Z106" s="70"/>
      <c r="AA106" s="70"/>
      <c r="AB106" s="70"/>
      <c r="AC106" s="70"/>
      <c r="AD106" s="71"/>
      <c r="AE106" s="72">
        <f>SUM(AE105:AK105)</f>
        <v>61212977.490000002</v>
      </c>
      <c r="AF106" s="73"/>
      <c r="AG106" s="73"/>
      <c r="AH106" s="73"/>
      <c r="AI106" s="73"/>
      <c r="AJ106" s="73"/>
      <c r="AK106" s="74"/>
      <c r="AL106" s="75"/>
      <c r="AM106" s="76"/>
      <c r="AN106" s="76"/>
      <c r="AO106" s="76"/>
      <c r="AP106" s="76"/>
      <c r="AQ106" s="76"/>
      <c r="AR106" s="76"/>
      <c r="AS106" s="76"/>
      <c r="AT106" s="76"/>
      <c r="AU106" s="76"/>
      <c r="AV106" s="76"/>
      <c r="AW106" s="76"/>
      <c r="AX106" s="76"/>
      <c r="AY106" s="76"/>
      <c r="AZ106" s="76"/>
      <c r="BA106" s="77"/>
      <c r="BB106" s="77"/>
      <c r="BC106" s="78"/>
    </row>
    <row r="107" spans="2:55" x14ac:dyDescent="0.3">
      <c r="B107" s="79"/>
      <c r="C107" s="80"/>
      <c r="D107" s="80"/>
      <c r="E107" s="80"/>
      <c r="F107" s="80"/>
      <c r="G107" s="80"/>
      <c r="H107" s="81"/>
      <c r="I107" s="82"/>
      <c r="J107" s="82"/>
      <c r="K107" s="82"/>
      <c r="L107" s="82"/>
      <c r="M107" s="83"/>
      <c r="N107" s="81"/>
      <c r="O107" s="82"/>
      <c r="P107" s="82"/>
      <c r="Q107" s="82"/>
      <c r="R107" s="82"/>
      <c r="S107" s="82"/>
      <c r="T107" s="82"/>
      <c r="U107" s="82"/>
      <c r="V107" s="82"/>
      <c r="W107" s="83"/>
      <c r="X107" s="81"/>
      <c r="Y107" s="82"/>
      <c r="Z107" s="82"/>
      <c r="AA107" s="82"/>
      <c r="AB107" s="82"/>
      <c r="AC107" s="82"/>
      <c r="AD107" s="83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  <c r="AR107" s="84"/>
      <c r="AS107" s="84"/>
      <c r="AT107" s="84"/>
      <c r="AU107" s="84"/>
      <c r="AV107" s="84"/>
      <c r="AW107" s="84"/>
      <c r="AX107" s="84"/>
      <c r="AY107" s="84"/>
      <c r="AZ107" s="84"/>
      <c r="BA107" s="84"/>
      <c r="BB107" s="84"/>
      <c r="BC107" s="85"/>
    </row>
    <row r="108" spans="2:55" x14ac:dyDescent="0.3">
      <c r="B108" s="86" t="s">
        <v>14</v>
      </c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8"/>
      <c r="O108" s="89"/>
      <c r="P108" s="89"/>
      <c r="Q108" s="89"/>
      <c r="R108" s="89"/>
      <c r="S108" s="89"/>
      <c r="T108" s="89"/>
      <c r="U108" s="89"/>
      <c r="V108" s="89"/>
      <c r="W108" s="90"/>
      <c r="X108" s="91"/>
      <c r="Y108" s="92"/>
      <c r="Z108" s="92"/>
      <c r="AA108" s="92"/>
      <c r="AB108" s="92"/>
      <c r="AC108" s="92"/>
      <c r="AD108" s="93"/>
      <c r="AE108" s="88"/>
      <c r="AF108" s="89"/>
      <c r="AG108" s="89"/>
      <c r="AH108" s="89"/>
      <c r="AI108" s="89"/>
      <c r="AJ108" s="89"/>
      <c r="AK108" s="89"/>
      <c r="AL108" s="89"/>
      <c r="AM108" s="89"/>
      <c r="AN108" s="89"/>
      <c r="AO108" s="89"/>
      <c r="AP108" s="89"/>
      <c r="AQ108" s="89"/>
      <c r="AR108" s="89"/>
      <c r="AS108" s="89"/>
      <c r="AT108" s="89"/>
      <c r="AU108" s="89"/>
      <c r="AV108" s="89"/>
      <c r="AW108" s="89"/>
      <c r="AX108" s="89"/>
      <c r="AY108" s="89"/>
      <c r="AZ108" s="90"/>
      <c r="BA108" s="94"/>
      <c r="BB108" s="94"/>
      <c r="BC108" s="95"/>
    </row>
    <row r="109" spans="2:55" x14ac:dyDescent="0.3">
      <c r="B109" s="26" t="s">
        <v>15</v>
      </c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30" t="s">
        <v>16</v>
      </c>
      <c r="O109" s="30"/>
      <c r="P109" s="30"/>
      <c r="Q109" s="30"/>
      <c r="R109" s="30"/>
      <c r="S109" s="30"/>
      <c r="T109" s="30"/>
      <c r="U109" s="30"/>
      <c r="V109" s="30"/>
      <c r="W109" s="30"/>
      <c r="X109" s="96" t="s">
        <v>17</v>
      </c>
      <c r="Y109" s="96"/>
      <c r="Z109" s="96"/>
      <c r="AA109" s="96"/>
      <c r="AB109" s="96"/>
      <c r="AC109" s="96"/>
      <c r="AD109" s="96"/>
      <c r="AE109" s="30" t="s">
        <v>18</v>
      </c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2"/>
      <c r="BA109" s="33"/>
      <c r="BB109" s="33"/>
      <c r="BC109" s="34"/>
    </row>
    <row r="110" spans="2:55" x14ac:dyDescent="0.3">
      <c r="B110" s="97" t="s">
        <v>19</v>
      </c>
      <c r="C110" s="98"/>
      <c r="D110" s="98"/>
      <c r="E110" s="98"/>
      <c r="F110" s="98"/>
      <c r="G110" s="99"/>
      <c r="H110" s="53"/>
      <c r="I110" s="39"/>
      <c r="J110" s="39"/>
      <c r="K110" s="39"/>
      <c r="L110" s="39"/>
      <c r="M110" s="39"/>
      <c r="N110" s="100">
        <v>0</v>
      </c>
      <c r="O110" s="100"/>
      <c r="P110" s="100"/>
      <c r="Q110" s="100"/>
      <c r="R110" s="100"/>
      <c r="S110" s="100"/>
      <c r="T110" s="100"/>
      <c r="U110" s="100"/>
      <c r="V110" s="100"/>
      <c r="W110" s="100"/>
      <c r="X110" s="101"/>
      <c r="Y110" s="101"/>
      <c r="Z110" s="101"/>
      <c r="AA110" s="101"/>
      <c r="AB110" s="101"/>
      <c r="AC110" s="101"/>
      <c r="AD110" s="101"/>
      <c r="AE110" s="102" t="s">
        <v>20</v>
      </c>
      <c r="AF110" s="103"/>
      <c r="AG110" s="103"/>
      <c r="AH110" s="103"/>
      <c r="AI110" s="103"/>
      <c r="AJ110" s="103"/>
      <c r="AK110" s="103"/>
      <c r="AL110" s="103"/>
      <c r="AM110" s="103"/>
      <c r="AN110" s="103"/>
      <c r="AO110" s="103"/>
      <c r="AP110" s="103"/>
      <c r="AQ110" s="103"/>
      <c r="AR110" s="103"/>
      <c r="AS110" s="103"/>
      <c r="AT110" s="103"/>
      <c r="AU110" s="103"/>
      <c r="AV110" s="103"/>
      <c r="AW110" s="103"/>
      <c r="AX110" s="103"/>
      <c r="AY110" s="103"/>
      <c r="AZ110" s="103"/>
      <c r="BA110" s="49"/>
      <c r="BB110" s="49"/>
      <c r="BC110" s="50"/>
    </row>
    <row r="111" spans="2:55" x14ac:dyDescent="0.3">
      <c r="B111" s="97" t="s">
        <v>21</v>
      </c>
      <c r="C111" s="98"/>
      <c r="D111" s="98"/>
      <c r="E111" s="98"/>
      <c r="F111" s="98"/>
      <c r="G111" s="99"/>
      <c r="H111" s="53"/>
      <c r="I111" s="39"/>
      <c r="J111" s="39"/>
      <c r="K111" s="39"/>
      <c r="L111" s="39"/>
      <c r="M111" s="39"/>
      <c r="N111" s="100">
        <v>824646</v>
      </c>
      <c r="O111" s="100"/>
      <c r="P111" s="100"/>
      <c r="Q111" s="100"/>
      <c r="R111" s="100"/>
      <c r="S111" s="100"/>
      <c r="T111" s="100"/>
      <c r="U111" s="100"/>
      <c r="V111" s="100"/>
      <c r="W111" s="100"/>
      <c r="X111" s="101"/>
      <c r="Y111" s="101"/>
      <c r="Z111" s="101"/>
      <c r="AA111" s="101"/>
      <c r="AB111" s="101"/>
      <c r="AC111" s="101"/>
      <c r="AD111" s="101"/>
      <c r="AE111" s="102" t="s">
        <v>46</v>
      </c>
      <c r="AF111" s="103"/>
      <c r="AG111" s="103"/>
      <c r="AH111" s="103"/>
      <c r="AI111" s="103"/>
      <c r="AJ111" s="103"/>
      <c r="AK111" s="103"/>
      <c r="AL111" s="103"/>
      <c r="AM111" s="103"/>
      <c r="AN111" s="103"/>
      <c r="AO111" s="103"/>
      <c r="AP111" s="103"/>
      <c r="AQ111" s="103"/>
      <c r="AR111" s="103"/>
      <c r="AS111" s="103"/>
      <c r="AT111" s="103"/>
      <c r="AU111" s="103"/>
      <c r="AV111" s="103"/>
      <c r="AW111" s="103"/>
      <c r="AX111" s="103"/>
      <c r="AY111" s="103"/>
      <c r="AZ111" s="103"/>
      <c r="BA111" s="49"/>
      <c r="BB111" s="49"/>
      <c r="BC111" s="50"/>
    </row>
    <row r="112" spans="2:55" x14ac:dyDescent="0.3">
      <c r="B112" s="97" t="s">
        <v>23</v>
      </c>
      <c r="C112" s="98"/>
      <c r="D112" s="98"/>
      <c r="E112" s="98"/>
      <c r="F112" s="98"/>
      <c r="G112" s="99"/>
      <c r="H112" s="53"/>
      <c r="I112" s="39"/>
      <c r="J112" s="39"/>
      <c r="K112" s="39"/>
      <c r="L112" s="39"/>
      <c r="M112" s="39"/>
      <c r="N112" s="100">
        <v>75000</v>
      </c>
      <c r="O112" s="100"/>
      <c r="P112" s="100"/>
      <c r="Q112" s="100"/>
      <c r="R112" s="100"/>
      <c r="S112" s="100"/>
      <c r="T112" s="100"/>
      <c r="U112" s="100"/>
      <c r="V112" s="100"/>
      <c r="W112" s="100"/>
      <c r="X112" s="101"/>
      <c r="Y112" s="101"/>
      <c r="Z112" s="101"/>
      <c r="AA112" s="101"/>
      <c r="AB112" s="101"/>
      <c r="AC112" s="101"/>
      <c r="AD112" s="101"/>
      <c r="AE112" s="102" t="s">
        <v>47</v>
      </c>
      <c r="AF112" s="103"/>
      <c r="AG112" s="103"/>
      <c r="AH112" s="103"/>
      <c r="AI112" s="103"/>
      <c r="AJ112" s="103"/>
      <c r="AK112" s="103"/>
      <c r="AL112" s="103"/>
      <c r="AM112" s="103"/>
      <c r="AN112" s="103"/>
      <c r="AO112" s="103"/>
      <c r="AP112" s="103"/>
      <c r="AQ112" s="103"/>
      <c r="AR112" s="103"/>
      <c r="AS112" s="103"/>
      <c r="AT112" s="103"/>
      <c r="AU112" s="103"/>
      <c r="AV112" s="103"/>
      <c r="AW112" s="103"/>
      <c r="AX112" s="103"/>
      <c r="AY112" s="103"/>
      <c r="AZ112" s="103"/>
      <c r="BA112" s="49"/>
      <c r="BB112" s="49"/>
      <c r="BC112" s="50"/>
    </row>
    <row r="113" spans="2:55" x14ac:dyDescent="0.3">
      <c r="B113" s="97" t="s">
        <v>24</v>
      </c>
      <c r="C113" s="98"/>
      <c r="D113" s="98"/>
      <c r="E113" s="98"/>
      <c r="F113" s="98"/>
      <c r="G113" s="99"/>
      <c r="H113" s="53"/>
      <c r="I113" s="39"/>
      <c r="J113" s="39"/>
      <c r="K113" s="39"/>
      <c r="L113" s="39"/>
      <c r="M113" s="39"/>
      <c r="N113" s="100">
        <v>127000</v>
      </c>
      <c r="O113" s="100"/>
      <c r="P113" s="100"/>
      <c r="Q113" s="100"/>
      <c r="R113" s="100"/>
      <c r="S113" s="100"/>
      <c r="T113" s="100"/>
      <c r="U113" s="100"/>
      <c r="V113" s="100"/>
      <c r="W113" s="100"/>
      <c r="X113" s="101" t="s">
        <v>25</v>
      </c>
      <c r="Y113" s="101"/>
      <c r="Z113" s="101"/>
      <c r="AA113" s="101"/>
      <c r="AB113" s="101"/>
      <c r="AC113" s="101"/>
      <c r="AD113" s="101"/>
      <c r="AE113" s="102" t="s">
        <v>48</v>
      </c>
      <c r="AF113" s="103"/>
      <c r="AG113" s="103"/>
      <c r="AH113" s="103"/>
      <c r="AI113" s="103"/>
      <c r="AJ113" s="103"/>
      <c r="AK113" s="103"/>
      <c r="AL113" s="103"/>
      <c r="AM113" s="103"/>
      <c r="AN113" s="103"/>
      <c r="AO113" s="103"/>
      <c r="AP113" s="103"/>
      <c r="AQ113" s="103"/>
      <c r="AR113" s="103"/>
      <c r="AS113" s="103"/>
      <c r="AT113" s="103"/>
      <c r="AU113" s="103"/>
      <c r="AV113" s="103"/>
      <c r="AW113" s="103"/>
      <c r="AX113" s="103"/>
      <c r="AY113" s="103"/>
      <c r="AZ113" s="103"/>
      <c r="BA113" s="49"/>
      <c r="BB113" s="49"/>
      <c r="BC113" s="50"/>
    </row>
    <row r="114" spans="2:55" x14ac:dyDescent="0.3">
      <c r="B114" s="97" t="s">
        <v>26</v>
      </c>
      <c r="C114" s="98"/>
      <c r="D114" s="98"/>
      <c r="E114" s="98"/>
      <c r="F114" s="98"/>
      <c r="G114" s="99"/>
      <c r="H114" s="53"/>
      <c r="I114" s="39"/>
      <c r="J114" s="39"/>
      <c r="K114" s="39"/>
      <c r="L114" s="39"/>
      <c r="M114" s="39"/>
      <c r="N114" s="100">
        <v>186217</v>
      </c>
      <c r="O114" s="100"/>
      <c r="P114" s="100"/>
      <c r="Q114" s="100"/>
      <c r="R114" s="100"/>
      <c r="S114" s="100"/>
      <c r="T114" s="100"/>
      <c r="U114" s="100"/>
      <c r="V114" s="100"/>
      <c r="W114" s="100"/>
      <c r="X114" s="101" t="s">
        <v>25</v>
      </c>
      <c r="Y114" s="101"/>
      <c r="Z114" s="101"/>
      <c r="AA114" s="101"/>
      <c r="AB114" s="101"/>
      <c r="AC114" s="101"/>
      <c r="AD114" s="101"/>
      <c r="AE114" s="102" t="s">
        <v>47</v>
      </c>
      <c r="AF114" s="103"/>
      <c r="AG114" s="103"/>
      <c r="AH114" s="103"/>
      <c r="AI114" s="103"/>
      <c r="AJ114" s="103"/>
      <c r="AK114" s="103"/>
      <c r="AL114" s="103"/>
      <c r="AM114" s="103"/>
      <c r="AN114" s="103"/>
      <c r="AO114" s="103"/>
      <c r="AP114" s="103"/>
      <c r="AQ114" s="103"/>
      <c r="AR114" s="103"/>
      <c r="AS114" s="103"/>
      <c r="AT114" s="103"/>
      <c r="AU114" s="103"/>
      <c r="AV114" s="103"/>
      <c r="AW114" s="103"/>
      <c r="AX114" s="103"/>
      <c r="AY114" s="103"/>
      <c r="AZ114" s="103"/>
      <c r="BA114" s="49"/>
      <c r="BB114" s="49"/>
      <c r="BC114" s="50"/>
    </row>
    <row r="115" spans="2:55" x14ac:dyDescent="0.3">
      <c r="B115" s="97" t="s">
        <v>27</v>
      </c>
      <c r="C115" s="98"/>
      <c r="D115" s="98"/>
      <c r="E115" s="98"/>
      <c r="F115" s="98"/>
      <c r="G115" s="99"/>
      <c r="H115" s="53"/>
      <c r="I115" s="39"/>
      <c r="J115" s="39"/>
      <c r="K115" s="39"/>
      <c r="L115" s="39"/>
      <c r="M115" s="39"/>
      <c r="N115" s="100" t="s">
        <v>25</v>
      </c>
      <c r="O115" s="100"/>
      <c r="P115" s="100"/>
      <c r="Q115" s="100"/>
      <c r="R115" s="100"/>
      <c r="S115" s="100"/>
      <c r="T115" s="100"/>
      <c r="U115" s="100"/>
      <c r="V115" s="100"/>
      <c r="W115" s="100"/>
      <c r="X115" s="101"/>
      <c r="Y115" s="101"/>
      <c r="Z115" s="101"/>
      <c r="AA115" s="101"/>
      <c r="AB115" s="101"/>
      <c r="AC115" s="101"/>
      <c r="AD115" s="101"/>
      <c r="AE115" s="102" t="s">
        <v>28</v>
      </c>
      <c r="AF115" s="103"/>
      <c r="AG115" s="103"/>
      <c r="AH115" s="103"/>
      <c r="AI115" s="103"/>
      <c r="AJ115" s="103"/>
      <c r="AK115" s="103"/>
      <c r="AL115" s="103"/>
      <c r="AM115" s="103"/>
      <c r="AN115" s="103"/>
      <c r="AO115" s="103"/>
      <c r="AP115" s="103"/>
      <c r="AQ115" s="103"/>
      <c r="AR115" s="103"/>
      <c r="AS115" s="103"/>
      <c r="AT115" s="103"/>
      <c r="AU115" s="103"/>
      <c r="AV115" s="103"/>
      <c r="AW115" s="103"/>
      <c r="AX115" s="103"/>
      <c r="AY115" s="103"/>
      <c r="AZ115" s="103"/>
      <c r="BA115" s="49"/>
      <c r="BB115" s="49"/>
      <c r="BC115" s="50"/>
    </row>
    <row r="116" spans="2:55" x14ac:dyDescent="0.3">
      <c r="B116" s="64" t="s">
        <v>29</v>
      </c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105">
        <f>SUM(N110:W115)</f>
        <v>1212863</v>
      </c>
      <c r="O116" s="106"/>
      <c r="P116" s="106"/>
      <c r="Q116" s="106"/>
      <c r="R116" s="106"/>
      <c r="S116" s="106"/>
      <c r="T116" s="106"/>
      <c r="U116" s="106"/>
      <c r="V116" s="106"/>
      <c r="W116" s="107"/>
      <c r="X116" s="108"/>
      <c r="Y116" s="108"/>
      <c r="Z116" s="108"/>
      <c r="AA116" s="108"/>
      <c r="AB116" s="108"/>
      <c r="AC116" s="108"/>
      <c r="AD116" s="108"/>
      <c r="AE116" s="109"/>
      <c r="AF116" s="110"/>
      <c r="AG116" s="110"/>
      <c r="AH116" s="110"/>
      <c r="AI116" s="110"/>
      <c r="AJ116" s="110"/>
      <c r="AK116" s="110"/>
      <c r="AL116" s="110"/>
      <c r="AM116" s="110"/>
      <c r="AN116" s="110"/>
      <c r="AO116" s="110"/>
      <c r="AP116" s="110"/>
      <c r="AQ116" s="110"/>
      <c r="AR116" s="110"/>
      <c r="AS116" s="110"/>
      <c r="AT116" s="110"/>
      <c r="AU116" s="110"/>
      <c r="AV116" s="110"/>
      <c r="AW116" s="110"/>
      <c r="AX116" s="110"/>
      <c r="AY116" s="110"/>
      <c r="AZ116" s="110"/>
      <c r="BA116" s="77"/>
      <c r="BB116" s="77"/>
      <c r="BC116" s="78"/>
    </row>
    <row r="117" spans="2:55" x14ac:dyDescent="0.3">
      <c r="B117" s="79"/>
      <c r="C117" s="80"/>
      <c r="D117" s="80"/>
      <c r="E117" s="80"/>
      <c r="F117" s="80"/>
      <c r="G117" s="80"/>
      <c r="H117" s="81"/>
      <c r="I117" s="82"/>
      <c r="J117" s="82"/>
      <c r="K117" s="82"/>
      <c r="L117" s="82"/>
      <c r="M117" s="83"/>
      <c r="N117" s="81"/>
      <c r="O117" s="82"/>
      <c r="P117" s="82"/>
      <c r="Q117" s="82"/>
      <c r="R117" s="82"/>
      <c r="S117" s="82"/>
      <c r="T117" s="82"/>
      <c r="U117" s="82"/>
      <c r="V117" s="82"/>
      <c r="W117" s="83"/>
      <c r="X117" s="81"/>
      <c r="Y117" s="82"/>
      <c r="Z117" s="82"/>
      <c r="AA117" s="82"/>
      <c r="AB117" s="82"/>
      <c r="AC117" s="82"/>
      <c r="AD117" s="83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  <c r="AQ117" s="84"/>
      <c r="AR117" s="84"/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5"/>
    </row>
    <row r="118" spans="2:55" ht="17.649999999999999" x14ac:dyDescent="0.3">
      <c r="B118" s="111" t="s">
        <v>30</v>
      </c>
      <c r="C118" s="112"/>
      <c r="D118" s="112"/>
      <c r="E118" s="112"/>
      <c r="F118" s="112"/>
      <c r="G118" s="112"/>
      <c r="H118" s="113" t="s">
        <v>25</v>
      </c>
      <c r="I118" s="114"/>
      <c r="J118" s="114"/>
      <c r="K118" s="114"/>
      <c r="L118" s="114"/>
      <c r="M118" s="115"/>
      <c r="N118" s="113"/>
      <c r="O118" s="114"/>
      <c r="P118" s="114"/>
      <c r="Q118" s="114"/>
      <c r="R118" s="114"/>
      <c r="S118" s="114"/>
      <c r="T118" s="114"/>
      <c r="U118" s="114"/>
      <c r="V118" s="114"/>
      <c r="W118" s="115"/>
      <c r="X118" s="113"/>
      <c r="Y118" s="114"/>
      <c r="Z118" s="114"/>
      <c r="AA118" s="114"/>
      <c r="AB118" s="114"/>
      <c r="AC118" s="114"/>
      <c r="AD118" s="115"/>
      <c r="AE118" s="116"/>
      <c r="AF118" s="116"/>
      <c r="AG118" s="116"/>
      <c r="AH118" s="116"/>
      <c r="AI118" s="116"/>
      <c r="AJ118" s="116"/>
      <c r="AK118" s="116"/>
      <c r="AL118" s="116"/>
      <c r="AM118" s="116"/>
      <c r="AN118" s="116"/>
      <c r="AO118" s="116"/>
      <c r="AP118" s="116"/>
      <c r="AQ118" s="116"/>
      <c r="AR118" s="116"/>
      <c r="AS118" s="116"/>
      <c r="AT118" s="116"/>
      <c r="AU118" s="116"/>
      <c r="AV118" s="116"/>
      <c r="AW118" s="116"/>
      <c r="AX118" s="116"/>
      <c r="AY118" s="116"/>
      <c r="AZ118" s="116"/>
      <c r="BA118" s="116"/>
      <c r="BB118" s="116"/>
      <c r="BC118" s="117"/>
    </row>
    <row r="119" spans="2:55" x14ac:dyDescent="0.3">
      <c r="B119" s="118" t="s">
        <v>31</v>
      </c>
      <c r="C119" s="96"/>
      <c r="D119" s="96"/>
      <c r="E119" s="96"/>
      <c r="F119" s="96"/>
      <c r="G119" s="96"/>
      <c r="H119" s="96" t="s">
        <v>32</v>
      </c>
      <c r="I119" s="96"/>
      <c r="J119" s="96"/>
      <c r="K119" s="96"/>
      <c r="L119" s="96"/>
      <c r="M119" s="96"/>
      <c r="N119" s="96" t="s">
        <v>33</v>
      </c>
      <c r="O119" s="96"/>
      <c r="P119" s="96"/>
      <c r="Q119" s="96"/>
      <c r="R119" s="96"/>
      <c r="S119" s="96"/>
      <c r="T119" s="96"/>
      <c r="U119" s="96"/>
      <c r="V119" s="96"/>
      <c r="W119" s="96"/>
      <c r="X119" s="96" t="s">
        <v>17</v>
      </c>
      <c r="Y119" s="96"/>
      <c r="Z119" s="96"/>
      <c r="AA119" s="96"/>
      <c r="AB119" s="96"/>
      <c r="AC119" s="96"/>
      <c r="AD119" s="96"/>
      <c r="AE119" s="119" t="s">
        <v>18</v>
      </c>
      <c r="AF119" s="120"/>
      <c r="AG119" s="120"/>
      <c r="AH119" s="120"/>
      <c r="AI119" s="120"/>
      <c r="AJ119" s="120"/>
      <c r="AK119" s="120"/>
      <c r="AL119" s="120"/>
      <c r="AM119" s="120"/>
      <c r="AN119" s="120"/>
      <c r="AO119" s="120"/>
      <c r="AP119" s="120"/>
      <c r="AQ119" s="120"/>
      <c r="AR119" s="120"/>
      <c r="AS119" s="120"/>
      <c r="AT119" s="120"/>
      <c r="AU119" s="120"/>
      <c r="AV119" s="120"/>
      <c r="AW119" s="120"/>
      <c r="AX119" s="120"/>
      <c r="AY119" s="120"/>
      <c r="AZ119" s="120"/>
      <c r="BA119" s="120"/>
      <c r="BB119" s="120"/>
      <c r="BC119" s="121"/>
    </row>
    <row r="120" spans="2:55" x14ac:dyDescent="0.3">
      <c r="B120" s="122" t="s">
        <v>34</v>
      </c>
      <c r="C120" s="123"/>
      <c r="D120" s="123"/>
      <c r="E120" s="123"/>
      <c r="F120" s="123"/>
      <c r="G120" s="123"/>
      <c r="H120" s="124">
        <f>AE106+N116</f>
        <v>62425840.490000002</v>
      </c>
      <c r="I120" s="124"/>
      <c r="J120" s="124"/>
      <c r="K120" s="124"/>
      <c r="L120" s="124"/>
      <c r="M120" s="124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95" t="s">
        <v>49</v>
      </c>
      <c r="AF120" s="196"/>
      <c r="AG120" s="196"/>
      <c r="AH120" s="196"/>
      <c r="AI120" s="196"/>
      <c r="AJ120" s="196"/>
      <c r="AK120" s="196"/>
      <c r="AL120" s="196"/>
      <c r="AM120" s="196"/>
      <c r="AN120" s="196"/>
      <c r="AO120" s="196"/>
      <c r="AP120" s="196"/>
      <c r="AQ120" s="196"/>
      <c r="AR120" s="196"/>
      <c r="AS120" s="196"/>
      <c r="AT120" s="196"/>
      <c r="AU120" s="196"/>
      <c r="AV120" s="196"/>
      <c r="AW120" s="196"/>
      <c r="AX120" s="196"/>
      <c r="AY120" s="196"/>
      <c r="AZ120" s="196"/>
      <c r="BA120" s="196"/>
      <c r="BB120" s="196"/>
      <c r="BC120" s="197"/>
    </row>
    <row r="121" spans="2:55" x14ac:dyDescent="0.3">
      <c r="B121" s="79"/>
      <c r="C121" s="80"/>
      <c r="D121" s="80"/>
      <c r="E121" s="80"/>
      <c r="F121" s="80"/>
      <c r="G121" s="80"/>
      <c r="H121" s="81"/>
      <c r="I121" s="82"/>
      <c r="J121" s="82"/>
      <c r="K121" s="82"/>
      <c r="L121" s="82"/>
      <c r="M121" s="83"/>
      <c r="N121" s="81"/>
      <c r="O121" s="82"/>
      <c r="P121" s="82"/>
      <c r="Q121" s="82"/>
      <c r="R121" s="82"/>
      <c r="S121" s="82"/>
      <c r="T121" s="82"/>
      <c r="U121" s="82"/>
      <c r="V121" s="82"/>
      <c r="W121" s="83"/>
      <c r="X121" s="81"/>
      <c r="Y121" s="82"/>
      <c r="Z121" s="82"/>
      <c r="AA121" s="82"/>
      <c r="AB121" s="82"/>
      <c r="AC121" s="82"/>
      <c r="AD121" s="83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4"/>
      <c r="AR121" s="84"/>
      <c r="AS121" s="84"/>
      <c r="AT121" s="84"/>
      <c r="AU121" s="84"/>
      <c r="AV121" s="84"/>
      <c r="AW121" s="84"/>
      <c r="AX121" s="84"/>
      <c r="AY121" s="84"/>
      <c r="AZ121" s="84"/>
      <c r="BA121" s="84"/>
      <c r="BB121" s="84"/>
      <c r="BC121" s="85"/>
    </row>
    <row r="122" spans="2:55" ht="17.649999999999999" x14ac:dyDescent="0.3">
      <c r="B122" s="111" t="s">
        <v>35</v>
      </c>
      <c r="C122" s="112"/>
      <c r="D122" s="112"/>
      <c r="E122" s="112"/>
      <c r="F122" s="112"/>
      <c r="G122" s="112"/>
      <c r="H122" s="113" t="s">
        <v>25</v>
      </c>
      <c r="I122" s="114"/>
      <c r="J122" s="114"/>
      <c r="K122" s="114"/>
      <c r="L122" s="114"/>
      <c r="M122" s="115"/>
      <c r="N122" s="113"/>
      <c r="O122" s="114"/>
      <c r="P122" s="114"/>
      <c r="Q122" s="114"/>
      <c r="R122" s="114"/>
      <c r="S122" s="114"/>
      <c r="T122" s="114"/>
      <c r="U122" s="114"/>
      <c r="V122" s="114"/>
      <c r="W122" s="115"/>
      <c r="X122" s="113"/>
      <c r="Y122" s="114"/>
      <c r="Z122" s="114"/>
      <c r="AA122" s="114"/>
      <c r="AB122" s="114"/>
      <c r="AC122" s="114"/>
      <c r="AD122" s="115"/>
      <c r="AE122" s="129"/>
      <c r="AF122" s="129"/>
      <c r="AG122" s="129"/>
      <c r="AH122" s="129"/>
      <c r="AI122" s="129"/>
      <c r="AJ122" s="129"/>
      <c r="AK122" s="129"/>
      <c r="AL122" s="129"/>
      <c r="AM122" s="129"/>
      <c r="AN122" s="129"/>
      <c r="AO122" s="129"/>
      <c r="AP122" s="129"/>
      <c r="AQ122" s="129"/>
      <c r="AR122" s="129"/>
      <c r="AS122" s="129"/>
      <c r="AT122" s="129"/>
      <c r="AU122" s="129"/>
      <c r="AV122" s="129"/>
      <c r="AW122" s="129"/>
      <c r="AX122" s="129"/>
      <c r="AY122" s="129"/>
      <c r="AZ122" s="129"/>
      <c r="BA122" s="129"/>
      <c r="BB122" s="129"/>
      <c r="BC122" s="130"/>
    </row>
    <row r="123" spans="2:55" x14ac:dyDescent="0.3">
      <c r="B123" s="131" t="s">
        <v>31</v>
      </c>
      <c r="C123" s="132"/>
      <c r="D123" s="132"/>
      <c r="E123" s="132"/>
      <c r="F123" s="132"/>
      <c r="G123" s="132"/>
      <c r="H123" s="132"/>
      <c r="I123" s="132"/>
      <c r="J123" s="132"/>
      <c r="K123" s="132"/>
      <c r="L123" s="132"/>
      <c r="M123" s="132"/>
      <c r="N123" s="132"/>
      <c r="O123" s="132"/>
      <c r="P123" s="132"/>
      <c r="Q123" s="132"/>
      <c r="R123" s="132"/>
      <c r="S123" s="132"/>
      <c r="T123" s="132"/>
      <c r="U123" s="132"/>
      <c r="V123" s="132"/>
      <c r="W123" s="133"/>
      <c r="X123" s="96" t="s">
        <v>36</v>
      </c>
      <c r="Y123" s="96"/>
      <c r="Z123" s="96"/>
      <c r="AA123" s="96"/>
      <c r="AB123" s="96"/>
      <c r="AC123" s="96"/>
      <c r="AD123" s="96"/>
      <c r="AE123" s="134" t="s">
        <v>37</v>
      </c>
      <c r="AF123" s="132"/>
      <c r="AG123" s="132"/>
      <c r="AH123" s="132"/>
      <c r="AI123" s="132" t="s">
        <v>50</v>
      </c>
      <c r="AJ123" s="132"/>
      <c r="AK123" s="133"/>
      <c r="AL123" s="134" t="s">
        <v>39</v>
      </c>
      <c r="AM123" s="132"/>
      <c r="AN123" s="132"/>
      <c r="AO123" s="132" t="str">
        <f>AI123</f>
        <v>(USD)</v>
      </c>
      <c r="AP123" s="132"/>
      <c r="AQ123" s="133"/>
      <c r="AR123" s="134" t="s">
        <v>40</v>
      </c>
      <c r="AS123" s="132"/>
      <c r="AT123" s="132"/>
      <c r="AU123" s="132"/>
      <c r="AV123" s="132"/>
      <c r="AW123" s="135"/>
      <c r="AX123" s="131" t="s">
        <v>41</v>
      </c>
      <c r="AY123" s="132"/>
      <c r="AZ123" s="132"/>
      <c r="BA123" s="132"/>
      <c r="BB123" s="132"/>
      <c r="BC123" s="135"/>
    </row>
    <row r="124" spans="2:55" x14ac:dyDescent="0.3">
      <c r="B124" s="136" t="s">
        <v>51</v>
      </c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8">
        <v>1</v>
      </c>
      <c r="Y124" s="138"/>
      <c r="Z124" s="138"/>
      <c r="AA124" s="138"/>
      <c r="AB124" s="138"/>
      <c r="AC124" s="138"/>
      <c r="AD124" s="138"/>
      <c r="AE124" s="139">
        <v>7610.1</v>
      </c>
      <c r="AF124" s="139"/>
      <c r="AG124" s="139"/>
      <c r="AH124" s="139"/>
      <c r="AI124" s="139"/>
      <c r="AJ124" s="139"/>
      <c r="AK124" s="139"/>
      <c r="AL124" s="140">
        <f>X124*AE124</f>
        <v>7610.1</v>
      </c>
      <c r="AM124" s="140"/>
      <c r="AN124" s="140"/>
      <c r="AO124" s="140"/>
      <c r="AP124" s="140"/>
      <c r="AQ124" s="140"/>
      <c r="AR124" s="141">
        <f>AX124/X124</f>
        <v>11136094.118695198</v>
      </c>
      <c r="AS124" s="141"/>
      <c r="AT124" s="141"/>
      <c r="AU124" s="141"/>
      <c r="AV124" s="141"/>
      <c r="AW124" s="141"/>
      <c r="AX124" s="141">
        <f>AL124/AL135*H120</f>
        <v>11136094.118695198</v>
      </c>
      <c r="AY124" s="141"/>
      <c r="AZ124" s="141"/>
      <c r="BA124" s="141"/>
      <c r="BB124" s="141"/>
      <c r="BC124" s="142"/>
    </row>
    <row r="125" spans="2:55" x14ac:dyDescent="0.3">
      <c r="B125" s="143" t="s">
        <v>52</v>
      </c>
      <c r="C125" s="144"/>
      <c r="D125" s="144"/>
      <c r="E125" s="144"/>
      <c r="F125" s="144"/>
      <c r="G125" s="144"/>
      <c r="H125" s="144"/>
      <c r="I125" s="144"/>
      <c r="J125" s="144"/>
      <c r="K125" s="144"/>
      <c r="L125" s="144"/>
      <c r="M125" s="144"/>
      <c r="N125" s="144"/>
      <c r="O125" s="144"/>
      <c r="P125" s="144"/>
      <c r="Q125" s="144"/>
      <c r="R125" s="144"/>
      <c r="S125" s="144"/>
      <c r="T125" s="144"/>
      <c r="U125" s="144"/>
      <c r="V125" s="144"/>
      <c r="W125" s="144"/>
      <c r="X125" s="145">
        <v>20</v>
      </c>
      <c r="Y125" s="145"/>
      <c r="Z125" s="145"/>
      <c r="AA125" s="145"/>
      <c r="AB125" s="145"/>
      <c r="AC125" s="145"/>
      <c r="AD125" s="145"/>
      <c r="AE125" s="146">
        <v>1752.5</v>
      </c>
      <c r="AF125" s="146"/>
      <c r="AG125" s="146"/>
      <c r="AH125" s="146"/>
      <c r="AI125" s="146"/>
      <c r="AJ125" s="146"/>
      <c r="AK125" s="146"/>
      <c r="AL125" s="140">
        <f>X125*AE125</f>
        <v>35050</v>
      </c>
      <c r="AM125" s="140"/>
      <c r="AN125" s="140"/>
      <c r="AO125" s="140"/>
      <c r="AP125" s="140"/>
      <c r="AQ125" s="140"/>
      <c r="AR125" s="141">
        <f>AX125/X125</f>
        <v>2564487.3185652401</v>
      </c>
      <c r="AS125" s="141"/>
      <c r="AT125" s="141"/>
      <c r="AU125" s="141"/>
      <c r="AV125" s="141"/>
      <c r="AW125" s="141"/>
      <c r="AX125" s="141">
        <f>AL125/AL135*H120</f>
        <v>51289746.371304803</v>
      </c>
      <c r="AY125" s="141"/>
      <c r="AZ125" s="141"/>
      <c r="BA125" s="141"/>
      <c r="BB125" s="141"/>
      <c r="BC125" s="142"/>
    </row>
    <row r="126" spans="2:55" x14ac:dyDescent="0.3">
      <c r="B126" s="143"/>
      <c r="C126" s="144"/>
      <c r="D126" s="144"/>
      <c r="E126" s="144"/>
      <c r="F126" s="144"/>
      <c r="G126" s="144"/>
      <c r="H126" s="144"/>
      <c r="I126" s="144"/>
      <c r="J126" s="144"/>
      <c r="K126" s="144"/>
      <c r="L126" s="144"/>
      <c r="M126" s="144"/>
      <c r="N126" s="144"/>
      <c r="O126" s="144"/>
      <c r="P126" s="144"/>
      <c r="Q126" s="144"/>
      <c r="R126" s="144"/>
      <c r="S126" s="144"/>
      <c r="T126" s="144"/>
      <c r="U126" s="144"/>
      <c r="V126" s="144"/>
      <c r="W126" s="144"/>
      <c r="X126" s="145"/>
      <c r="Y126" s="145"/>
      <c r="Z126" s="145"/>
      <c r="AA126" s="145"/>
      <c r="AB126" s="145"/>
      <c r="AC126" s="145"/>
      <c r="AD126" s="145"/>
      <c r="AE126" s="148"/>
      <c r="AF126" s="148"/>
      <c r="AG126" s="148"/>
      <c r="AH126" s="148"/>
      <c r="AI126" s="148"/>
      <c r="AJ126" s="148"/>
      <c r="AK126" s="148"/>
      <c r="AL126" s="140"/>
      <c r="AM126" s="140"/>
      <c r="AN126" s="140"/>
      <c r="AO126" s="140"/>
      <c r="AP126" s="140"/>
      <c r="AQ126" s="140"/>
      <c r="AR126" s="141"/>
      <c r="AS126" s="141"/>
      <c r="AT126" s="141"/>
      <c r="AU126" s="141"/>
      <c r="AV126" s="141"/>
      <c r="AW126" s="141"/>
      <c r="AX126" s="141"/>
      <c r="AY126" s="141"/>
      <c r="AZ126" s="141"/>
      <c r="BA126" s="141"/>
      <c r="BB126" s="141"/>
      <c r="BC126" s="142"/>
    </row>
    <row r="127" spans="2:55" x14ac:dyDescent="0.3">
      <c r="B127" s="143"/>
      <c r="C127" s="144"/>
      <c r="D127" s="144"/>
      <c r="E127" s="144"/>
      <c r="F127" s="144"/>
      <c r="G127" s="144"/>
      <c r="H127" s="144"/>
      <c r="I127" s="144"/>
      <c r="J127" s="144"/>
      <c r="K127" s="144"/>
      <c r="L127" s="144"/>
      <c r="M127" s="144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  <c r="X127" s="145"/>
      <c r="Y127" s="145"/>
      <c r="Z127" s="145"/>
      <c r="AA127" s="145"/>
      <c r="AB127" s="145"/>
      <c r="AC127" s="145"/>
      <c r="AD127" s="145"/>
      <c r="AE127" s="148"/>
      <c r="AF127" s="148"/>
      <c r="AG127" s="148"/>
      <c r="AH127" s="148"/>
      <c r="AI127" s="148"/>
      <c r="AJ127" s="148"/>
      <c r="AK127" s="148"/>
      <c r="AL127" s="140"/>
      <c r="AM127" s="140"/>
      <c r="AN127" s="140"/>
      <c r="AO127" s="140"/>
      <c r="AP127" s="140"/>
      <c r="AQ127" s="140"/>
      <c r="AR127" s="141"/>
      <c r="AS127" s="141"/>
      <c r="AT127" s="141"/>
      <c r="AU127" s="141"/>
      <c r="AV127" s="141"/>
      <c r="AW127" s="141"/>
      <c r="AX127" s="141"/>
      <c r="AY127" s="141"/>
      <c r="AZ127" s="141"/>
      <c r="BA127" s="141"/>
      <c r="BB127" s="141"/>
      <c r="BC127" s="142"/>
    </row>
    <row r="128" spans="2:55" x14ac:dyDescent="0.3">
      <c r="B128" s="143"/>
      <c r="C128" s="144"/>
      <c r="D128" s="144"/>
      <c r="E128" s="144"/>
      <c r="F128" s="144"/>
      <c r="G128" s="144"/>
      <c r="H128" s="144"/>
      <c r="I128" s="144"/>
      <c r="J128" s="144"/>
      <c r="K128" s="144"/>
      <c r="L128" s="144"/>
      <c r="M128" s="144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  <c r="X128" s="39"/>
      <c r="Y128" s="39"/>
      <c r="Z128" s="39"/>
      <c r="AA128" s="39"/>
      <c r="AB128" s="39"/>
      <c r="AC128" s="39"/>
      <c r="AD128" s="39"/>
      <c r="AE128" s="149"/>
      <c r="AF128" s="149"/>
      <c r="AG128" s="149"/>
      <c r="AH128" s="149"/>
      <c r="AI128" s="149"/>
      <c r="AJ128" s="149"/>
      <c r="AK128" s="149"/>
      <c r="AL128" s="140"/>
      <c r="AM128" s="140"/>
      <c r="AN128" s="140"/>
      <c r="AO128" s="140"/>
      <c r="AP128" s="140"/>
      <c r="AQ128" s="140"/>
      <c r="AR128" s="141"/>
      <c r="AS128" s="141"/>
      <c r="AT128" s="141"/>
      <c r="AU128" s="141"/>
      <c r="AV128" s="141"/>
      <c r="AW128" s="141"/>
      <c r="AX128" s="141"/>
      <c r="AY128" s="141"/>
      <c r="AZ128" s="141"/>
      <c r="BA128" s="141"/>
      <c r="BB128" s="141"/>
      <c r="BC128" s="142"/>
    </row>
    <row r="129" spans="2:55" x14ac:dyDescent="0.3">
      <c r="B129" s="143"/>
      <c r="C129" s="144"/>
      <c r="D129" s="144"/>
      <c r="E129" s="144"/>
      <c r="F129" s="144"/>
      <c r="G129" s="144"/>
      <c r="H129" s="144"/>
      <c r="I129" s="144"/>
      <c r="J129" s="144"/>
      <c r="K129" s="144"/>
      <c r="L129" s="144"/>
      <c r="M129" s="144"/>
      <c r="N129" s="144"/>
      <c r="O129" s="144"/>
      <c r="P129" s="144"/>
      <c r="Q129" s="144"/>
      <c r="R129" s="144"/>
      <c r="S129" s="144"/>
      <c r="T129" s="144"/>
      <c r="U129" s="144"/>
      <c r="V129" s="144"/>
      <c r="W129" s="144"/>
      <c r="X129" s="39"/>
      <c r="Y129" s="39"/>
      <c r="Z129" s="39"/>
      <c r="AA129" s="39"/>
      <c r="AB129" s="39"/>
      <c r="AC129" s="39"/>
      <c r="AD129" s="39"/>
      <c r="AE129" s="149"/>
      <c r="AF129" s="149"/>
      <c r="AG129" s="149"/>
      <c r="AH129" s="149"/>
      <c r="AI129" s="149"/>
      <c r="AJ129" s="149"/>
      <c r="AK129" s="149"/>
      <c r="AL129" s="140"/>
      <c r="AM129" s="140"/>
      <c r="AN129" s="140"/>
      <c r="AO129" s="140"/>
      <c r="AP129" s="140"/>
      <c r="AQ129" s="140"/>
      <c r="AR129" s="141"/>
      <c r="AS129" s="141"/>
      <c r="AT129" s="141"/>
      <c r="AU129" s="141"/>
      <c r="AV129" s="141"/>
      <c r="AW129" s="141"/>
      <c r="AX129" s="152"/>
      <c r="AY129" s="141"/>
      <c r="AZ129" s="141"/>
      <c r="BA129" s="141"/>
      <c r="BB129" s="141"/>
      <c r="BC129" s="142"/>
    </row>
    <row r="130" spans="2:55" x14ac:dyDescent="0.3">
      <c r="B130" s="143" t="s">
        <v>25</v>
      </c>
      <c r="C130" s="144"/>
      <c r="D130" s="144"/>
      <c r="E130" s="144"/>
      <c r="F130" s="144"/>
      <c r="G130" s="144"/>
      <c r="H130" s="144"/>
      <c r="I130" s="144"/>
      <c r="J130" s="144"/>
      <c r="K130" s="144"/>
      <c r="L130" s="144"/>
      <c r="M130" s="144"/>
      <c r="N130" s="144"/>
      <c r="O130" s="144"/>
      <c r="P130" s="144"/>
      <c r="Q130" s="144"/>
      <c r="R130" s="144"/>
      <c r="S130" s="144"/>
      <c r="T130" s="144"/>
      <c r="U130" s="144"/>
      <c r="V130" s="144"/>
      <c r="W130" s="144"/>
      <c r="X130" s="39"/>
      <c r="Y130" s="39"/>
      <c r="Z130" s="39"/>
      <c r="AA130" s="39"/>
      <c r="AB130" s="39"/>
      <c r="AC130" s="39"/>
      <c r="AD130" s="39"/>
      <c r="AE130" s="149"/>
      <c r="AF130" s="149"/>
      <c r="AG130" s="149"/>
      <c r="AH130" s="149"/>
      <c r="AI130" s="149"/>
      <c r="AJ130" s="149"/>
      <c r="AK130" s="149"/>
      <c r="AL130" s="140"/>
      <c r="AM130" s="140"/>
      <c r="AN130" s="140"/>
      <c r="AO130" s="140"/>
      <c r="AP130" s="140"/>
      <c r="AQ130" s="140"/>
      <c r="AR130" s="141"/>
      <c r="AS130" s="141"/>
      <c r="AT130" s="141"/>
      <c r="AU130" s="141"/>
      <c r="AV130" s="141"/>
      <c r="AW130" s="141"/>
      <c r="AX130" s="152"/>
      <c r="AY130" s="141"/>
      <c r="AZ130" s="141"/>
      <c r="BA130" s="141"/>
      <c r="BB130" s="141"/>
      <c r="BC130" s="142"/>
    </row>
    <row r="131" spans="2:55" x14ac:dyDescent="0.3">
      <c r="B131" s="143" t="s">
        <v>25</v>
      </c>
      <c r="C131" s="144"/>
      <c r="D131" s="144"/>
      <c r="E131" s="144"/>
      <c r="F131" s="144"/>
      <c r="G131" s="144"/>
      <c r="H131" s="144"/>
      <c r="I131" s="144"/>
      <c r="J131" s="144"/>
      <c r="K131" s="144"/>
      <c r="L131" s="144"/>
      <c r="M131" s="144"/>
      <c r="N131" s="144"/>
      <c r="O131" s="144"/>
      <c r="P131" s="144"/>
      <c r="Q131" s="144"/>
      <c r="R131" s="144"/>
      <c r="S131" s="144"/>
      <c r="T131" s="144"/>
      <c r="U131" s="144"/>
      <c r="V131" s="144"/>
      <c r="W131" s="144"/>
      <c r="X131" s="39"/>
      <c r="Y131" s="39"/>
      <c r="Z131" s="39"/>
      <c r="AA131" s="39"/>
      <c r="AB131" s="39"/>
      <c r="AC131" s="39"/>
      <c r="AD131" s="39"/>
      <c r="AE131" s="149"/>
      <c r="AF131" s="149"/>
      <c r="AG131" s="149"/>
      <c r="AH131" s="149"/>
      <c r="AI131" s="149"/>
      <c r="AJ131" s="149"/>
      <c r="AK131" s="149"/>
      <c r="AL131" s="140"/>
      <c r="AM131" s="140"/>
      <c r="AN131" s="140"/>
      <c r="AO131" s="140"/>
      <c r="AP131" s="140"/>
      <c r="AQ131" s="140"/>
      <c r="AR131" s="141"/>
      <c r="AS131" s="141"/>
      <c r="AT131" s="141"/>
      <c r="AU131" s="141"/>
      <c r="AV131" s="141"/>
      <c r="AW131" s="141"/>
      <c r="AX131" s="152"/>
      <c r="AY131" s="141"/>
      <c r="AZ131" s="141"/>
      <c r="BA131" s="141"/>
      <c r="BB131" s="141"/>
      <c r="BC131" s="142"/>
    </row>
    <row r="132" spans="2:55" x14ac:dyDescent="0.3">
      <c r="B132" s="143"/>
      <c r="C132" s="144"/>
      <c r="D132" s="144"/>
      <c r="E132" s="144"/>
      <c r="F132" s="144"/>
      <c r="G132" s="144"/>
      <c r="H132" s="144"/>
      <c r="I132" s="144"/>
      <c r="J132" s="144"/>
      <c r="K132" s="144"/>
      <c r="L132" s="144"/>
      <c r="M132" s="144"/>
      <c r="N132" s="144"/>
      <c r="O132" s="144"/>
      <c r="P132" s="144"/>
      <c r="Q132" s="144"/>
      <c r="R132" s="144"/>
      <c r="S132" s="144"/>
      <c r="T132" s="144"/>
      <c r="U132" s="144"/>
      <c r="V132" s="144"/>
      <c r="W132" s="144"/>
      <c r="X132" s="39"/>
      <c r="Y132" s="39"/>
      <c r="Z132" s="39"/>
      <c r="AA132" s="39"/>
      <c r="AB132" s="39"/>
      <c r="AC132" s="39"/>
      <c r="AD132" s="39"/>
      <c r="AE132" s="149"/>
      <c r="AF132" s="149"/>
      <c r="AG132" s="149"/>
      <c r="AH132" s="149"/>
      <c r="AI132" s="149"/>
      <c r="AJ132" s="149"/>
      <c r="AK132" s="149"/>
      <c r="AL132" s="140"/>
      <c r="AM132" s="140"/>
      <c r="AN132" s="140"/>
      <c r="AO132" s="140"/>
      <c r="AP132" s="140"/>
      <c r="AQ132" s="140"/>
      <c r="AR132" s="141"/>
      <c r="AS132" s="141"/>
      <c r="AT132" s="141"/>
      <c r="AU132" s="141"/>
      <c r="AV132" s="141"/>
      <c r="AW132" s="141"/>
      <c r="AX132" s="152"/>
      <c r="AY132" s="141"/>
      <c r="AZ132" s="141"/>
      <c r="BA132" s="141"/>
      <c r="BB132" s="141"/>
      <c r="BC132" s="142"/>
    </row>
    <row r="133" spans="2:55" x14ac:dyDescent="0.3">
      <c r="B133" s="143"/>
      <c r="C133" s="144"/>
      <c r="D133" s="144"/>
      <c r="E133" s="144"/>
      <c r="F133" s="144"/>
      <c r="G133" s="144"/>
      <c r="H133" s="144"/>
      <c r="I133" s="144"/>
      <c r="J133" s="144"/>
      <c r="K133" s="144"/>
      <c r="L133" s="144"/>
      <c r="M133" s="144"/>
      <c r="N133" s="144"/>
      <c r="O133" s="144"/>
      <c r="P133" s="144"/>
      <c r="Q133" s="144"/>
      <c r="R133" s="144"/>
      <c r="S133" s="144"/>
      <c r="T133" s="144"/>
      <c r="U133" s="144"/>
      <c r="V133" s="144"/>
      <c r="W133" s="144"/>
      <c r="X133" s="39"/>
      <c r="Y133" s="39"/>
      <c r="Z133" s="39"/>
      <c r="AA133" s="39"/>
      <c r="AB133" s="39"/>
      <c r="AC133" s="39"/>
      <c r="AD133" s="39"/>
      <c r="AE133" s="149"/>
      <c r="AF133" s="149"/>
      <c r="AG133" s="149"/>
      <c r="AH133" s="149"/>
      <c r="AI133" s="149"/>
      <c r="AJ133" s="149"/>
      <c r="AK133" s="149"/>
      <c r="AL133" s="140"/>
      <c r="AM133" s="140"/>
      <c r="AN133" s="140"/>
      <c r="AO133" s="140"/>
      <c r="AP133" s="140"/>
      <c r="AQ133" s="140"/>
      <c r="AR133" s="141"/>
      <c r="AS133" s="141"/>
      <c r="AT133" s="141"/>
      <c r="AU133" s="141"/>
      <c r="AV133" s="141"/>
      <c r="AW133" s="141"/>
      <c r="AX133" s="152"/>
      <c r="AY133" s="141"/>
      <c r="AZ133" s="141"/>
      <c r="BA133" s="141"/>
      <c r="BB133" s="141"/>
      <c r="BC133" s="142"/>
    </row>
    <row r="134" spans="2:55" x14ac:dyDescent="0.3">
      <c r="B134" s="155"/>
      <c r="C134" s="156"/>
      <c r="D134" s="156"/>
      <c r="E134" s="156"/>
      <c r="F134" s="156"/>
      <c r="G134" s="156"/>
      <c r="H134" s="156"/>
      <c r="I134" s="156"/>
      <c r="J134" s="156"/>
      <c r="K134" s="156"/>
      <c r="L134" s="156"/>
      <c r="M134" s="156"/>
      <c r="N134" s="156"/>
      <c r="O134" s="156"/>
      <c r="P134" s="156"/>
      <c r="Q134" s="156"/>
      <c r="R134" s="156"/>
      <c r="S134" s="156"/>
      <c r="T134" s="156"/>
      <c r="U134" s="156"/>
      <c r="V134" s="156"/>
      <c r="W134" s="156"/>
      <c r="X134" s="123"/>
      <c r="Y134" s="123"/>
      <c r="Z134" s="123"/>
      <c r="AA134" s="123"/>
      <c r="AB134" s="123"/>
      <c r="AC134" s="123"/>
      <c r="AD134" s="123"/>
      <c r="AE134" s="157"/>
      <c r="AF134" s="157"/>
      <c r="AG134" s="157"/>
      <c r="AH134" s="157"/>
      <c r="AI134" s="157"/>
      <c r="AJ134" s="157"/>
      <c r="AK134" s="157"/>
      <c r="AL134" s="140"/>
      <c r="AM134" s="140"/>
      <c r="AN134" s="140"/>
      <c r="AO134" s="140"/>
      <c r="AP134" s="140"/>
      <c r="AQ134" s="140"/>
      <c r="AR134" s="141"/>
      <c r="AS134" s="141"/>
      <c r="AT134" s="141"/>
      <c r="AU134" s="141"/>
      <c r="AV134" s="141"/>
      <c r="AW134" s="141"/>
      <c r="AX134" s="152"/>
      <c r="AY134" s="141"/>
      <c r="AZ134" s="141"/>
      <c r="BA134" s="141"/>
      <c r="BB134" s="141"/>
      <c r="BC134" s="142"/>
    </row>
    <row r="135" spans="2:55" x14ac:dyDescent="0.3">
      <c r="B135" s="161"/>
      <c r="C135" s="162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3"/>
      <c r="Y135" s="163"/>
      <c r="Z135" s="163"/>
      <c r="AA135" s="163"/>
      <c r="AB135" s="163"/>
      <c r="AC135" s="163"/>
      <c r="AD135" s="163"/>
      <c r="AE135" s="164"/>
      <c r="AF135" s="165"/>
      <c r="AG135" s="165"/>
      <c r="AH135" s="165"/>
      <c r="AI135" s="165"/>
      <c r="AJ135" s="165"/>
      <c r="AK135" s="166"/>
      <c r="AL135" s="167">
        <f>SUM(AL124:AL134)</f>
        <v>42660.1</v>
      </c>
      <c r="AM135" s="168"/>
      <c r="AN135" s="168"/>
      <c r="AO135" s="168"/>
      <c r="AP135" s="168"/>
      <c r="AQ135" s="169"/>
      <c r="AR135" s="170"/>
      <c r="AS135" s="171"/>
      <c r="AT135" s="171"/>
      <c r="AU135" s="171"/>
      <c r="AV135" s="171"/>
      <c r="AW135" s="172"/>
      <c r="AX135" s="173">
        <f>SUM(AX124:AX134)</f>
        <v>62425840.490000002</v>
      </c>
      <c r="AY135" s="174"/>
      <c r="AZ135" s="174"/>
      <c r="BA135" s="174"/>
      <c r="BB135" s="174"/>
      <c r="BC135" s="175"/>
    </row>
    <row r="136" spans="2:55" x14ac:dyDescent="0.3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176" t="b">
        <f>IF(N106=AL135,TRUE, FALSE)</f>
        <v>1</v>
      </c>
      <c r="AM136" s="176"/>
      <c r="AN136" s="176"/>
      <c r="AO136" s="176"/>
      <c r="AP136" s="176"/>
      <c r="AQ136" s="176"/>
      <c r="AR136" s="2"/>
      <c r="AS136" s="2"/>
      <c r="AT136" s="2"/>
      <c r="AU136" s="2"/>
      <c r="AV136" s="2"/>
      <c r="AW136" s="2"/>
      <c r="AX136" s="177" t="b">
        <f>IF(AX135=H120,TRUE,FALSE)</f>
        <v>1</v>
      </c>
      <c r="AY136" s="177"/>
      <c r="AZ136" s="177"/>
      <c r="BA136" s="177"/>
      <c r="BB136" s="177"/>
      <c r="BC136" s="177"/>
    </row>
  </sheetData>
  <mergeCells count="579">
    <mergeCell ref="AL136:AQ136"/>
    <mergeCell ref="AX136:BC136"/>
    <mergeCell ref="B135:W135"/>
    <mergeCell ref="X135:AD135"/>
    <mergeCell ref="AE135:AK135"/>
    <mergeCell ref="AL135:AQ135"/>
    <mergeCell ref="AR135:AW135"/>
    <mergeCell ref="AX135:BC135"/>
    <mergeCell ref="B134:W134"/>
    <mergeCell ref="X134:AD134"/>
    <mergeCell ref="AE134:AK134"/>
    <mergeCell ref="AL134:AQ134"/>
    <mergeCell ref="AR134:AW134"/>
    <mergeCell ref="AX134:BC134"/>
    <mergeCell ref="B133:W133"/>
    <mergeCell ref="X133:AD133"/>
    <mergeCell ref="AE133:AK133"/>
    <mergeCell ref="AL133:AQ133"/>
    <mergeCell ref="AR133:AW133"/>
    <mergeCell ref="AX133:BC133"/>
    <mergeCell ref="B132:W132"/>
    <mergeCell ref="X132:AD132"/>
    <mergeCell ref="AE132:AK132"/>
    <mergeCell ref="AL132:AQ132"/>
    <mergeCell ref="AR132:AW132"/>
    <mergeCell ref="AX132:BC132"/>
    <mergeCell ref="B131:W131"/>
    <mergeCell ref="X131:AD131"/>
    <mergeCell ref="AE131:AK131"/>
    <mergeCell ref="AL131:AQ131"/>
    <mergeCell ref="AR131:AW131"/>
    <mergeCell ref="AX131:BC131"/>
    <mergeCell ref="B130:W130"/>
    <mergeCell ref="X130:AD130"/>
    <mergeCell ref="AE130:AK130"/>
    <mergeCell ref="AL130:AQ130"/>
    <mergeCell ref="AR130:AW130"/>
    <mergeCell ref="AX130:BC130"/>
    <mergeCell ref="B129:W129"/>
    <mergeCell ref="X129:AD129"/>
    <mergeCell ref="AE129:AK129"/>
    <mergeCell ref="AL129:AQ129"/>
    <mergeCell ref="AR129:AW129"/>
    <mergeCell ref="AX129:BC129"/>
    <mergeCell ref="B128:W128"/>
    <mergeCell ref="X128:AD128"/>
    <mergeCell ref="AE128:AK128"/>
    <mergeCell ref="AL128:AQ128"/>
    <mergeCell ref="AR128:AW128"/>
    <mergeCell ref="AX128:BC128"/>
    <mergeCell ref="B127:W127"/>
    <mergeCell ref="X127:AD127"/>
    <mergeCell ref="AE127:AK127"/>
    <mergeCell ref="AL127:AQ127"/>
    <mergeCell ref="AR127:AW127"/>
    <mergeCell ref="AX127:BC127"/>
    <mergeCell ref="B126:W126"/>
    <mergeCell ref="X126:AD126"/>
    <mergeCell ref="AE126:AK126"/>
    <mergeCell ref="AL126:AQ126"/>
    <mergeCell ref="AR126:AW126"/>
    <mergeCell ref="AX126:BC126"/>
    <mergeCell ref="B125:W125"/>
    <mergeCell ref="X125:AD125"/>
    <mergeCell ref="AE125:AK125"/>
    <mergeCell ref="AL125:AQ125"/>
    <mergeCell ref="AR125:AW125"/>
    <mergeCell ref="AX125:BC125"/>
    <mergeCell ref="AO123:AQ123"/>
    <mergeCell ref="AR123:AW123"/>
    <mergeCell ref="AX123:BC123"/>
    <mergeCell ref="B124:W124"/>
    <mergeCell ref="X124:AD124"/>
    <mergeCell ref="AE124:AK124"/>
    <mergeCell ref="AL124:AQ124"/>
    <mergeCell ref="AR124:AW124"/>
    <mergeCell ref="AX124:BC124"/>
    <mergeCell ref="B122:G122"/>
    <mergeCell ref="H122:M122"/>
    <mergeCell ref="N122:W122"/>
    <mergeCell ref="X122:AD122"/>
    <mergeCell ref="AE122:BC122"/>
    <mergeCell ref="B123:W123"/>
    <mergeCell ref="X123:AD123"/>
    <mergeCell ref="AE123:AH123"/>
    <mergeCell ref="AI123:AK123"/>
    <mergeCell ref="AL123:AN123"/>
    <mergeCell ref="B120:G120"/>
    <mergeCell ref="H120:M120"/>
    <mergeCell ref="N120:W120"/>
    <mergeCell ref="X120:AD120"/>
    <mergeCell ref="AE120:BC120"/>
    <mergeCell ref="B121:G121"/>
    <mergeCell ref="H121:M121"/>
    <mergeCell ref="N121:W121"/>
    <mergeCell ref="X121:AD121"/>
    <mergeCell ref="AE121:BC121"/>
    <mergeCell ref="B118:G118"/>
    <mergeCell ref="H118:M118"/>
    <mergeCell ref="N118:W118"/>
    <mergeCell ref="X118:AD118"/>
    <mergeCell ref="AE118:BC118"/>
    <mergeCell ref="B119:G119"/>
    <mergeCell ref="H119:M119"/>
    <mergeCell ref="N119:W119"/>
    <mergeCell ref="X119:AD119"/>
    <mergeCell ref="AE119:BC119"/>
    <mergeCell ref="B116:M116"/>
    <mergeCell ref="N116:W116"/>
    <mergeCell ref="X116:AD116"/>
    <mergeCell ref="AE116:AZ116"/>
    <mergeCell ref="B117:G117"/>
    <mergeCell ref="H117:M117"/>
    <mergeCell ref="N117:W117"/>
    <mergeCell ref="X117:AD117"/>
    <mergeCell ref="AE117:BC117"/>
    <mergeCell ref="B114:G114"/>
    <mergeCell ref="H114:M114"/>
    <mergeCell ref="N114:W114"/>
    <mergeCell ref="X114:AD114"/>
    <mergeCell ref="AE114:AZ114"/>
    <mergeCell ref="B115:G115"/>
    <mergeCell ref="H115:M115"/>
    <mergeCell ref="N115:W115"/>
    <mergeCell ref="X115:AD115"/>
    <mergeCell ref="AE115:AZ115"/>
    <mergeCell ref="B112:G112"/>
    <mergeCell ref="H112:M112"/>
    <mergeCell ref="N112:W112"/>
    <mergeCell ref="X112:AD112"/>
    <mergeCell ref="AE112:AZ112"/>
    <mergeCell ref="B113:G113"/>
    <mergeCell ref="H113:M113"/>
    <mergeCell ref="N113:W113"/>
    <mergeCell ref="X113:AD113"/>
    <mergeCell ref="AE113:AZ113"/>
    <mergeCell ref="B110:G110"/>
    <mergeCell ref="H110:M110"/>
    <mergeCell ref="N110:W110"/>
    <mergeCell ref="X110:AD110"/>
    <mergeCell ref="AE110:AZ110"/>
    <mergeCell ref="B111:G111"/>
    <mergeCell ref="H111:M111"/>
    <mergeCell ref="N111:W111"/>
    <mergeCell ref="X111:AD111"/>
    <mergeCell ref="AE111:AZ111"/>
    <mergeCell ref="B108:M108"/>
    <mergeCell ref="N108:W108"/>
    <mergeCell ref="X108:AD108"/>
    <mergeCell ref="AE108:AZ108"/>
    <mergeCell ref="B109:M109"/>
    <mergeCell ref="N109:W109"/>
    <mergeCell ref="X109:AD109"/>
    <mergeCell ref="AE109:AZ109"/>
    <mergeCell ref="B106:M106"/>
    <mergeCell ref="N106:W106"/>
    <mergeCell ref="X106:AD106"/>
    <mergeCell ref="AE106:AK106"/>
    <mergeCell ref="AL106:AZ106"/>
    <mergeCell ref="B107:G107"/>
    <mergeCell ref="H107:M107"/>
    <mergeCell ref="N107:W107"/>
    <mergeCell ref="X107:AD107"/>
    <mergeCell ref="AE107:BC107"/>
    <mergeCell ref="B105:G105"/>
    <mergeCell ref="H105:M105"/>
    <mergeCell ref="N105:W105"/>
    <mergeCell ref="X105:AD105"/>
    <mergeCell ref="AE105:AK105"/>
    <mergeCell ref="AL105:AZ105"/>
    <mergeCell ref="B101:G101"/>
    <mergeCell ref="H101:BB101"/>
    <mergeCell ref="B102:G102"/>
    <mergeCell ref="H102:S102"/>
    <mergeCell ref="B104:G104"/>
    <mergeCell ref="H104:M104"/>
    <mergeCell ref="N104:W104"/>
    <mergeCell ref="X104:AD104"/>
    <mergeCell ref="AE104:AK104"/>
    <mergeCell ref="AL104:AZ104"/>
    <mergeCell ref="AL93:AQ93"/>
    <mergeCell ref="AX93:BC93"/>
    <mergeCell ref="B95:BC97"/>
    <mergeCell ref="B99:G99"/>
    <mergeCell ref="B100:G100"/>
    <mergeCell ref="H100:S100"/>
    <mergeCell ref="U100:AB100"/>
    <mergeCell ref="B92:W92"/>
    <mergeCell ref="X92:AD92"/>
    <mergeCell ref="AE92:AK92"/>
    <mergeCell ref="AL92:AQ92"/>
    <mergeCell ref="AR92:AW92"/>
    <mergeCell ref="AX92:BC92"/>
    <mergeCell ref="B91:W91"/>
    <mergeCell ref="X91:AD91"/>
    <mergeCell ref="AE91:AK91"/>
    <mergeCell ref="AL91:AQ91"/>
    <mergeCell ref="AR91:AW91"/>
    <mergeCell ref="AX91:BC91"/>
    <mergeCell ref="B90:W90"/>
    <mergeCell ref="X90:AD90"/>
    <mergeCell ref="AE90:AK90"/>
    <mergeCell ref="AL90:AQ90"/>
    <mergeCell ref="AR90:AW90"/>
    <mergeCell ref="AX90:BC90"/>
    <mergeCell ref="B89:W89"/>
    <mergeCell ref="X89:AD89"/>
    <mergeCell ref="AE89:AK89"/>
    <mergeCell ref="AL89:AQ89"/>
    <mergeCell ref="AR89:AW89"/>
    <mergeCell ref="AX89:BC89"/>
    <mergeCell ref="B88:W88"/>
    <mergeCell ref="X88:AD88"/>
    <mergeCell ref="AE88:AK88"/>
    <mergeCell ref="AL88:AQ88"/>
    <mergeCell ref="AR88:AW88"/>
    <mergeCell ref="AX88:BC88"/>
    <mergeCell ref="B87:W87"/>
    <mergeCell ref="X87:AD87"/>
    <mergeCell ref="AE87:AK87"/>
    <mergeCell ref="AL87:AQ87"/>
    <mergeCell ref="AR87:AW87"/>
    <mergeCell ref="AX87:BC87"/>
    <mergeCell ref="B86:W86"/>
    <mergeCell ref="X86:AD86"/>
    <mergeCell ref="AE86:AK86"/>
    <mergeCell ref="AL86:AQ86"/>
    <mergeCell ref="AR86:AW86"/>
    <mergeCell ref="AX86:BC86"/>
    <mergeCell ref="B85:W85"/>
    <mergeCell ref="X85:AD85"/>
    <mergeCell ref="AE85:AK85"/>
    <mergeCell ref="AL85:AQ85"/>
    <mergeCell ref="AR85:AW85"/>
    <mergeCell ref="AX85:BC85"/>
    <mergeCell ref="B84:W84"/>
    <mergeCell ref="X84:AD84"/>
    <mergeCell ref="AE84:AK84"/>
    <mergeCell ref="AL84:AQ84"/>
    <mergeCell ref="AR84:AW84"/>
    <mergeCell ref="AX84:BC84"/>
    <mergeCell ref="B83:W83"/>
    <mergeCell ref="X83:AD83"/>
    <mergeCell ref="AE83:AK83"/>
    <mergeCell ref="AL83:AQ83"/>
    <mergeCell ref="AR83:AW83"/>
    <mergeCell ref="AX83:BC83"/>
    <mergeCell ref="B82:W82"/>
    <mergeCell ref="X82:AD82"/>
    <mergeCell ref="AE82:AK82"/>
    <mergeCell ref="AL82:AQ82"/>
    <mergeCell ref="AR82:AW82"/>
    <mergeCell ref="AX82:BC82"/>
    <mergeCell ref="AO80:AQ80"/>
    <mergeCell ref="AR80:AW80"/>
    <mergeCell ref="AX80:BC80"/>
    <mergeCell ref="B81:W81"/>
    <mergeCell ref="X81:AD81"/>
    <mergeCell ref="AE81:AK81"/>
    <mergeCell ref="AL81:AQ81"/>
    <mergeCell ref="AR81:AW81"/>
    <mergeCell ref="AX81:BC81"/>
    <mergeCell ref="B79:G79"/>
    <mergeCell ref="H79:M79"/>
    <mergeCell ref="N79:W79"/>
    <mergeCell ref="X79:AD79"/>
    <mergeCell ref="AE79:BC79"/>
    <mergeCell ref="B80:W80"/>
    <mergeCell ref="X80:AD80"/>
    <mergeCell ref="AE80:AH80"/>
    <mergeCell ref="AI80:AK80"/>
    <mergeCell ref="AL80:AN80"/>
    <mergeCell ref="B77:G77"/>
    <mergeCell ref="H77:M77"/>
    <mergeCell ref="N77:W77"/>
    <mergeCell ref="X77:AD77"/>
    <mergeCell ref="AE77:BC77"/>
    <mergeCell ref="B78:G78"/>
    <mergeCell ref="H78:M78"/>
    <mergeCell ref="N78:W78"/>
    <mergeCell ref="X78:AD78"/>
    <mergeCell ref="AE78:BC78"/>
    <mergeCell ref="B75:G75"/>
    <mergeCell ref="H75:M75"/>
    <mergeCell ref="N75:W75"/>
    <mergeCell ref="X75:AD75"/>
    <mergeCell ref="AE75:BC75"/>
    <mergeCell ref="B76:G76"/>
    <mergeCell ref="H76:M76"/>
    <mergeCell ref="N76:W76"/>
    <mergeCell ref="X76:AD76"/>
    <mergeCell ref="AE76:BC76"/>
    <mergeCell ref="B73:M73"/>
    <mergeCell ref="N73:W73"/>
    <mergeCell ref="X73:AD73"/>
    <mergeCell ref="AE73:AZ73"/>
    <mergeCell ref="B74:G74"/>
    <mergeCell ref="H74:M74"/>
    <mergeCell ref="N74:W74"/>
    <mergeCell ref="X74:AD74"/>
    <mergeCell ref="AE74:BC74"/>
    <mergeCell ref="B71:G71"/>
    <mergeCell ref="H71:M71"/>
    <mergeCell ref="N71:W71"/>
    <mergeCell ref="X71:AD71"/>
    <mergeCell ref="AE71:AZ71"/>
    <mergeCell ref="B72:G72"/>
    <mergeCell ref="H72:M72"/>
    <mergeCell ref="N72:W72"/>
    <mergeCell ref="X72:AD72"/>
    <mergeCell ref="AE72:AZ72"/>
    <mergeCell ref="B69:G69"/>
    <mergeCell ref="H69:M69"/>
    <mergeCell ref="N69:W69"/>
    <mergeCell ref="X69:AD69"/>
    <mergeCell ref="AE69:AZ69"/>
    <mergeCell ref="B70:G70"/>
    <mergeCell ref="H70:M70"/>
    <mergeCell ref="N70:W70"/>
    <mergeCell ref="X70:AD70"/>
    <mergeCell ref="AE70:AZ70"/>
    <mergeCell ref="B67:G67"/>
    <mergeCell ref="H67:M67"/>
    <mergeCell ref="N67:W67"/>
    <mergeCell ref="X67:AD67"/>
    <mergeCell ref="AE67:AZ67"/>
    <mergeCell ref="B68:G68"/>
    <mergeCell ref="H68:M68"/>
    <mergeCell ref="N68:W68"/>
    <mergeCell ref="X68:AD68"/>
    <mergeCell ref="AE68:AZ68"/>
    <mergeCell ref="B65:M65"/>
    <mergeCell ref="N65:W65"/>
    <mergeCell ref="X65:AD65"/>
    <mergeCell ref="AE65:AZ65"/>
    <mergeCell ref="B66:M66"/>
    <mergeCell ref="N66:W66"/>
    <mergeCell ref="X66:AD66"/>
    <mergeCell ref="AE66:AZ66"/>
    <mergeCell ref="B63:M63"/>
    <mergeCell ref="N63:W63"/>
    <mergeCell ref="X63:AD63"/>
    <mergeCell ref="AE63:AK63"/>
    <mergeCell ref="AL63:AZ63"/>
    <mergeCell ref="B64:G64"/>
    <mergeCell ref="H64:M64"/>
    <mergeCell ref="N64:W64"/>
    <mergeCell ref="X64:AD64"/>
    <mergeCell ref="AE64:BC64"/>
    <mergeCell ref="B62:G62"/>
    <mergeCell ref="H62:M62"/>
    <mergeCell ref="N62:W62"/>
    <mergeCell ref="X62:AD62"/>
    <mergeCell ref="AE62:AK62"/>
    <mergeCell ref="AL62:AZ62"/>
    <mergeCell ref="B61:G61"/>
    <mergeCell ref="H61:M61"/>
    <mergeCell ref="N61:W61"/>
    <mergeCell ref="X61:AD61"/>
    <mergeCell ref="AE61:AK61"/>
    <mergeCell ref="AL61:AZ61"/>
    <mergeCell ref="B60:G60"/>
    <mergeCell ref="H60:M60"/>
    <mergeCell ref="N60:W60"/>
    <mergeCell ref="X60:AD60"/>
    <mergeCell ref="AE60:AK60"/>
    <mergeCell ref="AL60:AZ60"/>
    <mergeCell ref="B56:G56"/>
    <mergeCell ref="H56:BB56"/>
    <mergeCell ref="B57:G57"/>
    <mergeCell ref="H57:S57"/>
    <mergeCell ref="B59:G59"/>
    <mergeCell ref="H59:M59"/>
    <mergeCell ref="N59:W59"/>
    <mergeCell ref="X59:AD59"/>
    <mergeCell ref="AE59:AK59"/>
    <mergeCell ref="AL59:AZ59"/>
    <mergeCell ref="AL47:AQ47"/>
    <mergeCell ref="AX47:BC47"/>
    <mergeCell ref="B50:BC52"/>
    <mergeCell ref="B54:G54"/>
    <mergeCell ref="B55:G55"/>
    <mergeCell ref="H55:S55"/>
    <mergeCell ref="U55:AB55"/>
    <mergeCell ref="B46:W46"/>
    <mergeCell ref="X46:AD46"/>
    <mergeCell ref="AE46:AK46"/>
    <mergeCell ref="AL46:AQ46"/>
    <mergeCell ref="AR46:AW46"/>
    <mergeCell ref="AX46:BC46"/>
    <mergeCell ref="B45:W45"/>
    <mergeCell ref="X45:AD45"/>
    <mergeCell ref="AE45:AK45"/>
    <mergeCell ref="AL45:AQ45"/>
    <mergeCell ref="AR45:AW45"/>
    <mergeCell ref="AX45:BC45"/>
    <mergeCell ref="B44:W44"/>
    <mergeCell ref="X44:AD44"/>
    <mergeCell ref="AE44:AK44"/>
    <mergeCell ref="AL44:AQ44"/>
    <mergeCell ref="AR44:AW44"/>
    <mergeCell ref="AX44:BC44"/>
    <mergeCell ref="B43:W43"/>
    <mergeCell ref="X43:AD43"/>
    <mergeCell ref="AE43:AK43"/>
    <mergeCell ref="AL43:AQ43"/>
    <mergeCell ref="AR43:AW43"/>
    <mergeCell ref="AX43:BC43"/>
    <mergeCell ref="B42:W42"/>
    <mergeCell ref="X42:AD42"/>
    <mergeCell ref="AE42:AK42"/>
    <mergeCell ref="AL42:AQ42"/>
    <mergeCell ref="AR42:AW42"/>
    <mergeCell ref="AX42:BC42"/>
    <mergeCell ref="B41:W41"/>
    <mergeCell ref="X41:AD41"/>
    <mergeCell ref="AE41:AK41"/>
    <mergeCell ref="AL41:AQ41"/>
    <mergeCell ref="AR41:AW41"/>
    <mergeCell ref="AX41:BC41"/>
    <mergeCell ref="B40:W40"/>
    <mergeCell ref="X40:AD40"/>
    <mergeCell ref="AE40:AK40"/>
    <mergeCell ref="AL40:AQ40"/>
    <mergeCell ref="AR40:AW40"/>
    <mergeCell ref="AX40:BC40"/>
    <mergeCell ref="B39:W39"/>
    <mergeCell ref="X39:AD39"/>
    <mergeCell ref="AE39:AK39"/>
    <mergeCell ref="AL39:AQ39"/>
    <mergeCell ref="AR39:AW39"/>
    <mergeCell ref="AX39:BC39"/>
    <mergeCell ref="B38:W38"/>
    <mergeCell ref="X38:AD38"/>
    <mergeCell ref="AE38:AK38"/>
    <mergeCell ref="AL38:AQ38"/>
    <mergeCell ref="AR38:AW38"/>
    <mergeCell ref="AX38:BC38"/>
    <mergeCell ref="B37:W37"/>
    <mergeCell ref="X37:AD37"/>
    <mergeCell ref="AE37:AK37"/>
    <mergeCell ref="AL37:AQ37"/>
    <mergeCell ref="AR37:AW37"/>
    <mergeCell ref="AX37:BC37"/>
    <mergeCell ref="B36:W36"/>
    <mergeCell ref="X36:AD36"/>
    <mergeCell ref="AE36:AK36"/>
    <mergeCell ref="AL36:AQ36"/>
    <mergeCell ref="AR36:AW36"/>
    <mergeCell ref="AX36:BC36"/>
    <mergeCell ref="AO34:AQ34"/>
    <mergeCell ref="AR34:AW34"/>
    <mergeCell ref="AX34:BC34"/>
    <mergeCell ref="B35:W35"/>
    <mergeCell ref="X35:AD35"/>
    <mergeCell ref="AE35:AK35"/>
    <mergeCell ref="AL35:AQ35"/>
    <mergeCell ref="AR35:AW35"/>
    <mergeCell ref="AX35:BC35"/>
    <mergeCell ref="B33:G33"/>
    <mergeCell ref="H33:M33"/>
    <mergeCell ref="N33:W33"/>
    <mergeCell ref="X33:AD33"/>
    <mergeCell ref="AE33:BC33"/>
    <mergeCell ref="B34:W34"/>
    <mergeCell ref="X34:AD34"/>
    <mergeCell ref="AE34:AH34"/>
    <mergeCell ref="AI34:AK34"/>
    <mergeCell ref="AL34:AN34"/>
    <mergeCell ref="B31:G31"/>
    <mergeCell ref="H31:M31"/>
    <mergeCell ref="N31:W31"/>
    <mergeCell ref="X31:AD31"/>
    <mergeCell ref="AE31:BC31"/>
    <mergeCell ref="B32:G32"/>
    <mergeCell ref="H32:M32"/>
    <mergeCell ref="N32:W32"/>
    <mergeCell ref="X32:AD32"/>
    <mergeCell ref="AE32:BC32"/>
    <mergeCell ref="B29:G29"/>
    <mergeCell ref="H29:M29"/>
    <mergeCell ref="N29:W29"/>
    <mergeCell ref="X29:AD29"/>
    <mergeCell ref="AE29:BC29"/>
    <mergeCell ref="B30:G30"/>
    <mergeCell ref="H30:M30"/>
    <mergeCell ref="N30:W30"/>
    <mergeCell ref="X30:AD30"/>
    <mergeCell ref="AE30:BC30"/>
    <mergeCell ref="B27:M27"/>
    <mergeCell ref="N27:W27"/>
    <mergeCell ref="X27:AD27"/>
    <mergeCell ref="AE27:AZ27"/>
    <mergeCell ref="B28:G28"/>
    <mergeCell ref="H28:M28"/>
    <mergeCell ref="N28:W28"/>
    <mergeCell ref="X28:AD28"/>
    <mergeCell ref="AE28:BC28"/>
    <mergeCell ref="B25:G25"/>
    <mergeCell ref="H25:M25"/>
    <mergeCell ref="N25:W25"/>
    <mergeCell ref="X25:AD25"/>
    <mergeCell ref="AE25:AZ25"/>
    <mergeCell ref="B26:G26"/>
    <mergeCell ref="H26:M26"/>
    <mergeCell ref="N26:W26"/>
    <mergeCell ref="X26:AD26"/>
    <mergeCell ref="AE26:AZ26"/>
    <mergeCell ref="B23:G23"/>
    <mergeCell ref="H23:M23"/>
    <mergeCell ref="N23:W23"/>
    <mergeCell ref="X23:AD23"/>
    <mergeCell ref="AE23:AZ23"/>
    <mergeCell ref="B24:G24"/>
    <mergeCell ref="H24:M24"/>
    <mergeCell ref="N24:W24"/>
    <mergeCell ref="X24:AD24"/>
    <mergeCell ref="AE24:AZ24"/>
    <mergeCell ref="B21:G21"/>
    <mergeCell ref="H21:M21"/>
    <mergeCell ref="N21:W21"/>
    <mergeCell ref="X21:AD21"/>
    <mergeCell ref="AE21:AZ21"/>
    <mergeCell ref="B22:G22"/>
    <mergeCell ref="H22:M22"/>
    <mergeCell ref="N22:W22"/>
    <mergeCell ref="X22:AD22"/>
    <mergeCell ref="AE22:AZ22"/>
    <mergeCell ref="B19:M19"/>
    <mergeCell ref="N19:W19"/>
    <mergeCell ref="X19:AD19"/>
    <mergeCell ref="AE19:AZ19"/>
    <mergeCell ref="B20:M20"/>
    <mergeCell ref="N20:W20"/>
    <mergeCell ref="X20:AD20"/>
    <mergeCell ref="AE20:AZ20"/>
    <mergeCell ref="B17:M17"/>
    <mergeCell ref="N17:W17"/>
    <mergeCell ref="X17:AD17"/>
    <mergeCell ref="AE17:AK17"/>
    <mergeCell ref="AL17:AZ17"/>
    <mergeCell ref="B18:G18"/>
    <mergeCell ref="H18:M18"/>
    <mergeCell ref="N18:W18"/>
    <mergeCell ref="X18:AD18"/>
    <mergeCell ref="AE18:BC18"/>
    <mergeCell ref="B16:G16"/>
    <mergeCell ref="H16:M16"/>
    <mergeCell ref="N16:W16"/>
    <mergeCell ref="X16:AD16"/>
    <mergeCell ref="AE16:AK16"/>
    <mergeCell ref="AL16:AZ16"/>
    <mergeCell ref="B15:G15"/>
    <mergeCell ref="H15:M15"/>
    <mergeCell ref="N15:W15"/>
    <mergeCell ref="X15:AD15"/>
    <mergeCell ref="AE15:AK15"/>
    <mergeCell ref="AL15:AZ15"/>
    <mergeCell ref="AE13:AK13"/>
    <mergeCell ref="AL13:AZ13"/>
    <mergeCell ref="B14:G14"/>
    <mergeCell ref="H14:M14"/>
    <mergeCell ref="N14:W14"/>
    <mergeCell ref="X14:AD14"/>
    <mergeCell ref="AE14:AK14"/>
    <mergeCell ref="AL14:AZ14"/>
    <mergeCell ref="B11:G11"/>
    <mergeCell ref="H11:S11"/>
    <mergeCell ref="B13:G13"/>
    <mergeCell ref="H13:M13"/>
    <mergeCell ref="N13:W13"/>
    <mergeCell ref="X13:AD13"/>
    <mergeCell ref="B4:BC6"/>
    <mergeCell ref="B8:G8"/>
    <mergeCell ref="B9:G9"/>
    <mergeCell ref="H9:S9"/>
    <mergeCell ref="U9:AB9"/>
    <mergeCell ref="B10:G10"/>
    <mergeCell ref="H10:BB10"/>
  </mergeCells>
  <phoneticPr fontId="3" type="noConversion"/>
  <pageMargins left="0.25" right="0.25" top="0.75" bottom="0.75" header="0.3" footer="0.3"/>
  <pageSetup paperSize="9" scale="75" fitToHeight="0" orientation="landscape" r:id="rId1"/>
  <rowBreaks count="2" manualBreakCount="2">
    <brk id="46" max="16383" man="1"/>
    <brk id="92" max="16383" man="1"/>
  </rowBreaks>
  <colBreaks count="1" manualBreakCount="1">
    <brk id="5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양식</vt:lpstr>
      <vt:lpstr>양식!Print_Area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심 윤송</dc:creator>
  <cp:lastModifiedBy>심 윤송</cp:lastModifiedBy>
  <dcterms:created xsi:type="dcterms:W3CDTF">2026-04-09T08:33:23Z</dcterms:created>
  <dcterms:modified xsi:type="dcterms:W3CDTF">2026-04-09T08:33:44Z</dcterms:modified>
</cp:coreProperties>
</file>