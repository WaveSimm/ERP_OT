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0.220\oceantech\30. 팀_개인\05. 관리팀\02_세무신고\04.결산\2025 결산\01. 재고수불부\26.03.23 제출\"/>
    </mc:Choice>
  </mc:AlternateContent>
  <xr:revisionPtr revIDLastSave="0" documentId="13_ncr:1_{0BBC7EDE-B720-4DEE-A677-A142501333C6}" xr6:coauthVersionLast="47" xr6:coauthVersionMax="47" xr10:uidLastSave="{00000000-0000-0000-0000-000000000000}"/>
  <bookViews>
    <workbookView xWindow="-120" yWindow="-120" windowWidth="29040" windowHeight="15720" xr2:uid="{6DFA9C21-96B7-4722-AA3E-8A8D4E96320C}"/>
  </bookViews>
  <sheets>
    <sheet name="재고수불부" sheetId="1" r:id="rId1"/>
  </sheets>
  <definedNames>
    <definedName name="_xlnm._FilterDatabase" localSheetId="0" hidden="1">재고수불부!$B$3:$T$859</definedName>
    <definedName name="_xlnm.Print_Area" localSheetId="0">재고수불부!$B$3:$J$629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D630" i="1"/>
  <c r="F630" i="1"/>
  <c r="H630" i="1"/>
  <c r="J630" i="1" l="1"/>
</calcChain>
</file>

<file path=xl/sharedStrings.xml><?xml version="1.0" encoding="utf-8"?>
<sst xmlns="http://schemas.openxmlformats.org/spreadsheetml/2006/main" count="643" uniqueCount="634">
  <si>
    <t xml:space="preserve"> </t>
    <phoneticPr fontId="3" type="noConversion"/>
  </si>
  <si>
    <t xml:space="preserve">	pCO2용 전원공급장치</t>
    <phoneticPr fontId="3" type="noConversion"/>
  </si>
  <si>
    <t>05159 [NOSE CONE &amp; PROPELLER SHAFT ASSY]</t>
  </si>
  <si>
    <t>05163PW [Flange Bearing]</t>
  </si>
  <si>
    <t>05168 [NOSE CONE &amp; PROPELLER SHAFT ASSY-MA]</t>
  </si>
  <si>
    <t>05186 [Flange Bearing Ceramic]</t>
  </si>
  <si>
    <t>08234 [PROPELLER-18CM X 30CM (BLACK PP)]</t>
  </si>
  <si>
    <t>25MHz Antenna Dome [SSRA-SA101-25]</t>
  </si>
  <si>
    <t>25MHz Antenna Mast [SSRA-SA310-25]</t>
  </si>
  <si>
    <t>26-5MC [6ft]</t>
  </si>
  <si>
    <t>2cm Cone with piezo</t>
    <phoneticPr fontId="3" type="noConversion"/>
  </si>
  <si>
    <t>2mile A source</t>
    <phoneticPr fontId="6" type="noConversion"/>
  </si>
  <si>
    <t>310CTD 프레임</t>
    <phoneticPr fontId="6" type="noConversion"/>
  </si>
  <si>
    <t>316 SS cable [A270254]</t>
    <phoneticPr fontId="6" type="noConversion"/>
  </si>
  <si>
    <t>3GNSS16P-XT-2 Antenna</t>
  </si>
  <si>
    <t>3M 네오프렌 고성능 컨택트 접착제</t>
    <phoneticPr fontId="6" type="noConversion"/>
  </si>
  <si>
    <t>4900 Side Scan Sonar Towfish</t>
  </si>
  <si>
    <t>500m Dyneema Deployment line</t>
  </si>
  <si>
    <t>5400 DCPS</t>
    <phoneticPr fontId="3" type="noConversion"/>
  </si>
  <si>
    <t>5cm cone sleeve</t>
  </si>
  <si>
    <t>5cm cone tip</t>
  </si>
  <si>
    <t>5cm cone with piezo</t>
    <phoneticPr fontId="3" type="noConversion"/>
  </si>
  <si>
    <t>5마일급 일체형 이중반사형 등명기 [DS-5NM]</t>
    <phoneticPr fontId="6" type="noConversion"/>
  </si>
  <si>
    <t>757 Portable Power Station [A1770]</t>
  </si>
  <si>
    <t>8 pin Connector</t>
  </si>
  <si>
    <t>866-O-Ring Kit [R2K용]</t>
  </si>
  <si>
    <t>86인치 전자칠판 [86TR3DK]</t>
    <phoneticPr fontId="6" type="noConversion"/>
  </si>
  <si>
    <t>8CC Paleomagnetic Sample Box [100ea]</t>
    <phoneticPr fontId="3" type="noConversion"/>
  </si>
  <si>
    <t>9602-A</t>
  </si>
  <si>
    <t>9602G</t>
  </si>
  <si>
    <t>A43 Antenna</t>
  </si>
  <si>
    <t>AC Power cable [10m]</t>
  </si>
  <si>
    <t>Acoustic Release [R12K] [AR-995-LT1] main body</t>
    <phoneticPr fontId="3" type="noConversion"/>
  </si>
  <si>
    <t>Acoustic Release [R500] [AR-955-LS1-NFC]</t>
  </si>
  <si>
    <t>Acoustic Release[R2K] [AR-925-LT1]</t>
  </si>
  <si>
    <t>ADAPTOR, CALIBRATION, 42AG (NOR1256) to</t>
  </si>
  <si>
    <t>Air Temperature Sensor [HMP155]</t>
    <phoneticPr fontId="6" type="noConversion"/>
  </si>
  <si>
    <t>Air Tranducer [150WX]</t>
  </si>
  <si>
    <t>Air Tranducer [200WX]</t>
  </si>
  <si>
    <t>Air Tranducer [DT800BV-235-0]</t>
  </si>
  <si>
    <t>Air Tranducer [P79-235-0]</t>
  </si>
  <si>
    <t>Air Tranducer [SS510-200-25]</t>
  </si>
  <si>
    <t>Air Tranducer [SS510-200-66]</t>
  </si>
  <si>
    <t>AIR Zero [99.999%, 20L]</t>
    <phoneticPr fontId="6" type="noConversion"/>
  </si>
  <si>
    <t>Airflow sensor [AWM3100V]</t>
    <phoneticPr fontId="6" type="noConversion"/>
  </si>
  <si>
    <t>ALTERNATOR [12V-125A]</t>
    <phoneticPr fontId="6" type="noConversion"/>
  </si>
  <si>
    <t>AML-1 10M Data/Power Cable [MCIL-6-MP Termination for RESON]</t>
    <phoneticPr fontId="3" type="noConversion"/>
  </si>
  <si>
    <t>AML-3 Logger SVP</t>
    <phoneticPr fontId="6" type="noConversion"/>
  </si>
  <si>
    <t>Aquascat 1000s</t>
  </si>
  <si>
    <t>AR 보조프레임(R500용 천해)
Dual</t>
    <phoneticPr fontId="6" type="noConversion"/>
  </si>
  <si>
    <t>AR 보조프레임(R500용 천해)
Single</t>
    <phoneticPr fontId="6" type="noConversion"/>
  </si>
  <si>
    <t xml:space="preserve">ARIS Explorer 3000	</t>
    <phoneticPr fontId="3" type="noConversion"/>
  </si>
  <si>
    <t>Armored cable [A270250]</t>
    <phoneticPr fontId="6" type="noConversion"/>
  </si>
  <si>
    <t>Armored Coaxial Tow cable [14102919]</t>
  </si>
  <si>
    <t>Armoured cable</t>
    <phoneticPr fontId="3" type="noConversion"/>
  </si>
  <si>
    <t>ASR-370 Acoustic Recall Device</t>
  </si>
  <si>
    <t>ASSY, LIGHT, SOURIAU, FIELD PROGRAMMABLE [P/N: 11045]</t>
  </si>
  <si>
    <t>ASSY, v300 SUB, BLOCK 1, QUICK PULL RELEASE WING [P/N: 09556]</t>
  </si>
  <si>
    <t>ATM-916-LS1-NFC [ATM-900 Series Modem]</t>
  </si>
  <si>
    <t>AUDIO BRIDGE BOX [IP-1015BX]</t>
    <phoneticPr fontId="6" type="noConversion"/>
  </si>
  <si>
    <t>AWG Module [SSRX-SA203]</t>
  </si>
  <si>
    <t>Batteries for DWR [15 * RC27B]</t>
    <phoneticPr fontId="6" type="noConversion"/>
  </si>
  <si>
    <t>Batteries pack Alkaline [USB-WILPA 1248]</t>
  </si>
  <si>
    <t>Battery Case [For Seaguard]</t>
    <phoneticPr fontId="3" type="noConversion"/>
  </si>
  <si>
    <t>Battery Pack [For AR865/866]</t>
    <phoneticPr fontId="3" type="noConversion"/>
  </si>
  <si>
    <t>Battery Pack [for R2K/R12K]</t>
  </si>
  <si>
    <t>Battery Pack [R500]</t>
  </si>
  <si>
    <t>Battery Pack [Sediment Trap용]</t>
  </si>
  <si>
    <t>Beacon</t>
  </si>
  <si>
    <t>BioGPS</t>
  </si>
  <si>
    <t>BioSHADE</t>
  </si>
  <si>
    <t>Board A</t>
    <phoneticPr fontId="3" type="noConversion"/>
  </si>
  <si>
    <t>Board B</t>
    <phoneticPr fontId="3" type="noConversion"/>
  </si>
  <si>
    <t>Board C</t>
    <phoneticPr fontId="3" type="noConversion"/>
  </si>
  <si>
    <t>Board D</t>
    <phoneticPr fontId="3" type="noConversion"/>
  </si>
  <si>
    <t>Board for SM-140</t>
  </si>
  <si>
    <t>Box Corer</t>
    <phoneticPr fontId="3" type="noConversion"/>
  </si>
  <si>
    <t>Bulkhead [BH-16-FS]</t>
  </si>
  <si>
    <t>Bulkhead [BH-16-MP]</t>
  </si>
  <si>
    <t>Bulkhead [BH-2A-FS]</t>
  </si>
  <si>
    <t>Bulkhead [BH-2-FS TI]</t>
    <phoneticPr fontId="3" type="noConversion"/>
  </si>
  <si>
    <t>Bulkhead [BH-2-MP]</t>
  </si>
  <si>
    <t>Bulkhead [MCBH-2-FS TI]</t>
    <phoneticPr fontId="3" type="noConversion"/>
  </si>
  <si>
    <t>Bulkhead [MCBH-2-MP TI]</t>
  </si>
  <si>
    <t>Bulkhead [MCBH-2-MP]</t>
    <phoneticPr fontId="3" type="noConversion"/>
  </si>
  <si>
    <t>Bulkhead [MCBH-3-FS TI]</t>
    <phoneticPr fontId="3" type="noConversion"/>
  </si>
  <si>
    <t>Bulkhead [MCBH-3-MP TI]</t>
    <phoneticPr fontId="3" type="noConversion"/>
  </si>
  <si>
    <t>Bulkhead [MCBH-4-FS TI]</t>
    <phoneticPr fontId="3" type="noConversion"/>
  </si>
  <si>
    <t>Bulkhead [MCBH-4-MP TI]</t>
    <phoneticPr fontId="3" type="noConversion"/>
  </si>
  <si>
    <t>Bulkhead [MCBH-5-FS TI]</t>
    <phoneticPr fontId="3" type="noConversion"/>
  </si>
  <si>
    <t>Bulkhead [MCBH-5-MP TI]</t>
  </si>
  <si>
    <t>Bulkhead [MCBH-6-FS]</t>
  </si>
  <si>
    <t>Bulkhead [MCBH-6-FS-TI]</t>
    <phoneticPr fontId="3" type="noConversion"/>
  </si>
  <si>
    <t>Bulkhead [MCBH-6-MP TI]</t>
    <phoneticPr fontId="3" type="noConversion"/>
  </si>
  <si>
    <t>Bulkhead [MCBH-8-FS TI]</t>
    <phoneticPr fontId="3" type="noConversion"/>
  </si>
  <si>
    <t>Bulkhead [MCBH-8-MP TI]</t>
  </si>
  <si>
    <t>Bulkhead [MCBH-8-MP]</t>
    <phoneticPr fontId="3" type="noConversion"/>
  </si>
  <si>
    <t>Bulkhead [MCBHRA6M]</t>
    <phoneticPr fontId="3" type="noConversion"/>
  </si>
  <si>
    <t>Bulkhead [RMG-2-MP]</t>
    <phoneticPr fontId="3" type="noConversion"/>
  </si>
  <si>
    <t>Cable [17p M12]</t>
  </si>
  <si>
    <t>Cable [2*2*20AWG]</t>
    <phoneticPr fontId="3" type="noConversion"/>
  </si>
  <si>
    <t>Cable [26-5MC 6ft]</t>
    <phoneticPr fontId="3" type="noConversion"/>
  </si>
  <si>
    <t>Cable [50m, 01-150-139]</t>
    <phoneticPr fontId="6" type="noConversion"/>
  </si>
  <si>
    <t>Cable [A302799]</t>
    <phoneticPr fontId="3" type="noConversion"/>
  </si>
  <si>
    <t>Cable [A303613]</t>
    <phoneticPr fontId="3" type="noConversion"/>
  </si>
  <si>
    <t>Cable [AWQ4-24-MP]</t>
    <phoneticPr fontId="3" type="noConversion"/>
  </si>
  <si>
    <t>Cable [Coax MCIL-8-MP without vulcanization]</t>
  </si>
  <si>
    <t>Cable [COAX-MCIL-8-FS without vulcanization]</t>
  </si>
  <si>
    <t>Cable [DIL-8-F to DIL-8-M]</t>
    <phoneticPr fontId="3" type="noConversion"/>
  </si>
  <si>
    <t>Cable [IL-2-MP]</t>
  </si>
  <si>
    <t>Cable [IL-4-FS TO 4-MP]</t>
    <phoneticPr fontId="3" type="noConversion"/>
  </si>
  <si>
    <t>Cable [MCIL-10-FS]</t>
    <phoneticPr fontId="3" type="noConversion"/>
  </si>
  <si>
    <t>Cable [MCIL-12 Free end]</t>
  </si>
  <si>
    <t>Cable [MCIL-2-FS]</t>
    <phoneticPr fontId="3" type="noConversion"/>
  </si>
  <si>
    <t>Cable [MCIL-2-MP to MCIL-2-MP]</t>
    <phoneticPr fontId="3" type="noConversion"/>
  </si>
  <si>
    <t>Cable [MCIL-2-MP]</t>
    <phoneticPr fontId="3" type="noConversion"/>
  </si>
  <si>
    <t>Cable [MCIL-3-FS]</t>
    <phoneticPr fontId="3" type="noConversion"/>
  </si>
  <si>
    <t>Cable [MCIL-3-MP]</t>
    <phoneticPr fontId="3" type="noConversion"/>
  </si>
  <si>
    <t>Cable [MCIL-4-FS]</t>
    <phoneticPr fontId="3" type="noConversion"/>
  </si>
  <si>
    <t>Cable [MCIL-4-MP to MCIL-4-FS]</t>
  </si>
  <si>
    <t>Cable [MCIL-4-MP]</t>
    <phoneticPr fontId="3" type="noConversion"/>
  </si>
  <si>
    <t>Cable [MCIL-5-FS]</t>
    <phoneticPr fontId="3" type="noConversion"/>
  </si>
  <si>
    <t>Cable [MCIL-5-MP]</t>
    <phoneticPr fontId="3" type="noConversion"/>
  </si>
  <si>
    <t>Cable [MCIL-5-MP-To-MCIL-5-MP]</t>
  </si>
  <si>
    <t>Cable [MCIL-6-FS 100m]</t>
    <phoneticPr fontId="3" type="noConversion"/>
  </si>
  <si>
    <t>Cable [MCIL-6-FS 120m]</t>
  </si>
  <si>
    <t>Cable [MCIL-6-FS 50m]</t>
  </si>
  <si>
    <t>Cable [MCIL-6-FS]</t>
    <phoneticPr fontId="3" type="noConversion"/>
  </si>
  <si>
    <t>Cable [MCIL-6-MP]</t>
  </si>
  <si>
    <t>Cable [MCIL-6-MP-MCIL-6-FS]</t>
    <phoneticPr fontId="3" type="noConversion"/>
  </si>
  <si>
    <t>Cable [MCIL-8-FS 120m]</t>
  </si>
  <si>
    <t>Cable [MCIL-8-FS]</t>
    <phoneticPr fontId="3" type="noConversion"/>
  </si>
  <si>
    <t>Cable [MCIL-8-MP to MCIL-8-FS]</t>
    <phoneticPr fontId="3" type="noConversion"/>
  </si>
  <si>
    <t>Cable [MCIL-8-MP]</t>
    <phoneticPr fontId="3" type="noConversion"/>
  </si>
  <si>
    <t>Cable [RMG-3-FS]</t>
    <phoneticPr fontId="3" type="noConversion"/>
  </si>
  <si>
    <t>Cable [RMG-6-FS]</t>
    <phoneticPr fontId="3" type="noConversion"/>
  </si>
  <si>
    <t>Cable [RSP/PSP to Rx]</t>
    <phoneticPr fontId="3" type="noConversion"/>
  </si>
  <si>
    <t>Cable [VMG-3-MP]</t>
    <phoneticPr fontId="3" type="noConversion"/>
  </si>
  <si>
    <t>Cable Grip [A270250]</t>
    <phoneticPr fontId="6" type="noConversion"/>
  </si>
  <si>
    <t xml:space="preserve">Cable Termination Kit </t>
    <phoneticPr fontId="3" type="noConversion"/>
  </si>
  <si>
    <t>Cable, 1M - PARELLEL(티타늄) [3282]</t>
    <phoneticPr fontId="3" type="noConversion"/>
  </si>
  <si>
    <t>CAGE</t>
  </si>
  <si>
    <t>Calibrator Portable [42AG]</t>
  </si>
  <si>
    <t>Camera [HDMSC-4070-IP]</t>
    <phoneticPr fontId="3" type="noConversion"/>
  </si>
  <si>
    <t>Camera [HDMSC-4125-CX]</t>
    <phoneticPr fontId="3" type="noConversion"/>
  </si>
  <si>
    <t>Camera [OSC-2080]</t>
    <phoneticPr fontId="3" type="noConversion"/>
  </si>
  <si>
    <t>Canopus [CRT142AE]</t>
  </si>
  <si>
    <t>Capacitor 160uF 4300VDC Pulse</t>
  </si>
  <si>
    <t>capacitor 40uF/4.3kV</t>
  </si>
  <si>
    <t>capacitor 54mF/4.3kV</t>
  </si>
  <si>
    <t>Carbon Coulometer [CM5017O]</t>
    <phoneticPr fontId="3" type="noConversion"/>
  </si>
  <si>
    <t>Caris HIPS/SIPS</t>
  </si>
  <si>
    <t>CBL ASSY, SENSOR INTERFACE, SOURIAU 10 SHELL [P/N: 07579]</t>
  </si>
  <si>
    <t>C-clamp [Extended]</t>
    <phoneticPr fontId="3" type="noConversion"/>
  </si>
  <si>
    <t>C-clamp [Standard]</t>
    <phoneticPr fontId="3" type="noConversion"/>
  </si>
  <si>
    <t>ChokeRing Antenna [SCIGN dome]</t>
    <phoneticPr fontId="3" type="noConversion"/>
  </si>
  <si>
    <t>C-Nav 289 GNSS Antenna</t>
    <phoneticPr fontId="3" type="noConversion"/>
  </si>
  <si>
    <t>C-Nav X3</t>
    <phoneticPr fontId="3" type="noConversion"/>
  </si>
  <si>
    <t>C-NaviGATOR IV Control Display</t>
    <phoneticPr fontId="3" type="noConversion"/>
  </si>
  <si>
    <t>CO2 200 PPM [AIR / 20L]</t>
    <phoneticPr fontId="6" type="noConversion"/>
  </si>
  <si>
    <t>CO2 300 PPM [AIR / 20L]</t>
    <phoneticPr fontId="6" type="noConversion"/>
  </si>
  <si>
    <t>CO2 400 PPM [AIR / 20L]</t>
    <phoneticPr fontId="6" type="noConversion"/>
  </si>
  <si>
    <t>CO2/H2O Analyzer [LI-850]</t>
    <phoneticPr fontId="6" type="noConversion"/>
  </si>
  <si>
    <t>Coda T</t>
  </si>
  <si>
    <t>Collision Avoidance Assist
[Collision Avoidance Assist (CAA) : Collision Avoidance Assist (CAA)-EB240-NO CV SA3-31110]</t>
    <phoneticPr fontId="3" type="noConversion"/>
  </si>
  <si>
    <t>COMPASS [32500]</t>
    <phoneticPr fontId="3" type="noConversion"/>
  </si>
  <si>
    <t>Compensating Unit [3848]</t>
  </si>
  <si>
    <t>Conductivity Sensor [4319A]</t>
  </si>
  <si>
    <t>Conductivity Sensor [5819A]</t>
  </si>
  <si>
    <t>Connecting Cable 5m</t>
    <phoneticPr fontId="3" type="noConversion"/>
  </si>
  <si>
    <t>Connector [59F2F-3]</t>
    <phoneticPr fontId="3" type="noConversion"/>
  </si>
  <si>
    <t>connector [AWQ4-24SBC]</t>
    <phoneticPr fontId="3" type="noConversion"/>
  </si>
  <si>
    <t>Connector [MCBH-2-FS]</t>
    <phoneticPr fontId="3" type="noConversion"/>
  </si>
  <si>
    <t>connector [MCBH-5-MP]</t>
    <phoneticPr fontId="3" type="noConversion"/>
  </si>
  <si>
    <t>Connector [MCBH-6-MP]</t>
    <phoneticPr fontId="3" type="noConversion"/>
  </si>
  <si>
    <t>Connector [VMG-3-FS]</t>
    <phoneticPr fontId="3" type="noConversion"/>
  </si>
  <si>
    <t>Connector for GMX501(Windsonic Connector kit)</t>
    <phoneticPr fontId="6" type="noConversion"/>
  </si>
  <si>
    <t>CONTROS SBE copper pump head</t>
    <phoneticPr fontId="3" type="noConversion"/>
  </si>
  <si>
    <t>C-OPS Ed0</t>
  </si>
  <si>
    <t>C-OPS EdZ</t>
  </si>
  <si>
    <t>C-OPS LuZ</t>
  </si>
  <si>
    <t>Core Liner [3m]</t>
  </si>
  <si>
    <t>Core Liner End Cap</t>
  </si>
  <si>
    <t xml:space="preserve">Core Splitter 부품	</t>
    <phoneticPr fontId="3" type="noConversion"/>
  </si>
  <si>
    <t>C-PrOPS</t>
  </si>
  <si>
    <t>CRM 용액</t>
  </si>
  <si>
    <t>CS120A</t>
    <phoneticPr fontId="6" type="noConversion"/>
  </si>
  <si>
    <t>CT Cable [4762 1m]</t>
  </si>
  <si>
    <t>CT Cable [5819]</t>
  </si>
  <si>
    <t>CTD 프레임(308)</t>
    <phoneticPr fontId="6" type="noConversion"/>
  </si>
  <si>
    <t>Ctrans [TX, RX - 7k]</t>
    <phoneticPr fontId="6" type="noConversion"/>
  </si>
  <si>
    <t>CT센서 케이블 6475 [10m]</t>
    <phoneticPr fontId="3" type="noConversion"/>
  </si>
  <si>
    <t>CT센서 케이블 6475 [20m]</t>
  </si>
  <si>
    <t>CT센서 케이블 6475L [1m]</t>
  </si>
  <si>
    <t>CUSTOM CABLE [FM012-694-4]</t>
  </si>
  <si>
    <t>Cylinder (실린더)</t>
    <phoneticPr fontId="6" type="noConversion"/>
  </si>
  <si>
    <t>D/45 Spherical Transducer</t>
  </si>
  <si>
    <t>DAT [DAT-916-LF4]</t>
  </si>
  <si>
    <t>Data Logger [CR-1000]</t>
  </si>
  <si>
    <t>Data Logger [CR-1000X]</t>
    <phoneticPr fontId="6" type="noConversion"/>
  </si>
  <si>
    <t>Data/Power Battery end-cap</t>
    <phoneticPr fontId="6" type="noConversion"/>
  </si>
  <si>
    <t>DC/DC Converters [VFK400W-Q24-S24]</t>
    <phoneticPr fontId="6" type="noConversion"/>
  </si>
  <si>
    <t>DC2M shorted</t>
  </si>
  <si>
    <t>DCS CABLE [4830 10m]</t>
  </si>
  <si>
    <t>DCS Cable [4860L 1m]</t>
  </si>
  <si>
    <t>DCS Cable [4907 50m	]</t>
    <phoneticPr fontId="3" type="noConversion"/>
  </si>
  <si>
    <t>DCS Cable [6422F 3m]</t>
  </si>
  <si>
    <t>DCS Cable [6422L 1m]</t>
    <phoneticPr fontId="3" type="noConversion"/>
  </si>
  <si>
    <t>DCS Z-PULSE [4830]</t>
    <phoneticPr fontId="3" type="noConversion"/>
  </si>
  <si>
    <t>DCS Z-Pulse [4930]</t>
    <phoneticPr fontId="3" type="noConversion"/>
  </si>
  <si>
    <t>DCS 프레임</t>
    <phoneticPr fontId="3" type="noConversion"/>
  </si>
  <si>
    <t>Deck Cable [DLC30]</t>
    <phoneticPr fontId="3" type="noConversion"/>
  </si>
  <si>
    <t>Deck Cable [DLC50]</t>
    <phoneticPr fontId="6" type="noConversion"/>
  </si>
  <si>
    <t>Delph Operation Box</t>
  </si>
  <si>
    <t>Delph seismic Interpretation</t>
  </si>
  <si>
    <t>Delph Subsea Positioning [Operation Processing]</t>
    <phoneticPr fontId="3" type="noConversion"/>
  </si>
  <si>
    <t>Delph Subsea Positioning [Planning]</t>
    <phoneticPr fontId="3" type="noConversion"/>
  </si>
  <si>
    <t>DHI-1 diver-held interrogator [Gun-Diver2]</t>
    <phoneticPr fontId="3" type="noConversion"/>
  </si>
  <si>
    <t>DIDSON Lens Fluid</t>
  </si>
  <si>
    <t>DIDSON Lens Repair kit</t>
    <phoneticPr fontId="3" type="noConversion"/>
  </si>
  <si>
    <t>Display board</t>
  </si>
  <si>
    <t>Display Unit</t>
  </si>
  <si>
    <t>Dissolved Oxygen Blue Membrane Cap</t>
  </si>
  <si>
    <t>DJI Mavic3 Pro Cine [Premium Combo]</t>
  </si>
  <si>
    <t>DJI Mini4 Pro Fly More [Combo Plus]</t>
  </si>
  <si>
    <t>DJI OSMO POCKET3 CREATOR COMBO</t>
  </si>
  <si>
    <t>Dongle [Navipac Pro]</t>
  </si>
  <si>
    <t>DROP LINK, R2K [B-270-804]</t>
  </si>
  <si>
    <t>DSU [2990F]</t>
    <phoneticPr fontId="9" type="noConversion"/>
  </si>
  <si>
    <t>DTI300A</t>
  </si>
  <si>
    <t>DUMMY [26-5FDP]</t>
    <phoneticPr fontId="6" type="noConversion"/>
  </si>
  <si>
    <t>Dummy [26-5MDP]</t>
    <phoneticPr fontId="6" type="noConversion"/>
  </si>
  <si>
    <t>DUMMY [AWQ4-24-FS]</t>
  </si>
  <si>
    <t>Dummy [AWQ-S012]</t>
  </si>
  <si>
    <t>DUMMY [MCDC-10-FS]</t>
  </si>
  <si>
    <t>Dummy [MCDC-2-FS]</t>
    <phoneticPr fontId="3" type="noConversion"/>
  </si>
  <si>
    <t>Dummy [MCDC-2-MP]</t>
    <phoneticPr fontId="3" type="noConversion"/>
  </si>
  <si>
    <t>DUMMY [MCDC-4-FS]</t>
    <phoneticPr fontId="3" type="noConversion"/>
  </si>
  <si>
    <t>DUMMY [MCDC-4-MP]</t>
    <phoneticPr fontId="3" type="noConversion"/>
  </si>
  <si>
    <t>Dummy [MCDC-5-FS]</t>
  </si>
  <si>
    <t>Dummy [MCDC-5-MP]</t>
  </si>
  <si>
    <t>DUMMY [MCDC-6-FS]</t>
    <phoneticPr fontId="3" type="noConversion"/>
  </si>
  <si>
    <t>Dummy [MCDC-6-MP]</t>
    <phoneticPr fontId="3" type="noConversion"/>
  </si>
  <si>
    <t>DUMMY [MCDC-8-FS]</t>
    <phoneticPr fontId="6" type="noConversion"/>
  </si>
  <si>
    <t>DUMMY [MCDC-8-MP]</t>
    <phoneticPr fontId="3" type="noConversion"/>
  </si>
  <si>
    <t>Dummy Plug for SP.</t>
    <phoneticPr fontId="6" type="noConversion"/>
  </si>
  <si>
    <t>DVL 500</t>
    <phoneticPr fontId="6" type="noConversion"/>
  </si>
  <si>
    <t>Dynamic Gravity Meter System</t>
  </si>
  <si>
    <t>Dynamic Meter Cable</t>
  </si>
  <si>
    <t>EC6076</t>
  </si>
  <si>
    <t>Echoboat 240</t>
  </si>
  <si>
    <t>Echoboat 240 Spares Kits</t>
  </si>
  <si>
    <t>ELC 1050L</t>
  </si>
  <si>
    <t>ELC 1200L</t>
  </si>
  <si>
    <t>ESC, Port side [SV-460034]</t>
  </si>
  <si>
    <t>ESC, Starboard side [SV-460035]</t>
  </si>
  <si>
    <t>Evo top controller</t>
    <phoneticPr fontId="6" type="noConversion"/>
  </si>
  <si>
    <t>Explorer</t>
  </si>
  <si>
    <t>Flotation Sphere [VITRPVEX]</t>
    <phoneticPr fontId="3" type="noConversion"/>
  </si>
  <si>
    <t>Flowmeter [2030R]</t>
  </si>
  <si>
    <t>Flowmeter [2031H]</t>
  </si>
  <si>
    <t>Flowmeter [pCO2 8050모델용]</t>
    <phoneticPr fontId="3" type="noConversion"/>
  </si>
  <si>
    <t>Foil Kit for Optode [4330F/4831F Series]</t>
  </si>
  <si>
    <t>FOX-220</t>
  </si>
  <si>
    <t>FSK board [IG202T-PCB]</t>
  </si>
  <si>
    <t>FSK modem [IG202T]</t>
  </si>
  <si>
    <t>Gaps M5</t>
  </si>
  <si>
    <t>GEFORCE RTX 5070 Ti [3X OC D7 16GB]</t>
    <phoneticPr fontId="6" type="noConversion"/>
  </si>
  <si>
    <t>GMX501</t>
  </si>
  <si>
    <t>GMX560</t>
  </si>
  <si>
    <t>GNSS (일체형) [Hemisphere V500]</t>
    <phoneticPr fontId="3" type="noConversion"/>
  </si>
  <si>
    <t>GNSS Antenna</t>
    <phoneticPr fontId="3" type="noConversion"/>
  </si>
  <si>
    <t>GNSS Antenna [CSX627A]</t>
    <phoneticPr fontId="6" type="noConversion"/>
  </si>
  <si>
    <t>GNSS 케이블 [Hemisphere V500]</t>
    <phoneticPr fontId="3" type="noConversion"/>
  </si>
  <si>
    <t>GNSS(GPS) 수신기</t>
    <phoneticPr fontId="6" type="noConversion"/>
  </si>
  <si>
    <t>GPS IN-LINE Amplifier [A0502-01-1922]</t>
    <phoneticPr fontId="6" type="noConversion"/>
  </si>
  <si>
    <t>GPS 안테나 어댑터</t>
  </si>
  <si>
    <t>GTI 윈치</t>
    <phoneticPr fontId="6" type="noConversion"/>
  </si>
  <si>
    <t>HDPE 500ml Bottles Empty + Caps</t>
  </si>
  <si>
    <t>Hemisphere R632-System</t>
  </si>
  <si>
    <t>High Precision RTK GNSS Antenna</t>
  </si>
  <si>
    <t>Hips and Ships upgrade</t>
    <phoneticPr fontId="3" type="noConversion"/>
  </si>
  <si>
    <t>HN-29B [7/16" 20 UNF Hex Nut]</t>
  </si>
  <si>
    <t>HRT-710 CR [RS-232/422/485]</t>
    <phoneticPr fontId="3" type="noConversion"/>
  </si>
  <si>
    <t>HVKT [Repair kit for electrode cable]</t>
  </si>
  <si>
    <t>Hydrins</t>
  </si>
  <si>
    <t>HYDRINS [PAA00012]</t>
    <phoneticPr fontId="3" type="noConversion"/>
  </si>
  <si>
    <t xml:space="preserve">Hydrins Ethernet Cable 5m	</t>
    <phoneticPr fontId="3" type="noConversion"/>
  </si>
  <si>
    <t xml:space="preserve">Hydrins Ethernet Connector	</t>
    <phoneticPr fontId="3" type="noConversion"/>
  </si>
  <si>
    <t>Hydro Wiper</t>
  </si>
  <si>
    <t>HydroC CH4 TOUGH</t>
  </si>
  <si>
    <t>Hydrophone [M36-900]</t>
  </si>
  <si>
    <t>Hydrophone [TC4013-1]</t>
  </si>
  <si>
    <t>Hydrophone [TC4033-4]</t>
  </si>
  <si>
    <t>hydrophone [TC4034-1]</t>
    <phoneticPr fontId="3" type="noConversion"/>
  </si>
  <si>
    <t>Hydrophone Calibration Adaptor</t>
    <phoneticPr fontId="3" type="noConversion"/>
  </si>
  <si>
    <t>Hydrophone TC4032-1</t>
  </si>
  <si>
    <t>Hydro-Wiper Brush</t>
    <phoneticPr fontId="3" type="noConversion"/>
  </si>
  <si>
    <t>iBCN Beacon</t>
    <phoneticPr fontId="3" type="noConversion"/>
  </si>
  <si>
    <t>ICPCON [HRT-710-UTA CR]</t>
    <phoneticPr fontId="6" type="noConversion"/>
  </si>
  <si>
    <t>IMU-20</t>
    <phoneticPr fontId="3" type="noConversion"/>
  </si>
  <si>
    <t>Integration Package
[SeaBat-T50-ER, EchoBoat 240 SA3-34405]</t>
    <phoneticPr fontId="3" type="noConversion"/>
  </si>
  <si>
    <t>interface board for MCsps unit</t>
    <phoneticPr fontId="3" type="noConversion"/>
  </si>
  <si>
    <t>IR-7300</t>
  </si>
  <si>
    <t>Iridium 9523 [Tera cased modem]</t>
  </si>
  <si>
    <t>Iridium 9523N</t>
  </si>
  <si>
    <t>Iridium Edge Antenna</t>
  </si>
  <si>
    <t>Isolation Transceiver</t>
    <phoneticPr fontId="6" type="noConversion"/>
  </si>
  <si>
    <t>kellems Grip</t>
    <phoneticPr fontId="6" type="noConversion"/>
  </si>
  <si>
    <t>K-WING KIT</t>
  </si>
  <si>
    <t>Latex Tubing [81-5000]</t>
  </si>
  <si>
    <t>LED SeaLite [LSL-2000]</t>
    <phoneticPr fontId="3" type="noConversion"/>
  </si>
  <si>
    <t>Leginion Pro7 [16IAX10 U9 5070Ti Plus W11P]</t>
    <phoneticPr fontId="6" type="noConversion"/>
  </si>
  <si>
    <t>LI-192SA</t>
    <phoneticPr fontId="6" type="noConversion"/>
  </si>
  <si>
    <t>LMR400 Antenna cable</t>
  </si>
  <si>
    <t>Locking Sleeve</t>
  </si>
  <si>
    <t>Locking Sleeve [Male]</t>
  </si>
  <si>
    <t>Locking Sleeve [MCDLS-M]</t>
  </si>
  <si>
    <t>LTE/GSM/WCDMA 멀티밴드 고이득 무지향안테나</t>
  </si>
  <si>
    <t>Mac mini [A1993]</t>
  </si>
  <si>
    <t>Maestro³ C.T.D.chl-a.ODO.pH|fast8|wifi</t>
    <phoneticPr fontId="6" type="noConversion"/>
  </si>
  <si>
    <t>Magnetics switch</t>
  </si>
  <si>
    <t>Magnetometer [Seaspy2]</t>
    <phoneticPr fontId="3" type="noConversion"/>
  </si>
  <si>
    <t>MBES Processor Unit</t>
  </si>
  <si>
    <t>MCBH4F [4-pin Micro Bulkhead Female Connector]</t>
  </si>
  <si>
    <t>MCBH4M [4-pin Micro Bulkhead Male Connector]</t>
  </si>
  <si>
    <t>MFT-1 complete electronics</t>
  </si>
  <si>
    <t>MFT-1 transducer</t>
  </si>
  <si>
    <t>MFT-1 with extended housing&amp; electronics [UPR]</t>
  </si>
  <si>
    <t>MICRO VAC PUMP Kit [Equ. Pump]</t>
  </si>
  <si>
    <t>Mini Altimeter Kit</t>
  </si>
  <si>
    <t>Mini Led Flasher [MMF-7500]</t>
    <phoneticPr fontId="3" type="noConversion"/>
  </si>
  <si>
    <t>Mira AI [Sonar Noise Classifier]</t>
    <phoneticPr fontId="3" type="noConversion"/>
  </si>
  <si>
    <t>Mo tube</t>
    <phoneticPr fontId="3" type="noConversion"/>
  </si>
  <si>
    <t>Mocness Deck Unit</t>
  </si>
  <si>
    <t>Mocness Motor</t>
    <phoneticPr fontId="6" type="noConversion"/>
  </si>
  <si>
    <t>Mocness Net (국산) [200um]</t>
  </si>
  <si>
    <t>Motus</t>
  </si>
  <si>
    <t>MS 커넥터 &amp; 기타 소모자재류</t>
    <phoneticPr fontId="9" type="noConversion"/>
  </si>
  <si>
    <t>MSeaSPY2 Tow Cable [Incl. to Isolation Transceiver]</t>
    <phoneticPr fontId="3" type="noConversion"/>
  </si>
  <si>
    <t>Multi logger</t>
  </si>
  <si>
    <t>N3K Electronics Pod to Inverter Pod - Power Cable</t>
    <phoneticPr fontId="3" type="noConversion"/>
  </si>
  <si>
    <t>N3K Mk II Digital 5m Rod</t>
  </si>
  <si>
    <t>N3K Scraper Washer Kit</t>
    <phoneticPr fontId="3" type="noConversion"/>
  </si>
  <si>
    <t>Navigator Bird</t>
  </si>
  <si>
    <t>NaviSuite Kuda [Autopilot(ESC)]</t>
  </si>
  <si>
    <t>NaviSuite Kuda Core</t>
  </si>
  <si>
    <t>Neptune Encoder Assembly</t>
    <phoneticPr fontId="3" type="noConversion"/>
  </si>
  <si>
    <t>Network Cable [10m]</t>
  </si>
  <si>
    <t>NETWORK CAMERA [XNP-C6403RWG]</t>
    <phoneticPr fontId="6" type="noConversion"/>
  </si>
  <si>
    <t>NETWORK HORN SPEAKER [IP-1015HSA]</t>
    <phoneticPr fontId="6" type="noConversion"/>
  </si>
  <si>
    <t>Niskin 10L</t>
    <phoneticPr fontId="3" type="noConversion"/>
  </si>
  <si>
    <t>Niskin Sampler [101005 ( 5 L )]</t>
  </si>
  <si>
    <t>Oceano Transponder [MTB02/R]</t>
  </si>
  <si>
    <t>Octans</t>
    <phoneticPr fontId="3" type="noConversion"/>
  </si>
  <si>
    <t>Oil refill [1L]</t>
    <phoneticPr fontId="3" type="noConversion"/>
  </si>
  <si>
    <t>Oring 012 Black Viton [82-0012V]</t>
  </si>
  <si>
    <t>Oxygen Electrolyte solution</t>
    <phoneticPr fontId="6" type="noConversion"/>
  </si>
  <si>
    <t>OXYGEN OPTODE Sensor [4531A]</t>
  </si>
  <si>
    <t>OXYGEN OPTODE Sensor [4835]</t>
  </si>
  <si>
    <t>OXYGEN OPTODE Sensor [5730]</t>
  </si>
  <si>
    <t>pCO2 부품</t>
  </si>
  <si>
    <t>pCO2용 펌프</t>
    <phoneticPr fontId="6" type="noConversion"/>
  </si>
  <si>
    <t>PC돔</t>
    <phoneticPr fontId="3" type="noConversion"/>
  </si>
  <si>
    <t>PDS2000 Survey &amp; Office</t>
    <phoneticPr fontId="3" type="noConversion"/>
  </si>
  <si>
    <t>pH Shallow water sensor</t>
    <phoneticPr fontId="6" type="noConversion"/>
  </si>
  <si>
    <t>PHINS</t>
    <phoneticPr fontId="3" type="noConversion"/>
  </si>
  <si>
    <t>Piston Corer [6m]</t>
    <phoneticPr fontId="6" type="noConversion"/>
  </si>
  <si>
    <t>Plastic container</t>
  </si>
  <si>
    <t>Pod 6.0 Evo</t>
    <phoneticPr fontId="6" type="noConversion"/>
  </si>
  <si>
    <t>Polaris Targets</t>
  </si>
  <si>
    <t>PolaRx5</t>
    <phoneticPr fontId="3" type="noConversion"/>
  </si>
  <si>
    <t>Pop-up buoy kit [For Teledyne R500(R500-PUB-KIT)]</t>
    <phoneticPr fontId="3" type="noConversion"/>
  </si>
  <si>
    <t>Portable mobile vehicle</t>
    <phoneticPr fontId="3" type="noConversion"/>
  </si>
  <si>
    <t>PowerEdge R250</t>
  </si>
  <si>
    <t>Preamplifier [EC6081]</t>
  </si>
  <si>
    <t>Preamplifier for hydrophone
[Reson TC4013용]</t>
    <phoneticPr fontId="3" type="noConversion"/>
  </si>
  <si>
    <t>Precise Atomic Clock [for RESEA 550]</t>
  </si>
  <si>
    <t>Pressure Sensor [4117]</t>
  </si>
  <si>
    <t>Pressure Sensor [PTB210]</t>
    <phoneticPr fontId="6" type="noConversion"/>
  </si>
  <si>
    <t>Pressure Switch [PS-200]</t>
  </si>
  <si>
    <t>Projector [TC2187]</t>
    <phoneticPr fontId="3" type="noConversion"/>
  </si>
  <si>
    <t>Propeller shaft bearing</t>
  </si>
  <si>
    <t>PROPELLER SHAFT W/HUB</t>
  </si>
  <si>
    <t>PROPELLER SHAFT W/HUB(1/4 DIA)</t>
  </si>
  <si>
    <t>Protective Guard of MT932S [MDE00273]</t>
    <phoneticPr fontId="3" type="noConversion"/>
  </si>
  <si>
    <t>R500 Strong Back Assembly</t>
  </si>
  <si>
    <t>Radar Reflector</t>
    <phoneticPr fontId="3" type="noConversion"/>
  </si>
  <si>
    <t>Ramses [CRM142E]</t>
  </si>
  <si>
    <t>RANGE FINDER [SM-140]</t>
  </si>
  <si>
    <t>RBR duet³ T.D|tide16</t>
    <phoneticPr fontId="6" type="noConversion"/>
  </si>
  <si>
    <t>RBRcoda³ D</t>
    <phoneticPr fontId="3" type="noConversion"/>
  </si>
  <si>
    <t>RBRconcerto CTD.Tu.fast8</t>
  </si>
  <si>
    <t>RC Joystick</t>
  </si>
  <si>
    <t>Receive Front Panel Board</t>
  </si>
  <si>
    <t>Receive Module</t>
  </si>
  <si>
    <t>Receiver</t>
  </si>
  <si>
    <t>Receiver [EM7218]</t>
  </si>
  <si>
    <t>Receiver Bandpass Filter [25Mhz/42Mhz]</t>
  </si>
  <si>
    <t>REceptacle [18pins]</t>
  </si>
  <si>
    <t>Receptacle [6pins]</t>
  </si>
  <si>
    <t>Recovery system: float, canister, release mounting brkt</t>
    <phoneticPr fontId="3" type="noConversion"/>
  </si>
  <si>
    <t>Reference NaCI Sensor for 7000m</t>
  </si>
  <si>
    <t>Reference Sensor</t>
  </si>
  <si>
    <t>Reference Sensor Storage Solution</t>
    <phoneticPr fontId="6" type="noConversion"/>
  </si>
  <si>
    <t>Replacement DHI battery [Replacement parts]</t>
  </si>
  <si>
    <t>RESEA 550</t>
  </si>
  <si>
    <t>RESISTOR SET</t>
  </si>
  <si>
    <t>RT Instinct WR Quest</t>
    <phoneticPr fontId="6" type="noConversion"/>
  </si>
  <si>
    <t>Rubber Cord</t>
    <phoneticPr fontId="6" type="noConversion"/>
  </si>
  <si>
    <t>Rx Power Supply 12V [HB12-1.7-A+G]</t>
  </si>
  <si>
    <t>Rx Power Supply 5V [HAA5-1.5/OVP-A+G]</t>
  </si>
  <si>
    <t>S510 Semi-Rugged Notebook [CPU Ultra 5 Standard]</t>
    <phoneticPr fontId="6" type="noConversion"/>
  </si>
  <si>
    <t>Scan Passive Antenna [STRMP-ANT-SCAN]</t>
  </si>
  <si>
    <t>Sea Cable [100m]</t>
  </si>
  <si>
    <t>Sea Cable [125m]</t>
    <phoneticPr fontId="3" type="noConversion"/>
  </si>
  <si>
    <t>Seabat [T50-P]</t>
    <phoneticPr fontId="3" type="noConversion"/>
  </si>
  <si>
    <t>Seabat [T50-R]</t>
    <phoneticPr fontId="3" type="noConversion"/>
  </si>
  <si>
    <t>SeaBat Cable GPS Antenna 10m [1010752]</t>
    <phoneticPr fontId="3" type="noConversion"/>
  </si>
  <si>
    <t>SeaBat Cable RX 10m
[1008775]</t>
    <phoneticPr fontId="3" type="noConversion"/>
  </si>
  <si>
    <t>SeaBat Cable TX 10m
[85002228]</t>
    <phoneticPr fontId="3" type="noConversion"/>
  </si>
  <si>
    <t>Seaguard 2 Platform</t>
    <phoneticPr fontId="3" type="noConversion"/>
  </si>
  <si>
    <t>Seaguard RCM Sensor</t>
    <phoneticPr fontId="3" type="noConversion"/>
  </si>
  <si>
    <t>SeaLaser 100</t>
    <phoneticPr fontId="3" type="noConversion"/>
  </si>
  <si>
    <t>SeaSonde TX Antenna [SSTA-100]</t>
  </si>
  <si>
    <t>SeaSPY2 Tow Connector</t>
  </si>
  <si>
    <t>SeaSPY2 Winged Frame Assembly [M-SS1205]</t>
    <phoneticPr fontId="6" type="noConversion"/>
  </si>
  <si>
    <t>SeaSPY2 Y-Split cable</t>
    <phoneticPr fontId="6" type="noConversion"/>
  </si>
  <si>
    <t>Sensor Cross Arm [3435]</t>
  </si>
  <si>
    <t>SHAFT, WING, QUICK RELEASE [P/N: 07748]</t>
  </si>
  <si>
    <t>Shallow water Deck Unit [Releaseit]</t>
  </si>
  <si>
    <t>Shorted MCBH plug for STING</t>
    <phoneticPr fontId="3" type="noConversion"/>
  </si>
  <si>
    <t>SIG Pulse L5 [Box1]</t>
    <phoneticPr fontId="3" type="noConversion"/>
  </si>
  <si>
    <t>Signal Cable [12코어]</t>
  </si>
  <si>
    <t>Signal cable [FM012-694-X cable]</t>
    <phoneticPr fontId="6" type="noConversion"/>
  </si>
  <si>
    <t>Signal cable [S7C20A]</t>
  </si>
  <si>
    <t>Simple RTK2B [Basic starter Kit]</t>
  </si>
  <si>
    <t>Sintered PTFE Filter</t>
    <phoneticPr fontId="6" type="noConversion"/>
  </si>
  <si>
    <t>Smart Buoy [spotter]</t>
  </si>
  <si>
    <t>Smartcast EB 240
[Smartcast EB 240 SV-460010]</t>
    <phoneticPr fontId="3" type="noConversion"/>
  </si>
  <si>
    <t>Solar panel</t>
    <phoneticPr fontId="3" type="noConversion"/>
  </si>
  <si>
    <t>Sonar process unit</t>
    <phoneticPr fontId="3" type="noConversion"/>
  </si>
  <si>
    <t>SONAR-PRO 14.1 SDK</t>
    <phoneticPr fontId="3" type="noConversion"/>
  </si>
  <si>
    <t xml:space="preserve">SonarWiz Office Sidescan &amp; Sub-bottom </t>
    <phoneticPr fontId="3" type="noConversion"/>
  </si>
  <si>
    <t>Sparker Electrode [EDL1020]</t>
    <phoneticPr fontId="3" type="noConversion"/>
  </si>
  <si>
    <t>Sparker Electrode [ELC1200L]</t>
    <phoneticPr fontId="3" type="noConversion"/>
  </si>
  <si>
    <t>Sparker Electrode [ELP1250]</t>
    <phoneticPr fontId="3" type="noConversion"/>
  </si>
  <si>
    <t>Sparker Electrode [ELP790]</t>
  </si>
  <si>
    <t>SR-5/32</t>
    <phoneticPr fontId="3" type="noConversion"/>
  </si>
  <si>
    <t>SSD [2TB]</t>
    <phoneticPr fontId="6" type="noConversion"/>
  </si>
  <si>
    <t>ST-400B</t>
    <phoneticPr fontId="3" type="noConversion"/>
  </si>
  <si>
    <t>Sting MK2</t>
  </si>
  <si>
    <t>STREAM+ [STREAMPLUS-BBRD]</t>
  </si>
  <si>
    <t>Stream+ Development Kit [STREAMPLUS-DVKT]</t>
    <phoneticPr fontId="3" type="noConversion"/>
  </si>
  <si>
    <t>STS316 샤클BB [26mm]</t>
    <phoneticPr fontId="6" type="noConversion"/>
  </si>
  <si>
    <t>Surface Reference Cable [25m]</t>
  </si>
  <si>
    <t>Surface Reference Cable [50m]</t>
    <phoneticPr fontId="3" type="noConversion"/>
  </si>
  <si>
    <t>SVP 70 cable</t>
  </si>
  <si>
    <t>SVP70</t>
    <phoneticPr fontId="3" type="noConversion"/>
  </si>
  <si>
    <t>SYLENCE-LP</t>
  </si>
  <si>
    <t>SYSTEM REMOTE MIC STATION [RM-S1000]</t>
    <phoneticPr fontId="6" type="noConversion"/>
  </si>
  <si>
    <t>T50 Portable Sonar Processor</t>
  </si>
  <si>
    <t>T50 TX cable</t>
  </si>
  <si>
    <t>T51-R</t>
  </si>
  <si>
    <t>T51-R</t>
    <phoneticPr fontId="3" type="noConversion"/>
  </si>
  <si>
    <t>TAC100-1/2/4</t>
  </si>
  <si>
    <t>TAIL SWIVEL WITH WEAK LINK AND ATT NAUT [511510048]</t>
    <phoneticPr fontId="3" type="noConversion"/>
  </si>
  <si>
    <t>Temperature Sensor [4060]</t>
    <phoneticPr fontId="3" type="noConversion"/>
  </si>
  <si>
    <t>Termination kit</t>
    <phoneticPr fontId="3" type="noConversion"/>
  </si>
  <si>
    <t>Termination Kit for Armored,COAX [14103037]</t>
    <phoneticPr fontId="3" type="noConversion"/>
  </si>
  <si>
    <t>Tide Sensor [5217]</t>
    <phoneticPr fontId="6" type="noConversion"/>
  </si>
  <si>
    <t xml:space="preserve">TL8144-X </t>
    <phoneticPr fontId="3" type="noConversion"/>
  </si>
  <si>
    <t>TOGS1</t>
  </si>
  <si>
    <t>Topside Power Suply PCB</t>
    <phoneticPr fontId="3" type="noConversion"/>
  </si>
  <si>
    <t xml:space="preserve">Tow cable	</t>
    <phoneticPr fontId="3" type="noConversion"/>
  </si>
  <si>
    <t>TR Control Module</t>
  </si>
  <si>
    <t>TR05 Sea Catch Toggle Release</t>
    <phoneticPr fontId="6" type="noConversion"/>
  </si>
  <si>
    <t>Tranducer for UTS9500 [XDCR-LU6]</t>
    <phoneticPr fontId="3" type="noConversion"/>
  </si>
  <si>
    <t>Transceiver</t>
    <phoneticPr fontId="6" type="noConversion"/>
  </si>
  <si>
    <t>Transmit Low Pass Filter(42MHz)</t>
  </si>
  <si>
    <t>TRBM Frame</t>
    <phoneticPr fontId="6" type="noConversion"/>
  </si>
  <si>
    <t>TRBM 배터리 [25.2V, 171Ah]</t>
    <phoneticPr fontId="6" type="noConversion"/>
  </si>
  <si>
    <t>TRBM 웨이트</t>
    <phoneticPr fontId="6" type="noConversion"/>
  </si>
  <si>
    <t>Trimble XR10</t>
  </si>
  <si>
    <t>TURBIDITY SENSOR [4296A]</t>
    <phoneticPr fontId="3" type="noConversion"/>
  </si>
  <si>
    <t xml:space="preserve">Turnaround Kit [R500용]	</t>
    <phoneticPr fontId="3" type="noConversion"/>
  </si>
  <si>
    <t>ULB-362C/37 [37kHz]</t>
    <phoneticPr fontId="3" type="noConversion"/>
  </si>
  <si>
    <t>Underwater Board</t>
    <phoneticPr fontId="6" type="noConversion"/>
  </si>
  <si>
    <t>Underwater metal detector [SAR-1]</t>
    <phoneticPr fontId="6" type="noConversion"/>
  </si>
  <si>
    <t>UPRF [ATT-400ST]</t>
  </si>
  <si>
    <t>UPS [SMT1000RMI2UC]</t>
    <phoneticPr fontId="6" type="noConversion"/>
  </si>
  <si>
    <t>UPS [SURT1000XLIM]</t>
    <phoneticPr fontId="6" type="noConversion"/>
  </si>
  <si>
    <t>UPS 배터리[RBC157]</t>
    <phoneticPr fontId="6" type="noConversion"/>
  </si>
  <si>
    <t>USB Host cable</t>
    <phoneticPr fontId="3" type="noConversion"/>
  </si>
  <si>
    <t>UTS 9425</t>
  </si>
  <si>
    <t>UTS-9450A-L6</t>
    <phoneticPr fontId="3" type="noConversion"/>
  </si>
  <si>
    <t>UTS-9500 [UTS-9525E-L6]</t>
  </si>
  <si>
    <t>UV Anti-fouling kit (L shape) [BarnakiL]</t>
  </si>
  <si>
    <t>UV Anti-fouling kit (straight) [BarnakiL]</t>
    <phoneticPr fontId="6" type="noConversion"/>
  </si>
  <si>
    <t>V band clamp</t>
  </si>
  <si>
    <t>Vented Tide sensor [4447RS]</t>
  </si>
  <si>
    <t>Vigo Profiling Winch</t>
  </si>
  <si>
    <t>Vindta 3C</t>
  </si>
  <si>
    <t>VITROVEX custom shell</t>
  </si>
  <si>
    <t>VPN 장비	 [AXGATE 200]</t>
    <phoneticPr fontId="6" type="noConversion"/>
  </si>
  <si>
    <t>W-565 [7/16" LW]</t>
  </si>
  <si>
    <t>Wave Unit</t>
    <phoneticPr fontId="6" type="noConversion"/>
  </si>
  <si>
    <t>Wavex System</t>
  </si>
  <si>
    <t>WGMS Annual Subscription</t>
    <phoneticPr fontId="3" type="noConversion"/>
  </si>
  <si>
    <t>Wind sensor [05106]</t>
    <phoneticPr fontId="3" type="noConversion"/>
  </si>
  <si>
    <t>Wind sensor Spare parts [Nose Cone &amp; Propeller shaft ASSY]</t>
  </si>
  <si>
    <t>Wind sensor Spare parts [Propeller]</t>
    <phoneticPr fontId="3" type="noConversion"/>
  </si>
  <si>
    <t>WS500 통합형 기상센서</t>
    <phoneticPr fontId="6" type="noConversion"/>
  </si>
  <si>
    <t>X-Band Radar</t>
    <phoneticPr fontId="6" type="noConversion"/>
  </si>
  <si>
    <t>XNP-9250R</t>
  </si>
  <si>
    <t>Y cable [[IL-2-MP//DLSA-F-To-Y Mold-IL-2-MP//DLSA-F*2]]</t>
  </si>
  <si>
    <t>Zinc Bar Anode [A-855-139]</t>
  </si>
  <si>
    <t>Zinc Bar Anode [A-855-82-1]</t>
  </si>
  <si>
    <t>ZTA02C (Zigbee Transponder)</t>
  </si>
  <si>
    <t>가스분석기 케이스 고정대</t>
    <phoneticPr fontId="3" type="noConversion"/>
  </si>
  <si>
    <t>간이 백엽상</t>
    <phoneticPr fontId="6" type="noConversion"/>
  </si>
  <si>
    <t>거치대</t>
    <phoneticPr fontId="3" type="noConversion"/>
  </si>
  <si>
    <t>계류자재</t>
    <phoneticPr fontId="6" type="noConversion"/>
  </si>
  <si>
    <t>기압포트 [보드일체형]</t>
    <phoneticPr fontId="6" type="noConversion"/>
  </si>
  <si>
    <t>기온센서 [RTD200]</t>
    <phoneticPr fontId="6" type="noConversion"/>
  </si>
  <si>
    <t>나일론 로프 [20mm 20M]</t>
    <phoneticPr fontId="6" type="noConversion"/>
  </si>
  <si>
    <t xml:space="preserve">낙뢰방호시스템 </t>
    <phoneticPr fontId="3" type="noConversion"/>
  </si>
  <si>
    <t>노트북</t>
    <phoneticPr fontId="6" type="noConversion"/>
  </si>
  <si>
    <t>데스크탑램 DDR5-5600 [32GB]</t>
    <phoneticPr fontId="6" type="noConversion"/>
  </si>
  <si>
    <t>등명기 [SL15]</t>
    <phoneticPr fontId="3" type="noConversion"/>
  </si>
  <si>
    <t>레이더식 조위계 [VEGAPLUS 64]</t>
  </si>
  <si>
    <t>레이더식 조위계	[VEGA PULS 6X]</t>
    <phoneticPr fontId="6" type="noConversion"/>
  </si>
  <si>
    <t>리니어 액추에이터 [J55633]</t>
  </si>
  <si>
    <t>리튬 배터리(7S14P) [25.5V 266Ah]</t>
    <phoneticPr fontId="6" type="noConversion"/>
  </si>
  <si>
    <t>메탄센서용 프레임 및 브라켓</t>
    <phoneticPr fontId="3" type="noConversion"/>
  </si>
  <si>
    <t>미니돔 카메라 [2.0C-H5M-DO1-IR]</t>
  </si>
  <si>
    <t>발전기 [SG10000EX]</t>
    <phoneticPr fontId="6" type="noConversion"/>
  </si>
  <si>
    <t>배터리 [E175]</t>
    <phoneticPr fontId="6" type="noConversion"/>
  </si>
  <si>
    <t>배터리팩 [바나킬용]</t>
  </si>
  <si>
    <t>부이 하부구조물</t>
    <phoneticPr fontId="3" type="noConversion"/>
  </si>
  <si>
    <t>부이폼</t>
    <phoneticPr fontId="6" type="noConversion"/>
  </si>
  <si>
    <t>부자식 수위계</t>
    <phoneticPr fontId="9" type="noConversion"/>
  </si>
  <si>
    <t>브라켓 어댑터</t>
    <phoneticPr fontId="3" type="noConversion"/>
  </si>
  <si>
    <t>상부구조물 및 부력체</t>
    <phoneticPr fontId="6" type="noConversion"/>
  </si>
  <si>
    <t>상부노각대</t>
    <phoneticPr fontId="6" type="noConversion"/>
  </si>
  <si>
    <t>샌디스크 외장 SSD [2TB]</t>
    <phoneticPr fontId="6" type="noConversion"/>
  </si>
  <si>
    <t>샤프트 배터리팩 [LS33600 6S15P]</t>
    <phoneticPr fontId="3" type="noConversion"/>
  </si>
  <si>
    <t>서버 보안 프로그램 [AVASTA Endpoint 1YEAR]</t>
    <phoneticPr fontId="6" type="noConversion"/>
  </si>
  <si>
    <t>서스튜브 [1/8"]</t>
    <phoneticPr fontId="6" type="noConversion"/>
  </si>
  <si>
    <t>센서거치대 및 고정 구조물</t>
    <phoneticPr fontId="6" type="noConversion"/>
  </si>
  <si>
    <t>소모품류</t>
    <phoneticPr fontId="3" type="noConversion"/>
  </si>
  <si>
    <t>소형 지게차</t>
    <phoneticPr fontId="6" type="noConversion"/>
  </si>
  <si>
    <t>소형윈치</t>
    <phoneticPr fontId="3" type="noConversion"/>
  </si>
  <si>
    <t>솔라판넬 [SPM 150W]</t>
    <phoneticPr fontId="6" type="noConversion"/>
  </si>
  <si>
    <t>수동권취형 케이블릴 [ACM-1350-2C-GR]</t>
    <phoneticPr fontId="6" type="noConversion"/>
  </si>
  <si>
    <t>수중펌프(심정펌프)</t>
    <phoneticPr fontId="6" type="noConversion"/>
  </si>
  <si>
    <t>스크류 잭 [GSN125-BF01-B1-BL4040-2258L]</t>
    <phoneticPr fontId="6" type="noConversion"/>
  </si>
  <si>
    <t>슬립링 [SKS-B080-OS]</t>
    <phoneticPr fontId="6" type="noConversion"/>
  </si>
  <si>
    <t>슬립링 [SKS-S012]</t>
    <phoneticPr fontId="6" type="noConversion"/>
  </si>
  <si>
    <t>슬립링 마운트</t>
    <phoneticPr fontId="6" type="noConversion"/>
  </si>
  <si>
    <t>습도계(HMP155)</t>
    <phoneticPr fontId="3" type="noConversion"/>
  </si>
  <si>
    <t>신호변환기</t>
  </si>
  <si>
    <t>심해용 압력부이 [370mm 부력26kg]</t>
    <phoneticPr fontId="6" type="noConversion"/>
  </si>
  <si>
    <t>쏠라트랙커 [HyperSAS]</t>
    <phoneticPr fontId="6" type="noConversion"/>
  </si>
  <si>
    <t>안내문구</t>
    <phoneticPr fontId="6" type="noConversion"/>
  </si>
  <si>
    <t>안테나 프레임 연결봉</t>
    <phoneticPr fontId="3" type="noConversion"/>
  </si>
  <si>
    <t>앵커스위벨 [26mm]</t>
    <phoneticPr fontId="6" type="noConversion"/>
  </si>
  <si>
    <t>앵커스위벨 [38mm]</t>
    <phoneticPr fontId="6" type="noConversion"/>
  </si>
  <si>
    <t>앵커체인 [26mm]</t>
    <phoneticPr fontId="6" type="noConversion"/>
  </si>
  <si>
    <t>앵커체인 [38mm]</t>
    <phoneticPr fontId="6" type="noConversion"/>
  </si>
  <si>
    <t>에나멜페인트,신나,락카 외</t>
    <phoneticPr fontId="6" type="noConversion"/>
  </si>
  <si>
    <t>옥외용함체 [19"]</t>
    <phoneticPr fontId="6" type="noConversion"/>
  </si>
  <si>
    <t>온습도계 [PATH-01]</t>
    <phoneticPr fontId="6" type="noConversion"/>
  </si>
  <si>
    <t>외부함체</t>
    <phoneticPr fontId="6" type="noConversion"/>
  </si>
  <si>
    <t>원격전원제어장치 [RPC-SP5W] [RPC-SP5W]</t>
    <phoneticPr fontId="6" type="noConversion"/>
  </si>
  <si>
    <t>위성안테나 및 회선 개통</t>
    <phoneticPr fontId="3" type="noConversion"/>
  </si>
  <si>
    <t>윈치 케이블용 로프 절단칼</t>
    <phoneticPr fontId="6" type="noConversion"/>
  </si>
  <si>
    <t>유속계 팬틸트 수리,설치</t>
    <phoneticPr fontId="6" type="noConversion"/>
  </si>
  <si>
    <t>이안류용 배터리 [ESP-100Ah-12V]</t>
    <phoneticPr fontId="6" type="noConversion"/>
  </si>
  <si>
    <t>인버터 [복합발전설비]</t>
    <phoneticPr fontId="6" type="noConversion"/>
  </si>
  <si>
    <t>인산철 배터리 [TLFM-24200]</t>
    <phoneticPr fontId="6" type="noConversion"/>
  </si>
  <si>
    <t>인산철배터리 [TLFM-12100]</t>
    <phoneticPr fontId="6" type="noConversion"/>
  </si>
  <si>
    <t>일체형 등명기 5마일 [5NM]</t>
    <phoneticPr fontId="6" type="noConversion"/>
  </si>
  <si>
    <t xml:space="preserve">자기위치 발신장치 배터리(Watchdog 배터리)	</t>
    <phoneticPr fontId="6" type="noConversion"/>
  </si>
  <si>
    <t>자동전압조절기(AVR) [DG-AVR730RM5U/3KVA]</t>
    <phoneticPr fontId="6" type="noConversion"/>
  </si>
  <si>
    <t>작업대</t>
    <phoneticPr fontId="3" type="noConversion"/>
  </si>
  <si>
    <t>전원 이중화 장치 [STS-5000]</t>
    <phoneticPr fontId="6" type="noConversion"/>
  </si>
  <si>
    <t>조립 컴퓨터</t>
    <phoneticPr fontId="6" type="noConversion"/>
  </si>
  <si>
    <t>조위계 프레임</t>
    <phoneticPr fontId="3" type="noConversion"/>
  </si>
  <si>
    <t>조이닝샤클 [38mm]</t>
    <phoneticPr fontId="6" type="noConversion"/>
  </si>
  <si>
    <t>조이닝샤클 [26mm]</t>
    <phoneticPr fontId="6" type="noConversion"/>
  </si>
  <si>
    <t>중층 상하귀 부자 외 5종</t>
    <phoneticPr fontId="6" type="noConversion"/>
  </si>
  <si>
    <t>진회수장치(LARS) 컨트롤러 [OT_LARS_Con]</t>
    <phoneticPr fontId="6" type="noConversion"/>
  </si>
  <si>
    <t>채수기 5L</t>
  </si>
  <si>
    <t>채수기용 메신져</t>
    <phoneticPr fontId="6" type="noConversion"/>
  </si>
  <si>
    <t>충방전조절기 [TML2420]</t>
    <phoneticPr fontId="6" type="noConversion"/>
  </si>
  <si>
    <t>충전기 [AP-1215LF]</t>
    <phoneticPr fontId="6" type="noConversion"/>
  </si>
  <si>
    <t>침추 15ton</t>
    <phoneticPr fontId="6" type="noConversion"/>
  </si>
  <si>
    <t>커넥터 및 밀폐용 어댑터</t>
  </si>
  <si>
    <t>컨테이너</t>
    <phoneticPr fontId="6" type="noConversion"/>
  </si>
  <si>
    <t>케이블릴 [ALE-12500-6AMC]</t>
    <phoneticPr fontId="6" type="noConversion"/>
  </si>
  <si>
    <r>
      <rPr>
        <sz val="9"/>
        <rFont val="맑은 고딕"/>
        <family val="3"/>
        <charset val="129"/>
        <scheme val="minor"/>
      </rPr>
      <t>코어노즈&amp;코어캐쳐</t>
    </r>
    <phoneticPr fontId="6" type="noConversion"/>
  </si>
  <si>
    <t>크레들</t>
    <phoneticPr fontId="3" type="noConversion"/>
  </si>
  <si>
    <t>크로스비 샤클 [38mm]</t>
    <phoneticPr fontId="6" type="noConversion"/>
  </si>
  <si>
    <t>크로스비 샤클 [45mm]</t>
    <phoneticPr fontId="6" type="noConversion"/>
  </si>
  <si>
    <t>키보드 마우스 세트</t>
    <phoneticPr fontId="6" type="noConversion"/>
  </si>
  <si>
    <t>태양전지 프레임</t>
    <phoneticPr fontId="6" type="noConversion"/>
  </si>
  <si>
    <t>태양전지판 프레임</t>
    <phoneticPr fontId="3" type="noConversion"/>
  </si>
  <si>
    <t>터프북 [S410]</t>
    <phoneticPr fontId="6" type="noConversion"/>
  </si>
  <si>
    <t>통합형 기상센서 [WS500]</t>
    <phoneticPr fontId="3" type="noConversion"/>
  </si>
  <si>
    <t>툴레 장비 백팩 28L</t>
    <phoneticPr fontId="6" type="noConversion"/>
  </si>
  <si>
    <t>표식부이 [RPB-600]</t>
    <phoneticPr fontId="6" type="noConversion"/>
  </si>
  <si>
    <t>표준가스 레귤레이터 [GCE]</t>
    <phoneticPr fontId="6" type="noConversion"/>
  </si>
  <si>
    <t>표준해수</t>
  </si>
  <si>
    <t>표준화 부이 컨트롤러 보드</t>
  </si>
  <si>
    <t>표층수온염분기 챔버</t>
    <phoneticPr fontId="3" type="noConversion"/>
  </si>
  <si>
    <t>풍력발전기 [DS-300]</t>
  </si>
  <si>
    <t>프레임</t>
    <phoneticPr fontId="3" type="noConversion"/>
  </si>
  <si>
    <t>플립뷰 화이트18.5 듀얼스크린 포터블모니터 [Flipview]</t>
    <phoneticPr fontId="6" type="noConversion"/>
  </si>
  <si>
    <t>하우징</t>
    <phoneticPr fontId="3" type="noConversion"/>
  </si>
  <si>
    <t>함체</t>
    <phoneticPr fontId="3" type="noConversion"/>
  </si>
  <si>
    <t>항로표지용 LED 등명기 [DS-3NM 일체형]</t>
    <phoneticPr fontId="6" type="noConversion"/>
  </si>
  <si>
    <t>해상용 LED 등명기 [R-R-11d-DS-3NM]</t>
    <phoneticPr fontId="3" type="noConversion"/>
  </si>
  <si>
    <t>해상용 LTE Router(KT향) 외</t>
    <phoneticPr fontId="6" type="noConversion"/>
  </si>
  <si>
    <t>해양기상 Windows Server 2022 Standard</t>
    <phoneticPr fontId="3" type="noConversion"/>
  </si>
  <si>
    <t>금액</t>
    <phoneticPr fontId="3" type="noConversion"/>
  </si>
  <si>
    <t>수량</t>
    <phoneticPr fontId="3" type="noConversion"/>
  </si>
  <si>
    <t>차기이월</t>
    <phoneticPr fontId="3" type="noConversion"/>
  </si>
  <si>
    <t>당기출고</t>
    <phoneticPr fontId="3" type="noConversion"/>
  </si>
  <si>
    <t>당기입고</t>
    <phoneticPr fontId="3" type="noConversion"/>
  </si>
  <si>
    <t>전기이월</t>
    <phoneticPr fontId="3" type="noConversion"/>
  </si>
  <si>
    <t>품목명[규격명]</t>
  </si>
  <si>
    <t>재고 수불 명세서</t>
    <phoneticPr fontId="3" type="noConversion"/>
  </si>
  <si>
    <t>2025년 12월 31일 기준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</si>
</sst>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6" x14ac:knownFonts="1">
    <font>
      <sz val="11"/>
      <name val="Calibri"/>
      <family val="2"/>
    </font>
    <font>
      <sz val="11"/>
      <name val="Calibri"/>
      <family val="2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57">
    <xf numFmtId="0" fontId="0" fillId="0" borderId="0" xfId="0"/>
    <xf numFmtId="176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41" fontId="4" fillId="0" borderId="1" xfId="1" applyFont="1" applyBorder="1" applyAlignment="1">
      <alignment vertical="center"/>
    </xf>
    <xf numFmtId="41" fontId="2" fillId="0" borderId="1" xfId="1" applyFont="1" applyBorder="1" applyAlignment="1">
      <alignment horizontal="left" vertical="center" wrapText="1"/>
    </xf>
    <xf numFmtId="41" fontId="2" fillId="0" borderId="1" xfId="1" applyFont="1" applyFill="1" applyBorder="1" applyAlignment="1">
      <alignment horizontal="left" vertical="center" wrapText="1"/>
    </xf>
    <xf numFmtId="176" fontId="4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41" fontId="4" fillId="0" borderId="1" xfId="1" applyFont="1" applyFill="1" applyBorder="1" applyAlignment="1">
      <alignment vertical="center"/>
    </xf>
    <xf numFmtId="41" fontId="2" fillId="0" borderId="1" xfId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41" fontId="4" fillId="0" borderId="1" xfId="1" applyFont="1" applyBorder="1" applyAlignment="1">
      <alignment horizontal="left" vertical="center"/>
    </xf>
    <xf numFmtId="3" fontId="2" fillId="0" borderId="1" xfId="2" applyNumberFormat="1" applyFont="1" applyBorder="1" applyAlignment="1">
      <alignment horizontal="right" vertical="center"/>
    </xf>
    <xf numFmtId="41" fontId="2" fillId="0" borderId="1" xfId="1" applyFont="1" applyFill="1" applyBorder="1" applyAlignment="1">
      <alignment horizontal="left" vertical="center"/>
    </xf>
    <xf numFmtId="41" fontId="11" fillId="0" borderId="1" xfId="1" applyFont="1" applyBorder="1" applyAlignment="1">
      <alignment horizontal="left" vertical="center" wrapText="1"/>
    </xf>
    <xf numFmtId="41" fontId="11" fillId="0" borderId="1" xfId="1" applyFont="1" applyFill="1" applyBorder="1" applyAlignment="1">
      <alignment horizontal="left" vertical="center" wrapText="1"/>
    </xf>
    <xf numFmtId="41" fontId="4" fillId="0" borderId="1" xfId="1" applyFont="1" applyFill="1" applyBorder="1" applyAlignment="1">
      <alignment horizontal="left" vertical="center"/>
    </xf>
    <xf numFmtId="41" fontId="12" fillId="0" borderId="1" xfId="1" applyFont="1" applyFill="1" applyBorder="1" applyAlignment="1">
      <alignment vertical="center"/>
    </xf>
    <xf numFmtId="41" fontId="13" fillId="0" borderId="1" xfId="1" applyFont="1" applyBorder="1" applyAlignment="1">
      <alignment vertical="center"/>
    </xf>
    <xf numFmtId="41" fontId="13" fillId="0" borderId="1" xfId="1" applyFont="1" applyFill="1" applyBorder="1" applyAlignment="1">
      <alignment vertical="center"/>
    </xf>
    <xf numFmtId="41" fontId="7" fillId="3" borderId="1" xfId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1" fontId="2" fillId="0" borderId="0" xfId="1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41" fontId="2" fillId="0" borderId="2" xfId="1" applyFont="1" applyBorder="1" applyAlignment="1">
      <alignment horizontal="left" vertical="center" wrapText="1"/>
    </xf>
    <xf numFmtId="41" fontId="2" fillId="0" borderId="2" xfId="1" applyFont="1" applyFill="1" applyBorder="1" applyAlignment="1">
      <alignment horizontal="left" vertical="center" wrapText="1"/>
    </xf>
    <xf numFmtId="41" fontId="4" fillId="0" borderId="2" xfId="1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/>
    </xf>
    <xf numFmtId="41" fontId="2" fillId="0" borderId="0" xfId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indent="1"/>
    </xf>
    <xf numFmtId="31" fontId="7" fillId="0" borderId="0" xfId="1" applyNumberFormat="1" applyFont="1" applyBorder="1" applyAlignment="1">
      <alignment horizontal="right" vertical="center"/>
    </xf>
    <xf numFmtId="41" fontId="7" fillId="0" borderId="0" xfId="1" applyFont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41" fontId="7" fillId="3" borderId="5" xfId="1" applyFont="1" applyFill="1" applyBorder="1" applyAlignment="1">
      <alignment horizontal="center" vertical="center"/>
    </xf>
    <xf numFmtId="41" fontId="7" fillId="3" borderId="6" xfId="1" applyFont="1" applyFill="1" applyBorder="1" applyAlignment="1">
      <alignment horizontal="center" vertical="center"/>
    </xf>
    <xf numFmtId="41" fontId="7" fillId="3" borderId="7" xfId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41" fontId="7" fillId="3" borderId="9" xfId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1"/>
    </xf>
    <xf numFmtId="41" fontId="4" fillId="0" borderId="9" xfId="1" applyFont="1" applyFill="1" applyBorder="1" applyAlignment="1">
      <alignment vertical="center"/>
    </xf>
    <xf numFmtId="0" fontId="2" fillId="0" borderId="10" xfId="0" applyFont="1" applyBorder="1" applyAlignment="1">
      <alignment horizontal="left" vertical="center" indent="1"/>
    </xf>
    <xf numFmtId="41" fontId="4" fillId="0" borderId="9" xfId="1" applyFont="1" applyBorder="1" applyAlignment="1">
      <alignment vertical="center"/>
    </xf>
    <xf numFmtId="0" fontId="13" fillId="0" borderId="10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wrapText="1" indent="1"/>
    </xf>
    <xf numFmtId="0" fontId="2" fillId="0" borderId="10" xfId="2" applyFont="1" applyBorder="1" applyAlignment="1">
      <alignment horizontal="left" vertical="center" indent="1"/>
    </xf>
    <xf numFmtId="0" fontId="2" fillId="0" borderId="10" xfId="2" applyFont="1" applyBorder="1" applyAlignment="1">
      <alignment horizontal="left" vertical="center" wrapText="1" indent="1"/>
    </xf>
    <xf numFmtId="0" fontId="11" fillId="0" borderId="1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left" vertical="center" indent="1"/>
    </xf>
    <xf numFmtId="41" fontId="4" fillId="0" borderId="12" xfId="1" applyFont="1" applyBorder="1" applyAlignment="1">
      <alignment vertical="center"/>
    </xf>
    <xf numFmtId="0" fontId="14" fillId="3" borderId="13" xfId="0" applyFont="1" applyFill="1" applyBorder="1" applyAlignment="1">
      <alignment horizontal="left" vertical="center" indent="1"/>
    </xf>
    <xf numFmtId="41" fontId="14" fillId="3" borderId="14" xfId="1" applyFont="1" applyFill="1" applyBorder="1" applyAlignment="1">
      <alignment vertical="center"/>
    </xf>
    <xf numFmtId="41" fontId="14" fillId="3" borderId="15" xfId="1" applyFont="1" applyFill="1" applyBorder="1" applyAlignment="1">
      <alignment vertical="center"/>
    </xf>
  </cellXfs>
  <cellStyles count="3">
    <cellStyle name="쉼표 [0]" xfId="1" builtinId="6"/>
    <cellStyle name="표준" xfId="0" builtinId="0"/>
    <cellStyle name="표준 2" xfId="2" xr:uid="{FFB357F9-ED47-4BBD-B52D-3345B7330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313C-3A85-4BA5-B891-BB23405BA158}">
  <sheetPr>
    <pageSetUpPr fitToPage="1"/>
  </sheetPr>
  <dimension ref="B1:J859"/>
  <sheetViews>
    <sheetView tabSelected="1" zoomScaleNormal="100" workbookViewId="0">
      <selection activeCell="H10" sqref="H10"/>
    </sheetView>
  </sheetViews>
  <sheetFormatPr defaultRowHeight="24.95" customHeight="1" x14ac:dyDescent="0.25"/>
  <cols>
    <col min="1" max="1" width="5.5703125" style="22" customWidth="1"/>
    <col min="2" max="2" width="48.5703125" style="33" customWidth="1"/>
    <col min="3" max="3" width="7.5703125" style="24" bestFit="1" customWidth="1"/>
    <col min="4" max="4" width="16.5703125" style="24" bestFit="1" customWidth="1"/>
    <col min="5" max="5" width="7.28515625" style="24" bestFit="1" customWidth="1"/>
    <col min="6" max="6" width="16.5703125" style="24" bestFit="1" customWidth="1"/>
    <col min="7" max="7" width="6.5703125" style="24" bestFit="1" customWidth="1"/>
    <col min="8" max="8" width="16.5703125" style="24" bestFit="1" customWidth="1"/>
    <col min="9" max="9" width="6.5703125" style="24" bestFit="1" customWidth="1"/>
    <col min="10" max="10" width="16.5703125" style="24" customWidth="1"/>
    <col min="11" max="16384" width="9.140625" style="22"/>
  </cols>
  <sheetData>
    <row r="1" spans="2:10" ht="70.5" customHeight="1" x14ac:dyDescent="0.25">
      <c r="B1" s="32" t="s">
        <v>632</v>
      </c>
      <c r="C1" s="32"/>
      <c r="D1" s="32"/>
      <c r="E1" s="32"/>
      <c r="F1" s="32"/>
      <c r="G1" s="32"/>
      <c r="H1" s="32"/>
      <c r="I1" s="32"/>
      <c r="J1" s="32"/>
    </row>
    <row r="2" spans="2:10" ht="24.95" customHeight="1" thickBot="1" x14ac:dyDescent="0.3">
      <c r="C2" s="31"/>
      <c r="D2" s="31"/>
      <c r="E2" s="31"/>
      <c r="F2" s="31"/>
      <c r="G2" s="34" t="s">
        <v>633</v>
      </c>
      <c r="H2" s="35"/>
      <c r="I2" s="35"/>
      <c r="J2" s="35"/>
    </row>
    <row r="3" spans="2:10" s="21" customFormat="1" ht="24.95" customHeight="1" x14ac:dyDescent="0.25">
      <c r="B3" s="36" t="s">
        <v>631</v>
      </c>
      <c r="C3" s="37" t="s">
        <v>630</v>
      </c>
      <c r="D3" s="38"/>
      <c r="E3" s="37" t="s">
        <v>629</v>
      </c>
      <c r="F3" s="38"/>
      <c r="G3" s="39" t="s">
        <v>628</v>
      </c>
      <c r="H3" s="39"/>
      <c r="I3" s="39" t="s">
        <v>627</v>
      </c>
      <c r="J3" s="40"/>
    </row>
    <row r="4" spans="2:10" s="21" customFormat="1" ht="24.95" customHeight="1" x14ac:dyDescent="0.25">
      <c r="B4" s="41"/>
      <c r="C4" s="20" t="s">
        <v>626</v>
      </c>
      <c r="D4" s="20" t="s">
        <v>625</v>
      </c>
      <c r="E4" s="20" t="s">
        <v>626</v>
      </c>
      <c r="F4" s="20" t="s">
        <v>625</v>
      </c>
      <c r="G4" s="20" t="s">
        <v>626</v>
      </c>
      <c r="H4" s="20" t="s">
        <v>625</v>
      </c>
      <c r="I4" s="20" t="s">
        <v>626</v>
      </c>
      <c r="J4" s="42" t="s">
        <v>625</v>
      </c>
    </row>
    <row r="5" spans="2:10" ht="24.95" customHeight="1" x14ac:dyDescent="0.25">
      <c r="B5" s="43" t="s">
        <v>624</v>
      </c>
      <c r="C5" s="8">
        <v>0</v>
      </c>
      <c r="D5" s="8">
        <v>0</v>
      </c>
      <c r="E5" s="8">
        <v>1</v>
      </c>
      <c r="F5" s="8">
        <v>1248182</v>
      </c>
      <c r="G5" s="8">
        <v>0</v>
      </c>
      <c r="H5" s="8">
        <v>0</v>
      </c>
      <c r="I5" s="8">
        <f>C5+E5-G5</f>
        <v>1</v>
      </c>
      <c r="J5" s="44">
        <f>D5+F5-H5</f>
        <v>1248182</v>
      </c>
    </row>
    <row r="6" spans="2:10" s="23" customFormat="1" ht="24.95" customHeight="1" x14ac:dyDescent="0.25">
      <c r="B6" s="43" t="s">
        <v>623</v>
      </c>
      <c r="C6" s="8">
        <v>0</v>
      </c>
      <c r="D6" s="8">
        <v>0</v>
      </c>
      <c r="E6" s="8">
        <v>2</v>
      </c>
      <c r="F6" s="8">
        <v>2150000</v>
      </c>
      <c r="G6" s="8">
        <v>2</v>
      </c>
      <c r="H6" s="8">
        <v>2150000</v>
      </c>
      <c r="I6" s="8">
        <f>C6+E6-G6</f>
        <v>0</v>
      </c>
      <c r="J6" s="44">
        <f>D6+F6-H6</f>
        <v>0</v>
      </c>
    </row>
    <row r="7" spans="2:10" s="23" customFormat="1" ht="24.95" customHeight="1" x14ac:dyDescent="0.25">
      <c r="B7" s="45" t="s">
        <v>622</v>
      </c>
      <c r="C7" s="13">
        <v>1</v>
      </c>
      <c r="D7" s="13">
        <v>2200000</v>
      </c>
      <c r="E7" s="13">
        <v>0</v>
      </c>
      <c r="F7" s="13">
        <v>0</v>
      </c>
      <c r="G7" s="13">
        <v>0</v>
      </c>
      <c r="H7" s="13">
        <v>0</v>
      </c>
      <c r="I7" s="8">
        <f>C7+E7-G7</f>
        <v>1</v>
      </c>
      <c r="J7" s="44">
        <f>D7+F7-H7</f>
        <v>2200000</v>
      </c>
    </row>
    <row r="8" spans="2:10" ht="24.95" customHeight="1" x14ac:dyDescent="0.25">
      <c r="B8" s="43" t="s">
        <v>621</v>
      </c>
      <c r="C8" s="16">
        <v>3</v>
      </c>
      <c r="D8" s="16">
        <v>6000000</v>
      </c>
      <c r="E8" s="16">
        <v>0</v>
      </c>
      <c r="F8" s="16">
        <v>0</v>
      </c>
      <c r="G8" s="16">
        <v>0</v>
      </c>
      <c r="H8" s="16">
        <v>0</v>
      </c>
      <c r="I8" s="8">
        <f>C8+E8-G8</f>
        <v>3</v>
      </c>
      <c r="J8" s="44">
        <f>D8+F8-H8</f>
        <v>6000000</v>
      </c>
    </row>
    <row r="9" spans="2:10" ht="24.95" customHeight="1" x14ac:dyDescent="0.25">
      <c r="B9" s="43" t="s">
        <v>620</v>
      </c>
      <c r="C9" s="8">
        <v>0</v>
      </c>
      <c r="D9" s="8">
        <v>0</v>
      </c>
      <c r="E9" s="8">
        <v>2</v>
      </c>
      <c r="F9" s="8">
        <v>11510000</v>
      </c>
      <c r="G9" s="8">
        <v>1</v>
      </c>
      <c r="H9" s="8">
        <v>9500000</v>
      </c>
      <c r="I9" s="8">
        <f>C9+E9-G9</f>
        <v>1</v>
      </c>
      <c r="J9" s="44">
        <f>D9+F9-H9</f>
        <v>2010000</v>
      </c>
    </row>
    <row r="10" spans="2:10" ht="24.95" customHeight="1" x14ac:dyDescent="0.25">
      <c r="B10" s="43" t="s">
        <v>619</v>
      </c>
      <c r="C10" s="8">
        <v>2</v>
      </c>
      <c r="D10" s="8">
        <v>4600000</v>
      </c>
      <c r="E10" s="8">
        <v>3</v>
      </c>
      <c r="F10" s="8">
        <v>5865000</v>
      </c>
      <c r="G10" s="8">
        <v>3</v>
      </c>
      <c r="H10" s="8">
        <v>5865000</v>
      </c>
      <c r="I10" s="8">
        <f>C10+E10-G10</f>
        <v>2</v>
      </c>
      <c r="J10" s="44">
        <f>D10+F10-H10</f>
        <v>4600000</v>
      </c>
    </row>
    <row r="11" spans="2:10" ht="24.95" customHeight="1" x14ac:dyDescent="0.25">
      <c r="B11" s="43" t="s">
        <v>618</v>
      </c>
      <c r="C11" s="8">
        <v>0</v>
      </c>
      <c r="D11" s="8">
        <v>0</v>
      </c>
      <c r="E11" s="8">
        <v>2</v>
      </c>
      <c r="F11" s="8">
        <v>660220</v>
      </c>
      <c r="G11" s="8">
        <v>2</v>
      </c>
      <c r="H11" s="8">
        <v>660220</v>
      </c>
      <c r="I11" s="8">
        <f>C11+E11-G11</f>
        <v>0</v>
      </c>
      <c r="J11" s="44">
        <f>D11+F11-H11</f>
        <v>0</v>
      </c>
    </row>
    <row r="12" spans="2:10" ht="24.95" customHeight="1" x14ac:dyDescent="0.25">
      <c r="B12" s="43" t="s">
        <v>617</v>
      </c>
      <c r="C12" s="3">
        <v>1</v>
      </c>
      <c r="D12" s="8">
        <v>900000</v>
      </c>
      <c r="E12" s="3">
        <v>8</v>
      </c>
      <c r="F12" s="3">
        <v>126020000</v>
      </c>
      <c r="G12" s="3">
        <v>8</v>
      </c>
      <c r="H12" s="3">
        <v>126020000</v>
      </c>
      <c r="I12" s="3">
        <f>C12+E12-G12</f>
        <v>1</v>
      </c>
      <c r="J12" s="44">
        <f>D12+F12-H12</f>
        <v>900000</v>
      </c>
    </row>
    <row r="13" spans="2:10" ht="24.95" customHeight="1" x14ac:dyDescent="0.25">
      <c r="B13" s="45" t="s">
        <v>616</v>
      </c>
      <c r="C13" s="9">
        <v>1</v>
      </c>
      <c r="D13" s="13">
        <v>4275000</v>
      </c>
      <c r="E13" s="9">
        <v>0</v>
      </c>
      <c r="F13" s="9">
        <v>0</v>
      </c>
      <c r="G13" s="9">
        <v>0</v>
      </c>
      <c r="H13" s="9">
        <v>0</v>
      </c>
      <c r="I13" s="3">
        <f>C13+E13-G13</f>
        <v>1</v>
      </c>
      <c r="J13" s="44">
        <f>D13+F13-H13</f>
        <v>4275000</v>
      </c>
    </row>
    <row r="14" spans="2:10" s="23" customFormat="1" ht="24.95" customHeight="1" x14ac:dyDescent="0.25">
      <c r="B14" s="43" t="s">
        <v>615</v>
      </c>
      <c r="C14" s="3">
        <v>0</v>
      </c>
      <c r="D14" s="8">
        <v>0</v>
      </c>
      <c r="E14" s="3">
        <v>1</v>
      </c>
      <c r="F14" s="3">
        <v>4620000</v>
      </c>
      <c r="G14" s="3">
        <v>1</v>
      </c>
      <c r="H14" s="3">
        <v>4620000</v>
      </c>
      <c r="I14" s="3">
        <f>C14+E14-G14</f>
        <v>0</v>
      </c>
      <c r="J14" s="46">
        <f>D14+F14-H14</f>
        <v>0</v>
      </c>
    </row>
    <row r="15" spans="2:10" ht="24.95" customHeight="1" x14ac:dyDescent="0.25">
      <c r="B15" s="45" t="s">
        <v>614</v>
      </c>
      <c r="C15" s="9">
        <v>1</v>
      </c>
      <c r="D15" s="13">
        <v>5000000</v>
      </c>
      <c r="E15" s="9">
        <v>0</v>
      </c>
      <c r="F15" s="9">
        <v>0</v>
      </c>
      <c r="G15" s="9">
        <v>0</v>
      </c>
      <c r="H15" s="9">
        <v>0</v>
      </c>
      <c r="I15" s="3">
        <f>C15+E15-G15</f>
        <v>1</v>
      </c>
      <c r="J15" s="44">
        <f>D15+F15-H15</f>
        <v>5000000</v>
      </c>
    </row>
    <row r="16" spans="2:10" s="23" customFormat="1" ht="24.95" customHeight="1" x14ac:dyDescent="0.25">
      <c r="B16" s="45" t="s">
        <v>613</v>
      </c>
      <c r="C16" s="9">
        <v>12</v>
      </c>
      <c r="D16" s="13">
        <v>779676</v>
      </c>
      <c r="E16" s="9">
        <v>0</v>
      </c>
      <c r="F16" s="9">
        <v>0</v>
      </c>
      <c r="G16" s="9">
        <v>4</v>
      </c>
      <c r="H16" s="9">
        <v>259892</v>
      </c>
      <c r="I16" s="3">
        <f>C16+E16-G16</f>
        <v>8</v>
      </c>
      <c r="J16" s="44">
        <f>D16+F16-H16</f>
        <v>519784</v>
      </c>
    </row>
    <row r="17" spans="2:10" ht="24.95" customHeight="1" x14ac:dyDescent="0.25">
      <c r="B17" s="43" t="s">
        <v>612</v>
      </c>
      <c r="C17" s="3">
        <v>0</v>
      </c>
      <c r="D17" s="8">
        <v>0</v>
      </c>
      <c r="E17" s="3">
        <v>4</v>
      </c>
      <c r="F17" s="3">
        <v>857000</v>
      </c>
      <c r="G17" s="3">
        <v>4</v>
      </c>
      <c r="H17" s="3">
        <v>857000</v>
      </c>
      <c r="I17" s="3">
        <f>C17+E17-G17</f>
        <v>0</v>
      </c>
      <c r="J17" s="46">
        <f>D17+F17-H17</f>
        <v>0</v>
      </c>
    </row>
    <row r="18" spans="2:10" s="23" customFormat="1" ht="24.95" customHeight="1" x14ac:dyDescent="0.25">
      <c r="B18" s="43" t="s">
        <v>611</v>
      </c>
      <c r="C18" s="3">
        <v>0</v>
      </c>
      <c r="D18" s="8">
        <v>0</v>
      </c>
      <c r="E18" s="3">
        <v>2</v>
      </c>
      <c r="F18" s="3">
        <v>4200000</v>
      </c>
      <c r="G18" s="3">
        <v>0</v>
      </c>
      <c r="H18" s="3">
        <v>0</v>
      </c>
      <c r="I18" s="3">
        <f>C18+E18-G18</f>
        <v>2</v>
      </c>
      <c r="J18" s="44">
        <f>D18+F18-H18</f>
        <v>4200000</v>
      </c>
    </row>
    <row r="19" spans="2:10" s="23" customFormat="1" ht="24.95" customHeight="1" x14ac:dyDescent="0.25">
      <c r="B19" s="43" t="s">
        <v>610</v>
      </c>
      <c r="C19" s="3">
        <v>0</v>
      </c>
      <c r="D19" s="8">
        <v>0</v>
      </c>
      <c r="E19" s="3">
        <v>3</v>
      </c>
      <c r="F19" s="3">
        <v>708819</v>
      </c>
      <c r="G19" s="3">
        <v>3</v>
      </c>
      <c r="H19" s="3">
        <v>708819</v>
      </c>
      <c r="I19" s="3">
        <f>C19+E19-G19</f>
        <v>0</v>
      </c>
      <c r="J19" s="46">
        <f>D19+F19-H19</f>
        <v>0</v>
      </c>
    </row>
    <row r="20" spans="2:10" ht="24.95" customHeight="1" x14ac:dyDescent="0.25">
      <c r="B20" s="43" t="s">
        <v>609</v>
      </c>
      <c r="C20" s="3">
        <v>1</v>
      </c>
      <c r="D20" s="8">
        <v>3766200</v>
      </c>
      <c r="E20" s="3">
        <v>2</v>
      </c>
      <c r="F20" s="3">
        <v>9807000</v>
      </c>
      <c r="G20" s="3">
        <v>2</v>
      </c>
      <c r="H20" s="3">
        <v>9807000</v>
      </c>
      <c r="I20" s="3">
        <f>C20+E20-G20</f>
        <v>1</v>
      </c>
      <c r="J20" s="44">
        <f>D20+F20-H20</f>
        <v>3766200</v>
      </c>
    </row>
    <row r="21" spans="2:10" s="23" customFormat="1" ht="24.95" customHeight="1" x14ac:dyDescent="0.25">
      <c r="B21" s="43" t="s">
        <v>608</v>
      </c>
      <c r="C21" s="3">
        <v>0</v>
      </c>
      <c r="D21" s="8">
        <v>0</v>
      </c>
      <c r="E21" s="3">
        <v>3</v>
      </c>
      <c r="F21" s="3">
        <v>9270000</v>
      </c>
      <c r="G21" s="3">
        <v>3</v>
      </c>
      <c r="H21" s="3">
        <v>9270000</v>
      </c>
      <c r="I21" s="3">
        <f>C21+E21-G21</f>
        <v>0</v>
      </c>
      <c r="J21" s="46">
        <f>D21+F21-H21</f>
        <v>0</v>
      </c>
    </row>
    <row r="22" spans="2:10" ht="24.95" customHeight="1" x14ac:dyDescent="0.25">
      <c r="B22" s="43" t="s">
        <v>607</v>
      </c>
      <c r="C22" s="3">
        <v>0</v>
      </c>
      <c r="D22" s="8">
        <v>0</v>
      </c>
      <c r="E22" s="3">
        <v>3</v>
      </c>
      <c r="F22" s="3">
        <v>4400000</v>
      </c>
      <c r="G22" s="3">
        <v>1</v>
      </c>
      <c r="H22" s="3">
        <v>1800000</v>
      </c>
      <c r="I22" s="3">
        <f>C22+E22-G22</f>
        <v>2</v>
      </c>
      <c r="J22" s="44">
        <f>D22+F22-H22</f>
        <v>2600000</v>
      </c>
    </row>
    <row r="23" spans="2:10" s="23" customFormat="1" ht="24.95" customHeight="1" x14ac:dyDescent="0.25">
      <c r="B23" s="43" t="s">
        <v>606</v>
      </c>
      <c r="C23" s="3">
        <v>0</v>
      </c>
      <c r="D23" s="8">
        <v>0</v>
      </c>
      <c r="E23" s="3">
        <v>1</v>
      </c>
      <c r="F23" s="3">
        <v>1070000</v>
      </c>
      <c r="G23" s="3">
        <v>1</v>
      </c>
      <c r="H23" s="3">
        <v>1070000</v>
      </c>
      <c r="I23" s="3">
        <f>C23+E23-G23</f>
        <v>0</v>
      </c>
      <c r="J23" s="46">
        <f>D23+F23-H23</f>
        <v>0</v>
      </c>
    </row>
    <row r="24" spans="2:10" ht="24.95" customHeight="1" x14ac:dyDescent="0.25">
      <c r="B24" s="43" t="s">
        <v>605</v>
      </c>
      <c r="C24" s="3">
        <v>0</v>
      </c>
      <c r="D24" s="8">
        <v>0</v>
      </c>
      <c r="E24" s="3">
        <v>3</v>
      </c>
      <c r="F24" s="3">
        <v>297273</v>
      </c>
      <c r="G24" s="3">
        <v>3</v>
      </c>
      <c r="H24" s="3">
        <v>297273</v>
      </c>
      <c r="I24" s="3">
        <f>C24+E24-G24</f>
        <v>0</v>
      </c>
      <c r="J24" s="46">
        <f>D24+F24-H24</f>
        <v>0</v>
      </c>
    </row>
    <row r="25" spans="2:10" s="23" customFormat="1" ht="24.95" customHeight="1" x14ac:dyDescent="0.25">
      <c r="B25" s="43" t="s">
        <v>604</v>
      </c>
      <c r="C25" s="3">
        <v>0</v>
      </c>
      <c r="D25" s="8">
        <v>0</v>
      </c>
      <c r="E25" s="3">
        <v>1</v>
      </c>
      <c r="F25" s="3">
        <v>598000</v>
      </c>
      <c r="G25" s="3">
        <v>1</v>
      </c>
      <c r="H25" s="3">
        <v>598000</v>
      </c>
      <c r="I25" s="3">
        <f>C25+E25-G25</f>
        <v>0</v>
      </c>
      <c r="J25" s="46">
        <f>D25+F25-H25</f>
        <v>0</v>
      </c>
    </row>
    <row r="26" spans="2:10" ht="24.95" customHeight="1" x14ac:dyDescent="0.25">
      <c r="B26" s="43" t="s">
        <v>603</v>
      </c>
      <c r="C26" s="3">
        <v>0</v>
      </c>
      <c r="D26" s="8">
        <v>0</v>
      </c>
      <c r="E26" s="3">
        <v>5</v>
      </c>
      <c r="F26" s="3">
        <v>1560000</v>
      </c>
      <c r="G26" s="3">
        <v>5</v>
      </c>
      <c r="H26" s="3">
        <v>1560000</v>
      </c>
      <c r="I26" s="3">
        <f>C26+E26-G26</f>
        <v>0</v>
      </c>
      <c r="J26" s="46">
        <f>D26+F26-H26</f>
        <v>0</v>
      </c>
    </row>
    <row r="27" spans="2:10" s="23" customFormat="1" ht="24.95" customHeight="1" x14ac:dyDescent="0.25">
      <c r="B27" s="43" t="s">
        <v>602</v>
      </c>
      <c r="C27" s="3">
        <v>0</v>
      </c>
      <c r="D27" s="8">
        <v>0</v>
      </c>
      <c r="E27" s="3">
        <v>1</v>
      </c>
      <c r="F27" s="3">
        <v>11000000</v>
      </c>
      <c r="G27" s="3">
        <v>1</v>
      </c>
      <c r="H27" s="3">
        <v>11000000</v>
      </c>
      <c r="I27" s="3">
        <f>C27+E27-G27</f>
        <v>0</v>
      </c>
      <c r="J27" s="46">
        <f>D27+F27-H27</f>
        <v>0</v>
      </c>
    </row>
    <row r="28" spans="2:10" ht="24.95" customHeight="1" x14ac:dyDescent="0.25">
      <c r="B28" s="43" t="s">
        <v>601</v>
      </c>
      <c r="C28" s="11">
        <v>2</v>
      </c>
      <c r="D28" s="16">
        <v>1200000</v>
      </c>
      <c r="E28" s="11">
        <v>0</v>
      </c>
      <c r="F28" s="11">
        <v>0</v>
      </c>
      <c r="G28" s="11">
        <v>0</v>
      </c>
      <c r="H28" s="11">
        <v>0</v>
      </c>
      <c r="I28" s="3">
        <f>C28+E28-G28</f>
        <v>2</v>
      </c>
      <c r="J28" s="44">
        <f>D28+F28-H28</f>
        <v>1200000</v>
      </c>
    </row>
    <row r="29" spans="2:10" s="23" customFormat="1" ht="24.95" customHeight="1" x14ac:dyDescent="0.25">
      <c r="B29" s="43" t="s">
        <v>600</v>
      </c>
      <c r="C29" s="11">
        <v>1</v>
      </c>
      <c r="D29" s="16">
        <v>15500000</v>
      </c>
      <c r="E29" s="11">
        <v>0</v>
      </c>
      <c r="F29" s="11">
        <v>0</v>
      </c>
      <c r="G29" s="11">
        <v>1</v>
      </c>
      <c r="H29" s="11">
        <v>15500000</v>
      </c>
      <c r="I29" s="3">
        <f>C29+E29-G29</f>
        <v>0</v>
      </c>
      <c r="J29" s="46">
        <f>D29+F29-H29</f>
        <v>0</v>
      </c>
    </row>
    <row r="30" spans="2:10" ht="24.95" customHeight="1" x14ac:dyDescent="0.25">
      <c r="B30" s="43" t="s">
        <v>599</v>
      </c>
      <c r="C30" s="3">
        <v>1</v>
      </c>
      <c r="D30" s="8">
        <v>27040000</v>
      </c>
      <c r="E30" s="3">
        <v>1</v>
      </c>
      <c r="F30" s="3">
        <v>4930000</v>
      </c>
      <c r="G30" s="3">
        <v>2</v>
      </c>
      <c r="H30" s="3">
        <v>31970000</v>
      </c>
      <c r="I30" s="3">
        <f>C30+E30-G30</f>
        <v>0</v>
      </c>
      <c r="J30" s="46">
        <f>D30+F30-H30</f>
        <v>0</v>
      </c>
    </row>
    <row r="31" spans="2:10" ht="24.95" customHeight="1" x14ac:dyDescent="0.25">
      <c r="B31" s="43" t="s">
        <v>598</v>
      </c>
      <c r="C31" s="3">
        <v>0</v>
      </c>
      <c r="D31" s="8">
        <v>0</v>
      </c>
      <c r="E31" s="3">
        <v>1</v>
      </c>
      <c r="F31" s="3">
        <v>5262110</v>
      </c>
      <c r="G31" s="3">
        <v>0</v>
      </c>
      <c r="H31" s="3">
        <v>0</v>
      </c>
      <c r="I31" s="3">
        <f>C31+E31-G31</f>
        <v>1</v>
      </c>
      <c r="J31" s="44">
        <f>D31+F31-H31</f>
        <v>5262110</v>
      </c>
    </row>
    <row r="32" spans="2:10" s="23" customFormat="1" ht="24.95" customHeight="1" x14ac:dyDescent="0.25">
      <c r="B32" s="43" t="s">
        <v>597</v>
      </c>
      <c r="C32" s="3">
        <v>0</v>
      </c>
      <c r="D32" s="8">
        <v>0</v>
      </c>
      <c r="E32" s="3">
        <v>1</v>
      </c>
      <c r="F32" s="3">
        <v>3300000</v>
      </c>
      <c r="G32" s="3">
        <v>1</v>
      </c>
      <c r="H32" s="3">
        <v>3300000</v>
      </c>
      <c r="I32" s="3">
        <f>C32+E32-G32</f>
        <v>0</v>
      </c>
      <c r="J32" s="46">
        <f>D32+F32-H32</f>
        <v>0</v>
      </c>
    </row>
    <row r="33" spans="2:10" ht="24.95" customHeight="1" x14ac:dyDescent="0.25">
      <c r="B33" s="43" t="s">
        <v>596</v>
      </c>
      <c r="C33" s="3">
        <v>0</v>
      </c>
      <c r="D33" s="8">
        <v>0</v>
      </c>
      <c r="E33" s="3">
        <v>1</v>
      </c>
      <c r="F33" s="3">
        <v>190000</v>
      </c>
      <c r="G33" s="3">
        <v>1</v>
      </c>
      <c r="H33" s="3">
        <v>190000</v>
      </c>
      <c r="I33" s="3">
        <f>C33+E33-G33</f>
        <v>0</v>
      </c>
      <c r="J33" s="46">
        <f>D33+F33-H33</f>
        <v>0</v>
      </c>
    </row>
    <row r="34" spans="2:10" s="23" customFormat="1" ht="24.95" customHeight="1" x14ac:dyDescent="0.25">
      <c r="B34" s="43" t="s">
        <v>595</v>
      </c>
      <c r="C34" s="3">
        <v>0</v>
      </c>
      <c r="D34" s="8">
        <v>0</v>
      </c>
      <c r="E34" s="3">
        <v>1</v>
      </c>
      <c r="F34" s="3">
        <v>170000</v>
      </c>
      <c r="G34" s="3">
        <v>0</v>
      </c>
      <c r="H34" s="3">
        <v>0</v>
      </c>
      <c r="I34" s="3">
        <f>C34+E34-G34</f>
        <v>1</v>
      </c>
      <c r="J34" s="44">
        <f>D34+F34-H34</f>
        <v>170000</v>
      </c>
    </row>
    <row r="35" spans="2:10" ht="24.95" customHeight="1" x14ac:dyDescent="0.25">
      <c r="B35" s="43" t="s">
        <v>594</v>
      </c>
      <c r="C35" s="11">
        <v>26</v>
      </c>
      <c r="D35" s="16">
        <v>3460000</v>
      </c>
      <c r="E35" s="11">
        <v>0</v>
      </c>
      <c r="F35" s="11">
        <v>0</v>
      </c>
      <c r="G35" s="11">
        <v>7</v>
      </c>
      <c r="H35" s="11">
        <v>945000</v>
      </c>
      <c r="I35" s="3">
        <f>C35+E35-G35</f>
        <v>19</v>
      </c>
      <c r="J35" s="44">
        <f>D35+F35-H35</f>
        <v>2515000</v>
      </c>
    </row>
    <row r="36" spans="2:10" ht="24.95" customHeight="1" x14ac:dyDescent="0.25">
      <c r="B36" s="45" t="s">
        <v>593</v>
      </c>
      <c r="C36" s="9">
        <v>2</v>
      </c>
      <c r="D36" s="13">
        <v>1200000</v>
      </c>
      <c r="E36" s="9">
        <v>0</v>
      </c>
      <c r="F36" s="9">
        <v>0</v>
      </c>
      <c r="G36" s="9">
        <v>0</v>
      </c>
      <c r="H36" s="9">
        <v>0</v>
      </c>
      <c r="I36" s="3">
        <f>C36+E36-G36</f>
        <v>2</v>
      </c>
      <c r="J36" s="44">
        <f>D36+F36-H36</f>
        <v>1200000</v>
      </c>
    </row>
    <row r="37" spans="2:10" s="23" customFormat="1" ht="24.95" customHeight="1" x14ac:dyDescent="0.25">
      <c r="B37" s="43" t="s">
        <v>592</v>
      </c>
      <c r="C37" s="11">
        <v>1</v>
      </c>
      <c r="D37" s="16">
        <v>3000000</v>
      </c>
      <c r="E37" s="11">
        <v>0</v>
      </c>
      <c r="F37" s="11">
        <v>0</v>
      </c>
      <c r="G37" s="11">
        <v>1</v>
      </c>
      <c r="H37" s="11">
        <v>3000000</v>
      </c>
      <c r="I37" s="3">
        <f>C37+E37-G37</f>
        <v>0</v>
      </c>
      <c r="J37" s="46">
        <f>D37+F37-H37</f>
        <v>0</v>
      </c>
    </row>
    <row r="38" spans="2:10" ht="24.95" customHeight="1" x14ac:dyDescent="0.25">
      <c r="B38" s="43" t="s">
        <v>591</v>
      </c>
      <c r="C38" s="3">
        <v>0</v>
      </c>
      <c r="D38" s="8">
        <v>0</v>
      </c>
      <c r="E38" s="3">
        <v>1</v>
      </c>
      <c r="F38" s="3">
        <v>1115000</v>
      </c>
      <c r="G38" s="3">
        <v>1</v>
      </c>
      <c r="H38" s="3">
        <v>1115000</v>
      </c>
      <c r="I38" s="3">
        <f>C38+E38-G38</f>
        <v>0</v>
      </c>
      <c r="J38" s="46">
        <f>D38+F38-H38</f>
        <v>0</v>
      </c>
    </row>
    <row r="39" spans="2:10" s="23" customFormat="1" ht="24.95" customHeight="1" x14ac:dyDescent="0.25">
      <c r="B39" s="43" t="s">
        <v>590</v>
      </c>
      <c r="C39" s="11">
        <v>3</v>
      </c>
      <c r="D39" s="16">
        <v>201000</v>
      </c>
      <c r="E39" s="11">
        <v>0</v>
      </c>
      <c r="F39" s="11">
        <v>0</v>
      </c>
      <c r="G39" s="11">
        <v>3</v>
      </c>
      <c r="H39" s="11">
        <v>201000</v>
      </c>
      <c r="I39" s="3">
        <f>C39+E39-G39</f>
        <v>0</v>
      </c>
      <c r="J39" s="46">
        <f>D39+F39-H39</f>
        <v>0</v>
      </c>
    </row>
    <row r="40" spans="2:10" ht="24.95" customHeight="1" x14ac:dyDescent="0.25">
      <c r="B40" s="43" t="s">
        <v>589</v>
      </c>
      <c r="C40" s="3">
        <v>0</v>
      </c>
      <c r="D40" s="8">
        <v>0</v>
      </c>
      <c r="E40" s="3">
        <v>1</v>
      </c>
      <c r="F40" s="3">
        <v>149500</v>
      </c>
      <c r="G40" s="3">
        <v>1</v>
      </c>
      <c r="H40" s="3">
        <v>149500</v>
      </c>
      <c r="I40" s="3">
        <f>C40+E40-G40</f>
        <v>0</v>
      </c>
      <c r="J40" s="46">
        <f>D40+F40-H40</f>
        <v>0</v>
      </c>
    </row>
    <row r="41" spans="2:10" ht="24.95" customHeight="1" x14ac:dyDescent="0.25">
      <c r="B41" s="43" t="s">
        <v>588</v>
      </c>
      <c r="C41" s="3">
        <v>0</v>
      </c>
      <c r="D41" s="8">
        <v>0</v>
      </c>
      <c r="E41" s="3">
        <v>1</v>
      </c>
      <c r="F41" s="3">
        <v>1850000</v>
      </c>
      <c r="G41" s="3">
        <v>1</v>
      </c>
      <c r="H41" s="3">
        <v>1850000</v>
      </c>
      <c r="I41" s="3">
        <f>C41+E41-G41</f>
        <v>0</v>
      </c>
      <c r="J41" s="46">
        <f>D41+F41-H41</f>
        <v>0</v>
      </c>
    </row>
    <row r="42" spans="2:10" s="23" customFormat="1" ht="24.95" customHeight="1" x14ac:dyDescent="0.25">
      <c r="B42" s="43" t="s">
        <v>587</v>
      </c>
      <c r="C42" s="3">
        <v>0</v>
      </c>
      <c r="D42" s="8">
        <v>0</v>
      </c>
      <c r="E42" s="3">
        <v>2</v>
      </c>
      <c r="F42" s="3">
        <v>3704945</v>
      </c>
      <c r="G42" s="3">
        <v>2</v>
      </c>
      <c r="H42" s="3">
        <v>3704945</v>
      </c>
      <c r="I42" s="3">
        <f>C42+E42-G42</f>
        <v>0</v>
      </c>
      <c r="J42" s="46">
        <f>D42+F42-H42</f>
        <v>0</v>
      </c>
    </row>
    <row r="43" spans="2:10" s="23" customFormat="1" ht="24.95" customHeight="1" x14ac:dyDescent="0.25">
      <c r="B43" s="43" t="s">
        <v>586</v>
      </c>
      <c r="C43" s="3">
        <v>0</v>
      </c>
      <c r="D43" s="8">
        <v>0</v>
      </c>
      <c r="E43" s="3">
        <v>2</v>
      </c>
      <c r="F43" s="3">
        <v>1100000</v>
      </c>
      <c r="G43" s="3">
        <v>2</v>
      </c>
      <c r="H43" s="3">
        <v>1100000</v>
      </c>
      <c r="I43" s="3">
        <f>C43+E43-G43</f>
        <v>0</v>
      </c>
      <c r="J43" s="46">
        <f>D43+F43-H43</f>
        <v>0</v>
      </c>
    </row>
    <row r="44" spans="2:10" s="23" customFormat="1" ht="24.95" customHeight="1" x14ac:dyDescent="0.25">
      <c r="B44" s="43" t="s">
        <v>585</v>
      </c>
      <c r="C44" s="3">
        <v>0</v>
      </c>
      <c r="D44" s="8">
        <v>0</v>
      </c>
      <c r="E44" s="3">
        <v>3</v>
      </c>
      <c r="F44" s="3">
        <v>9800000</v>
      </c>
      <c r="G44" s="3">
        <v>3</v>
      </c>
      <c r="H44" s="3">
        <v>9800000</v>
      </c>
      <c r="I44" s="3">
        <f>C44+E44-G44</f>
        <v>0</v>
      </c>
      <c r="J44" s="46">
        <f>D44+F44-H44</f>
        <v>0</v>
      </c>
    </row>
    <row r="45" spans="2:10" s="23" customFormat="1" ht="24.95" customHeight="1" x14ac:dyDescent="0.25">
      <c r="B45" s="47" t="s">
        <v>584</v>
      </c>
      <c r="C45" s="18">
        <v>0</v>
      </c>
      <c r="D45" s="19">
        <v>0</v>
      </c>
      <c r="E45" s="18">
        <v>1</v>
      </c>
      <c r="F45" s="18">
        <v>663637</v>
      </c>
      <c r="G45" s="18">
        <v>1</v>
      </c>
      <c r="H45" s="18">
        <v>663637</v>
      </c>
      <c r="I45" s="3">
        <f>C45+E45-G45</f>
        <v>0</v>
      </c>
      <c r="J45" s="46">
        <f>D45+F45-H45</f>
        <v>0</v>
      </c>
    </row>
    <row r="46" spans="2:10" ht="24.95" customHeight="1" x14ac:dyDescent="0.25">
      <c r="B46" s="43" t="s">
        <v>583</v>
      </c>
      <c r="C46" s="18">
        <v>0</v>
      </c>
      <c r="D46" s="19">
        <v>0</v>
      </c>
      <c r="E46" s="3">
        <v>23</v>
      </c>
      <c r="F46" s="3">
        <v>3749000</v>
      </c>
      <c r="G46" s="3">
        <v>23</v>
      </c>
      <c r="H46" s="3">
        <v>3749000</v>
      </c>
      <c r="I46" s="3">
        <f>C46+E46-G46</f>
        <v>0</v>
      </c>
      <c r="J46" s="44">
        <f>D46+F46-H46</f>
        <v>0</v>
      </c>
    </row>
    <row r="47" spans="2:10" s="23" customFormat="1" ht="24.95" customHeight="1" x14ac:dyDescent="0.25">
      <c r="B47" s="43" t="s">
        <v>582</v>
      </c>
      <c r="C47" s="18">
        <v>0</v>
      </c>
      <c r="D47" s="19">
        <v>0</v>
      </c>
      <c r="E47" s="3">
        <v>1</v>
      </c>
      <c r="F47" s="3">
        <v>2500000</v>
      </c>
      <c r="G47" s="3">
        <v>1</v>
      </c>
      <c r="H47" s="3">
        <v>2500000</v>
      </c>
      <c r="I47" s="3">
        <f>C47+E47-G47</f>
        <v>0</v>
      </c>
      <c r="J47" s="46">
        <f>D47+F47-H47</f>
        <v>0</v>
      </c>
    </row>
    <row r="48" spans="2:10" ht="24.95" customHeight="1" x14ac:dyDescent="0.25">
      <c r="B48" s="43" t="s">
        <v>581</v>
      </c>
      <c r="C48" s="18">
        <v>0</v>
      </c>
      <c r="D48" s="19">
        <v>0</v>
      </c>
      <c r="E48" s="3">
        <v>4</v>
      </c>
      <c r="F48" s="3">
        <v>2600000</v>
      </c>
      <c r="G48" s="3">
        <v>4</v>
      </c>
      <c r="H48" s="3">
        <v>2600000</v>
      </c>
      <c r="I48" s="3">
        <f>C48+E48-G48</f>
        <v>0</v>
      </c>
      <c r="J48" s="46">
        <f>D48+F48-H48</f>
        <v>0</v>
      </c>
    </row>
    <row r="49" spans="2:10" s="23" customFormat="1" ht="24.95" customHeight="1" x14ac:dyDescent="0.25">
      <c r="B49" s="43" t="s">
        <v>580</v>
      </c>
      <c r="C49" s="3">
        <v>0</v>
      </c>
      <c r="D49" s="8">
        <v>0</v>
      </c>
      <c r="E49" s="3">
        <v>1</v>
      </c>
      <c r="F49" s="3">
        <v>2400000</v>
      </c>
      <c r="G49" s="3">
        <v>0</v>
      </c>
      <c r="H49" s="3">
        <v>0</v>
      </c>
      <c r="I49" s="3">
        <f>C49+E49-G49</f>
        <v>1</v>
      </c>
      <c r="J49" s="44">
        <f>D49+F49-H49</f>
        <v>2400000</v>
      </c>
    </row>
    <row r="50" spans="2:10" ht="24.95" customHeight="1" x14ac:dyDescent="0.25">
      <c r="B50" s="43" t="s">
        <v>579</v>
      </c>
      <c r="C50" s="3">
        <v>0</v>
      </c>
      <c r="D50" s="8">
        <v>0</v>
      </c>
      <c r="E50" s="3">
        <v>1</v>
      </c>
      <c r="F50" s="3">
        <v>6205055</v>
      </c>
      <c r="G50" s="3">
        <v>1</v>
      </c>
      <c r="H50" s="3">
        <v>6205055</v>
      </c>
      <c r="I50" s="3">
        <f>C50+E50-G50</f>
        <v>0</v>
      </c>
      <c r="J50" s="46">
        <f>D50+F50-H50</f>
        <v>0</v>
      </c>
    </row>
    <row r="51" spans="2:10" s="23" customFormat="1" ht="24.95" customHeight="1" x14ac:dyDescent="0.25">
      <c r="B51" s="43" t="s">
        <v>578</v>
      </c>
      <c r="C51" s="3">
        <v>0</v>
      </c>
      <c r="D51" s="8">
        <v>0</v>
      </c>
      <c r="E51" s="3">
        <v>4</v>
      </c>
      <c r="F51" s="3">
        <v>1050000</v>
      </c>
      <c r="G51" s="3">
        <v>4</v>
      </c>
      <c r="H51" s="3">
        <v>1050000</v>
      </c>
      <c r="I51" s="3">
        <f>C51+E51-G51</f>
        <v>0</v>
      </c>
      <c r="J51" s="46">
        <f>D51+F51-H51</f>
        <v>0</v>
      </c>
    </row>
    <row r="52" spans="2:10" ht="24.95" customHeight="1" x14ac:dyDescent="0.25">
      <c r="B52" s="43" t="s">
        <v>577</v>
      </c>
      <c r="C52" s="3">
        <v>0</v>
      </c>
      <c r="D52" s="8">
        <v>0</v>
      </c>
      <c r="E52" s="3">
        <v>1</v>
      </c>
      <c r="F52" s="3">
        <v>4500000</v>
      </c>
      <c r="G52" s="3">
        <v>1</v>
      </c>
      <c r="H52" s="3">
        <v>4500000</v>
      </c>
      <c r="I52" s="3">
        <f>C52+E52-G52</f>
        <v>0</v>
      </c>
      <c r="J52" s="46">
        <f>D52+F52-H52</f>
        <v>0</v>
      </c>
    </row>
    <row r="53" spans="2:10" s="23" customFormat="1" ht="24.95" customHeight="1" x14ac:dyDescent="0.25">
      <c r="B53" s="43" t="s">
        <v>576</v>
      </c>
      <c r="C53" s="3">
        <v>0</v>
      </c>
      <c r="D53" s="8">
        <v>0</v>
      </c>
      <c r="E53" s="3">
        <v>2</v>
      </c>
      <c r="F53" s="3">
        <v>1000000</v>
      </c>
      <c r="G53" s="3">
        <v>2</v>
      </c>
      <c r="H53" s="3">
        <v>1000000</v>
      </c>
      <c r="I53" s="3">
        <f>C53+E53-G53</f>
        <v>0</v>
      </c>
      <c r="J53" s="46">
        <f>D53+F53-H53</f>
        <v>0</v>
      </c>
    </row>
    <row r="54" spans="2:10" ht="24.95" customHeight="1" x14ac:dyDescent="0.25">
      <c r="B54" s="43" t="s">
        <v>575</v>
      </c>
      <c r="C54" s="3">
        <v>0</v>
      </c>
      <c r="D54" s="8">
        <v>0</v>
      </c>
      <c r="E54" s="3">
        <v>1</v>
      </c>
      <c r="F54" s="3">
        <v>3982000</v>
      </c>
      <c r="G54" s="3">
        <v>1</v>
      </c>
      <c r="H54" s="3">
        <v>3982000</v>
      </c>
      <c r="I54" s="3">
        <f>C54+E54-G54</f>
        <v>0</v>
      </c>
      <c r="J54" s="46">
        <f>D54+F54-H54</f>
        <v>0</v>
      </c>
    </row>
    <row r="55" spans="2:10" s="23" customFormat="1" ht="24.95" customHeight="1" x14ac:dyDescent="0.25">
      <c r="B55" s="43" t="s">
        <v>574</v>
      </c>
      <c r="C55" s="3">
        <v>0</v>
      </c>
      <c r="D55" s="8">
        <v>0</v>
      </c>
      <c r="E55" s="3">
        <v>1</v>
      </c>
      <c r="F55" s="3">
        <v>1200000</v>
      </c>
      <c r="G55" s="3">
        <v>0</v>
      </c>
      <c r="H55" s="3">
        <v>0</v>
      </c>
      <c r="I55" s="3">
        <f>C55+E55-G55</f>
        <v>1</v>
      </c>
      <c r="J55" s="44">
        <f>D55+F55-H55</f>
        <v>1200000</v>
      </c>
    </row>
    <row r="56" spans="2:10" ht="24.95" customHeight="1" x14ac:dyDescent="0.25">
      <c r="B56" s="43" t="s">
        <v>573</v>
      </c>
      <c r="C56" s="3">
        <v>0</v>
      </c>
      <c r="D56" s="8">
        <v>0</v>
      </c>
      <c r="E56" s="3">
        <v>12</v>
      </c>
      <c r="F56" s="3">
        <v>998400</v>
      </c>
      <c r="G56" s="3">
        <v>12</v>
      </c>
      <c r="H56" s="3">
        <v>998400</v>
      </c>
      <c r="I56" s="3">
        <f>C56+E56-G56</f>
        <v>0</v>
      </c>
      <c r="J56" s="46">
        <f>D56+F56-H56</f>
        <v>0</v>
      </c>
    </row>
    <row r="57" spans="2:10" s="23" customFormat="1" ht="24.95" customHeight="1" x14ac:dyDescent="0.25">
      <c r="B57" s="43" t="s">
        <v>572</v>
      </c>
      <c r="C57" s="11">
        <v>2</v>
      </c>
      <c r="D57" s="16">
        <v>1610000</v>
      </c>
      <c r="E57" s="11">
        <v>2</v>
      </c>
      <c r="F57" s="11">
        <v>1610000</v>
      </c>
      <c r="G57" s="11">
        <v>4</v>
      </c>
      <c r="H57" s="11">
        <v>3220000</v>
      </c>
      <c r="I57" s="3">
        <f>C57+E57-G57</f>
        <v>0</v>
      </c>
      <c r="J57" s="46">
        <f>D57+F57-H57</f>
        <v>0</v>
      </c>
    </row>
    <row r="58" spans="2:10" s="23" customFormat="1" ht="24.95" customHeight="1" x14ac:dyDescent="0.25">
      <c r="B58" s="43" t="s">
        <v>571</v>
      </c>
      <c r="C58" s="3">
        <v>0</v>
      </c>
      <c r="D58" s="8">
        <v>0</v>
      </c>
      <c r="E58" s="3">
        <v>1</v>
      </c>
      <c r="F58" s="3">
        <v>5700000</v>
      </c>
      <c r="G58" s="3">
        <v>1</v>
      </c>
      <c r="H58" s="3">
        <v>5700000</v>
      </c>
      <c r="I58" s="3">
        <f>C58+E58-G58</f>
        <v>0</v>
      </c>
      <c r="J58" s="46">
        <f>D58+F58-H58</f>
        <v>0</v>
      </c>
    </row>
    <row r="59" spans="2:10" ht="24.95" customHeight="1" x14ac:dyDescent="0.25">
      <c r="B59" s="43" t="s">
        <v>570</v>
      </c>
      <c r="C59" s="3">
        <v>0</v>
      </c>
      <c r="D59" s="8">
        <v>0</v>
      </c>
      <c r="E59" s="3">
        <v>1</v>
      </c>
      <c r="F59" s="3">
        <v>7369500</v>
      </c>
      <c r="G59" s="3">
        <v>1</v>
      </c>
      <c r="H59" s="3">
        <v>7369500</v>
      </c>
      <c r="I59" s="3">
        <f>C59+E59-G59</f>
        <v>0</v>
      </c>
      <c r="J59" s="46">
        <f>D59+F59-H59</f>
        <v>0</v>
      </c>
    </row>
    <row r="60" spans="2:10" s="23" customFormat="1" ht="24.95" customHeight="1" x14ac:dyDescent="0.25">
      <c r="B60" s="43" t="s">
        <v>569</v>
      </c>
      <c r="C60" s="3">
        <v>0</v>
      </c>
      <c r="D60" s="8">
        <v>0</v>
      </c>
      <c r="E60" s="3">
        <v>2</v>
      </c>
      <c r="F60" s="3">
        <v>5200000</v>
      </c>
      <c r="G60" s="3">
        <v>2</v>
      </c>
      <c r="H60" s="3">
        <v>5200000</v>
      </c>
      <c r="I60" s="3">
        <f>C60+E60-G60</f>
        <v>0</v>
      </c>
      <c r="J60" s="46">
        <f>D60+F60-H60</f>
        <v>0</v>
      </c>
    </row>
    <row r="61" spans="2:10" ht="24.95" customHeight="1" x14ac:dyDescent="0.25">
      <c r="B61" s="43" t="s">
        <v>568</v>
      </c>
      <c r="C61" s="11">
        <v>2</v>
      </c>
      <c r="D61" s="16">
        <v>2220000</v>
      </c>
      <c r="E61" s="11">
        <v>0</v>
      </c>
      <c r="F61" s="11">
        <v>0</v>
      </c>
      <c r="G61" s="11">
        <v>2</v>
      </c>
      <c r="H61" s="11">
        <v>2220000</v>
      </c>
      <c r="I61" s="3">
        <f>C61+E61-G61</f>
        <v>0</v>
      </c>
      <c r="J61" s="46">
        <f>D61+F61-H61</f>
        <v>0</v>
      </c>
    </row>
    <row r="62" spans="2:10" s="23" customFormat="1" ht="24.95" customHeight="1" x14ac:dyDescent="0.25">
      <c r="B62" s="43" t="s">
        <v>567</v>
      </c>
      <c r="C62" s="3">
        <v>0</v>
      </c>
      <c r="D62" s="8">
        <v>0</v>
      </c>
      <c r="E62" s="3">
        <v>2</v>
      </c>
      <c r="F62" s="3">
        <v>1066000</v>
      </c>
      <c r="G62" s="3">
        <v>2</v>
      </c>
      <c r="H62" s="3">
        <v>1066000</v>
      </c>
      <c r="I62" s="3">
        <f>C62+E62-G62</f>
        <v>0</v>
      </c>
      <c r="J62" s="46">
        <f>D62+F62-H62</f>
        <v>0</v>
      </c>
    </row>
    <row r="63" spans="2:10" ht="24.95" customHeight="1" x14ac:dyDescent="0.25">
      <c r="B63" s="43" t="s">
        <v>566</v>
      </c>
      <c r="C63" s="11">
        <v>2</v>
      </c>
      <c r="D63" s="16">
        <v>288000</v>
      </c>
      <c r="E63" s="11">
        <v>0</v>
      </c>
      <c r="F63" s="11">
        <v>0</v>
      </c>
      <c r="G63" s="11">
        <v>2</v>
      </c>
      <c r="H63" s="11">
        <v>288000</v>
      </c>
      <c r="I63" s="3">
        <f>C63+E63-G63</f>
        <v>0</v>
      </c>
      <c r="J63" s="46">
        <f>D63+F63-H63</f>
        <v>0</v>
      </c>
    </row>
    <row r="64" spans="2:10" s="23" customFormat="1" ht="24.95" customHeight="1" x14ac:dyDescent="0.25">
      <c r="B64" s="43" t="s">
        <v>565</v>
      </c>
      <c r="C64" s="3">
        <v>0</v>
      </c>
      <c r="D64" s="8">
        <v>0</v>
      </c>
      <c r="E64" s="3">
        <v>3</v>
      </c>
      <c r="F64" s="3">
        <v>1993200</v>
      </c>
      <c r="G64" s="3">
        <v>3</v>
      </c>
      <c r="H64" s="3">
        <v>1993200</v>
      </c>
      <c r="I64" s="3">
        <f>C64+E64-G64</f>
        <v>0</v>
      </c>
      <c r="J64" s="46">
        <f>D64+F64-H64</f>
        <v>0</v>
      </c>
    </row>
    <row r="65" spans="2:10" ht="24.95" customHeight="1" x14ac:dyDescent="0.25">
      <c r="B65" s="43" t="s">
        <v>564</v>
      </c>
      <c r="C65" s="3">
        <v>0</v>
      </c>
      <c r="D65" s="8">
        <v>0</v>
      </c>
      <c r="E65" s="3">
        <v>1</v>
      </c>
      <c r="F65" s="3">
        <v>3596000</v>
      </c>
      <c r="G65" s="3">
        <v>1</v>
      </c>
      <c r="H65" s="3">
        <v>3596000</v>
      </c>
      <c r="I65" s="3">
        <f>C65+E65-G65</f>
        <v>0</v>
      </c>
      <c r="J65" s="46">
        <f>D65+F65-H65</f>
        <v>0</v>
      </c>
    </row>
    <row r="66" spans="2:10" s="23" customFormat="1" ht="24.95" customHeight="1" x14ac:dyDescent="0.25">
      <c r="B66" s="43" t="s">
        <v>563</v>
      </c>
      <c r="C66" s="3">
        <v>0</v>
      </c>
      <c r="D66" s="8">
        <v>0</v>
      </c>
      <c r="E66" s="3">
        <v>1</v>
      </c>
      <c r="F66" s="3">
        <v>6069000</v>
      </c>
      <c r="G66" s="3">
        <v>1</v>
      </c>
      <c r="H66" s="3">
        <v>6069000</v>
      </c>
      <c r="I66" s="3">
        <f>C66+E66-G66</f>
        <v>0</v>
      </c>
      <c r="J66" s="46">
        <f>D66+F66-H66</f>
        <v>0</v>
      </c>
    </row>
    <row r="67" spans="2:10" ht="24.95" customHeight="1" x14ac:dyDescent="0.25">
      <c r="B67" s="43" t="s">
        <v>562</v>
      </c>
      <c r="C67" s="3">
        <v>0</v>
      </c>
      <c r="D67" s="8">
        <v>0</v>
      </c>
      <c r="E67" s="3">
        <v>3</v>
      </c>
      <c r="F67" s="3">
        <v>284700</v>
      </c>
      <c r="G67" s="3">
        <v>3</v>
      </c>
      <c r="H67" s="3">
        <v>284700</v>
      </c>
      <c r="I67" s="3">
        <f>C67+E67-G67</f>
        <v>0</v>
      </c>
      <c r="J67" s="46">
        <f>D67+F67-H67</f>
        <v>0</v>
      </c>
    </row>
    <row r="68" spans="2:10" s="23" customFormat="1" ht="24.95" customHeight="1" x14ac:dyDescent="0.25">
      <c r="B68" s="45" t="s">
        <v>561</v>
      </c>
      <c r="C68" s="9">
        <v>1</v>
      </c>
      <c r="D68" s="13">
        <v>500000</v>
      </c>
      <c r="E68" s="9">
        <v>0</v>
      </c>
      <c r="F68" s="9">
        <v>0</v>
      </c>
      <c r="G68" s="9">
        <v>1</v>
      </c>
      <c r="H68" s="9">
        <v>500000</v>
      </c>
      <c r="I68" s="3">
        <f>C68+E68-G68</f>
        <v>0</v>
      </c>
      <c r="J68" s="46">
        <f>D68+F68-H68</f>
        <v>0</v>
      </c>
    </row>
    <row r="69" spans="2:10" ht="24.95" customHeight="1" x14ac:dyDescent="0.25">
      <c r="B69" s="43" t="s">
        <v>560</v>
      </c>
      <c r="C69" s="3">
        <v>0</v>
      </c>
      <c r="D69" s="8">
        <v>0</v>
      </c>
      <c r="E69" s="3">
        <v>2</v>
      </c>
      <c r="F69" s="3">
        <v>5100000</v>
      </c>
      <c r="G69" s="3">
        <v>0</v>
      </c>
      <c r="H69" s="3">
        <v>0</v>
      </c>
      <c r="I69" s="3">
        <f>C69+E69-G69</f>
        <v>2</v>
      </c>
      <c r="J69" s="44">
        <f>D69+F69-H69</f>
        <v>5100000</v>
      </c>
    </row>
    <row r="70" spans="2:10" ht="24.95" customHeight="1" x14ac:dyDescent="0.25">
      <c r="B70" s="43" t="s">
        <v>559</v>
      </c>
      <c r="C70" s="3">
        <v>0</v>
      </c>
      <c r="D70" s="8">
        <v>0</v>
      </c>
      <c r="E70" s="3">
        <v>1</v>
      </c>
      <c r="F70" s="3">
        <v>1610000</v>
      </c>
      <c r="G70" s="3">
        <v>1</v>
      </c>
      <c r="H70" s="3">
        <v>1610000</v>
      </c>
      <c r="I70" s="3">
        <f>C70+E70-G70</f>
        <v>0</v>
      </c>
      <c r="J70" s="46">
        <f>D70+F70-H70</f>
        <v>0</v>
      </c>
    </row>
    <row r="71" spans="2:10" s="23" customFormat="1" ht="24.95" customHeight="1" x14ac:dyDescent="0.25">
      <c r="B71" s="43" t="s">
        <v>558</v>
      </c>
      <c r="C71" s="3">
        <v>0</v>
      </c>
      <c r="D71" s="8">
        <v>0</v>
      </c>
      <c r="E71" s="3">
        <v>1</v>
      </c>
      <c r="F71" s="3">
        <v>1940000</v>
      </c>
      <c r="G71" s="3">
        <v>1</v>
      </c>
      <c r="H71" s="3">
        <v>1940000</v>
      </c>
      <c r="I71" s="3">
        <f>C71+E71-G71</f>
        <v>0</v>
      </c>
      <c r="J71" s="46">
        <f>D71+F71-H71</f>
        <v>0</v>
      </c>
    </row>
    <row r="72" spans="2:10" ht="24.95" customHeight="1" x14ac:dyDescent="0.25">
      <c r="B72" s="43" t="s">
        <v>557</v>
      </c>
      <c r="C72" s="3">
        <v>0</v>
      </c>
      <c r="D72" s="8">
        <v>0</v>
      </c>
      <c r="E72" s="3">
        <v>1</v>
      </c>
      <c r="F72" s="3">
        <v>2860000</v>
      </c>
      <c r="G72" s="3">
        <v>1</v>
      </c>
      <c r="H72" s="3">
        <v>2860000</v>
      </c>
      <c r="I72" s="3">
        <f>C72+E72-G72</f>
        <v>0</v>
      </c>
      <c r="J72" s="46">
        <f>D72+F72-H72</f>
        <v>0</v>
      </c>
    </row>
    <row r="73" spans="2:10" s="23" customFormat="1" ht="24.95" customHeight="1" x14ac:dyDescent="0.25">
      <c r="B73" s="43" t="s">
        <v>556</v>
      </c>
      <c r="C73" s="11">
        <v>1</v>
      </c>
      <c r="D73" s="16">
        <v>3889000</v>
      </c>
      <c r="E73" s="3">
        <v>0</v>
      </c>
      <c r="F73" s="3">
        <v>0</v>
      </c>
      <c r="G73" s="11">
        <v>1</v>
      </c>
      <c r="H73" s="11">
        <v>3889000</v>
      </c>
      <c r="I73" s="3">
        <f>C73+E73-G73</f>
        <v>0</v>
      </c>
      <c r="J73" s="46">
        <f>D73+F73-H73</f>
        <v>0</v>
      </c>
    </row>
    <row r="74" spans="2:10" ht="24.95" customHeight="1" x14ac:dyDescent="0.25">
      <c r="B74" s="43" t="s">
        <v>555</v>
      </c>
      <c r="C74" s="3">
        <v>0</v>
      </c>
      <c r="D74" s="8">
        <v>0</v>
      </c>
      <c r="E74" s="3">
        <v>2</v>
      </c>
      <c r="F74" s="3">
        <v>2713637</v>
      </c>
      <c r="G74" s="3">
        <v>2</v>
      </c>
      <c r="H74" s="3">
        <v>2713637</v>
      </c>
      <c r="I74" s="3">
        <f>C74+E74-G74</f>
        <v>0</v>
      </c>
      <c r="J74" s="46">
        <f>D74+F74-H74</f>
        <v>0</v>
      </c>
    </row>
    <row r="75" spans="2:10" ht="24.95" customHeight="1" x14ac:dyDescent="0.25">
      <c r="B75" s="43" t="s">
        <v>554</v>
      </c>
      <c r="C75" s="3">
        <v>0</v>
      </c>
      <c r="D75" s="8">
        <v>0</v>
      </c>
      <c r="E75" s="3">
        <v>2</v>
      </c>
      <c r="F75" s="3">
        <v>9200000</v>
      </c>
      <c r="G75" s="3">
        <v>2</v>
      </c>
      <c r="H75" s="3">
        <v>9200000</v>
      </c>
      <c r="I75" s="3">
        <f>C75+E75-G75</f>
        <v>0</v>
      </c>
      <c r="J75" s="46">
        <f>D75+F75-H75</f>
        <v>0</v>
      </c>
    </row>
    <row r="76" spans="2:10" ht="24.95" customHeight="1" x14ac:dyDescent="0.25">
      <c r="B76" s="43" t="s">
        <v>553</v>
      </c>
      <c r="C76" s="3">
        <v>0</v>
      </c>
      <c r="D76" s="8">
        <v>0</v>
      </c>
      <c r="E76" s="3">
        <v>2</v>
      </c>
      <c r="F76" s="3">
        <v>540000</v>
      </c>
      <c r="G76" s="3">
        <v>0</v>
      </c>
      <c r="H76" s="3">
        <v>0</v>
      </c>
      <c r="I76" s="3">
        <f>C76+E76-G76</f>
        <v>2</v>
      </c>
      <c r="J76" s="44">
        <f>D76+F76-H76</f>
        <v>540000</v>
      </c>
    </row>
    <row r="77" spans="2:10" s="23" customFormat="1" ht="24.95" customHeight="1" x14ac:dyDescent="0.25">
      <c r="B77" s="43" t="s">
        <v>552</v>
      </c>
      <c r="C77" s="3">
        <v>0</v>
      </c>
      <c r="D77" s="8">
        <v>0</v>
      </c>
      <c r="E77" s="18">
        <v>2</v>
      </c>
      <c r="F77" s="18">
        <v>12000000</v>
      </c>
      <c r="G77" s="18">
        <v>2</v>
      </c>
      <c r="H77" s="18">
        <v>12000000</v>
      </c>
      <c r="I77" s="3">
        <f>C77+E77-G77</f>
        <v>0</v>
      </c>
      <c r="J77" s="46">
        <f>D77+F77-H77</f>
        <v>0</v>
      </c>
    </row>
    <row r="78" spans="2:10" s="23" customFormat="1" ht="24.95" customHeight="1" x14ac:dyDescent="0.25">
      <c r="B78" s="43" t="s">
        <v>551</v>
      </c>
      <c r="C78" s="11">
        <v>1</v>
      </c>
      <c r="D78" s="16">
        <v>4545455</v>
      </c>
      <c r="E78" s="11">
        <v>0</v>
      </c>
      <c r="F78" s="11">
        <v>0</v>
      </c>
      <c r="G78" s="11">
        <v>1</v>
      </c>
      <c r="H78" s="11">
        <v>4545455</v>
      </c>
      <c r="I78" s="3">
        <f>C78+E78-G78</f>
        <v>0</v>
      </c>
      <c r="J78" s="46">
        <f>D78+F78-H78</f>
        <v>0</v>
      </c>
    </row>
    <row r="79" spans="2:10" ht="24.95" customHeight="1" x14ac:dyDescent="0.25">
      <c r="B79" s="48" t="s">
        <v>550</v>
      </c>
      <c r="C79" s="3">
        <v>0</v>
      </c>
      <c r="D79" s="8">
        <v>0</v>
      </c>
      <c r="E79" s="4">
        <v>1</v>
      </c>
      <c r="F79" s="4">
        <v>20531349</v>
      </c>
      <c r="G79" s="4">
        <v>1</v>
      </c>
      <c r="H79" s="4">
        <v>20531349</v>
      </c>
      <c r="I79" s="3">
        <f>C79+E79-G79</f>
        <v>0</v>
      </c>
      <c r="J79" s="46">
        <f>D79+F79-H79</f>
        <v>0</v>
      </c>
    </row>
    <row r="80" spans="2:10" ht="24.95" customHeight="1" x14ac:dyDescent="0.25">
      <c r="B80" s="43" t="s">
        <v>549</v>
      </c>
      <c r="C80" s="3">
        <v>0</v>
      </c>
      <c r="D80" s="8">
        <v>0</v>
      </c>
      <c r="E80" s="3">
        <v>1</v>
      </c>
      <c r="F80" s="3">
        <v>6700000</v>
      </c>
      <c r="G80" s="3">
        <v>1</v>
      </c>
      <c r="H80" s="3">
        <v>6700000</v>
      </c>
      <c r="I80" s="3">
        <f>C80+E80-G80</f>
        <v>0</v>
      </c>
      <c r="J80" s="46">
        <f>D80+F80-H80</f>
        <v>0</v>
      </c>
    </row>
    <row r="81" spans="2:10" ht="24.95" customHeight="1" x14ac:dyDescent="0.25">
      <c r="B81" s="43" t="s">
        <v>548</v>
      </c>
      <c r="C81" s="3">
        <v>0</v>
      </c>
      <c r="D81" s="8">
        <v>0</v>
      </c>
      <c r="E81" s="3">
        <v>30</v>
      </c>
      <c r="F81" s="3">
        <v>210000</v>
      </c>
      <c r="G81" s="3">
        <v>30</v>
      </c>
      <c r="H81" s="3">
        <v>210000</v>
      </c>
      <c r="I81" s="3">
        <f>C81+E81-G81</f>
        <v>0</v>
      </c>
      <c r="J81" s="46">
        <f>D81+F81-H81</f>
        <v>0</v>
      </c>
    </row>
    <row r="82" spans="2:10" ht="24.95" customHeight="1" x14ac:dyDescent="0.25">
      <c r="B82" s="43" t="s">
        <v>547</v>
      </c>
      <c r="C82" s="3">
        <v>0</v>
      </c>
      <c r="D82" s="8">
        <v>0</v>
      </c>
      <c r="E82" s="3">
        <v>12</v>
      </c>
      <c r="F82" s="3">
        <v>2376000</v>
      </c>
      <c r="G82" s="3">
        <v>12</v>
      </c>
      <c r="H82" s="3">
        <v>2376000</v>
      </c>
      <c r="I82" s="3">
        <f>C82+E82-G82</f>
        <v>0</v>
      </c>
      <c r="J82" s="46">
        <f>D82+F82-H82</f>
        <v>0</v>
      </c>
    </row>
    <row r="83" spans="2:10" s="23" customFormat="1" ht="24.95" customHeight="1" x14ac:dyDescent="0.25">
      <c r="B83" s="43" t="s">
        <v>546</v>
      </c>
      <c r="C83" s="3">
        <v>0</v>
      </c>
      <c r="D83" s="8">
        <v>0</v>
      </c>
      <c r="E83" s="3">
        <v>3</v>
      </c>
      <c r="F83" s="3">
        <v>12000000</v>
      </c>
      <c r="G83" s="3">
        <v>2</v>
      </c>
      <c r="H83" s="3">
        <v>8000000</v>
      </c>
      <c r="I83" s="3">
        <f>C83+E83-G83</f>
        <v>1</v>
      </c>
      <c r="J83" s="44">
        <f>D83+F83-H83</f>
        <v>4000000</v>
      </c>
    </row>
    <row r="84" spans="2:10" ht="24.95" customHeight="1" x14ac:dyDescent="0.25">
      <c r="B84" s="43" t="s">
        <v>545</v>
      </c>
      <c r="C84" s="3">
        <v>0</v>
      </c>
      <c r="D84" s="8">
        <v>0</v>
      </c>
      <c r="E84" s="3">
        <v>3</v>
      </c>
      <c r="F84" s="3">
        <v>549546</v>
      </c>
      <c r="G84" s="3">
        <v>3</v>
      </c>
      <c r="H84" s="3">
        <v>549546</v>
      </c>
      <c r="I84" s="3">
        <f>C84+E84-G84</f>
        <v>0</v>
      </c>
      <c r="J84" s="46">
        <f>D84+F84-H84</f>
        <v>0</v>
      </c>
    </row>
    <row r="85" spans="2:10" s="23" customFormat="1" ht="24.95" customHeight="1" x14ac:dyDescent="0.25">
      <c r="B85" s="43" t="s">
        <v>544</v>
      </c>
      <c r="C85" s="3">
        <v>0</v>
      </c>
      <c r="D85" s="8">
        <v>0</v>
      </c>
      <c r="E85" s="3">
        <v>1</v>
      </c>
      <c r="F85" s="3">
        <v>15000000</v>
      </c>
      <c r="G85" s="3">
        <v>1</v>
      </c>
      <c r="H85" s="3">
        <v>15000000</v>
      </c>
      <c r="I85" s="3">
        <f>C85+E85-G85</f>
        <v>0</v>
      </c>
      <c r="J85" s="46">
        <f>D85+F85-H85</f>
        <v>0</v>
      </c>
    </row>
    <row r="86" spans="2:10" s="23" customFormat="1" ht="24.95" customHeight="1" x14ac:dyDescent="0.25">
      <c r="B86" s="43" t="s">
        <v>543</v>
      </c>
      <c r="C86" s="3">
        <v>0</v>
      </c>
      <c r="D86" s="8">
        <v>0</v>
      </c>
      <c r="E86" s="3">
        <v>1</v>
      </c>
      <c r="F86" s="7">
        <v>50000000</v>
      </c>
      <c r="G86" s="3">
        <v>1</v>
      </c>
      <c r="H86" s="7">
        <v>50000000</v>
      </c>
      <c r="I86" s="3">
        <f>C86+E86-G86</f>
        <v>0</v>
      </c>
      <c r="J86" s="46">
        <f>D86+F86-H86</f>
        <v>0</v>
      </c>
    </row>
    <row r="87" spans="2:10" ht="24.95" customHeight="1" x14ac:dyDescent="0.25">
      <c r="B87" s="43" t="s">
        <v>542</v>
      </c>
      <c r="C87" s="3">
        <v>0</v>
      </c>
      <c r="D87" s="8">
        <v>0</v>
      </c>
      <c r="E87" s="3">
        <v>1</v>
      </c>
      <c r="F87" s="3">
        <v>1465000</v>
      </c>
      <c r="G87" s="3">
        <v>1</v>
      </c>
      <c r="H87" s="3">
        <v>1465000</v>
      </c>
      <c r="I87" s="3">
        <f>C87+E87-G87</f>
        <v>0</v>
      </c>
      <c r="J87" s="46">
        <f>D87+F87-H87</f>
        <v>0</v>
      </c>
    </row>
    <row r="88" spans="2:10" s="23" customFormat="1" ht="24.95" customHeight="1" x14ac:dyDescent="0.25">
      <c r="B88" s="45" t="s">
        <v>541</v>
      </c>
      <c r="C88" s="9">
        <v>2</v>
      </c>
      <c r="D88" s="13">
        <v>6060000</v>
      </c>
      <c r="E88" s="9">
        <v>0</v>
      </c>
      <c r="F88" s="9">
        <v>0</v>
      </c>
      <c r="G88" s="9">
        <v>0</v>
      </c>
      <c r="H88" s="9">
        <v>0</v>
      </c>
      <c r="I88" s="3">
        <f>C88+E88-G88</f>
        <v>2</v>
      </c>
      <c r="J88" s="44">
        <f>D88+F88-H88</f>
        <v>6060000</v>
      </c>
    </row>
    <row r="89" spans="2:10" ht="24.95" customHeight="1" x14ac:dyDescent="0.25">
      <c r="B89" s="43" t="s">
        <v>540</v>
      </c>
      <c r="C89" s="3">
        <v>0</v>
      </c>
      <c r="D89" s="8">
        <v>0</v>
      </c>
      <c r="E89" s="3">
        <v>1</v>
      </c>
      <c r="F89" s="3">
        <v>35000000</v>
      </c>
      <c r="G89" s="3">
        <v>1</v>
      </c>
      <c r="H89" s="3">
        <v>35000000</v>
      </c>
      <c r="I89" s="3">
        <f>C89+E89-G89</f>
        <v>0</v>
      </c>
      <c r="J89" s="46">
        <f>D89+F89-H89</f>
        <v>0</v>
      </c>
    </row>
    <row r="90" spans="2:10" s="23" customFormat="1" ht="24.95" customHeight="1" x14ac:dyDescent="0.25">
      <c r="B90" s="43" t="s">
        <v>539</v>
      </c>
      <c r="C90" s="3">
        <v>0</v>
      </c>
      <c r="D90" s="8">
        <v>0</v>
      </c>
      <c r="E90" s="3">
        <v>1</v>
      </c>
      <c r="F90" s="7">
        <v>60800000</v>
      </c>
      <c r="G90" s="3">
        <v>1</v>
      </c>
      <c r="H90" s="7">
        <v>60800000</v>
      </c>
      <c r="I90" s="3">
        <f>C90+E90-G90</f>
        <v>0</v>
      </c>
      <c r="J90" s="46">
        <f>D90+F90-H90</f>
        <v>0</v>
      </c>
    </row>
    <row r="91" spans="2:10" ht="24.95" customHeight="1" x14ac:dyDescent="0.25">
      <c r="B91" s="45" t="s">
        <v>538</v>
      </c>
      <c r="C91" s="9">
        <v>6</v>
      </c>
      <c r="D91" s="13">
        <v>810000</v>
      </c>
      <c r="E91" s="3">
        <v>0</v>
      </c>
      <c r="F91" s="3">
        <v>0</v>
      </c>
      <c r="G91" s="3">
        <v>0</v>
      </c>
      <c r="H91" s="3">
        <v>0</v>
      </c>
      <c r="I91" s="3">
        <f>C91+E91-G91</f>
        <v>6</v>
      </c>
      <c r="J91" s="44">
        <f>D91+F91-H91</f>
        <v>810000</v>
      </c>
    </row>
    <row r="92" spans="2:10" s="23" customFormat="1" ht="24.95" customHeight="1" x14ac:dyDescent="0.25">
      <c r="B92" s="43" t="s">
        <v>537</v>
      </c>
      <c r="C92" s="3">
        <v>0</v>
      </c>
      <c r="D92" s="8">
        <v>0</v>
      </c>
      <c r="E92" s="3">
        <v>1</v>
      </c>
      <c r="F92" s="3">
        <v>4962727</v>
      </c>
      <c r="G92" s="3">
        <v>1</v>
      </c>
      <c r="H92" s="3">
        <v>4962727</v>
      </c>
      <c r="I92" s="3">
        <f>C92+E92-G92</f>
        <v>0</v>
      </c>
      <c r="J92" s="46">
        <f>D92+F92-H92</f>
        <v>0</v>
      </c>
    </row>
    <row r="93" spans="2:10" ht="24.95" customHeight="1" x14ac:dyDescent="0.25">
      <c r="B93" s="43" t="s">
        <v>536</v>
      </c>
      <c r="C93" s="3">
        <v>0</v>
      </c>
      <c r="D93" s="8">
        <v>0</v>
      </c>
      <c r="E93" s="3">
        <v>1</v>
      </c>
      <c r="F93" s="7">
        <v>3148183</v>
      </c>
      <c r="G93" s="3">
        <v>1</v>
      </c>
      <c r="H93" s="7">
        <v>3148183</v>
      </c>
      <c r="I93" s="3">
        <f>C93+E93-G93</f>
        <v>0</v>
      </c>
      <c r="J93" s="46">
        <f>D93+F93-H93</f>
        <v>0</v>
      </c>
    </row>
    <row r="94" spans="2:10" s="23" customFormat="1" ht="24.95" customHeight="1" x14ac:dyDescent="0.25">
      <c r="B94" s="45" t="s">
        <v>535</v>
      </c>
      <c r="C94" s="9">
        <v>1</v>
      </c>
      <c r="D94" s="13">
        <v>385200</v>
      </c>
      <c r="E94" s="3">
        <v>0</v>
      </c>
      <c r="F94" s="3">
        <v>0</v>
      </c>
      <c r="G94" s="3">
        <v>0</v>
      </c>
      <c r="H94" s="3">
        <v>0</v>
      </c>
      <c r="I94" s="3">
        <f>C94+E94-G94</f>
        <v>1</v>
      </c>
      <c r="J94" s="44">
        <f>D94+F94-H94</f>
        <v>385200</v>
      </c>
    </row>
    <row r="95" spans="2:10" ht="24.95" customHeight="1" x14ac:dyDescent="0.25">
      <c r="B95" s="43" t="s">
        <v>534</v>
      </c>
      <c r="C95" s="3">
        <v>0</v>
      </c>
      <c r="D95" s="8">
        <v>0</v>
      </c>
      <c r="E95" s="3">
        <v>1</v>
      </c>
      <c r="F95" s="7">
        <v>9700000</v>
      </c>
      <c r="G95" s="3">
        <v>1</v>
      </c>
      <c r="H95" s="7">
        <v>9700000</v>
      </c>
      <c r="I95" s="3">
        <f>C95+E95-G95</f>
        <v>0</v>
      </c>
      <c r="J95" s="46">
        <f>D95+F95-H95</f>
        <v>0</v>
      </c>
    </row>
    <row r="96" spans="2:10" s="23" customFormat="1" ht="24.95" customHeight="1" x14ac:dyDescent="0.25">
      <c r="B96" s="43" t="s">
        <v>533</v>
      </c>
      <c r="C96" s="3">
        <v>0</v>
      </c>
      <c r="D96" s="8">
        <v>0</v>
      </c>
      <c r="E96" s="3">
        <v>40</v>
      </c>
      <c r="F96" s="7">
        <v>54400000</v>
      </c>
      <c r="G96" s="3">
        <v>40</v>
      </c>
      <c r="H96" s="7">
        <v>54400000</v>
      </c>
      <c r="I96" s="3">
        <f>C96+E96-G96</f>
        <v>0</v>
      </c>
      <c r="J96" s="46">
        <f>D96+F96-H96</f>
        <v>0</v>
      </c>
    </row>
    <row r="97" spans="2:10" ht="24.95" customHeight="1" x14ac:dyDescent="0.25">
      <c r="B97" s="45" t="s">
        <v>532</v>
      </c>
      <c r="C97" s="9">
        <v>3</v>
      </c>
      <c r="D97" s="13">
        <v>5742000</v>
      </c>
      <c r="E97" s="9">
        <v>0</v>
      </c>
      <c r="F97" s="9">
        <v>0</v>
      </c>
      <c r="G97" s="9">
        <v>2</v>
      </c>
      <c r="H97" s="9">
        <v>3828000</v>
      </c>
      <c r="I97" s="3">
        <f>C97+E97-G97</f>
        <v>1</v>
      </c>
      <c r="J97" s="44">
        <f>D97+F97-H97</f>
        <v>1914000</v>
      </c>
    </row>
    <row r="98" spans="2:10" s="23" customFormat="1" ht="24.95" customHeight="1" x14ac:dyDescent="0.25">
      <c r="B98" s="43" t="s">
        <v>531</v>
      </c>
      <c r="C98" s="3">
        <v>0</v>
      </c>
      <c r="D98" s="8">
        <v>0</v>
      </c>
      <c r="E98" s="3">
        <v>2</v>
      </c>
      <c r="F98" s="3">
        <v>8400000</v>
      </c>
      <c r="G98" s="3">
        <v>2</v>
      </c>
      <c r="H98" s="3">
        <v>8400000</v>
      </c>
      <c r="I98" s="3">
        <f>C98+E98-G98</f>
        <v>0</v>
      </c>
      <c r="J98" s="46">
        <f>D98+F98-H98</f>
        <v>0</v>
      </c>
    </row>
    <row r="99" spans="2:10" ht="24.95" customHeight="1" x14ac:dyDescent="0.25">
      <c r="B99" s="45" t="s">
        <v>530</v>
      </c>
      <c r="C99" s="9">
        <v>1</v>
      </c>
      <c r="D99" s="13">
        <v>3966667</v>
      </c>
      <c r="E99" s="9">
        <v>0</v>
      </c>
      <c r="F99" s="9">
        <v>0</v>
      </c>
      <c r="G99" s="9">
        <v>1</v>
      </c>
      <c r="H99" s="9">
        <v>3966667</v>
      </c>
      <c r="I99" s="3">
        <f>C99+E99-G99</f>
        <v>0</v>
      </c>
      <c r="J99" s="46">
        <f>D99+F99-H99</f>
        <v>0</v>
      </c>
    </row>
    <row r="100" spans="2:10" s="23" customFormat="1" ht="24.95" customHeight="1" x14ac:dyDescent="0.25">
      <c r="B100" s="43" t="s">
        <v>529</v>
      </c>
      <c r="C100" s="3">
        <v>0</v>
      </c>
      <c r="D100" s="8">
        <v>0</v>
      </c>
      <c r="E100" s="3">
        <v>1</v>
      </c>
      <c r="F100" s="3">
        <v>800000</v>
      </c>
      <c r="G100" s="3">
        <v>1</v>
      </c>
      <c r="H100" s="3">
        <v>800000</v>
      </c>
      <c r="I100" s="3">
        <f>C100+E100-G100</f>
        <v>0</v>
      </c>
      <c r="J100" s="46">
        <f>D100+F100-H100</f>
        <v>0</v>
      </c>
    </row>
    <row r="101" spans="2:10" ht="24.95" customHeight="1" x14ac:dyDescent="0.25">
      <c r="B101" s="43" t="s">
        <v>528</v>
      </c>
      <c r="C101" s="3">
        <v>0</v>
      </c>
      <c r="D101" s="8">
        <v>0</v>
      </c>
      <c r="E101" s="3">
        <v>1</v>
      </c>
      <c r="F101" s="7">
        <v>410001</v>
      </c>
      <c r="G101" s="3">
        <v>1</v>
      </c>
      <c r="H101" s="7">
        <v>410001</v>
      </c>
      <c r="I101" s="3">
        <f>C101+E101-G101</f>
        <v>0</v>
      </c>
      <c r="J101" s="46">
        <f>D101+F101-H101</f>
        <v>0</v>
      </c>
    </row>
    <row r="102" spans="2:10" s="23" customFormat="1" ht="24.95" customHeight="1" x14ac:dyDescent="0.25">
      <c r="B102" s="43" t="s">
        <v>527</v>
      </c>
      <c r="C102" s="3">
        <v>0</v>
      </c>
      <c r="D102" s="8">
        <v>0</v>
      </c>
      <c r="E102" s="3">
        <v>2</v>
      </c>
      <c r="F102" s="3">
        <v>3217265</v>
      </c>
      <c r="G102" s="3">
        <v>2</v>
      </c>
      <c r="H102" s="3">
        <v>3217265</v>
      </c>
      <c r="I102" s="3">
        <f>C102+E102-G102</f>
        <v>0</v>
      </c>
      <c r="J102" s="46">
        <f>D102+F102-H102</f>
        <v>0</v>
      </c>
    </row>
    <row r="103" spans="2:10" s="23" customFormat="1" ht="24.95" customHeight="1" x14ac:dyDescent="0.25">
      <c r="B103" s="43" t="s">
        <v>526</v>
      </c>
      <c r="C103" s="3">
        <v>0</v>
      </c>
      <c r="D103" s="8">
        <v>0</v>
      </c>
      <c r="E103" s="3">
        <v>3</v>
      </c>
      <c r="F103" s="3">
        <v>14440000</v>
      </c>
      <c r="G103" s="3">
        <v>3</v>
      </c>
      <c r="H103" s="3">
        <v>14440000</v>
      </c>
      <c r="I103" s="3">
        <f>C103+E103-G103</f>
        <v>0</v>
      </c>
      <c r="J103" s="46">
        <f>D103+F103-H103</f>
        <v>0</v>
      </c>
    </row>
    <row r="104" spans="2:10" ht="24.95" customHeight="1" x14ac:dyDescent="0.25">
      <c r="B104" s="43" t="s">
        <v>525</v>
      </c>
      <c r="C104" s="3">
        <v>0</v>
      </c>
      <c r="D104" s="8">
        <v>0</v>
      </c>
      <c r="E104" s="3">
        <v>4</v>
      </c>
      <c r="F104" s="7">
        <v>600000</v>
      </c>
      <c r="G104" s="3">
        <v>4</v>
      </c>
      <c r="H104" s="7">
        <v>600000</v>
      </c>
      <c r="I104" s="3">
        <f>C104+E104-G104</f>
        <v>0</v>
      </c>
      <c r="J104" s="46">
        <f>D104+F104-H104</f>
        <v>0</v>
      </c>
    </row>
    <row r="105" spans="2:10" ht="24.95" customHeight="1" x14ac:dyDescent="0.25">
      <c r="B105" s="43" t="s">
        <v>524</v>
      </c>
      <c r="C105" s="3">
        <v>1</v>
      </c>
      <c r="D105" s="8">
        <v>380000</v>
      </c>
      <c r="E105" s="3">
        <v>1</v>
      </c>
      <c r="F105" s="3">
        <v>853200</v>
      </c>
      <c r="G105" s="3">
        <v>2</v>
      </c>
      <c r="H105" s="3">
        <v>1233200</v>
      </c>
      <c r="I105" s="3">
        <f>C105+E105-G105</f>
        <v>0</v>
      </c>
      <c r="J105" s="46">
        <f>D105+F105-H105</f>
        <v>0</v>
      </c>
    </row>
    <row r="106" spans="2:10" ht="24.95" customHeight="1" x14ac:dyDescent="0.25">
      <c r="B106" s="43" t="s">
        <v>523</v>
      </c>
      <c r="C106" s="11">
        <v>11</v>
      </c>
      <c r="D106" s="16">
        <v>6600000</v>
      </c>
      <c r="E106" s="11">
        <v>0</v>
      </c>
      <c r="F106" s="11">
        <v>0</v>
      </c>
      <c r="G106" s="11">
        <v>3</v>
      </c>
      <c r="H106" s="11">
        <v>1800000</v>
      </c>
      <c r="I106" s="3">
        <f>C106+E106-G106</f>
        <v>8</v>
      </c>
      <c r="J106" s="44">
        <f>D106+F106-H106</f>
        <v>4800000</v>
      </c>
    </row>
    <row r="107" spans="2:10" s="23" customFormat="1" ht="24.95" customHeight="1" x14ac:dyDescent="0.25">
      <c r="B107" s="43" t="s">
        <v>522</v>
      </c>
      <c r="C107" s="3">
        <v>0</v>
      </c>
      <c r="D107" s="8">
        <v>0</v>
      </c>
      <c r="E107" s="3">
        <v>5</v>
      </c>
      <c r="F107" s="3">
        <v>20155300</v>
      </c>
      <c r="G107" s="3">
        <v>2</v>
      </c>
      <c r="H107" s="3">
        <v>6024500</v>
      </c>
      <c r="I107" s="3">
        <f>C107+E107-G107</f>
        <v>3</v>
      </c>
      <c r="J107" s="44">
        <f>D107+F107-H107</f>
        <v>14130800</v>
      </c>
    </row>
    <row r="108" spans="2:10" ht="24.95" customHeight="1" x14ac:dyDescent="0.25">
      <c r="B108" s="43" t="s">
        <v>521</v>
      </c>
      <c r="C108" s="3">
        <v>0</v>
      </c>
      <c r="D108" s="8">
        <v>0</v>
      </c>
      <c r="E108" s="3">
        <v>1</v>
      </c>
      <c r="F108" s="3">
        <v>2340000</v>
      </c>
      <c r="G108" s="3">
        <v>1</v>
      </c>
      <c r="H108" s="3">
        <v>2340000</v>
      </c>
      <c r="I108" s="3">
        <f>C108+E108-G108</f>
        <v>0</v>
      </c>
      <c r="J108" s="46">
        <f>D108+F108-H108</f>
        <v>0</v>
      </c>
    </row>
    <row r="109" spans="2:10" s="23" customFormat="1" ht="24.95" customHeight="1" x14ac:dyDescent="0.25">
      <c r="B109" s="43" t="s">
        <v>520</v>
      </c>
      <c r="C109" s="3">
        <v>0</v>
      </c>
      <c r="D109" s="8">
        <v>0</v>
      </c>
      <c r="E109" s="3">
        <v>1</v>
      </c>
      <c r="F109" s="7">
        <v>300000</v>
      </c>
      <c r="G109" s="3">
        <v>1</v>
      </c>
      <c r="H109" s="7">
        <v>300000</v>
      </c>
      <c r="I109" s="3">
        <f>C109+E109-G109</f>
        <v>0</v>
      </c>
      <c r="J109" s="46">
        <f>D109+F109-H109</f>
        <v>0</v>
      </c>
    </row>
    <row r="110" spans="2:10" s="23" customFormat="1" ht="24.95" customHeight="1" x14ac:dyDescent="0.25">
      <c r="B110" s="43" t="s">
        <v>519</v>
      </c>
      <c r="C110" s="3">
        <v>0</v>
      </c>
      <c r="D110" s="8">
        <v>0</v>
      </c>
      <c r="E110" s="3">
        <v>1</v>
      </c>
      <c r="F110" s="7">
        <v>1639000</v>
      </c>
      <c r="G110" s="3">
        <v>1</v>
      </c>
      <c r="H110" s="7">
        <v>1639000</v>
      </c>
      <c r="I110" s="3">
        <f>C110+E110-G110</f>
        <v>0</v>
      </c>
      <c r="J110" s="46">
        <f>D110+F110-H110</f>
        <v>0</v>
      </c>
    </row>
    <row r="111" spans="2:10" ht="24.95" customHeight="1" x14ac:dyDescent="0.25">
      <c r="B111" s="48" t="s">
        <v>518</v>
      </c>
      <c r="C111" s="3">
        <v>0</v>
      </c>
      <c r="D111" s="8">
        <v>0</v>
      </c>
      <c r="E111" s="4">
        <v>2</v>
      </c>
      <c r="F111" s="4">
        <v>10265740</v>
      </c>
      <c r="G111" s="4">
        <v>2</v>
      </c>
      <c r="H111" s="4">
        <v>10265740</v>
      </c>
      <c r="I111" s="3">
        <f>C111+E111-G111</f>
        <v>0</v>
      </c>
      <c r="J111" s="46">
        <f>D111+F111-H111</f>
        <v>0</v>
      </c>
    </row>
    <row r="112" spans="2:10" ht="24.95" customHeight="1" x14ac:dyDescent="0.25">
      <c r="B112" s="45" t="s">
        <v>517</v>
      </c>
      <c r="C112" s="9">
        <v>6</v>
      </c>
      <c r="D112" s="13">
        <v>1223868</v>
      </c>
      <c r="E112" s="9">
        <v>0</v>
      </c>
      <c r="F112" s="9">
        <v>0</v>
      </c>
      <c r="G112" s="9">
        <v>6</v>
      </c>
      <c r="H112" s="9">
        <v>1223868</v>
      </c>
      <c r="I112" s="3">
        <f>C112+E112-G112</f>
        <v>0</v>
      </c>
      <c r="J112" s="46">
        <f>D112+F112-H112</f>
        <v>0</v>
      </c>
    </row>
    <row r="113" spans="2:10" s="23" customFormat="1" ht="24.95" customHeight="1" x14ac:dyDescent="0.25">
      <c r="B113" s="49" t="s">
        <v>516</v>
      </c>
      <c r="C113" s="9">
        <v>5</v>
      </c>
      <c r="D113" s="13">
        <v>818295</v>
      </c>
      <c r="E113" s="9">
        <v>0</v>
      </c>
      <c r="F113" s="9">
        <v>0</v>
      </c>
      <c r="G113" s="9">
        <v>2</v>
      </c>
      <c r="H113" s="9">
        <v>348096</v>
      </c>
      <c r="I113" s="3">
        <f>C113+E113-G113</f>
        <v>3</v>
      </c>
      <c r="J113" s="44">
        <f>D113+F113-H113</f>
        <v>470199</v>
      </c>
    </row>
    <row r="114" spans="2:10" s="23" customFormat="1" ht="24.95" customHeight="1" x14ac:dyDescent="0.25">
      <c r="B114" s="48" t="s">
        <v>515</v>
      </c>
      <c r="C114" s="4">
        <v>0</v>
      </c>
      <c r="D114" s="5">
        <v>0</v>
      </c>
      <c r="E114" s="4">
        <v>2</v>
      </c>
      <c r="F114" s="4">
        <v>405306</v>
      </c>
      <c r="G114" s="4">
        <v>2</v>
      </c>
      <c r="H114" s="4">
        <v>405306</v>
      </c>
      <c r="I114" s="3">
        <f>C114+E114-G114</f>
        <v>0</v>
      </c>
      <c r="J114" s="46">
        <f>D114+F114-H114</f>
        <v>0</v>
      </c>
    </row>
    <row r="115" spans="2:10" ht="24.95" customHeight="1" x14ac:dyDescent="0.25">
      <c r="B115" s="45" t="s">
        <v>514</v>
      </c>
      <c r="C115" s="9">
        <v>1</v>
      </c>
      <c r="D115" s="2">
        <v>2756000</v>
      </c>
      <c r="E115" s="9">
        <v>0</v>
      </c>
      <c r="F115" s="9">
        <v>0</v>
      </c>
      <c r="G115" s="9">
        <v>0</v>
      </c>
      <c r="H115" s="9">
        <v>0</v>
      </c>
      <c r="I115" s="3">
        <f>C115+E115-G115</f>
        <v>1</v>
      </c>
      <c r="J115" s="44">
        <f>D115+F115-H115</f>
        <v>2756000</v>
      </c>
    </row>
    <row r="116" spans="2:10" s="23" customFormat="1" ht="24.95" customHeight="1" x14ac:dyDescent="0.25">
      <c r="B116" s="43" t="s">
        <v>513</v>
      </c>
      <c r="C116" s="9">
        <v>0</v>
      </c>
      <c r="D116" s="13">
        <v>0</v>
      </c>
      <c r="E116" s="3">
        <v>1</v>
      </c>
      <c r="F116" s="7">
        <v>59387500</v>
      </c>
      <c r="G116" s="3">
        <v>1</v>
      </c>
      <c r="H116" s="7">
        <v>59387500</v>
      </c>
      <c r="I116" s="3">
        <f>C116+E116-G116</f>
        <v>0</v>
      </c>
      <c r="J116" s="46">
        <f>D116+F116-H116</f>
        <v>0</v>
      </c>
    </row>
    <row r="117" spans="2:10" ht="24.95" customHeight="1" x14ac:dyDescent="0.25">
      <c r="B117" s="43" t="s">
        <v>512</v>
      </c>
      <c r="C117" s="3">
        <v>0</v>
      </c>
      <c r="D117" s="8">
        <v>0</v>
      </c>
      <c r="E117" s="3">
        <v>2</v>
      </c>
      <c r="F117" s="3">
        <v>9324000</v>
      </c>
      <c r="G117" s="3">
        <v>2</v>
      </c>
      <c r="H117" s="3">
        <v>9324000</v>
      </c>
      <c r="I117" s="3">
        <f>C117+E117-G117</f>
        <v>0</v>
      </c>
      <c r="J117" s="46">
        <f>D117+F117-H117</f>
        <v>0</v>
      </c>
    </row>
    <row r="118" spans="2:10" ht="24.95" customHeight="1" x14ac:dyDescent="0.25">
      <c r="B118" s="48" t="s">
        <v>511</v>
      </c>
      <c r="C118" s="4">
        <v>1</v>
      </c>
      <c r="D118" s="5">
        <v>51706</v>
      </c>
      <c r="E118" s="4">
        <v>2</v>
      </c>
      <c r="F118" s="4">
        <v>197364</v>
      </c>
      <c r="G118" s="4">
        <v>2</v>
      </c>
      <c r="H118" s="4">
        <v>197364</v>
      </c>
      <c r="I118" s="3">
        <f>C118+E118-G118</f>
        <v>1</v>
      </c>
      <c r="J118" s="44">
        <f>D118+F118-H118</f>
        <v>51706</v>
      </c>
    </row>
    <row r="119" spans="2:10" ht="24.95" customHeight="1" x14ac:dyDescent="0.25">
      <c r="B119" s="48" t="s">
        <v>510</v>
      </c>
      <c r="C119" s="4">
        <v>3</v>
      </c>
      <c r="D119" s="5">
        <v>153138</v>
      </c>
      <c r="E119" s="4">
        <v>2</v>
      </c>
      <c r="F119" s="4">
        <v>1601202</v>
      </c>
      <c r="G119" s="4">
        <v>1</v>
      </c>
      <c r="H119" s="4">
        <v>800601</v>
      </c>
      <c r="I119" s="3">
        <f>C119+E119-G119</f>
        <v>4</v>
      </c>
      <c r="J119" s="44">
        <f>D119+F119-H119</f>
        <v>953739</v>
      </c>
    </row>
    <row r="120" spans="2:10" s="23" customFormat="1" ht="24.95" customHeight="1" x14ac:dyDescent="0.25">
      <c r="B120" s="48" t="s">
        <v>509</v>
      </c>
      <c r="C120" s="4">
        <v>11</v>
      </c>
      <c r="D120" s="5">
        <v>18009952</v>
      </c>
      <c r="E120" s="4">
        <v>3</v>
      </c>
      <c r="F120" s="4">
        <v>7625020</v>
      </c>
      <c r="G120" s="4">
        <v>4</v>
      </c>
      <c r="H120" s="4">
        <v>7960108</v>
      </c>
      <c r="I120" s="3">
        <f>C120+E120-G120</f>
        <v>10</v>
      </c>
      <c r="J120" s="44">
        <f>D120+F120-H120</f>
        <v>17674864</v>
      </c>
    </row>
    <row r="121" spans="2:10" s="23" customFormat="1" ht="24.95" customHeight="1" x14ac:dyDescent="0.25">
      <c r="B121" s="48" t="s">
        <v>508</v>
      </c>
      <c r="C121" s="4">
        <v>0</v>
      </c>
      <c r="D121" s="5">
        <v>0</v>
      </c>
      <c r="E121" s="4">
        <v>2</v>
      </c>
      <c r="F121" s="4">
        <v>44282708</v>
      </c>
      <c r="G121" s="4">
        <v>2</v>
      </c>
      <c r="H121" s="4">
        <v>44282708</v>
      </c>
      <c r="I121" s="3">
        <f>C121+E121-G121</f>
        <v>0</v>
      </c>
      <c r="J121" s="46">
        <f>D121+F121-H121</f>
        <v>0</v>
      </c>
    </row>
    <row r="122" spans="2:10" ht="24.95" customHeight="1" x14ac:dyDescent="0.25">
      <c r="B122" s="48" t="s">
        <v>507</v>
      </c>
      <c r="C122" s="4">
        <v>1</v>
      </c>
      <c r="D122" s="2">
        <v>72984009</v>
      </c>
      <c r="E122" s="4">
        <v>0</v>
      </c>
      <c r="F122" s="4">
        <v>0</v>
      </c>
      <c r="G122" s="4">
        <v>1</v>
      </c>
      <c r="H122" s="2">
        <v>72984009</v>
      </c>
      <c r="I122" s="3">
        <f>C122+E122-G122</f>
        <v>0</v>
      </c>
      <c r="J122" s="46">
        <f>D122+F122-H122</f>
        <v>0</v>
      </c>
    </row>
    <row r="123" spans="2:10" ht="24.95" customHeight="1" x14ac:dyDescent="0.25">
      <c r="B123" s="43" t="s">
        <v>506</v>
      </c>
      <c r="C123" s="11">
        <v>2</v>
      </c>
      <c r="D123" s="16">
        <v>74000000</v>
      </c>
      <c r="E123" s="11">
        <v>0</v>
      </c>
      <c r="F123" s="11">
        <v>0</v>
      </c>
      <c r="G123" s="11">
        <v>2</v>
      </c>
      <c r="H123" s="11">
        <v>74000000</v>
      </c>
      <c r="I123" s="3">
        <f>C123+E123-G123</f>
        <v>0</v>
      </c>
      <c r="J123" s="46">
        <f>D123+F123-H123</f>
        <v>0</v>
      </c>
    </row>
    <row r="124" spans="2:10" ht="24.95" customHeight="1" x14ac:dyDescent="0.25">
      <c r="B124" s="45" t="s">
        <v>505</v>
      </c>
      <c r="C124" s="9">
        <v>6</v>
      </c>
      <c r="D124" s="13">
        <v>16656</v>
      </c>
      <c r="E124" s="9">
        <v>0</v>
      </c>
      <c r="F124" s="9">
        <v>0</v>
      </c>
      <c r="G124" s="9">
        <v>0</v>
      </c>
      <c r="H124" s="9">
        <v>0</v>
      </c>
      <c r="I124" s="3">
        <f>C124+E124-G124</f>
        <v>6</v>
      </c>
      <c r="J124" s="44">
        <f>D124+F124-H124</f>
        <v>16656</v>
      </c>
    </row>
    <row r="125" spans="2:10" ht="24.95" customHeight="1" x14ac:dyDescent="0.25">
      <c r="B125" s="43" t="s">
        <v>504</v>
      </c>
      <c r="C125" s="3">
        <v>0</v>
      </c>
      <c r="D125" s="8">
        <v>0</v>
      </c>
      <c r="E125" s="3">
        <v>1</v>
      </c>
      <c r="F125" s="7">
        <v>2980000</v>
      </c>
      <c r="G125" s="3">
        <v>1</v>
      </c>
      <c r="H125" s="7">
        <v>2980000</v>
      </c>
      <c r="I125" s="3">
        <f>C125+E125-G125</f>
        <v>0</v>
      </c>
      <c r="J125" s="46">
        <f>D125+F125-H125</f>
        <v>0</v>
      </c>
    </row>
    <row r="126" spans="2:10" ht="24.95" customHeight="1" x14ac:dyDescent="0.25">
      <c r="B126" s="48" t="s">
        <v>503</v>
      </c>
      <c r="C126" s="4">
        <v>0</v>
      </c>
      <c r="D126" s="5">
        <v>0</v>
      </c>
      <c r="E126" s="4">
        <v>2</v>
      </c>
      <c r="F126" s="2">
        <v>1493478</v>
      </c>
      <c r="G126" s="4">
        <v>2</v>
      </c>
      <c r="H126" s="2">
        <v>1493478</v>
      </c>
      <c r="I126" s="3">
        <f>C126+E126-G126</f>
        <v>0</v>
      </c>
      <c r="J126" s="46">
        <f>D126+F126-H126</f>
        <v>0</v>
      </c>
    </row>
    <row r="127" spans="2:10" ht="24.95" customHeight="1" x14ac:dyDescent="0.25">
      <c r="B127" s="48" t="s">
        <v>502</v>
      </c>
      <c r="C127" s="4">
        <v>0</v>
      </c>
      <c r="D127" s="5">
        <v>0</v>
      </c>
      <c r="E127" s="4">
        <v>1</v>
      </c>
      <c r="F127" s="2">
        <v>77870001</v>
      </c>
      <c r="G127" s="4">
        <v>1</v>
      </c>
      <c r="H127" s="2">
        <v>77870001</v>
      </c>
      <c r="I127" s="3">
        <f>C127+E127-G127</f>
        <v>0</v>
      </c>
      <c r="J127" s="46">
        <f>D127+F127-H127</f>
        <v>0</v>
      </c>
    </row>
    <row r="128" spans="2:10" ht="24.95" customHeight="1" x14ac:dyDescent="0.25">
      <c r="B128" s="48" t="s">
        <v>501</v>
      </c>
      <c r="C128" s="4">
        <v>0</v>
      </c>
      <c r="D128" s="5">
        <v>0</v>
      </c>
      <c r="E128" s="4">
        <v>2</v>
      </c>
      <c r="F128" s="4">
        <v>64819468</v>
      </c>
      <c r="G128" s="4">
        <v>2</v>
      </c>
      <c r="H128" s="4">
        <v>64819468</v>
      </c>
      <c r="I128" s="3">
        <f>C128+E128-G128</f>
        <v>0</v>
      </c>
      <c r="J128" s="46">
        <f>D128+F128-H128</f>
        <v>0</v>
      </c>
    </row>
    <row r="129" spans="2:10" ht="24.95" customHeight="1" x14ac:dyDescent="0.25">
      <c r="B129" s="48" t="s">
        <v>500</v>
      </c>
      <c r="C129" s="4">
        <v>0</v>
      </c>
      <c r="D129" s="5">
        <v>0</v>
      </c>
      <c r="E129" s="4">
        <v>2</v>
      </c>
      <c r="F129" s="4">
        <v>1677378</v>
      </c>
      <c r="G129" s="4">
        <v>2</v>
      </c>
      <c r="H129" s="4">
        <v>1677378</v>
      </c>
      <c r="I129" s="3">
        <f>C129+E129-G129</f>
        <v>0</v>
      </c>
      <c r="J129" s="46">
        <f>D129+F129-H129</f>
        <v>0</v>
      </c>
    </row>
    <row r="130" spans="2:10" ht="24.95" customHeight="1" x14ac:dyDescent="0.25">
      <c r="B130" s="45" t="s">
        <v>499</v>
      </c>
      <c r="C130" s="9">
        <v>7</v>
      </c>
      <c r="D130" s="13">
        <v>1297926</v>
      </c>
      <c r="E130" s="9">
        <v>0</v>
      </c>
      <c r="F130" s="9">
        <v>0</v>
      </c>
      <c r="G130" s="9">
        <v>0</v>
      </c>
      <c r="H130" s="9">
        <v>0</v>
      </c>
      <c r="I130" s="3">
        <f>C130+E130-G130</f>
        <v>7</v>
      </c>
      <c r="J130" s="44">
        <f>D130+F130-H130</f>
        <v>1297926</v>
      </c>
    </row>
    <row r="131" spans="2:10" ht="24.95" customHeight="1" x14ac:dyDescent="0.25">
      <c r="B131" s="45" t="s">
        <v>498</v>
      </c>
      <c r="C131" s="9">
        <v>8</v>
      </c>
      <c r="D131" s="13">
        <v>1520000</v>
      </c>
      <c r="E131" s="9">
        <v>0</v>
      </c>
      <c r="F131" s="9">
        <v>0</v>
      </c>
      <c r="G131" s="9">
        <v>1</v>
      </c>
      <c r="H131" s="9">
        <v>190000</v>
      </c>
      <c r="I131" s="3">
        <f>C131+E131-G131</f>
        <v>7</v>
      </c>
      <c r="J131" s="44">
        <f>D131+F131-H131</f>
        <v>1330000</v>
      </c>
    </row>
    <row r="132" spans="2:10" ht="24.95" customHeight="1" x14ac:dyDescent="0.25">
      <c r="B132" s="49" t="s">
        <v>497</v>
      </c>
      <c r="C132" s="9">
        <v>13</v>
      </c>
      <c r="D132" s="13">
        <v>1885000</v>
      </c>
      <c r="E132" s="9">
        <v>0</v>
      </c>
      <c r="F132" s="9">
        <v>0</v>
      </c>
      <c r="G132" s="9">
        <v>9</v>
      </c>
      <c r="H132" s="9">
        <v>1305000</v>
      </c>
      <c r="I132" s="3">
        <f>C132+E132-G132</f>
        <v>4</v>
      </c>
      <c r="J132" s="44">
        <f>D132+F132-H132</f>
        <v>580000</v>
      </c>
    </row>
    <row r="133" spans="2:10" s="23" customFormat="1" ht="24.95" customHeight="1" x14ac:dyDescent="0.25">
      <c r="B133" s="48" t="s">
        <v>496</v>
      </c>
      <c r="C133" s="4">
        <v>0</v>
      </c>
      <c r="D133" s="5">
        <v>0</v>
      </c>
      <c r="E133" s="4">
        <v>5</v>
      </c>
      <c r="F133" s="4">
        <v>59206199</v>
      </c>
      <c r="G133" s="4">
        <v>5</v>
      </c>
      <c r="H133" s="4">
        <v>59206199</v>
      </c>
      <c r="I133" s="3">
        <f>C133+E133-G133</f>
        <v>0</v>
      </c>
      <c r="J133" s="46">
        <f>D133+F133-H133</f>
        <v>0</v>
      </c>
    </row>
    <row r="134" spans="2:10" ht="24.95" customHeight="1" x14ac:dyDescent="0.25">
      <c r="B134" s="48" t="s">
        <v>495</v>
      </c>
      <c r="C134" s="4">
        <v>0</v>
      </c>
      <c r="D134" s="5">
        <v>0</v>
      </c>
      <c r="E134" s="4">
        <v>1</v>
      </c>
      <c r="F134" s="4">
        <v>5069025</v>
      </c>
      <c r="G134" s="4">
        <v>1</v>
      </c>
      <c r="H134" s="4">
        <v>5069025</v>
      </c>
      <c r="I134" s="3">
        <f>C134+E134-G134</f>
        <v>0</v>
      </c>
      <c r="J134" s="46">
        <f>D134+F134-H134</f>
        <v>0</v>
      </c>
    </row>
    <row r="135" spans="2:10" s="23" customFormat="1" ht="24.95" customHeight="1" x14ac:dyDescent="0.25">
      <c r="B135" s="48" t="s">
        <v>494</v>
      </c>
      <c r="C135" s="4">
        <v>0</v>
      </c>
      <c r="D135" s="5">
        <v>0</v>
      </c>
      <c r="E135" s="4">
        <v>1</v>
      </c>
      <c r="F135" s="2">
        <v>2750909</v>
      </c>
      <c r="G135" s="4">
        <v>1</v>
      </c>
      <c r="H135" s="2">
        <v>2750909</v>
      </c>
      <c r="I135" s="3">
        <f>C135+E135-G135</f>
        <v>0</v>
      </c>
      <c r="J135" s="46">
        <f>D135+F135-H135</f>
        <v>0</v>
      </c>
    </row>
    <row r="136" spans="2:10" ht="24.95" customHeight="1" x14ac:dyDescent="0.25">
      <c r="B136" s="48" t="s">
        <v>493</v>
      </c>
      <c r="C136" s="4">
        <v>0</v>
      </c>
      <c r="D136" s="5">
        <v>0</v>
      </c>
      <c r="E136" s="4">
        <v>1</v>
      </c>
      <c r="F136" s="4">
        <v>449843</v>
      </c>
      <c r="G136" s="4">
        <v>1</v>
      </c>
      <c r="H136" s="4">
        <v>449843</v>
      </c>
      <c r="I136" s="3">
        <f>C136+E136-G136</f>
        <v>0</v>
      </c>
      <c r="J136" s="46">
        <f>D136+F136-H136</f>
        <v>0</v>
      </c>
    </row>
    <row r="137" spans="2:10" s="23" customFormat="1" ht="24.95" customHeight="1" x14ac:dyDescent="0.25">
      <c r="B137" s="43" t="s">
        <v>492</v>
      </c>
      <c r="C137" s="11">
        <v>3</v>
      </c>
      <c r="D137" s="16">
        <v>975000</v>
      </c>
      <c r="E137" s="4">
        <v>0</v>
      </c>
      <c r="F137" s="4">
        <v>0</v>
      </c>
      <c r="G137" s="11">
        <v>3</v>
      </c>
      <c r="H137" s="11">
        <v>975000</v>
      </c>
      <c r="I137" s="3">
        <f>C137+E137-G137</f>
        <v>0</v>
      </c>
      <c r="J137" s="46">
        <f>D137+F137-H137</f>
        <v>0</v>
      </c>
    </row>
    <row r="138" spans="2:10" ht="24.95" customHeight="1" x14ac:dyDescent="0.25">
      <c r="B138" s="43" t="s">
        <v>491</v>
      </c>
      <c r="C138" s="4">
        <v>0</v>
      </c>
      <c r="D138" s="5">
        <v>0</v>
      </c>
      <c r="E138" s="3">
        <v>2</v>
      </c>
      <c r="F138" s="3">
        <v>2000000</v>
      </c>
      <c r="G138" s="3">
        <v>2</v>
      </c>
      <c r="H138" s="3">
        <v>2000000</v>
      </c>
      <c r="I138" s="3">
        <f>C138+E138-G138</f>
        <v>0</v>
      </c>
      <c r="J138" s="46">
        <f>D138+F138-H138</f>
        <v>0</v>
      </c>
    </row>
    <row r="139" spans="2:10" ht="24.95" customHeight="1" x14ac:dyDescent="0.25">
      <c r="B139" s="47" t="s">
        <v>490</v>
      </c>
      <c r="C139" s="4">
        <v>0</v>
      </c>
      <c r="D139" s="5">
        <v>0</v>
      </c>
      <c r="E139" s="18">
        <v>1</v>
      </c>
      <c r="F139" s="18">
        <v>635455</v>
      </c>
      <c r="G139" s="18">
        <v>1</v>
      </c>
      <c r="H139" s="18">
        <v>635455</v>
      </c>
      <c r="I139" s="3">
        <f>C139+E139-G139</f>
        <v>0</v>
      </c>
      <c r="J139" s="46">
        <f>D139+F139-H139</f>
        <v>0</v>
      </c>
    </row>
    <row r="140" spans="2:10" ht="24.95" customHeight="1" x14ac:dyDescent="0.25">
      <c r="B140" s="48" t="s">
        <v>489</v>
      </c>
      <c r="C140" s="4">
        <v>7</v>
      </c>
      <c r="D140" s="5">
        <v>31775629</v>
      </c>
      <c r="E140" s="4">
        <v>0</v>
      </c>
      <c r="F140" s="4">
        <v>0</v>
      </c>
      <c r="G140" s="4">
        <v>0</v>
      </c>
      <c r="H140" s="4">
        <v>0</v>
      </c>
      <c r="I140" s="3">
        <f>C140+E140-G140</f>
        <v>7</v>
      </c>
      <c r="J140" s="44">
        <f>D140+F140-H140</f>
        <v>31775629</v>
      </c>
    </row>
    <row r="141" spans="2:10" s="23" customFormat="1" ht="24.95" customHeight="1" x14ac:dyDescent="0.25">
      <c r="B141" s="45" t="s">
        <v>488</v>
      </c>
      <c r="C141" s="9">
        <v>1</v>
      </c>
      <c r="D141" s="13">
        <v>2333523</v>
      </c>
      <c r="E141" s="4">
        <v>0</v>
      </c>
      <c r="F141" s="4">
        <v>0</v>
      </c>
      <c r="G141" s="4">
        <v>0</v>
      </c>
      <c r="H141" s="4">
        <v>0</v>
      </c>
      <c r="I141" s="3">
        <f>C141+E141-G141</f>
        <v>1</v>
      </c>
      <c r="J141" s="44">
        <f>D141+F141-H141</f>
        <v>2333523</v>
      </c>
    </row>
    <row r="142" spans="2:10" ht="24.95" customHeight="1" x14ac:dyDescent="0.25">
      <c r="B142" s="49" t="s">
        <v>487</v>
      </c>
      <c r="C142" s="9">
        <v>1</v>
      </c>
      <c r="D142" s="12">
        <v>6768750</v>
      </c>
      <c r="E142" s="4">
        <v>0</v>
      </c>
      <c r="F142" s="4">
        <v>0</v>
      </c>
      <c r="G142" s="9">
        <v>1</v>
      </c>
      <c r="H142" s="12">
        <v>6768750</v>
      </c>
      <c r="I142" s="3">
        <f>C142+E142-G142</f>
        <v>0</v>
      </c>
      <c r="J142" s="46">
        <f>D142+F142-H142</f>
        <v>0</v>
      </c>
    </row>
    <row r="143" spans="2:10" s="23" customFormat="1" ht="24.95" customHeight="1" x14ac:dyDescent="0.25">
      <c r="B143" s="48" t="s">
        <v>486</v>
      </c>
      <c r="C143" s="4">
        <v>2</v>
      </c>
      <c r="D143" s="5">
        <v>3703446</v>
      </c>
      <c r="E143" s="4">
        <v>16</v>
      </c>
      <c r="F143" s="4">
        <v>30257424</v>
      </c>
      <c r="G143" s="4">
        <v>16</v>
      </c>
      <c r="H143" s="4">
        <v>30257424</v>
      </c>
      <c r="I143" s="3">
        <f>C143+E143-G143</f>
        <v>2</v>
      </c>
      <c r="J143" s="44">
        <f>D143+F143-H143</f>
        <v>3703446</v>
      </c>
    </row>
    <row r="144" spans="2:10" s="23" customFormat="1" ht="24.95" customHeight="1" x14ac:dyDescent="0.25">
      <c r="B144" s="48" t="s">
        <v>485</v>
      </c>
      <c r="C144" s="4">
        <v>0</v>
      </c>
      <c r="D144" s="5">
        <v>0</v>
      </c>
      <c r="E144" s="4">
        <v>5</v>
      </c>
      <c r="F144" s="2">
        <v>2810241</v>
      </c>
      <c r="G144" s="4">
        <v>5</v>
      </c>
      <c r="H144" s="2">
        <v>2810241</v>
      </c>
      <c r="I144" s="3">
        <f>C144+E144-G144</f>
        <v>0</v>
      </c>
      <c r="J144" s="46">
        <f>D144+F144-H144</f>
        <v>0</v>
      </c>
    </row>
    <row r="145" spans="2:10" ht="24.95" customHeight="1" x14ac:dyDescent="0.25">
      <c r="B145" s="48" t="s">
        <v>484</v>
      </c>
      <c r="C145" s="4">
        <v>0</v>
      </c>
      <c r="D145" s="5">
        <v>0</v>
      </c>
      <c r="E145" s="4">
        <v>1</v>
      </c>
      <c r="F145" s="2">
        <v>4254674</v>
      </c>
      <c r="G145" s="4">
        <v>0</v>
      </c>
      <c r="H145" s="4">
        <v>0</v>
      </c>
      <c r="I145" s="3">
        <f>C145+E145-G145</f>
        <v>1</v>
      </c>
      <c r="J145" s="44">
        <f>D145+F145-H145</f>
        <v>4254674</v>
      </c>
    </row>
    <row r="146" spans="2:10" s="23" customFormat="1" ht="24.95" customHeight="1" x14ac:dyDescent="0.25">
      <c r="B146" s="45" t="s">
        <v>483</v>
      </c>
      <c r="C146" s="9">
        <v>1</v>
      </c>
      <c r="D146" s="13">
        <v>8500000</v>
      </c>
      <c r="E146" s="4">
        <v>0</v>
      </c>
      <c r="F146" s="4">
        <v>0</v>
      </c>
      <c r="G146" s="9">
        <v>1</v>
      </c>
      <c r="H146" s="9">
        <v>8500000</v>
      </c>
      <c r="I146" s="3">
        <f>C146+E146-G146</f>
        <v>0</v>
      </c>
      <c r="J146" s="46">
        <f>D146+F146-H146</f>
        <v>0</v>
      </c>
    </row>
    <row r="147" spans="2:10" ht="24.95" customHeight="1" x14ac:dyDescent="0.25">
      <c r="B147" s="43" t="s">
        <v>482</v>
      </c>
      <c r="C147" s="4">
        <v>0</v>
      </c>
      <c r="D147" s="5">
        <v>0</v>
      </c>
      <c r="E147" s="3">
        <v>2</v>
      </c>
      <c r="F147" s="7">
        <v>2752000</v>
      </c>
      <c r="G147" s="3">
        <v>2</v>
      </c>
      <c r="H147" s="7">
        <v>2752000</v>
      </c>
      <c r="I147" s="3">
        <f>C147+E147-G147</f>
        <v>0</v>
      </c>
      <c r="J147" s="46">
        <f>D147+F147-H147</f>
        <v>0</v>
      </c>
    </row>
    <row r="148" spans="2:10" s="23" customFormat="1" ht="24.95" customHeight="1" x14ac:dyDescent="0.25">
      <c r="B148" s="43" t="s">
        <v>481</v>
      </c>
      <c r="C148" s="4">
        <v>0</v>
      </c>
      <c r="D148" s="5">
        <v>0</v>
      </c>
      <c r="E148" s="3">
        <v>6</v>
      </c>
      <c r="F148" s="7">
        <v>4908000</v>
      </c>
      <c r="G148" s="3">
        <v>6</v>
      </c>
      <c r="H148" s="7">
        <v>4908000</v>
      </c>
      <c r="I148" s="3">
        <f>C148+E148-G148</f>
        <v>0</v>
      </c>
      <c r="J148" s="46">
        <f>D148+F148-H148</f>
        <v>0</v>
      </c>
    </row>
    <row r="149" spans="2:10" ht="24.95" customHeight="1" x14ac:dyDescent="0.25">
      <c r="B149" s="47" t="s">
        <v>480</v>
      </c>
      <c r="C149" s="4">
        <v>0</v>
      </c>
      <c r="D149" s="5">
        <v>0</v>
      </c>
      <c r="E149" s="18">
        <v>2</v>
      </c>
      <c r="F149" s="18">
        <v>45500000</v>
      </c>
      <c r="G149" s="18">
        <v>2</v>
      </c>
      <c r="H149" s="18">
        <v>45500000</v>
      </c>
      <c r="I149" s="3">
        <f>C149+E149-G149</f>
        <v>0</v>
      </c>
      <c r="J149" s="46">
        <f>D149+F149-H149</f>
        <v>0</v>
      </c>
    </row>
    <row r="150" spans="2:10" ht="24.95" customHeight="1" x14ac:dyDescent="0.25">
      <c r="B150" s="45" t="s">
        <v>479</v>
      </c>
      <c r="C150" s="9">
        <v>1</v>
      </c>
      <c r="D150" s="13">
        <v>1443147</v>
      </c>
      <c r="E150" s="9">
        <v>0</v>
      </c>
      <c r="F150" s="9">
        <v>0</v>
      </c>
      <c r="G150" s="9">
        <v>0</v>
      </c>
      <c r="H150" s="9">
        <v>0</v>
      </c>
      <c r="I150" s="3">
        <f>C150+E150-G150</f>
        <v>1</v>
      </c>
      <c r="J150" s="44">
        <f>D150+F150-H150</f>
        <v>1443147</v>
      </c>
    </row>
    <row r="151" spans="2:10" s="23" customFormat="1" ht="24.95" customHeight="1" x14ac:dyDescent="0.25">
      <c r="B151" s="45" t="s">
        <v>478</v>
      </c>
      <c r="C151" s="9">
        <v>1</v>
      </c>
      <c r="D151" s="13">
        <v>235409</v>
      </c>
      <c r="E151" s="9">
        <v>0</v>
      </c>
      <c r="F151" s="9">
        <v>0</v>
      </c>
      <c r="G151" s="9">
        <v>1</v>
      </c>
      <c r="H151" s="9">
        <v>235409</v>
      </c>
      <c r="I151" s="3">
        <f>C151+E151-G151</f>
        <v>0</v>
      </c>
      <c r="J151" s="46">
        <f>D151+F151-H151</f>
        <v>0</v>
      </c>
    </row>
    <row r="152" spans="2:10" s="23" customFormat="1" ht="24.95" customHeight="1" x14ac:dyDescent="0.25">
      <c r="B152" s="48" t="s">
        <v>477</v>
      </c>
      <c r="C152" s="4">
        <v>0</v>
      </c>
      <c r="D152" s="5">
        <v>0</v>
      </c>
      <c r="E152" s="4">
        <v>1</v>
      </c>
      <c r="F152" s="2">
        <v>12093162</v>
      </c>
      <c r="G152" s="4">
        <v>1</v>
      </c>
      <c r="H152" s="2">
        <v>12093162</v>
      </c>
      <c r="I152" s="3">
        <f>C152+E152-G152</f>
        <v>0</v>
      </c>
      <c r="J152" s="46">
        <f>D152+F152-H152</f>
        <v>0</v>
      </c>
    </row>
    <row r="153" spans="2:10" s="23" customFormat="1" ht="24.95" customHeight="1" x14ac:dyDescent="0.25">
      <c r="B153" s="45" t="s">
        <v>476</v>
      </c>
      <c r="C153" s="9">
        <v>2</v>
      </c>
      <c r="D153" s="2">
        <v>1409584</v>
      </c>
      <c r="E153" s="9">
        <v>0</v>
      </c>
      <c r="F153" s="9">
        <v>0</v>
      </c>
      <c r="G153" s="9">
        <v>0</v>
      </c>
      <c r="H153" s="9">
        <v>0</v>
      </c>
      <c r="I153" s="3">
        <f>C153+E153-G153</f>
        <v>2</v>
      </c>
      <c r="J153" s="44">
        <f>D153+F153-H153</f>
        <v>1409584</v>
      </c>
    </row>
    <row r="154" spans="2:10" ht="24.95" customHeight="1" x14ac:dyDescent="0.25">
      <c r="B154" s="45" t="s">
        <v>475</v>
      </c>
      <c r="C154" s="9">
        <v>1</v>
      </c>
      <c r="D154" s="13">
        <v>7504363</v>
      </c>
      <c r="E154" s="9">
        <v>0</v>
      </c>
      <c r="F154" s="9">
        <v>0</v>
      </c>
      <c r="G154" s="9">
        <v>0</v>
      </c>
      <c r="H154" s="9">
        <v>0</v>
      </c>
      <c r="I154" s="3">
        <f>C154+E154-G154</f>
        <v>1</v>
      </c>
      <c r="J154" s="44">
        <f>D154+F154-H154</f>
        <v>7504363</v>
      </c>
    </row>
    <row r="155" spans="2:10" s="23" customFormat="1" ht="24.95" customHeight="1" x14ac:dyDescent="0.25">
      <c r="B155" s="48" t="s">
        <v>474</v>
      </c>
      <c r="C155" s="4">
        <v>1</v>
      </c>
      <c r="D155" s="5">
        <v>10969431</v>
      </c>
      <c r="E155" s="4">
        <v>2</v>
      </c>
      <c r="F155" s="4">
        <v>13532240</v>
      </c>
      <c r="G155" s="4">
        <v>3</v>
      </c>
      <c r="H155" s="4">
        <v>24501671</v>
      </c>
      <c r="I155" s="3">
        <f>C155+E155-G155</f>
        <v>0</v>
      </c>
      <c r="J155" s="46">
        <f>D155+F155-H155</f>
        <v>0</v>
      </c>
    </row>
    <row r="156" spans="2:10" ht="24.95" customHeight="1" x14ac:dyDescent="0.25">
      <c r="B156" s="48" t="s">
        <v>473</v>
      </c>
      <c r="C156" s="4">
        <v>0</v>
      </c>
      <c r="D156" s="5">
        <v>0</v>
      </c>
      <c r="E156" s="4">
        <v>1</v>
      </c>
      <c r="F156" s="2">
        <v>565632</v>
      </c>
      <c r="G156" s="4">
        <v>1</v>
      </c>
      <c r="H156" s="2">
        <v>565632</v>
      </c>
      <c r="I156" s="3">
        <f>C156+E156-G156</f>
        <v>0</v>
      </c>
      <c r="J156" s="46">
        <f>D156+F156-H156</f>
        <v>0</v>
      </c>
    </row>
    <row r="157" spans="2:10" s="23" customFormat="1" ht="24.95" customHeight="1" x14ac:dyDescent="0.25">
      <c r="B157" s="48" t="s">
        <v>472</v>
      </c>
      <c r="C157" s="4">
        <v>0</v>
      </c>
      <c r="D157" s="5">
        <v>0</v>
      </c>
      <c r="E157" s="4">
        <v>1</v>
      </c>
      <c r="F157" s="2">
        <v>5556321</v>
      </c>
      <c r="G157" s="4">
        <v>1</v>
      </c>
      <c r="H157" s="2">
        <v>5556321</v>
      </c>
      <c r="I157" s="3">
        <f>C157+E157-G157</f>
        <v>0</v>
      </c>
      <c r="J157" s="46">
        <f>D157+F157-H157</f>
        <v>0</v>
      </c>
    </row>
    <row r="158" spans="2:10" ht="24.95" customHeight="1" x14ac:dyDescent="0.25">
      <c r="B158" s="45" t="s">
        <v>471</v>
      </c>
      <c r="C158" s="9">
        <v>200</v>
      </c>
      <c r="D158" s="10">
        <v>5202208</v>
      </c>
      <c r="E158" s="9">
        <v>200</v>
      </c>
      <c r="F158" s="9">
        <v>8380000</v>
      </c>
      <c r="G158" s="9">
        <v>310</v>
      </c>
      <c r="H158" s="9">
        <v>9811208</v>
      </c>
      <c r="I158" s="3">
        <v>90</v>
      </c>
      <c r="J158" s="44">
        <f>D158+F158-H158</f>
        <v>3771000</v>
      </c>
    </row>
    <row r="159" spans="2:10" ht="24.95" customHeight="1" x14ac:dyDescent="0.25">
      <c r="B159" s="45" t="s">
        <v>470</v>
      </c>
      <c r="C159" s="9">
        <v>1</v>
      </c>
      <c r="D159" s="13">
        <v>2763498</v>
      </c>
      <c r="E159" s="9">
        <v>0</v>
      </c>
      <c r="F159" s="9">
        <v>0</v>
      </c>
      <c r="G159" s="9">
        <v>0</v>
      </c>
      <c r="H159" s="9">
        <v>0</v>
      </c>
      <c r="I159" s="3">
        <f>C159+E159-G159</f>
        <v>1</v>
      </c>
      <c r="J159" s="44">
        <f>D159+F159-H159</f>
        <v>2763498</v>
      </c>
    </row>
    <row r="160" spans="2:10" s="23" customFormat="1" ht="24.95" customHeight="1" x14ac:dyDescent="0.25">
      <c r="B160" s="48" t="s">
        <v>469</v>
      </c>
      <c r="C160" s="4">
        <v>0</v>
      </c>
      <c r="D160" s="5">
        <v>0</v>
      </c>
      <c r="E160" s="4">
        <v>1</v>
      </c>
      <c r="F160" s="2">
        <v>4859852</v>
      </c>
      <c r="G160" s="4">
        <v>1</v>
      </c>
      <c r="H160" s="2">
        <v>4859852</v>
      </c>
      <c r="I160" s="3">
        <f>C160+E160-G160</f>
        <v>0</v>
      </c>
      <c r="J160" s="46">
        <f>D160+F160-H160</f>
        <v>0</v>
      </c>
    </row>
    <row r="161" spans="2:10" ht="24.95" customHeight="1" x14ac:dyDescent="0.25">
      <c r="B161" s="48" t="s">
        <v>468</v>
      </c>
      <c r="C161" s="4">
        <v>1</v>
      </c>
      <c r="D161" s="5">
        <v>434000</v>
      </c>
      <c r="E161" s="4">
        <v>2</v>
      </c>
      <c r="F161" s="4">
        <v>3873126</v>
      </c>
      <c r="G161" s="4">
        <v>1</v>
      </c>
      <c r="H161" s="4">
        <v>1936563</v>
      </c>
      <c r="I161" s="3">
        <f>C161+E161-G161</f>
        <v>2</v>
      </c>
      <c r="J161" s="44">
        <f>D161+F161-H161</f>
        <v>2370563</v>
      </c>
    </row>
    <row r="162" spans="2:10" s="23" customFormat="1" ht="24.95" customHeight="1" x14ac:dyDescent="0.25">
      <c r="B162" s="48" t="s">
        <v>467</v>
      </c>
      <c r="C162" s="4">
        <v>0</v>
      </c>
      <c r="D162" s="5">
        <v>0</v>
      </c>
      <c r="E162" s="4">
        <v>4</v>
      </c>
      <c r="F162" s="4">
        <v>7807897</v>
      </c>
      <c r="G162" s="4">
        <v>1</v>
      </c>
      <c r="H162" s="4">
        <v>1756210</v>
      </c>
      <c r="I162" s="3">
        <f>C162+E162-G162</f>
        <v>3</v>
      </c>
      <c r="J162" s="44">
        <f>D162+F162-H162</f>
        <v>6051687</v>
      </c>
    </row>
    <row r="163" spans="2:10" ht="24.95" customHeight="1" x14ac:dyDescent="0.25">
      <c r="B163" s="48" t="s">
        <v>466</v>
      </c>
      <c r="C163" s="4">
        <v>0</v>
      </c>
      <c r="D163" s="5">
        <v>0</v>
      </c>
      <c r="E163" s="4">
        <v>4</v>
      </c>
      <c r="F163" s="4">
        <v>85017006</v>
      </c>
      <c r="G163" s="4">
        <v>4</v>
      </c>
      <c r="H163" s="4">
        <v>85017006</v>
      </c>
      <c r="I163" s="3">
        <f>C163+E163-G163</f>
        <v>0</v>
      </c>
      <c r="J163" s="46">
        <f>D163+F163-H163</f>
        <v>0</v>
      </c>
    </row>
    <row r="164" spans="2:10" ht="24.95" customHeight="1" x14ac:dyDescent="0.25">
      <c r="B164" s="48" t="s">
        <v>465</v>
      </c>
      <c r="C164" s="4">
        <v>0</v>
      </c>
      <c r="D164" s="5">
        <v>0</v>
      </c>
      <c r="E164" s="4">
        <v>1</v>
      </c>
      <c r="F164" s="4">
        <v>4092655</v>
      </c>
      <c r="G164" s="4">
        <v>1</v>
      </c>
      <c r="H164" s="4">
        <v>4092655</v>
      </c>
      <c r="I164" s="3">
        <f>C164+E164-G164</f>
        <v>0</v>
      </c>
      <c r="J164" s="46">
        <f>D164+F164-H164</f>
        <v>0</v>
      </c>
    </row>
    <row r="165" spans="2:10" ht="24.95" customHeight="1" x14ac:dyDescent="0.25">
      <c r="B165" s="48" t="s">
        <v>464</v>
      </c>
      <c r="C165" s="4">
        <v>0</v>
      </c>
      <c r="D165" s="5">
        <v>0</v>
      </c>
      <c r="E165" s="4">
        <v>1</v>
      </c>
      <c r="F165" s="4">
        <v>2966154</v>
      </c>
      <c r="G165" s="4">
        <v>1</v>
      </c>
      <c r="H165" s="4">
        <v>2966154</v>
      </c>
      <c r="I165" s="3">
        <f>C165+E165-G165</f>
        <v>0</v>
      </c>
      <c r="J165" s="46">
        <f>D165+F165-H165</f>
        <v>0</v>
      </c>
    </row>
    <row r="166" spans="2:10" ht="24.95" customHeight="1" x14ac:dyDescent="0.25">
      <c r="B166" s="48" t="s">
        <v>463</v>
      </c>
      <c r="C166" s="4">
        <v>2</v>
      </c>
      <c r="D166" s="5">
        <v>444181070</v>
      </c>
      <c r="E166" s="4">
        <v>0</v>
      </c>
      <c r="F166" s="4">
        <v>0</v>
      </c>
      <c r="G166" s="4">
        <v>2</v>
      </c>
      <c r="H166" s="4">
        <v>444181070</v>
      </c>
      <c r="I166" s="3">
        <f>C166+E166-G166</f>
        <v>0</v>
      </c>
      <c r="J166" s="46">
        <f>D166+F166-H166</f>
        <v>0</v>
      </c>
    </row>
    <row r="167" spans="2:10" ht="24.95" customHeight="1" x14ac:dyDescent="0.25">
      <c r="B167" s="45" t="s">
        <v>462</v>
      </c>
      <c r="C167" s="9">
        <v>1</v>
      </c>
      <c r="D167" s="2">
        <v>2355722</v>
      </c>
      <c r="E167" s="9">
        <v>0</v>
      </c>
      <c r="F167" s="9">
        <v>0</v>
      </c>
      <c r="G167" s="9">
        <v>0</v>
      </c>
      <c r="H167" s="9">
        <v>0</v>
      </c>
      <c r="I167" s="3">
        <f>C167+E167-G167</f>
        <v>1</v>
      </c>
      <c r="J167" s="44">
        <f>D167+F167-H167</f>
        <v>2355722</v>
      </c>
    </row>
    <row r="168" spans="2:10" ht="24.95" customHeight="1" x14ac:dyDescent="0.25">
      <c r="B168" s="48" t="s">
        <v>461</v>
      </c>
      <c r="C168" s="4">
        <v>0</v>
      </c>
      <c r="D168" s="5">
        <v>0</v>
      </c>
      <c r="E168" s="4">
        <v>1</v>
      </c>
      <c r="F168" s="4">
        <v>72661708</v>
      </c>
      <c r="G168" s="4">
        <v>1</v>
      </c>
      <c r="H168" s="4">
        <v>72661708</v>
      </c>
      <c r="I168" s="3">
        <f>C168+E168-G168</f>
        <v>0</v>
      </c>
      <c r="J168" s="46">
        <f>D168+F168-H168</f>
        <v>0</v>
      </c>
    </row>
    <row r="169" spans="2:10" s="23" customFormat="1" ht="24.95" customHeight="1" x14ac:dyDescent="0.25">
      <c r="B169" s="43" t="s">
        <v>460</v>
      </c>
      <c r="C169" s="3">
        <v>0</v>
      </c>
      <c r="D169" s="8">
        <v>0</v>
      </c>
      <c r="E169" s="3">
        <v>1</v>
      </c>
      <c r="F169" s="7">
        <v>1254000</v>
      </c>
      <c r="G169" s="3">
        <v>1</v>
      </c>
      <c r="H169" s="3">
        <v>1254000</v>
      </c>
      <c r="I169" s="3">
        <f>C169+E169-G169</f>
        <v>0</v>
      </c>
      <c r="J169" s="46">
        <f>D169+F169-H169</f>
        <v>0</v>
      </c>
    </row>
    <row r="170" spans="2:10" ht="24.95" customHeight="1" x14ac:dyDescent="0.25">
      <c r="B170" s="48" t="s">
        <v>459</v>
      </c>
      <c r="C170" s="4">
        <v>0</v>
      </c>
      <c r="D170" s="5">
        <v>0</v>
      </c>
      <c r="E170" s="4">
        <v>7</v>
      </c>
      <c r="F170" s="4">
        <v>37568645</v>
      </c>
      <c r="G170" s="4">
        <v>7</v>
      </c>
      <c r="H170" s="4">
        <v>37568645</v>
      </c>
      <c r="I170" s="3">
        <f>C170+E170-G170</f>
        <v>0</v>
      </c>
      <c r="J170" s="46">
        <f>D170+F170-H170</f>
        <v>0</v>
      </c>
    </row>
    <row r="171" spans="2:10" ht="24.95" customHeight="1" x14ac:dyDescent="0.25">
      <c r="B171" s="48" t="s">
        <v>458</v>
      </c>
      <c r="C171" s="4">
        <v>2</v>
      </c>
      <c r="D171" s="5">
        <v>13280320</v>
      </c>
      <c r="E171" s="4">
        <v>1</v>
      </c>
      <c r="F171" s="4">
        <v>9871180</v>
      </c>
      <c r="G171" s="4">
        <v>2</v>
      </c>
      <c r="H171" s="4">
        <v>13280320</v>
      </c>
      <c r="I171" s="3">
        <f>C171+E171-G171</f>
        <v>1</v>
      </c>
      <c r="J171" s="44">
        <f>D171+F171-H171</f>
        <v>9871180</v>
      </c>
    </row>
    <row r="172" spans="2:10" ht="24.95" customHeight="1" x14ac:dyDescent="0.25">
      <c r="B172" s="48" t="s">
        <v>457</v>
      </c>
      <c r="C172" s="4">
        <v>0</v>
      </c>
      <c r="D172" s="5">
        <v>0</v>
      </c>
      <c r="E172" s="4">
        <v>1</v>
      </c>
      <c r="F172" s="4">
        <v>1865036</v>
      </c>
      <c r="G172" s="4">
        <v>1</v>
      </c>
      <c r="H172" s="4">
        <v>1865036</v>
      </c>
      <c r="I172" s="3">
        <f>C172+E172-G172</f>
        <v>0</v>
      </c>
      <c r="J172" s="46">
        <f>D172+F172-H172</f>
        <v>0</v>
      </c>
    </row>
    <row r="173" spans="2:10" ht="24.95" customHeight="1" x14ac:dyDescent="0.25">
      <c r="B173" s="48" t="s">
        <v>456</v>
      </c>
      <c r="C173" s="4">
        <v>0</v>
      </c>
      <c r="D173" s="5">
        <v>0</v>
      </c>
      <c r="E173" s="4">
        <v>1</v>
      </c>
      <c r="F173" s="2">
        <v>1803570</v>
      </c>
      <c r="G173" s="4">
        <v>1</v>
      </c>
      <c r="H173" s="2">
        <v>1803570</v>
      </c>
      <c r="I173" s="3">
        <f>C173+E173-G173</f>
        <v>0</v>
      </c>
      <c r="J173" s="46">
        <f>D173+F173-H173</f>
        <v>0</v>
      </c>
    </row>
    <row r="174" spans="2:10" ht="24.95" customHeight="1" x14ac:dyDescent="0.25">
      <c r="B174" s="48" t="s">
        <v>455</v>
      </c>
      <c r="C174" s="4">
        <v>0</v>
      </c>
      <c r="D174" s="5">
        <v>0</v>
      </c>
      <c r="E174" s="4">
        <v>1</v>
      </c>
      <c r="F174" s="2">
        <v>2135882</v>
      </c>
      <c r="G174" s="4">
        <v>1</v>
      </c>
      <c r="H174" s="2">
        <v>2135882</v>
      </c>
      <c r="I174" s="3">
        <f>C174+E174-G174</f>
        <v>0</v>
      </c>
      <c r="J174" s="46">
        <f>D174+F174-H174</f>
        <v>0</v>
      </c>
    </row>
    <row r="175" spans="2:10" ht="24.95" customHeight="1" x14ac:dyDescent="0.25">
      <c r="B175" s="43" t="s">
        <v>454</v>
      </c>
      <c r="C175" s="3">
        <v>0</v>
      </c>
      <c r="D175" s="8">
        <v>0</v>
      </c>
      <c r="E175" s="3">
        <v>8</v>
      </c>
      <c r="F175" s="3">
        <v>3476000</v>
      </c>
      <c r="G175" s="3">
        <v>8</v>
      </c>
      <c r="H175" s="3">
        <v>3476000</v>
      </c>
      <c r="I175" s="3">
        <f>C175+E175-G175</f>
        <v>0</v>
      </c>
      <c r="J175" s="46">
        <f>D175+F175-H175</f>
        <v>0</v>
      </c>
    </row>
    <row r="176" spans="2:10" ht="24.95" customHeight="1" x14ac:dyDescent="0.25">
      <c r="B176" s="48" t="s">
        <v>453</v>
      </c>
      <c r="C176" s="4">
        <v>1</v>
      </c>
      <c r="D176" s="2">
        <v>3602002</v>
      </c>
      <c r="E176" s="4">
        <v>0</v>
      </c>
      <c r="F176" s="4">
        <v>0</v>
      </c>
      <c r="G176" s="4">
        <v>1</v>
      </c>
      <c r="H176" s="2">
        <v>3602002</v>
      </c>
      <c r="I176" s="3">
        <f>C176+E176-G176</f>
        <v>0</v>
      </c>
      <c r="J176" s="46">
        <f>D176+F176-H176</f>
        <v>0</v>
      </c>
    </row>
    <row r="177" spans="2:10" ht="24.95" customHeight="1" x14ac:dyDescent="0.25">
      <c r="B177" s="48" t="s">
        <v>452</v>
      </c>
      <c r="C177" s="4">
        <v>1</v>
      </c>
      <c r="D177" s="2">
        <v>1789391</v>
      </c>
      <c r="E177" s="4">
        <v>121</v>
      </c>
      <c r="F177" s="4">
        <v>227692076</v>
      </c>
      <c r="G177" s="4">
        <v>122</v>
      </c>
      <c r="H177" s="4">
        <v>229481467</v>
      </c>
      <c r="I177" s="3">
        <f>C177+E177-G177</f>
        <v>0</v>
      </c>
      <c r="J177" s="46">
        <f>D177+F177-H177</f>
        <v>0</v>
      </c>
    </row>
    <row r="178" spans="2:10" ht="24.95" customHeight="1" x14ac:dyDescent="0.25">
      <c r="B178" s="48" t="s">
        <v>451</v>
      </c>
      <c r="C178" s="4">
        <v>0</v>
      </c>
      <c r="D178" s="5">
        <v>0</v>
      </c>
      <c r="E178" s="4">
        <v>2</v>
      </c>
      <c r="F178" s="4">
        <v>1285801</v>
      </c>
      <c r="G178" s="4">
        <v>2</v>
      </c>
      <c r="H178" s="4">
        <v>1285801</v>
      </c>
      <c r="I178" s="3">
        <f>C178+E178-G178</f>
        <v>0</v>
      </c>
      <c r="J178" s="46">
        <f>D178+F178-H178</f>
        <v>0</v>
      </c>
    </row>
    <row r="179" spans="2:10" ht="24.95" customHeight="1" x14ac:dyDescent="0.25">
      <c r="B179" s="48" t="s">
        <v>450</v>
      </c>
      <c r="C179" s="4">
        <v>3</v>
      </c>
      <c r="D179" s="5">
        <v>3388381</v>
      </c>
      <c r="E179" s="4">
        <v>2</v>
      </c>
      <c r="F179" s="4">
        <v>2510666</v>
      </c>
      <c r="G179" s="4">
        <v>3</v>
      </c>
      <c r="H179" s="4">
        <v>3535923</v>
      </c>
      <c r="I179" s="3">
        <f>C179+E179-G179</f>
        <v>2</v>
      </c>
      <c r="J179" s="44">
        <f>D179+F179-H179</f>
        <v>2363124</v>
      </c>
    </row>
    <row r="180" spans="2:10" s="23" customFormat="1" ht="24.95" customHeight="1" x14ac:dyDescent="0.25">
      <c r="B180" s="43" t="s">
        <v>449</v>
      </c>
      <c r="C180" s="3">
        <v>0</v>
      </c>
      <c r="D180" s="8">
        <v>0</v>
      </c>
      <c r="E180" s="3">
        <v>2</v>
      </c>
      <c r="F180" s="3">
        <v>840000</v>
      </c>
      <c r="G180" s="3">
        <v>2</v>
      </c>
      <c r="H180" s="3">
        <v>840000</v>
      </c>
      <c r="I180" s="3">
        <f>C180+E180-G180</f>
        <v>0</v>
      </c>
      <c r="J180" s="46">
        <f>D180+F180-H180</f>
        <v>0</v>
      </c>
    </row>
    <row r="181" spans="2:10" ht="24.95" customHeight="1" x14ac:dyDescent="0.25">
      <c r="B181" s="48" t="s">
        <v>448</v>
      </c>
      <c r="C181" s="3">
        <v>0</v>
      </c>
      <c r="D181" s="8">
        <v>0</v>
      </c>
      <c r="E181" s="4">
        <v>1</v>
      </c>
      <c r="F181" s="4">
        <v>595903</v>
      </c>
      <c r="G181" s="4">
        <v>0</v>
      </c>
      <c r="H181" s="4">
        <v>0</v>
      </c>
      <c r="I181" s="3">
        <f>C181+E181-G181</f>
        <v>1</v>
      </c>
      <c r="J181" s="44">
        <f>D181+F181-H181</f>
        <v>595903</v>
      </c>
    </row>
    <row r="182" spans="2:10" s="23" customFormat="1" ht="24.95" customHeight="1" x14ac:dyDescent="0.25">
      <c r="B182" s="48" t="s">
        <v>447</v>
      </c>
      <c r="C182" s="4">
        <v>1</v>
      </c>
      <c r="D182" s="5">
        <v>846941</v>
      </c>
      <c r="E182" s="4">
        <v>8</v>
      </c>
      <c r="F182" s="4">
        <v>8521096</v>
      </c>
      <c r="G182" s="4">
        <v>9</v>
      </c>
      <c r="H182" s="4">
        <v>9368037</v>
      </c>
      <c r="I182" s="3">
        <f>C182+E182-G182</f>
        <v>0</v>
      </c>
      <c r="J182" s="46">
        <f>D182+F182-H182</f>
        <v>0</v>
      </c>
    </row>
    <row r="183" spans="2:10" ht="24.95" customHeight="1" x14ac:dyDescent="0.25">
      <c r="B183" s="48" t="s">
        <v>446</v>
      </c>
      <c r="C183" s="4">
        <v>0</v>
      </c>
      <c r="D183" s="5">
        <v>0</v>
      </c>
      <c r="E183" s="4">
        <v>3</v>
      </c>
      <c r="F183" s="4">
        <v>6427797</v>
      </c>
      <c r="G183" s="4">
        <v>3</v>
      </c>
      <c r="H183" s="4">
        <v>6427797</v>
      </c>
      <c r="I183" s="3">
        <f>C183+E183-G183</f>
        <v>0</v>
      </c>
      <c r="J183" s="46">
        <f>D183+F183-H183</f>
        <v>0</v>
      </c>
    </row>
    <row r="184" spans="2:10" s="23" customFormat="1" ht="24.95" customHeight="1" x14ac:dyDescent="0.25">
      <c r="B184" s="48" t="s">
        <v>445</v>
      </c>
      <c r="C184" s="4">
        <v>0</v>
      </c>
      <c r="D184" s="5">
        <v>0</v>
      </c>
      <c r="E184" s="4">
        <v>3</v>
      </c>
      <c r="F184" s="4">
        <v>2491935</v>
      </c>
      <c r="G184" s="4">
        <v>3</v>
      </c>
      <c r="H184" s="4">
        <v>2491935</v>
      </c>
      <c r="I184" s="3">
        <f>C184+E184-G184</f>
        <v>0</v>
      </c>
      <c r="J184" s="46">
        <f>D184+F184-H184</f>
        <v>0</v>
      </c>
    </row>
    <row r="185" spans="2:10" ht="24.95" customHeight="1" x14ac:dyDescent="0.25">
      <c r="B185" s="48" t="s">
        <v>444</v>
      </c>
      <c r="C185" s="4">
        <v>0</v>
      </c>
      <c r="D185" s="5">
        <v>0</v>
      </c>
      <c r="E185" s="4">
        <v>2</v>
      </c>
      <c r="F185" s="4">
        <v>3940498</v>
      </c>
      <c r="G185" s="4">
        <v>2</v>
      </c>
      <c r="H185" s="4">
        <v>3940498</v>
      </c>
      <c r="I185" s="3">
        <f>C185+E185-G185</f>
        <v>0</v>
      </c>
      <c r="J185" s="46">
        <f>D185+F185-H185</f>
        <v>0</v>
      </c>
    </row>
    <row r="186" spans="2:10" s="23" customFormat="1" ht="24.95" customHeight="1" x14ac:dyDescent="0.25">
      <c r="B186" s="48" t="s">
        <v>443</v>
      </c>
      <c r="C186" s="4">
        <v>0</v>
      </c>
      <c r="D186" s="5">
        <v>0</v>
      </c>
      <c r="E186" s="4">
        <v>1</v>
      </c>
      <c r="F186" s="4">
        <v>12196284</v>
      </c>
      <c r="G186" s="4">
        <v>1</v>
      </c>
      <c r="H186" s="4">
        <v>12196284</v>
      </c>
      <c r="I186" s="3">
        <f>C186+E186-G186</f>
        <v>0</v>
      </c>
      <c r="J186" s="46">
        <f>D186+F186-H186</f>
        <v>0</v>
      </c>
    </row>
    <row r="187" spans="2:10" ht="24.95" customHeight="1" x14ac:dyDescent="0.25">
      <c r="B187" s="48" t="s">
        <v>442</v>
      </c>
      <c r="C187" s="4">
        <v>0</v>
      </c>
      <c r="D187" s="5">
        <v>0</v>
      </c>
      <c r="E187" s="4">
        <v>1</v>
      </c>
      <c r="F187" s="2">
        <v>4790295</v>
      </c>
      <c r="G187" s="4">
        <v>1</v>
      </c>
      <c r="H187" s="2">
        <v>4790295</v>
      </c>
      <c r="I187" s="3">
        <f>C187+E187-G187</f>
        <v>0</v>
      </c>
      <c r="J187" s="46">
        <f>D187+F187-H187</f>
        <v>0</v>
      </c>
    </row>
    <row r="188" spans="2:10" s="23" customFormat="1" ht="24.95" customHeight="1" x14ac:dyDescent="0.25">
      <c r="B188" s="48" t="s">
        <v>441</v>
      </c>
      <c r="C188" s="4">
        <v>0</v>
      </c>
      <c r="D188" s="5">
        <v>0</v>
      </c>
      <c r="E188" s="4">
        <v>1</v>
      </c>
      <c r="F188" s="2">
        <v>45925051</v>
      </c>
      <c r="G188" s="4">
        <v>1</v>
      </c>
      <c r="H188" s="2">
        <v>45925051</v>
      </c>
      <c r="I188" s="3">
        <f>C188+E188-G188</f>
        <v>0</v>
      </c>
      <c r="J188" s="46">
        <f>D188+F188-H188</f>
        <v>0</v>
      </c>
    </row>
    <row r="189" spans="2:10" ht="24.95" customHeight="1" x14ac:dyDescent="0.25">
      <c r="B189" s="48" t="s">
        <v>440</v>
      </c>
      <c r="C189" s="4">
        <v>0</v>
      </c>
      <c r="D189" s="5">
        <v>0</v>
      </c>
      <c r="E189" s="4">
        <v>1</v>
      </c>
      <c r="F189" s="4">
        <v>11347791</v>
      </c>
      <c r="G189" s="4">
        <v>0</v>
      </c>
      <c r="H189" s="4">
        <v>0</v>
      </c>
      <c r="I189" s="3">
        <f>C189+E189-G189</f>
        <v>1</v>
      </c>
      <c r="J189" s="44">
        <f>D189+F189-H189</f>
        <v>11347791</v>
      </c>
    </row>
    <row r="190" spans="2:10" s="23" customFormat="1" ht="24.95" customHeight="1" x14ac:dyDescent="0.25">
      <c r="B190" s="48" t="s">
        <v>439</v>
      </c>
      <c r="C190" s="4">
        <v>0</v>
      </c>
      <c r="D190" s="5">
        <v>0</v>
      </c>
      <c r="E190" s="4">
        <v>1</v>
      </c>
      <c r="F190" s="2">
        <v>5513699</v>
      </c>
      <c r="G190" s="4">
        <v>1</v>
      </c>
      <c r="H190" s="2">
        <v>5513699</v>
      </c>
      <c r="I190" s="3">
        <f>C190+E190-G190</f>
        <v>0</v>
      </c>
      <c r="J190" s="46">
        <f>D190+F190-H190</f>
        <v>0</v>
      </c>
    </row>
    <row r="191" spans="2:10" ht="24.95" customHeight="1" x14ac:dyDescent="0.25">
      <c r="B191" s="48" t="s">
        <v>438</v>
      </c>
      <c r="C191" s="4">
        <v>0</v>
      </c>
      <c r="D191" s="5">
        <v>0</v>
      </c>
      <c r="E191" s="4">
        <v>9</v>
      </c>
      <c r="F191" s="4">
        <v>93805132</v>
      </c>
      <c r="G191" s="4">
        <v>6</v>
      </c>
      <c r="H191" s="4">
        <v>63476982</v>
      </c>
      <c r="I191" s="3">
        <f>C191+E191-G191</f>
        <v>3</v>
      </c>
      <c r="J191" s="44">
        <f>D191+F191-H191</f>
        <v>30328150</v>
      </c>
    </row>
    <row r="192" spans="2:10" ht="24.95" customHeight="1" x14ac:dyDescent="0.25">
      <c r="B192" s="45" t="s">
        <v>437</v>
      </c>
      <c r="C192" s="9">
        <v>2</v>
      </c>
      <c r="D192" s="13">
        <v>119667</v>
      </c>
      <c r="E192" s="9">
        <v>0</v>
      </c>
      <c r="F192" s="9">
        <v>0</v>
      </c>
      <c r="G192" s="9">
        <v>2</v>
      </c>
      <c r="H192" s="9">
        <v>119667</v>
      </c>
      <c r="I192" s="3">
        <f>C192+E192-G192</f>
        <v>0</v>
      </c>
      <c r="J192" s="46">
        <f>D192+F192-H192</f>
        <v>0</v>
      </c>
    </row>
    <row r="193" spans="2:10" ht="24.95" customHeight="1" x14ac:dyDescent="0.25">
      <c r="B193" s="45" t="s">
        <v>436</v>
      </c>
      <c r="C193" s="9">
        <v>1</v>
      </c>
      <c r="D193" s="13">
        <v>651168</v>
      </c>
      <c r="E193" s="9">
        <v>0</v>
      </c>
      <c r="F193" s="9">
        <v>0</v>
      </c>
      <c r="G193" s="9">
        <v>0</v>
      </c>
      <c r="H193" s="9">
        <v>0</v>
      </c>
      <c r="I193" s="3">
        <f>C193+E193-G193</f>
        <v>1</v>
      </c>
      <c r="J193" s="44">
        <f>D193+F193-H193</f>
        <v>651168</v>
      </c>
    </row>
    <row r="194" spans="2:10" s="23" customFormat="1" ht="24.95" customHeight="1" x14ac:dyDescent="0.25">
      <c r="B194" s="49" t="s">
        <v>435</v>
      </c>
      <c r="C194" s="9">
        <v>29</v>
      </c>
      <c r="D194" s="13">
        <v>305222</v>
      </c>
      <c r="E194" s="9">
        <v>0</v>
      </c>
      <c r="F194" s="9">
        <v>0</v>
      </c>
      <c r="G194" s="9">
        <v>29</v>
      </c>
      <c r="H194" s="9">
        <v>305222</v>
      </c>
      <c r="I194" s="3">
        <f>C194+E194-G194</f>
        <v>0</v>
      </c>
      <c r="J194" s="46">
        <f>D194+F194-H194</f>
        <v>0</v>
      </c>
    </row>
    <row r="195" spans="2:10" s="23" customFormat="1" ht="24.95" customHeight="1" x14ac:dyDescent="0.25">
      <c r="B195" s="45" t="s">
        <v>434</v>
      </c>
      <c r="C195" s="9">
        <v>100</v>
      </c>
      <c r="D195" s="13">
        <v>726738</v>
      </c>
      <c r="E195" s="9">
        <v>0</v>
      </c>
      <c r="F195" s="9">
        <v>0</v>
      </c>
      <c r="G195" s="9">
        <v>0</v>
      </c>
      <c r="H195" s="9">
        <v>0</v>
      </c>
      <c r="I195" s="3">
        <f>C195+E195-G195</f>
        <v>100</v>
      </c>
      <c r="J195" s="44">
        <f>D195+F195-H195</f>
        <v>726738</v>
      </c>
    </row>
    <row r="196" spans="2:10" ht="24.95" customHeight="1" x14ac:dyDescent="0.25">
      <c r="B196" s="48" t="s">
        <v>433</v>
      </c>
      <c r="C196" s="4">
        <v>0</v>
      </c>
      <c r="D196" s="5">
        <v>0</v>
      </c>
      <c r="E196" s="4">
        <v>500</v>
      </c>
      <c r="F196" s="4">
        <v>6433500</v>
      </c>
      <c r="G196" s="4">
        <v>180</v>
      </c>
      <c r="H196" s="4">
        <v>2316060</v>
      </c>
      <c r="I196" s="3">
        <f>C196+E196-G196</f>
        <v>320</v>
      </c>
      <c r="J196" s="44">
        <f>D196+F196-H196</f>
        <v>4117440</v>
      </c>
    </row>
    <row r="197" spans="2:10" s="23" customFormat="1" ht="24.95" customHeight="1" x14ac:dyDescent="0.25">
      <c r="B197" s="48" t="s">
        <v>432</v>
      </c>
      <c r="C197" s="4">
        <v>0</v>
      </c>
      <c r="D197" s="5">
        <v>0</v>
      </c>
      <c r="E197" s="4">
        <v>1</v>
      </c>
      <c r="F197" s="4">
        <v>7223159</v>
      </c>
      <c r="G197" s="4">
        <v>1</v>
      </c>
      <c r="H197" s="4">
        <v>7223159</v>
      </c>
      <c r="I197" s="3">
        <f>C197+E197-G197</f>
        <v>0</v>
      </c>
      <c r="J197" s="46">
        <f>D197+F197-H197</f>
        <v>0</v>
      </c>
    </row>
    <row r="198" spans="2:10" ht="24.95" customHeight="1" x14ac:dyDescent="0.25">
      <c r="B198" s="48" t="s">
        <v>431</v>
      </c>
      <c r="C198" s="4">
        <v>0</v>
      </c>
      <c r="D198" s="5">
        <v>0</v>
      </c>
      <c r="E198" s="4">
        <v>2</v>
      </c>
      <c r="F198" s="4">
        <v>296422</v>
      </c>
      <c r="G198" s="4">
        <v>0</v>
      </c>
      <c r="H198" s="4">
        <v>0</v>
      </c>
      <c r="I198" s="3">
        <f>C198+E198-G198</f>
        <v>2</v>
      </c>
      <c r="J198" s="44">
        <f>D198+F198-H198</f>
        <v>296422</v>
      </c>
    </row>
    <row r="199" spans="2:10" ht="24.95" customHeight="1" x14ac:dyDescent="0.25">
      <c r="B199" s="48" t="s">
        <v>430</v>
      </c>
      <c r="C199" s="4">
        <v>0</v>
      </c>
      <c r="D199" s="5">
        <v>0</v>
      </c>
      <c r="E199" s="4">
        <v>3</v>
      </c>
      <c r="F199" s="4">
        <v>38610857</v>
      </c>
      <c r="G199" s="4">
        <v>3</v>
      </c>
      <c r="H199" s="4">
        <v>38610857</v>
      </c>
      <c r="I199" s="3">
        <f>C199+E199-G199</f>
        <v>0</v>
      </c>
      <c r="J199" s="46">
        <f>D199+F199-H199</f>
        <v>0</v>
      </c>
    </row>
    <row r="200" spans="2:10" s="23" customFormat="1" ht="24.95" customHeight="1" x14ac:dyDescent="0.25">
      <c r="B200" s="48" t="s">
        <v>429</v>
      </c>
      <c r="C200" s="4">
        <v>0</v>
      </c>
      <c r="D200" s="5">
        <v>0</v>
      </c>
      <c r="E200" s="4">
        <v>2</v>
      </c>
      <c r="F200" s="4">
        <v>414788</v>
      </c>
      <c r="G200" s="4">
        <v>2</v>
      </c>
      <c r="H200" s="4">
        <v>414788</v>
      </c>
      <c r="I200" s="3">
        <f>C200+E200-G200</f>
        <v>0</v>
      </c>
      <c r="J200" s="46">
        <f>D200+F200-H200</f>
        <v>0</v>
      </c>
    </row>
    <row r="201" spans="2:10" ht="24.95" customHeight="1" x14ac:dyDescent="0.25">
      <c r="B201" s="45" t="s">
        <v>428</v>
      </c>
      <c r="C201" s="9">
        <v>1</v>
      </c>
      <c r="D201" s="13">
        <v>2306350</v>
      </c>
      <c r="E201" s="9">
        <v>0</v>
      </c>
      <c r="F201" s="9">
        <v>0</v>
      </c>
      <c r="G201" s="9">
        <v>0</v>
      </c>
      <c r="H201" s="9">
        <v>0</v>
      </c>
      <c r="I201" s="3">
        <f>C201+E201-G201</f>
        <v>1</v>
      </c>
      <c r="J201" s="44">
        <f>D201+F201-H201</f>
        <v>2306350</v>
      </c>
    </row>
    <row r="202" spans="2:10" s="23" customFormat="1" ht="24.95" customHeight="1" x14ac:dyDescent="0.25">
      <c r="B202" s="45" t="s">
        <v>427</v>
      </c>
      <c r="C202" s="9">
        <v>1</v>
      </c>
      <c r="D202" s="13">
        <v>6535458</v>
      </c>
      <c r="E202" s="9">
        <v>0</v>
      </c>
      <c r="F202" s="9">
        <v>0</v>
      </c>
      <c r="G202" s="9">
        <v>1</v>
      </c>
      <c r="H202" s="9">
        <v>6535458</v>
      </c>
      <c r="I202" s="3">
        <f>C202+E202-G202</f>
        <v>0</v>
      </c>
      <c r="J202" s="46">
        <f>D202+F202-H202</f>
        <v>0</v>
      </c>
    </row>
    <row r="203" spans="2:10" s="23" customFormat="1" ht="24.95" customHeight="1" x14ac:dyDescent="0.25">
      <c r="B203" s="45" t="s">
        <v>426</v>
      </c>
      <c r="C203" s="9">
        <v>1</v>
      </c>
      <c r="D203" s="13">
        <v>8241617</v>
      </c>
      <c r="E203" s="9">
        <v>0</v>
      </c>
      <c r="F203" s="9">
        <v>0</v>
      </c>
      <c r="G203" s="9">
        <v>1</v>
      </c>
      <c r="H203" s="9">
        <v>8241617</v>
      </c>
      <c r="I203" s="3">
        <f>C203+E203-G203</f>
        <v>0</v>
      </c>
      <c r="J203" s="46">
        <f>D203+F203-H203</f>
        <v>0</v>
      </c>
    </row>
    <row r="204" spans="2:10" s="23" customFormat="1" ht="24.95" customHeight="1" x14ac:dyDescent="0.25">
      <c r="B204" s="48" t="s">
        <v>425</v>
      </c>
      <c r="C204" s="4">
        <v>0</v>
      </c>
      <c r="D204" s="5">
        <v>0</v>
      </c>
      <c r="E204" s="4">
        <v>1</v>
      </c>
      <c r="F204" s="4">
        <v>297466</v>
      </c>
      <c r="G204" s="4">
        <v>0</v>
      </c>
      <c r="H204" s="4">
        <v>0</v>
      </c>
      <c r="I204" s="3">
        <f>C204+E204-G204</f>
        <v>1</v>
      </c>
      <c r="J204" s="44">
        <f>D204+F204-H204</f>
        <v>297466</v>
      </c>
    </row>
    <row r="205" spans="2:10" ht="24.95" customHeight="1" x14ac:dyDescent="0.25">
      <c r="B205" s="45" t="s">
        <v>424</v>
      </c>
      <c r="C205" s="9">
        <v>1</v>
      </c>
      <c r="D205" s="13">
        <v>1625178</v>
      </c>
      <c r="E205" s="9">
        <v>0</v>
      </c>
      <c r="F205" s="9">
        <v>0</v>
      </c>
      <c r="G205" s="9">
        <v>0</v>
      </c>
      <c r="H205" s="9">
        <v>0</v>
      </c>
      <c r="I205" s="3">
        <f>C205+E205-G205</f>
        <v>1</v>
      </c>
      <c r="J205" s="44">
        <f>D205+F205-H205</f>
        <v>1625178</v>
      </c>
    </row>
    <row r="206" spans="2:10" s="23" customFormat="1" ht="24.95" customHeight="1" x14ac:dyDescent="0.25">
      <c r="B206" s="48" t="s">
        <v>423</v>
      </c>
      <c r="C206" s="4">
        <v>0</v>
      </c>
      <c r="D206" s="5">
        <v>0</v>
      </c>
      <c r="E206" s="4">
        <v>2</v>
      </c>
      <c r="F206" s="4">
        <v>8450634</v>
      </c>
      <c r="G206" s="4">
        <v>2</v>
      </c>
      <c r="H206" s="4">
        <v>8450634</v>
      </c>
      <c r="I206" s="3">
        <f>C206+E206-G206</f>
        <v>0</v>
      </c>
      <c r="J206" s="46">
        <f>D206+F206-H206</f>
        <v>0</v>
      </c>
    </row>
    <row r="207" spans="2:10" ht="24.95" customHeight="1" x14ac:dyDescent="0.25">
      <c r="B207" s="48" t="s">
        <v>422</v>
      </c>
      <c r="C207" s="4">
        <v>0</v>
      </c>
      <c r="D207" s="5">
        <v>0</v>
      </c>
      <c r="E207" s="4">
        <v>1</v>
      </c>
      <c r="F207" s="4">
        <v>6751574</v>
      </c>
      <c r="G207" s="4">
        <v>1</v>
      </c>
      <c r="H207" s="4">
        <v>6751574</v>
      </c>
      <c r="I207" s="3">
        <f>C207+E207-G207</f>
        <v>0</v>
      </c>
      <c r="J207" s="46">
        <f>D207+F207-H207</f>
        <v>0</v>
      </c>
    </row>
    <row r="208" spans="2:10" s="23" customFormat="1" ht="24.95" customHeight="1" x14ac:dyDescent="0.25">
      <c r="B208" s="48" t="s">
        <v>421</v>
      </c>
      <c r="C208" s="4">
        <v>0</v>
      </c>
      <c r="D208" s="5">
        <v>0</v>
      </c>
      <c r="E208" s="4">
        <v>1</v>
      </c>
      <c r="F208" s="2">
        <v>9177037</v>
      </c>
      <c r="G208" s="4">
        <v>1</v>
      </c>
      <c r="H208" s="2">
        <v>9177037</v>
      </c>
      <c r="I208" s="3">
        <f>C208+E208-G208</f>
        <v>0</v>
      </c>
      <c r="J208" s="46">
        <f>D208+F208-H208</f>
        <v>0</v>
      </c>
    </row>
    <row r="209" spans="2:10" ht="24.95" customHeight="1" x14ac:dyDescent="0.25">
      <c r="B209" s="48" t="s">
        <v>420</v>
      </c>
      <c r="C209" s="4">
        <v>0</v>
      </c>
      <c r="D209" s="5">
        <v>0</v>
      </c>
      <c r="E209" s="4">
        <v>1</v>
      </c>
      <c r="F209" s="2">
        <v>2334707</v>
      </c>
      <c r="G209" s="4">
        <v>1</v>
      </c>
      <c r="H209" s="2">
        <v>2334707</v>
      </c>
      <c r="I209" s="3">
        <f>C209+E209-G209</f>
        <v>0</v>
      </c>
      <c r="J209" s="46">
        <f>D209+F209-H209</f>
        <v>0</v>
      </c>
    </row>
    <row r="210" spans="2:10" s="23" customFormat="1" ht="24.95" customHeight="1" x14ac:dyDescent="0.25">
      <c r="B210" s="48" t="s">
        <v>419</v>
      </c>
      <c r="C210" s="4">
        <v>0</v>
      </c>
      <c r="D210" s="5">
        <v>0</v>
      </c>
      <c r="E210" s="4">
        <v>1</v>
      </c>
      <c r="F210" s="2">
        <v>1846156</v>
      </c>
      <c r="G210" s="4">
        <v>1</v>
      </c>
      <c r="H210" s="2">
        <v>1846156</v>
      </c>
      <c r="I210" s="3">
        <f>C210+E210-G210</f>
        <v>0</v>
      </c>
      <c r="J210" s="46">
        <f>D210+F210-H210</f>
        <v>0</v>
      </c>
    </row>
    <row r="211" spans="2:10" ht="24.95" customHeight="1" x14ac:dyDescent="0.25">
      <c r="B211" s="48" t="s">
        <v>418</v>
      </c>
      <c r="C211" s="4">
        <v>0</v>
      </c>
      <c r="D211" s="5">
        <v>0</v>
      </c>
      <c r="E211" s="4">
        <v>2</v>
      </c>
      <c r="F211" s="2">
        <v>557832</v>
      </c>
      <c r="G211" s="4">
        <v>2</v>
      </c>
      <c r="H211" s="2">
        <v>557832</v>
      </c>
      <c r="I211" s="3">
        <f>C211+E211-G211</f>
        <v>0</v>
      </c>
      <c r="J211" s="46">
        <f>D211+F211-H211</f>
        <v>0</v>
      </c>
    </row>
    <row r="212" spans="2:10" s="23" customFormat="1" ht="24.95" customHeight="1" x14ac:dyDescent="0.25">
      <c r="B212" s="48" t="s">
        <v>417</v>
      </c>
      <c r="C212" s="4">
        <v>0</v>
      </c>
      <c r="D212" s="5">
        <v>0</v>
      </c>
      <c r="E212" s="4">
        <v>2</v>
      </c>
      <c r="F212" s="4">
        <v>262777911</v>
      </c>
      <c r="G212" s="4">
        <v>0</v>
      </c>
      <c r="H212" s="4">
        <v>0</v>
      </c>
      <c r="I212" s="3">
        <f>C212+E212-G212</f>
        <v>2</v>
      </c>
      <c r="J212" s="44">
        <f>D212+F212-H212</f>
        <v>262777911</v>
      </c>
    </row>
    <row r="213" spans="2:10" ht="24.95" customHeight="1" x14ac:dyDescent="0.25">
      <c r="B213" s="48" t="s">
        <v>416</v>
      </c>
      <c r="C213" s="4">
        <v>0</v>
      </c>
      <c r="D213" s="5">
        <v>0</v>
      </c>
      <c r="E213" s="4">
        <v>1</v>
      </c>
      <c r="F213" s="2">
        <v>4165345</v>
      </c>
      <c r="G213" s="4">
        <v>1</v>
      </c>
      <c r="H213" s="2">
        <v>4165345</v>
      </c>
      <c r="I213" s="3">
        <f>C213+E213-G213</f>
        <v>0</v>
      </c>
      <c r="J213" s="46">
        <f>D213+F213-H213</f>
        <v>0</v>
      </c>
    </row>
    <row r="214" spans="2:10" s="23" customFormat="1" ht="24.95" customHeight="1" x14ac:dyDescent="0.25">
      <c r="B214" s="48" t="s">
        <v>415</v>
      </c>
      <c r="C214" s="4">
        <v>0</v>
      </c>
      <c r="D214" s="5">
        <v>0</v>
      </c>
      <c r="E214" s="4">
        <v>1</v>
      </c>
      <c r="F214" s="2">
        <v>7477221</v>
      </c>
      <c r="G214" s="4">
        <v>1</v>
      </c>
      <c r="H214" s="2">
        <v>7477221</v>
      </c>
      <c r="I214" s="3">
        <f>C214+E214-G214</f>
        <v>0</v>
      </c>
      <c r="J214" s="46">
        <f>D214+F214-H214</f>
        <v>0</v>
      </c>
    </row>
    <row r="215" spans="2:10" ht="24.95" customHeight="1" x14ac:dyDescent="0.25">
      <c r="B215" s="48" t="s">
        <v>414</v>
      </c>
      <c r="C215" s="4">
        <v>0</v>
      </c>
      <c r="D215" s="5">
        <v>0</v>
      </c>
      <c r="E215" s="4">
        <v>1</v>
      </c>
      <c r="F215" s="2">
        <v>6905326</v>
      </c>
      <c r="G215" s="4">
        <v>1</v>
      </c>
      <c r="H215" s="2">
        <v>6905326</v>
      </c>
      <c r="I215" s="3">
        <f>C215+E215-G215</f>
        <v>0</v>
      </c>
      <c r="J215" s="46">
        <f>D215+F215-H215</f>
        <v>0</v>
      </c>
    </row>
    <row r="216" spans="2:10" s="23" customFormat="1" ht="24.95" customHeight="1" x14ac:dyDescent="0.25">
      <c r="B216" s="48" t="s">
        <v>413</v>
      </c>
      <c r="C216" s="4">
        <v>3</v>
      </c>
      <c r="D216" s="5">
        <v>394014</v>
      </c>
      <c r="E216" s="4">
        <v>0</v>
      </c>
      <c r="F216" s="4">
        <v>0</v>
      </c>
      <c r="G216" s="4">
        <v>3</v>
      </c>
      <c r="H216" s="4">
        <v>394014</v>
      </c>
      <c r="I216" s="3">
        <f>C216+E216-G216</f>
        <v>0</v>
      </c>
      <c r="J216" s="46">
        <f>D216+F216-H216</f>
        <v>0</v>
      </c>
    </row>
    <row r="217" spans="2:10" ht="24.95" customHeight="1" x14ac:dyDescent="0.25">
      <c r="B217" s="43" t="s">
        <v>412</v>
      </c>
      <c r="C217" s="4">
        <v>0</v>
      </c>
      <c r="D217" s="5">
        <v>0</v>
      </c>
      <c r="E217" s="3">
        <v>1</v>
      </c>
      <c r="F217" s="3">
        <v>3500000</v>
      </c>
      <c r="G217" s="3">
        <v>0</v>
      </c>
      <c r="H217" s="3">
        <v>0</v>
      </c>
      <c r="I217" s="3">
        <f>C217+E217-G217</f>
        <v>1</v>
      </c>
      <c r="J217" s="44">
        <f>D217+F217-H217</f>
        <v>3500000</v>
      </c>
    </row>
    <row r="218" spans="2:10" s="23" customFormat="1" ht="24.95" customHeight="1" x14ac:dyDescent="0.25">
      <c r="B218" s="45" t="s">
        <v>411</v>
      </c>
      <c r="C218" s="9">
        <v>1</v>
      </c>
      <c r="D218" s="2">
        <v>2251309</v>
      </c>
      <c r="E218" s="9">
        <v>0</v>
      </c>
      <c r="F218" s="9">
        <v>0</v>
      </c>
      <c r="G218" s="9">
        <v>0</v>
      </c>
      <c r="H218" s="9">
        <v>0</v>
      </c>
      <c r="I218" s="3">
        <f>C218+E218-G218</f>
        <v>1</v>
      </c>
      <c r="J218" s="44">
        <f>D218+F218-H218</f>
        <v>2251309</v>
      </c>
    </row>
    <row r="219" spans="2:10" ht="24.95" customHeight="1" x14ac:dyDescent="0.25">
      <c r="B219" s="45" t="s">
        <v>410</v>
      </c>
      <c r="C219" s="9">
        <v>1</v>
      </c>
      <c r="D219" s="2">
        <v>2251309</v>
      </c>
      <c r="E219" s="9">
        <v>0</v>
      </c>
      <c r="F219" s="9">
        <v>0</v>
      </c>
      <c r="G219" s="9">
        <v>0</v>
      </c>
      <c r="H219" s="9">
        <v>0</v>
      </c>
      <c r="I219" s="3">
        <f>C219+E219-G219</f>
        <v>1</v>
      </c>
      <c r="J219" s="44">
        <f>D219+F219-H219</f>
        <v>2251309</v>
      </c>
    </row>
    <row r="220" spans="2:10" s="23" customFormat="1" ht="24.95" customHeight="1" x14ac:dyDescent="0.25">
      <c r="B220" s="43" t="s">
        <v>409</v>
      </c>
      <c r="C220" s="11">
        <v>1</v>
      </c>
      <c r="D220" s="16">
        <v>3900000</v>
      </c>
      <c r="E220" s="9">
        <v>0</v>
      </c>
      <c r="F220" s="9">
        <v>0</v>
      </c>
      <c r="G220" s="11">
        <v>1</v>
      </c>
      <c r="H220" s="11">
        <v>3900000</v>
      </c>
      <c r="I220" s="3">
        <f>C220+E220-G220</f>
        <v>0</v>
      </c>
      <c r="J220" s="46">
        <f>D220+F220-H220</f>
        <v>0</v>
      </c>
    </row>
    <row r="221" spans="2:10" ht="24.95" customHeight="1" x14ac:dyDescent="0.25">
      <c r="B221" s="43" t="s">
        <v>408</v>
      </c>
      <c r="C221" s="3">
        <v>0</v>
      </c>
      <c r="D221" s="8">
        <v>0</v>
      </c>
      <c r="E221" s="3">
        <v>1</v>
      </c>
      <c r="F221" s="7">
        <v>7445454</v>
      </c>
      <c r="G221" s="3">
        <v>1</v>
      </c>
      <c r="H221" s="7">
        <v>7445454</v>
      </c>
      <c r="I221" s="3">
        <f>C221+E221-G221</f>
        <v>0</v>
      </c>
      <c r="J221" s="46">
        <f>D221+F221-H221</f>
        <v>0</v>
      </c>
    </row>
    <row r="222" spans="2:10" ht="24.95" customHeight="1" x14ac:dyDescent="0.25">
      <c r="B222" s="48" t="s">
        <v>407</v>
      </c>
      <c r="C222" s="4">
        <v>3</v>
      </c>
      <c r="D222" s="5">
        <v>294345</v>
      </c>
      <c r="E222" s="4">
        <v>5</v>
      </c>
      <c r="F222" s="4">
        <v>774475</v>
      </c>
      <c r="G222" s="4">
        <v>5</v>
      </c>
      <c r="H222" s="4">
        <v>774475</v>
      </c>
      <c r="I222" s="3">
        <f>C222+E222-G222</f>
        <v>3</v>
      </c>
      <c r="J222" s="44">
        <f>D222+F222-H222</f>
        <v>294345</v>
      </c>
    </row>
    <row r="223" spans="2:10" ht="24.95" customHeight="1" x14ac:dyDescent="0.25">
      <c r="B223" s="48" t="s">
        <v>406</v>
      </c>
      <c r="C223" s="4">
        <v>0</v>
      </c>
      <c r="D223" s="5">
        <v>0</v>
      </c>
      <c r="E223" s="4">
        <v>4</v>
      </c>
      <c r="F223" s="4">
        <v>65739001</v>
      </c>
      <c r="G223" s="4">
        <v>4</v>
      </c>
      <c r="H223" s="4">
        <v>65739001</v>
      </c>
      <c r="I223" s="3">
        <f>C223+E223-G223</f>
        <v>0</v>
      </c>
      <c r="J223" s="46">
        <f>D223+F223-H223</f>
        <v>0</v>
      </c>
    </row>
    <row r="224" spans="2:10" ht="24.95" customHeight="1" x14ac:dyDescent="0.25">
      <c r="B224" s="45" t="s">
        <v>405</v>
      </c>
      <c r="C224" s="9">
        <v>1</v>
      </c>
      <c r="D224" s="13">
        <v>183845</v>
      </c>
      <c r="E224" s="4">
        <v>0</v>
      </c>
      <c r="F224" s="4">
        <v>0</v>
      </c>
      <c r="G224" s="9">
        <v>1</v>
      </c>
      <c r="H224" s="9">
        <v>183845</v>
      </c>
      <c r="I224" s="3">
        <f>C224+E224-G224</f>
        <v>0</v>
      </c>
      <c r="J224" s="46">
        <f>D224+F224-H224</f>
        <v>0</v>
      </c>
    </row>
    <row r="225" spans="2:10" ht="24.95" customHeight="1" x14ac:dyDescent="0.25">
      <c r="B225" s="43" t="s">
        <v>404</v>
      </c>
      <c r="C225" s="3">
        <v>0</v>
      </c>
      <c r="D225" s="8">
        <v>0</v>
      </c>
      <c r="E225" s="3">
        <v>4</v>
      </c>
      <c r="F225" s="3">
        <v>400000</v>
      </c>
      <c r="G225" s="3">
        <v>4</v>
      </c>
      <c r="H225" s="3">
        <v>400000</v>
      </c>
      <c r="I225" s="3">
        <f>C225+E225-G225</f>
        <v>0</v>
      </c>
      <c r="J225" s="46">
        <f>D225+F225-H225</f>
        <v>0</v>
      </c>
    </row>
    <row r="226" spans="2:10" ht="24.95" customHeight="1" x14ac:dyDescent="0.25">
      <c r="B226" s="45" t="s">
        <v>403</v>
      </c>
      <c r="C226" s="9">
        <v>2</v>
      </c>
      <c r="D226" s="13">
        <v>1483143</v>
      </c>
      <c r="E226" s="9">
        <v>0</v>
      </c>
      <c r="F226" s="9">
        <v>0</v>
      </c>
      <c r="G226" s="9">
        <v>0</v>
      </c>
      <c r="H226" s="9">
        <v>0</v>
      </c>
      <c r="I226" s="3">
        <f>C226+E226-G226</f>
        <v>2</v>
      </c>
      <c r="J226" s="44">
        <f>D226+F226-H226</f>
        <v>1483143</v>
      </c>
    </row>
    <row r="227" spans="2:10" ht="24.95" customHeight="1" x14ac:dyDescent="0.25">
      <c r="B227" s="43" t="s">
        <v>402</v>
      </c>
      <c r="C227" s="3">
        <v>0</v>
      </c>
      <c r="D227" s="8">
        <v>0</v>
      </c>
      <c r="E227" s="3">
        <v>2</v>
      </c>
      <c r="F227" s="3">
        <v>4500000</v>
      </c>
      <c r="G227" s="3">
        <v>0</v>
      </c>
      <c r="H227" s="3">
        <v>0</v>
      </c>
      <c r="I227" s="3">
        <f>C227+E227-G227</f>
        <v>2</v>
      </c>
      <c r="J227" s="44">
        <f>D227+F227-H227</f>
        <v>4500000</v>
      </c>
    </row>
    <row r="228" spans="2:10" s="23" customFormat="1" ht="24.95" customHeight="1" x14ac:dyDescent="0.25">
      <c r="B228" s="48" t="s">
        <v>401</v>
      </c>
      <c r="C228" s="4">
        <v>0</v>
      </c>
      <c r="D228" s="5">
        <v>0</v>
      </c>
      <c r="E228" s="4">
        <v>1</v>
      </c>
      <c r="F228" s="4">
        <v>3201516</v>
      </c>
      <c r="G228" s="4">
        <v>0</v>
      </c>
      <c r="H228" s="4">
        <v>0</v>
      </c>
      <c r="I228" s="3">
        <f>C228+E228-G228</f>
        <v>1</v>
      </c>
      <c r="J228" s="44">
        <f>D228+F228-H228</f>
        <v>3201516</v>
      </c>
    </row>
    <row r="229" spans="2:10" s="23" customFormat="1" ht="24.95" customHeight="1" x14ac:dyDescent="0.25">
      <c r="B229" s="45" t="s">
        <v>400</v>
      </c>
      <c r="C229" s="9">
        <v>6</v>
      </c>
      <c r="D229" s="13">
        <v>479436</v>
      </c>
      <c r="E229" s="4">
        <v>0</v>
      </c>
      <c r="F229" s="4">
        <v>0</v>
      </c>
      <c r="G229" s="4">
        <v>0</v>
      </c>
      <c r="H229" s="4">
        <v>0</v>
      </c>
      <c r="I229" s="3">
        <f>C229+E229-G229</f>
        <v>6</v>
      </c>
      <c r="J229" s="44">
        <f>D229+F229-H229</f>
        <v>479436</v>
      </c>
    </row>
    <row r="230" spans="2:10" s="23" customFormat="1" ht="24.95" customHeight="1" x14ac:dyDescent="0.25">
      <c r="B230" s="45" t="s">
        <v>399</v>
      </c>
      <c r="C230" s="9">
        <v>1</v>
      </c>
      <c r="D230" s="13">
        <v>196783</v>
      </c>
      <c r="E230" s="4">
        <v>0</v>
      </c>
      <c r="F230" s="4">
        <v>0</v>
      </c>
      <c r="G230" s="4">
        <v>0</v>
      </c>
      <c r="H230" s="4">
        <v>0</v>
      </c>
      <c r="I230" s="3">
        <f>C230+E230-G230</f>
        <v>1</v>
      </c>
      <c r="J230" s="44">
        <f>D230+F230-H230</f>
        <v>196783</v>
      </c>
    </row>
    <row r="231" spans="2:10" s="23" customFormat="1" ht="24.95" customHeight="1" x14ac:dyDescent="0.25">
      <c r="B231" s="45" t="s">
        <v>398</v>
      </c>
      <c r="C231" s="9">
        <v>2</v>
      </c>
      <c r="D231" s="13">
        <v>2886294</v>
      </c>
      <c r="E231" s="4">
        <v>0</v>
      </c>
      <c r="F231" s="4">
        <v>0</v>
      </c>
      <c r="G231" s="4">
        <v>0</v>
      </c>
      <c r="H231" s="4">
        <v>0</v>
      </c>
      <c r="I231" s="3">
        <f>C231+E231-G231</f>
        <v>2</v>
      </c>
      <c r="J231" s="44">
        <f>D231+F231-H231</f>
        <v>2886294</v>
      </c>
    </row>
    <row r="232" spans="2:10" ht="24.95" customHeight="1" x14ac:dyDescent="0.25">
      <c r="B232" s="48" t="s">
        <v>397</v>
      </c>
      <c r="C232" s="4">
        <v>0</v>
      </c>
      <c r="D232" s="5">
        <v>0</v>
      </c>
      <c r="E232" s="4">
        <v>1</v>
      </c>
      <c r="F232" s="2">
        <v>125066308</v>
      </c>
      <c r="G232" s="4">
        <v>1</v>
      </c>
      <c r="H232" s="2">
        <v>125066308</v>
      </c>
      <c r="I232" s="3">
        <f>C232+E232-G232</f>
        <v>0</v>
      </c>
      <c r="J232" s="46">
        <f>D232+F232-H232</f>
        <v>0</v>
      </c>
    </row>
    <row r="233" spans="2:10" ht="24.95" customHeight="1" x14ac:dyDescent="0.25">
      <c r="B233" s="45" t="s">
        <v>396</v>
      </c>
      <c r="C233" s="9">
        <v>1</v>
      </c>
      <c r="D233" s="2">
        <v>70408000</v>
      </c>
      <c r="E233" s="4">
        <v>0</v>
      </c>
      <c r="F233" s="4">
        <v>0</v>
      </c>
      <c r="G233" s="9">
        <v>1</v>
      </c>
      <c r="H233" s="2">
        <v>70408000</v>
      </c>
      <c r="I233" s="3">
        <f>C233+E233-G233</f>
        <v>0</v>
      </c>
      <c r="J233" s="46">
        <f>D233+F233-H233</f>
        <v>0</v>
      </c>
    </row>
    <row r="234" spans="2:10" s="23" customFormat="1" ht="24.95" customHeight="1" x14ac:dyDescent="0.25">
      <c r="B234" s="45" t="s">
        <v>395</v>
      </c>
      <c r="C234" s="9">
        <v>1</v>
      </c>
      <c r="D234" s="2">
        <v>7504363</v>
      </c>
      <c r="E234" s="4">
        <v>0</v>
      </c>
      <c r="F234" s="4">
        <v>0</v>
      </c>
      <c r="G234" s="4">
        <v>0</v>
      </c>
      <c r="H234" s="4">
        <v>0</v>
      </c>
      <c r="I234" s="3">
        <f>C234+E234-G234</f>
        <v>1</v>
      </c>
      <c r="J234" s="44">
        <f>D234+F234-H234</f>
        <v>7504363</v>
      </c>
    </row>
    <row r="235" spans="2:10" ht="24.95" customHeight="1" x14ac:dyDescent="0.25">
      <c r="B235" s="45" t="s">
        <v>394</v>
      </c>
      <c r="C235" s="9">
        <v>1</v>
      </c>
      <c r="D235" s="2">
        <v>3126818</v>
      </c>
      <c r="E235" s="4">
        <v>0</v>
      </c>
      <c r="F235" s="4">
        <v>0</v>
      </c>
      <c r="G235" s="4">
        <v>0</v>
      </c>
      <c r="H235" s="4">
        <v>0</v>
      </c>
      <c r="I235" s="3">
        <f>C235+E235-G235</f>
        <v>1</v>
      </c>
      <c r="J235" s="44">
        <f>D235+F235-H235</f>
        <v>3126818</v>
      </c>
    </row>
    <row r="236" spans="2:10" s="23" customFormat="1" ht="24.95" customHeight="1" x14ac:dyDescent="0.25">
      <c r="B236" s="48" t="s">
        <v>393</v>
      </c>
      <c r="C236" s="4">
        <v>0</v>
      </c>
      <c r="D236" s="5">
        <v>0</v>
      </c>
      <c r="E236" s="4">
        <v>1</v>
      </c>
      <c r="F236" s="4">
        <v>5910630</v>
      </c>
      <c r="G236" s="4">
        <v>1</v>
      </c>
      <c r="H236" s="4">
        <v>5910630</v>
      </c>
      <c r="I236" s="3">
        <f>C236+E236-G236</f>
        <v>0</v>
      </c>
      <c r="J236" s="46">
        <f>D236+F236-H236</f>
        <v>0</v>
      </c>
    </row>
    <row r="237" spans="2:10" ht="24.95" customHeight="1" x14ac:dyDescent="0.25">
      <c r="B237" s="43" t="s">
        <v>392</v>
      </c>
      <c r="C237" s="3">
        <v>0</v>
      </c>
      <c r="D237" s="8">
        <v>0</v>
      </c>
      <c r="E237" s="3">
        <v>1</v>
      </c>
      <c r="F237" s="3">
        <v>5000000</v>
      </c>
      <c r="G237" s="3">
        <v>1</v>
      </c>
      <c r="H237" s="3">
        <v>5000000</v>
      </c>
      <c r="I237" s="3">
        <f>C237+E237-G237</f>
        <v>0</v>
      </c>
      <c r="J237" s="46">
        <f>D237+F237-H237</f>
        <v>0</v>
      </c>
    </row>
    <row r="238" spans="2:10" s="23" customFormat="1" ht="24.95" customHeight="1" x14ac:dyDescent="0.25">
      <c r="B238" s="43" t="s">
        <v>391</v>
      </c>
      <c r="C238" s="3">
        <v>0</v>
      </c>
      <c r="D238" s="8">
        <v>0</v>
      </c>
      <c r="E238" s="3">
        <v>2</v>
      </c>
      <c r="F238" s="3">
        <v>8400000</v>
      </c>
      <c r="G238" s="3">
        <v>0</v>
      </c>
      <c r="H238" s="3">
        <v>0</v>
      </c>
      <c r="I238" s="3">
        <f>C238+E238-G238</f>
        <v>2</v>
      </c>
      <c r="J238" s="44">
        <f>D238+F238-H238</f>
        <v>8400000</v>
      </c>
    </row>
    <row r="239" spans="2:10" ht="24.95" customHeight="1" x14ac:dyDescent="0.25">
      <c r="B239" s="47" t="s">
        <v>390</v>
      </c>
      <c r="C239" s="18">
        <v>0</v>
      </c>
      <c r="D239" s="19">
        <v>0</v>
      </c>
      <c r="E239" s="18">
        <v>8</v>
      </c>
      <c r="F239" s="18">
        <v>42000000</v>
      </c>
      <c r="G239" s="18">
        <v>8</v>
      </c>
      <c r="H239" s="18">
        <v>42000000</v>
      </c>
      <c r="I239" s="3">
        <f>C239+E239-G239</f>
        <v>0</v>
      </c>
      <c r="J239" s="46">
        <f>D239+F239-H239</f>
        <v>0</v>
      </c>
    </row>
    <row r="240" spans="2:10" s="23" customFormat="1" ht="24.95" customHeight="1" x14ac:dyDescent="0.25">
      <c r="B240" s="48" t="s">
        <v>389</v>
      </c>
      <c r="C240" s="4">
        <v>0</v>
      </c>
      <c r="D240" s="5">
        <v>0</v>
      </c>
      <c r="E240" s="4">
        <v>4</v>
      </c>
      <c r="F240" s="4">
        <v>86292310</v>
      </c>
      <c r="G240" s="4">
        <v>4</v>
      </c>
      <c r="H240" s="4">
        <v>86292310</v>
      </c>
      <c r="I240" s="3">
        <f>C240+E240-G240</f>
        <v>0</v>
      </c>
      <c r="J240" s="46">
        <f>D240+F240-H240</f>
        <v>0</v>
      </c>
    </row>
    <row r="241" spans="2:10" ht="24.95" customHeight="1" x14ac:dyDescent="0.25">
      <c r="B241" s="48" t="s">
        <v>388</v>
      </c>
      <c r="C241" s="4">
        <v>0</v>
      </c>
      <c r="D241" s="5">
        <v>0</v>
      </c>
      <c r="E241" s="4">
        <v>1</v>
      </c>
      <c r="F241" s="2">
        <v>75248711</v>
      </c>
      <c r="G241" s="4">
        <v>1</v>
      </c>
      <c r="H241" s="2">
        <v>75248711</v>
      </c>
      <c r="I241" s="3">
        <f>C241+E241-G241</f>
        <v>0</v>
      </c>
      <c r="J241" s="46">
        <f>D241+F241-H241</f>
        <v>0</v>
      </c>
    </row>
    <row r="242" spans="2:10" s="23" customFormat="1" ht="24.95" customHeight="1" x14ac:dyDescent="0.25">
      <c r="B242" s="43" t="s">
        <v>387</v>
      </c>
      <c r="C242" s="3">
        <v>0</v>
      </c>
      <c r="D242" s="8">
        <v>0</v>
      </c>
      <c r="E242" s="3">
        <v>4</v>
      </c>
      <c r="F242" s="3">
        <v>12830000</v>
      </c>
      <c r="G242" s="3">
        <v>4</v>
      </c>
      <c r="H242" s="3">
        <v>12830000</v>
      </c>
      <c r="I242" s="3">
        <f>C242+E242-G242</f>
        <v>0</v>
      </c>
      <c r="J242" s="46">
        <f>D242+F242-H242</f>
        <v>0</v>
      </c>
    </row>
    <row r="243" spans="2:10" ht="24.95" customHeight="1" x14ac:dyDescent="0.25">
      <c r="B243" s="48" t="s">
        <v>386</v>
      </c>
      <c r="C243" s="4">
        <v>0</v>
      </c>
      <c r="D243" s="5">
        <v>0</v>
      </c>
      <c r="E243" s="4">
        <v>1</v>
      </c>
      <c r="F243" s="2">
        <v>3255676</v>
      </c>
      <c r="G243" s="4">
        <v>1</v>
      </c>
      <c r="H243" s="2">
        <v>3255676</v>
      </c>
      <c r="I243" s="3">
        <f>C243+E243-G243</f>
        <v>0</v>
      </c>
      <c r="J243" s="46">
        <f>D243+F243-H243</f>
        <v>0</v>
      </c>
    </row>
    <row r="244" spans="2:10" ht="24.95" customHeight="1" x14ac:dyDescent="0.25">
      <c r="B244" s="48" t="s">
        <v>385</v>
      </c>
      <c r="C244" s="4">
        <v>0</v>
      </c>
      <c r="D244" s="5">
        <v>0</v>
      </c>
      <c r="E244" s="4">
        <v>1</v>
      </c>
      <c r="F244" s="2">
        <v>1299236</v>
      </c>
      <c r="G244" s="4">
        <v>1</v>
      </c>
      <c r="H244" s="2">
        <v>1299236</v>
      </c>
      <c r="I244" s="3">
        <f>C244+E244-G244</f>
        <v>0</v>
      </c>
      <c r="J244" s="46">
        <f>D244+F244-H244</f>
        <v>0</v>
      </c>
    </row>
    <row r="245" spans="2:10" ht="24.95" customHeight="1" x14ac:dyDescent="0.25">
      <c r="B245" s="45" t="s">
        <v>384</v>
      </c>
      <c r="C245" s="9">
        <v>3</v>
      </c>
      <c r="D245" s="13">
        <v>214212</v>
      </c>
      <c r="E245" s="9">
        <v>0</v>
      </c>
      <c r="F245" s="9">
        <v>0</v>
      </c>
      <c r="G245" s="9">
        <v>0</v>
      </c>
      <c r="H245" s="9">
        <v>0</v>
      </c>
      <c r="I245" s="3">
        <f>C245+E245-G245</f>
        <v>3</v>
      </c>
      <c r="J245" s="44">
        <f>D245+F245-H245</f>
        <v>214212</v>
      </c>
    </row>
    <row r="246" spans="2:10" ht="24.95" customHeight="1" x14ac:dyDescent="0.25">
      <c r="B246" s="45" t="s">
        <v>383</v>
      </c>
      <c r="C246" s="9">
        <v>2</v>
      </c>
      <c r="D246" s="13">
        <v>103412</v>
      </c>
      <c r="E246" s="9">
        <v>0</v>
      </c>
      <c r="F246" s="9">
        <v>0</v>
      </c>
      <c r="G246" s="9">
        <v>0</v>
      </c>
      <c r="H246" s="9">
        <v>0</v>
      </c>
      <c r="I246" s="3">
        <f>C246+E246-G246</f>
        <v>2</v>
      </c>
      <c r="J246" s="44">
        <f>D246+F246-H246</f>
        <v>103412</v>
      </c>
    </row>
    <row r="247" spans="2:10" s="23" customFormat="1" ht="24.95" customHeight="1" x14ac:dyDescent="0.25">
      <c r="B247" s="45" t="s">
        <v>382</v>
      </c>
      <c r="C247" s="9">
        <v>8</v>
      </c>
      <c r="D247" s="13">
        <v>389136</v>
      </c>
      <c r="E247" s="9">
        <v>0</v>
      </c>
      <c r="F247" s="9">
        <v>0</v>
      </c>
      <c r="G247" s="9">
        <v>8</v>
      </c>
      <c r="H247" s="9">
        <v>389136</v>
      </c>
      <c r="I247" s="3">
        <f>C247+E247-G247</f>
        <v>0</v>
      </c>
      <c r="J247" s="46">
        <f>D247+F247-H247</f>
        <v>0</v>
      </c>
    </row>
    <row r="248" spans="2:10" ht="24.95" customHeight="1" x14ac:dyDescent="0.25">
      <c r="B248" s="48" t="s">
        <v>381</v>
      </c>
      <c r="C248" s="4">
        <v>0</v>
      </c>
      <c r="D248" s="5">
        <v>0</v>
      </c>
      <c r="E248" s="4">
        <v>1</v>
      </c>
      <c r="F248" s="2">
        <v>21663309</v>
      </c>
      <c r="G248" s="4">
        <v>1</v>
      </c>
      <c r="H248" s="2">
        <v>21663309</v>
      </c>
      <c r="I248" s="3">
        <f>C248+E248-G248</f>
        <v>0</v>
      </c>
      <c r="J248" s="46">
        <f>D248+F248-H248</f>
        <v>0</v>
      </c>
    </row>
    <row r="249" spans="2:10" ht="24.95" customHeight="1" x14ac:dyDescent="0.25">
      <c r="B249" s="48" t="s">
        <v>380</v>
      </c>
      <c r="C249" s="4">
        <v>2</v>
      </c>
      <c r="D249" s="5">
        <v>104976</v>
      </c>
      <c r="E249" s="4">
        <v>2</v>
      </c>
      <c r="F249" s="4">
        <v>202186</v>
      </c>
      <c r="G249" s="4">
        <v>1</v>
      </c>
      <c r="H249" s="4">
        <v>101093</v>
      </c>
      <c r="I249" s="3">
        <f>C249+E249-G249</f>
        <v>3</v>
      </c>
      <c r="J249" s="44">
        <f>D249+F249-H249</f>
        <v>206069</v>
      </c>
    </row>
    <row r="250" spans="2:10" s="23" customFormat="1" ht="24.95" customHeight="1" x14ac:dyDescent="0.25">
      <c r="B250" s="43" t="s">
        <v>379</v>
      </c>
      <c r="C250" s="3">
        <v>0</v>
      </c>
      <c r="D250" s="8">
        <v>0</v>
      </c>
      <c r="E250" s="3">
        <v>2</v>
      </c>
      <c r="F250" s="3">
        <v>7250000</v>
      </c>
      <c r="G250" s="3">
        <v>2</v>
      </c>
      <c r="H250" s="3">
        <v>7250000</v>
      </c>
      <c r="I250" s="3">
        <f>C250+E250-G250</f>
        <v>0</v>
      </c>
      <c r="J250" s="46">
        <f>D250+F250-H250</f>
        <v>0</v>
      </c>
    </row>
    <row r="251" spans="2:10" s="23" customFormat="1" ht="24.95" customHeight="1" x14ac:dyDescent="0.25">
      <c r="B251" s="48" t="s">
        <v>378</v>
      </c>
      <c r="C251" s="4">
        <v>0</v>
      </c>
      <c r="D251" s="5">
        <v>0</v>
      </c>
      <c r="E251" s="4">
        <v>1</v>
      </c>
      <c r="F251" s="2">
        <v>3021935</v>
      </c>
      <c r="G251" s="4">
        <v>1</v>
      </c>
      <c r="H251" s="2">
        <v>3021935</v>
      </c>
      <c r="I251" s="3">
        <f>C251+E251-G251</f>
        <v>0</v>
      </c>
      <c r="J251" s="46">
        <f>D251+F251-H251</f>
        <v>0</v>
      </c>
    </row>
    <row r="252" spans="2:10" s="23" customFormat="1" ht="24.95" customHeight="1" x14ac:dyDescent="0.25">
      <c r="B252" s="48" t="s">
        <v>377</v>
      </c>
      <c r="C252" s="4">
        <v>0</v>
      </c>
      <c r="D252" s="5">
        <v>0</v>
      </c>
      <c r="E252" s="4">
        <v>1</v>
      </c>
      <c r="F252" s="2">
        <v>10361626</v>
      </c>
      <c r="G252" s="4">
        <v>1</v>
      </c>
      <c r="H252" s="2">
        <v>10361626</v>
      </c>
      <c r="I252" s="3">
        <f>C252+E252-G252</f>
        <v>0</v>
      </c>
      <c r="J252" s="46">
        <f>D252+F252-H252</f>
        <v>0</v>
      </c>
    </row>
    <row r="253" spans="2:10" ht="24.95" customHeight="1" x14ac:dyDescent="0.25">
      <c r="B253" s="48" t="s">
        <v>376</v>
      </c>
      <c r="C253" s="4">
        <v>0</v>
      </c>
      <c r="D253" s="5">
        <v>0</v>
      </c>
      <c r="E253" s="4">
        <v>4</v>
      </c>
      <c r="F253" s="4">
        <v>2792156</v>
      </c>
      <c r="G253" s="4">
        <v>4</v>
      </c>
      <c r="H253" s="4">
        <v>2792156</v>
      </c>
      <c r="I253" s="3">
        <f>C253+E253-G253</f>
        <v>0</v>
      </c>
      <c r="J253" s="46">
        <f>D253+F253-H253</f>
        <v>0</v>
      </c>
    </row>
    <row r="254" spans="2:10" s="23" customFormat="1" ht="24.95" customHeight="1" x14ac:dyDescent="0.25">
      <c r="B254" s="48" t="s">
        <v>375</v>
      </c>
      <c r="C254" s="4">
        <v>0</v>
      </c>
      <c r="D254" s="5">
        <v>0</v>
      </c>
      <c r="E254" s="4">
        <v>2</v>
      </c>
      <c r="F254" s="4">
        <v>8357995</v>
      </c>
      <c r="G254" s="4">
        <v>2</v>
      </c>
      <c r="H254" s="4">
        <v>8357995</v>
      </c>
      <c r="I254" s="3">
        <f>C254+E254-G254</f>
        <v>0</v>
      </c>
      <c r="J254" s="46">
        <f>D254+F254-H254</f>
        <v>0</v>
      </c>
    </row>
    <row r="255" spans="2:10" ht="24.95" customHeight="1" x14ac:dyDescent="0.25">
      <c r="B255" s="45" t="s">
        <v>374</v>
      </c>
      <c r="C255" s="9">
        <v>1</v>
      </c>
      <c r="D255" s="13">
        <v>3930000</v>
      </c>
      <c r="E255" s="4">
        <v>0</v>
      </c>
      <c r="F255" s="4">
        <v>0</v>
      </c>
      <c r="G255" s="4">
        <v>0</v>
      </c>
      <c r="H255" s="4">
        <v>0</v>
      </c>
      <c r="I255" s="3">
        <f>C255+E255-G255</f>
        <v>1</v>
      </c>
      <c r="J255" s="44">
        <f>D255+F255-H255</f>
        <v>3930000</v>
      </c>
    </row>
    <row r="256" spans="2:10" ht="24.95" customHeight="1" x14ac:dyDescent="0.25">
      <c r="B256" s="48" t="s">
        <v>373</v>
      </c>
      <c r="C256" s="4">
        <v>0</v>
      </c>
      <c r="D256" s="5">
        <v>0</v>
      </c>
      <c r="E256" s="4">
        <v>2</v>
      </c>
      <c r="F256" s="4">
        <v>1962919</v>
      </c>
      <c r="G256" s="4">
        <v>0</v>
      </c>
      <c r="H256" s="4">
        <v>0</v>
      </c>
      <c r="I256" s="3">
        <f>C256+E256-G256</f>
        <v>2</v>
      </c>
      <c r="J256" s="44">
        <f>D256+F256-H256</f>
        <v>1962919</v>
      </c>
    </row>
    <row r="257" spans="2:10" ht="24.95" customHeight="1" x14ac:dyDescent="0.25">
      <c r="B257" s="48" t="s">
        <v>372</v>
      </c>
      <c r="C257" s="4">
        <v>0</v>
      </c>
      <c r="D257" s="5">
        <v>0</v>
      </c>
      <c r="E257" s="4">
        <v>1</v>
      </c>
      <c r="F257" s="4">
        <v>4435130</v>
      </c>
      <c r="G257" s="4">
        <v>1</v>
      </c>
      <c r="H257" s="4">
        <v>4435130</v>
      </c>
      <c r="I257" s="3">
        <f>C257+E257-G257</f>
        <v>0</v>
      </c>
      <c r="J257" s="46">
        <f>D257+F257-H257</f>
        <v>0</v>
      </c>
    </row>
    <row r="258" spans="2:10" ht="24.95" customHeight="1" x14ac:dyDescent="0.25">
      <c r="B258" s="48" t="s">
        <v>371</v>
      </c>
      <c r="C258" s="4">
        <v>0</v>
      </c>
      <c r="D258" s="5">
        <v>0</v>
      </c>
      <c r="E258" s="4">
        <v>2</v>
      </c>
      <c r="F258" s="4">
        <v>27085262</v>
      </c>
      <c r="G258" s="4">
        <v>2</v>
      </c>
      <c r="H258" s="4">
        <v>27085262</v>
      </c>
      <c r="I258" s="3">
        <f>C258+E258-G258</f>
        <v>0</v>
      </c>
      <c r="J258" s="46">
        <f>D258+F258-H258</f>
        <v>0</v>
      </c>
    </row>
    <row r="259" spans="2:10" ht="24.95" customHeight="1" x14ac:dyDescent="0.25">
      <c r="B259" s="48" t="s">
        <v>370</v>
      </c>
      <c r="C259" s="4">
        <v>0</v>
      </c>
      <c r="D259" s="5">
        <v>0</v>
      </c>
      <c r="E259" s="4">
        <v>1</v>
      </c>
      <c r="F259" s="4">
        <v>1412169</v>
      </c>
      <c r="G259" s="4">
        <v>1</v>
      </c>
      <c r="H259" s="4">
        <v>1412169</v>
      </c>
      <c r="I259" s="3">
        <f>C259+E259-G259</f>
        <v>0</v>
      </c>
      <c r="J259" s="46">
        <f>D259+F259-H259</f>
        <v>0</v>
      </c>
    </row>
    <row r="260" spans="2:10" s="23" customFormat="1" ht="24.95" customHeight="1" x14ac:dyDescent="0.25">
      <c r="B260" s="43" t="s">
        <v>369</v>
      </c>
      <c r="C260" s="3">
        <v>0</v>
      </c>
      <c r="D260" s="8">
        <v>0</v>
      </c>
      <c r="E260" s="3">
        <v>2</v>
      </c>
      <c r="F260" s="3">
        <v>7945454</v>
      </c>
      <c r="G260" s="3">
        <v>2</v>
      </c>
      <c r="H260" s="3">
        <v>7945454</v>
      </c>
      <c r="I260" s="3">
        <f>C260+E260-G260</f>
        <v>0</v>
      </c>
      <c r="J260" s="46">
        <f>D260+F260-H260</f>
        <v>0</v>
      </c>
    </row>
    <row r="261" spans="2:10" ht="24.95" customHeight="1" x14ac:dyDescent="0.25">
      <c r="B261" s="48" t="s">
        <v>368</v>
      </c>
      <c r="C261" s="4">
        <v>1</v>
      </c>
      <c r="D261" s="5">
        <v>1550287</v>
      </c>
      <c r="E261" s="4">
        <v>0</v>
      </c>
      <c r="F261" s="4">
        <v>0</v>
      </c>
      <c r="G261" s="4">
        <v>0</v>
      </c>
      <c r="H261" s="4">
        <v>0</v>
      </c>
      <c r="I261" s="3">
        <f>C261+E261-G261</f>
        <v>1</v>
      </c>
      <c r="J261" s="44">
        <f>D261+F261-H261</f>
        <v>1550287</v>
      </c>
    </row>
    <row r="262" spans="2:10" s="23" customFormat="1" ht="24.95" customHeight="1" x14ac:dyDescent="0.25">
      <c r="B262" s="43" t="s">
        <v>367</v>
      </c>
      <c r="C262" s="3">
        <v>0</v>
      </c>
      <c r="D262" s="8">
        <v>0</v>
      </c>
      <c r="E262" s="3">
        <v>1</v>
      </c>
      <c r="F262" s="3">
        <v>40000000</v>
      </c>
      <c r="G262" s="3">
        <v>1</v>
      </c>
      <c r="H262" s="3">
        <v>40000000</v>
      </c>
      <c r="I262" s="3">
        <f>C262+E262-G262</f>
        <v>0</v>
      </c>
      <c r="J262" s="46">
        <f>D262+F262-H262</f>
        <v>0</v>
      </c>
    </row>
    <row r="263" spans="2:10" s="23" customFormat="1" ht="24.95" customHeight="1" x14ac:dyDescent="0.25">
      <c r="B263" s="48" t="s">
        <v>366</v>
      </c>
      <c r="C263" s="4">
        <v>0</v>
      </c>
      <c r="D263" s="5">
        <v>0</v>
      </c>
      <c r="E263" s="4">
        <v>2</v>
      </c>
      <c r="F263" s="4">
        <v>264893618</v>
      </c>
      <c r="G263" s="4">
        <v>0</v>
      </c>
      <c r="H263" s="4">
        <v>0</v>
      </c>
      <c r="I263" s="3">
        <f>C263+E263-G263</f>
        <v>2</v>
      </c>
      <c r="J263" s="44">
        <f>D263+F263-H263</f>
        <v>264893618</v>
      </c>
    </row>
    <row r="264" spans="2:10" ht="24.95" customHeight="1" x14ac:dyDescent="0.25">
      <c r="B264" s="43" t="s">
        <v>365</v>
      </c>
      <c r="C264" s="3">
        <v>0</v>
      </c>
      <c r="D264" s="8">
        <v>0</v>
      </c>
      <c r="E264" s="3">
        <v>2</v>
      </c>
      <c r="F264" s="7">
        <v>17270000</v>
      </c>
      <c r="G264" s="3">
        <v>2</v>
      </c>
      <c r="H264" s="7">
        <v>17270000</v>
      </c>
      <c r="I264" s="3">
        <f>C264+E264-G264</f>
        <v>0</v>
      </c>
      <c r="J264" s="46">
        <f>D264+F264-H264</f>
        <v>0</v>
      </c>
    </row>
    <row r="265" spans="2:10" ht="24.95" customHeight="1" x14ac:dyDescent="0.25">
      <c r="B265" s="48" t="s">
        <v>364</v>
      </c>
      <c r="C265" s="4">
        <v>2</v>
      </c>
      <c r="D265" s="5">
        <v>16697304</v>
      </c>
      <c r="E265" s="4">
        <v>5</v>
      </c>
      <c r="F265" s="4">
        <v>63203710</v>
      </c>
      <c r="G265" s="4">
        <v>6</v>
      </c>
      <c r="H265" s="4">
        <v>70337241</v>
      </c>
      <c r="I265" s="3">
        <f>C265+E265-G265</f>
        <v>1</v>
      </c>
      <c r="J265" s="44">
        <f>D265+F265-H265</f>
        <v>9563773</v>
      </c>
    </row>
    <row r="266" spans="2:10" s="23" customFormat="1" ht="24.95" customHeight="1" x14ac:dyDescent="0.25">
      <c r="B266" s="43" t="s">
        <v>363</v>
      </c>
      <c r="C266" s="3">
        <v>0</v>
      </c>
      <c r="D266" s="8">
        <v>0</v>
      </c>
      <c r="E266" s="3">
        <v>2</v>
      </c>
      <c r="F266" s="3">
        <v>4000000</v>
      </c>
      <c r="G266" s="3">
        <v>2</v>
      </c>
      <c r="H266" s="3">
        <v>4000000</v>
      </c>
      <c r="I266" s="3">
        <f>C266+E266-G266</f>
        <v>0</v>
      </c>
      <c r="J266" s="46">
        <f>D266+F266-H266</f>
        <v>0</v>
      </c>
    </row>
    <row r="267" spans="2:10" s="23" customFormat="1" ht="24.95" customHeight="1" x14ac:dyDescent="0.25">
      <c r="B267" s="45" t="s">
        <v>362</v>
      </c>
      <c r="C267" s="9">
        <v>2</v>
      </c>
      <c r="D267" s="13">
        <v>626000</v>
      </c>
      <c r="E267" s="9">
        <v>0</v>
      </c>
      <c r="F267" s="9">
        <v>0</v>
      </c>
      <c r="G267" s="9">
        <v>1</v>
      </c>
      <c r="H267" s="9">
        <v>313000</v>
      </c>
      <c r="I267" s="3">
        <f>C267+E267-G267</f>
        <v>1</v>
      </c>
      <c r="J267" s="44">
        <f>D267+F267-H267</f>
        <v>313000</v>
      </c>
    </row>
    <row r="268" spans="2:10" ht="24.95" customHeight="1" x14ac:dyDescent="0.25">
      <c r="B268" s="48" t="s">
        <v>361</v>
      </c>
      <c r="C268" s="9">
        <v>0</v>
      </c>
      <c r="D268" s="13">
        <v>0</v>
      </c>
      <c r="E268" s="4">
        <v>2</v>
      </c>
      <c r="F268" s="4">
        <v>437479</v>
      </c>
      <c r="G268" s="4">
        <v>2</v>
      </c>
      <c r="H268" s="4">
        <v>437479</v>
      </c>
      <c r="I268" s="3">
        <f>C268+E268-G268</f>
        <v>0</v>
      </c>
      <c r="J268" s="46">
        <f>D268+F268-H268</f>
        <v>0</v>
      </c>
    </row>
    <row r="269" spans="2:10" ht="24.95" customHeight="1" x14ac:dyDescent="0.25">
      <c r="B269" s="45" t="s">
        <v>360</v>
      </c>
      <c r="C269" s="9">
        <v>2</v>
      </c>
      <c r="D269" s="13">
        <v>2142960</v>
      </c>
      <c r="E269" s="9">
        <v>0</v>
      </c>
      <c r="F269" s="9">
        <v>0</v>
      </c>
      <c r="G269" s="9">
        <v>1</v>
      </c>
      <c r="H269" s="9">
        <v>1071480</v>
      </c>
      <c r="I269" s="3">
        <f>C269+E269-G269</f>
        <v>1</v>
      </c>
      <c r="J269" s="44">
        <f>D269+F269-H269</f>
        <v>1071480</v>
      </c>
    </row>
    <row r="270" spans="2:10" ht="24.95" customHeight="1" x14ac:dyDescent="0.25">
      <c r="B270" s="48" t="s">
        <v>359</v>
      </c>
      <c r="C270" s="4">
        <v>0</v>
      </c>
      <c r="D270" s="5">
        <v>0</v>
      </c>
      <c r="E270" s="4">
        <v>1</v>
      </c>
      <c r="F270" s="2">
        <v>3900721</v>
      </c>
      <c r="G270" s="4">
        <v>1</v>
      </c>
      <c r="H270" s="2">
        <v>3900721</v>
      </c>
      <c r="I270" s="3">
        <f>C270+E270-G270</f>
        <v>0</v>
      </c>
      <c r="J270" s="46">
        <f>D270+F270-H270</f>
        <v>0</v>
      </c>
    </row>
    <row r="271" spans="2:10" s="23" customFormat="1" ht="24.95" customHeight="1" x14ac:dyDescent="0.25">
      <c r="B271" s="45" t="s">
        <v>358</v>
      </c>
      <c r="C271" s="9">
        <v>1</v>
      </c>
      <c r="D271" s="2">
        <v>3207374</v>
      </c>
      <c r="E271" s="4">
        <v>0</v>
      </c>
      <c r="F271" s="4">
        <v>0</v>
      </c>
      <c r="G271" s="4">
        <v>0</v>
      </c>
      <c r="H271" s="4">
        <v>0</v>
      </c>
      <c r="I271" s="3">
        <f>C271+E271-G271</f>
        <v>1</v>
      </c>
      <c r="J271" s="44">
        <f>D271+F271-H271</f>
        <v>3207374</v>
      </c>
    </row>
    <row r="272" spans="2:10" ht="24.95" customHeight="1" x14ac:dyDescent="0.25">
      <c r="B272" s="45" t="s">
        <v>357</v>
      </c>
      <c r="C272" s="9">
        <v>4</v>
      </c>
      <c r="D272" s="13">
        <v>143556</v>
      </c>
      <c r="E272" s="9">
        <v>0</v>
      </c>
      <c r="F272" s="9">
        <v>0</v>
      </c>
      <c r="G272" s="9">
        <v>0</v>
      </c>
      <c r="H272" s="9">
        <v>0</v>
      </c>
      <c r="I272" s="3">
        <f>C272+E272-G272</f>
        <v>4</v>
      </c>
      <c r="J272" s="44">
        <f>D272+F272-H272</f>
        <v>143556</v>
      </c>
    </row>
    <row r="273" spans="2:10" ht="24.95" customHeight="1" x14ac:dyDescent="0.25">
      <c r="B273" s="48" t="s">
        <v>356</v>
      </c>
      <c r="C273" s="4">
        <v>0</v>
      </c>
      <c r="D273" s="5">
        <v>0</v>
      </c>
      <c r="E273" s="4">
        <v>90</v>
      </c>
      <c r="F273" s="2">
        <v>84330</v>
      </c>
      <c r="G273" s="4">
        <v>90</v>
      </c>
      <c r="H273" s="2">
        <v>84330</v>
      </c>
      <c r="I273" s="3">
        <f>C273+E273-G273</f>
        <v>0</v>
      </c>
      <c r="J273" s="46">
        <f>D273+F273-H273</f>
        <v>0</v>
      </c>
    </row>
    <row r="274" spans="2:10" s="23" customFormat="1" ht="24.95" customHeight="1" x14ac:dyDescent="0.25">
      <c r="B274" s="48" t="s">
        <v>355</v>
      </c>
      <c r="C274" s="4">
        <v>0</v>
      </c>
      <c r="D274" s="5">
        <v>0</v>
      </c>
      <c r="E274" s="4">
        <v>4</v>
      </c>
      <c r="F274" s="4">
        <v>105576</v>
      </c>
      <c r="G274" s="4">
        <v>0</v>
      </c>
      <c r="H274" s="4">
        <v>0</v>
      </c>
      <c r="I274" s="3">
        <f>C274+E274-G274</f>
        <v>4</v>
      </c>
      <c r="J274" s="44">
        <f>D274+F274-H274</f>
        <v>105576</v>
      </c>
    </row>
    <row r="275" spans="2:10" s="23" customFormat="1" ht="24.95" customHeight="1" x14ac:dyDescent="0.25">
      <c r="B275" s="48" t="s">
        <v>354</v>
      </c>
      <c r="C275" s="4">
        <v>0</v>
      </c>
      <c r="D275" s="5">
        <v>0</v>
      </c>
      <c r="E275" s="4">
        <v>3</v>
      </c>
      <c r="F275" s="4">
        <v>236372820</v>
      </c>
      <c r="G275" s="4">
        <v>3</v>
      </c>
      <c r="H275" s="4">
        <v>236372820</v>
      </c>
      <c r="I275" s="3">
        <f>C275+E275-G275</f>
        <v>0</v>
      </c>
      <c r="J275" s="46">
        <f>D275+F275-H275</f>
        <v>0</v>
      </c>
    </row>
    <row r="276" spans="2:10" ht="24.95" customHeight="1" x14ac:dyDescent="0.25">
      <c r="B276" s="48" t="s">
        <v>353</v>
      </c>
      <c r="C276" s="4">
        <v>0</v>
      </c>
      <c r="D276" s="5">
        <v>0</v>
      </c>
      <c r="E276" s="4">
        <v>1</v>
      </c>
      <c r="F276" s="4">
        <v>22528840</v>
      </c>
      <c r="G276" s="4">
        <v>1</v>
      </c>
      <c r="H276" s="4">
        <v>22528840</v>
      </c>
      <c r="I276" s="3">
        <f>C276+E276-G276</f>
        <v>0</v>
      </c>
      <c r="J276" s="46">
        <f>D276+F276-H276</f>
        <v>0</v>
      </c>
    </row>
    <row r="277" spans="2:10" ht="24.95" customHeight="1" x14ac:dyDescent="0.25">
      <c r="B277" s="48" t="s">
        <v>352</v>
      </c>
      <c r="C277" s="4">
        <v>0</v>
      </c>
      <c r="D277" s="5">
        <v>0</v>
      </c>
      <c r="E277" s="4">
        <v>4</v>
      </c>
      <c r="F277" s="4">
        <v>6433116</v>
      </c>
      <c r="G277" s="4">
        <v>3</v>
      </c>
      <c r="H277" s="4">
        <v>4790531</v>
      </c>
      <c r="I277" s="3">
        <f>C277+E277-G277</f>
        <v>1</v>
      </c>
      <c r="J277" s="44">
        <f>D277+F277-H277</f>
        <v>1642585</v>
      </c>
    </row>
    <row r="278" spans="2:10" ht="24.95" customHeight="1" x14ac:dyDescent="0.25">
      <c r="B278" s="48" t="s">
        <v>351</v>
      </c>
      <c r="C278" s="4">
        <v>0</v>
      </c>
      <c r="D278" s="5">
        <v>0</v>
      </c>
      <c r="E278" s="4">
        <v>1</v>
      </c>
      <c r="F278" s="2">
        <v>1709529</v>
      </c>
      <c r="G278" s="4">
        <v>1</v>
      </c>
      <c r="H278" s="2">
        <v>1709529</v>
      </c>
      <c r="I278" s="3">
        <f>C278+E278-G278</f>
        <v>0</v>
      </c>
      <c r="J278" s="46">
        <f>D278+F278-H278</f>
        <v>0</v>
      </c>
    </row>
    <row r="279" spans="2:10" s="23" customFormat="1" ht="24.95" customHeight="1" x14ac:dyDescent="0.25">
      <c r="B279" s="43" t="s">
        <v>350</v>
      </c>
      <c r="C279" s="3">
        <v>0</v>
      </c>
      <c r="D279" s="8">
        <v>0</v>
      </c>
      <c r="E279" s="3">
        <v>1</v>
      </c>
      <c r="F279" s="3">
        <v>540000</v>
      </c>
      <c r="G279" s="3">
        <v>1</v>
      </c>
      <c r="H279" s="3">
        <v>540000</v>
      </c>
      <c r="I279" s="3">
        <f>C279+E279-G279</f>
        <v>0</v>
      </c>
      <c r="J279" s="46">
        <f>D279+F279-H279</f>
        <v>0</v>
      </c>
    </row>
    <row r="280" spans="2:10" ht="24.95" customHeight="1" x14ac:dyDescent="0.25">
      <c r="B280" s="43" t="s">
        <v>349</v>
      </c>
      <c r="C280" s="3">
        <v>0</v>
      </c>
      <c r="D280" s="8">
        <v>0</v>
      </c>
      <c r="E280" s="3">
        <v>10</v>
      </c>
      <c r="F280" s="3">
        <v>20000000</v>
      </c>
      <c r="G280" s="3">
        <v>10</v>
      </c>
      <c r="H280" s="3">
        <v>20000000</v>
      </c>
      <c r="I280" s="3">
        <f>C280+E280-G280</f>
        <v>0</v>
      </c>
      <c r="J280" s="46">
        <f>D280+F280-H280</f>
        <v>0</v>
      </c>
    </row>
    <row r="281" spans="2:10" ht="24.95" customHeight="1" x14ac:dyDescent="0.25">
      <c r="B281" s="48" t="s">
        <v>348</v>
      </c>
      <c r="C281" s="4">
        <v>0</v>
      </c>
      <c r="D281" s="5">
        <v>0</v>
      </c>
      <c r="E281" s="4">
        <v>2</v>
      </c>
      <c r="F281" s="4">
        <v>400196</v>
      </c>
      <c r="G281" s="4">
        <v>2</v>
      </c>
      <c r="H281" s="4">
        <v>400196</v>
      </c>
      <c r="I281" s="3">
        <f>C281+E281-G281</f>
        <v>0</v>
      </c>
      <c r="J281" s="46">
        <f>D281+F281-H281</f>
        <v>0</v>
      </c>
    </row>
    <row r="282" spans="2:10" ht="24.95" customHeight="1" x14ac:dyDescent="0.25">
      <c r="B282" s="48" t="s">
        <v>347</v>
      </c>
      <c r="C282" s="4">
        <v>0</v>
      </c>
      <c r="D282" s="5">
        <v>0</v>
      </c>
      <c r="E282" s="4">
        <v>1</v>
      </c>
      <c r="F282" s="4">
        <v>1077210</v>
      </c>
      <c r="G282" s="4">
        <v>1</v>
      </c>
      <c r="H282" s="4">
        <v>1077210</v>
      </c>
      <c r="I282" s="3">
        <f>C282+E282-G282</f>
        <v>0</v>
      </c>
      <c r="J282" s="46">
        <f>D282+F282-H282</f>
        <v>0</v>
      </c>
    </row>
    <row r="283" spans="2:10" ht="24.95" customHeight="1" x14ac:dyDescent="0.25">
      <c r="B283" s="48" t="s">
        <v>346</v>
      </c>
      <c r="C283" s="4">
        <v>0</v>
      </c>
      <c r="D283" s="5">
        <v>0</v>
      </c>
      <c r="E283" s="4">
        <v>1</v>
      </c>
      <c r="F283" s="2">
        <v>6430750</v>
      </c>
      <c r="G283" s="4">
        <v>1</v>
      </c>
      <c r="H283" s="2">
        <v>6430750</v>
      </c>
      <c r="I283" s="3">
        <f>C283+E283-G283</f>
        <v>0</v>
      </c>
      <c r="J283" s="46">
        <f>D283+F283-H283</f>
        <v>0</v>
      </c>
    </row>
    <row r="284" spans="2:10" s="23" customFormat="1" ht="24.95" customHeight="1" x14ac:dyDescent="0.25">
      <c r="B284" s="48" t="s">
        <v>345</v>
      </c>
      <c r="C284" s="4">
        <v>0</v>
      </c>
      <c r="D284" s="5">
        <v>0</v>
      </c>
      <c r="E284" s="4">
        <v>1</v>
      </c>
      <c r="F284" s="2">
        <v>9535790</v>
      </c>
      <c r="G284" s="4">
        <v>1</v>
      </c>
      <c r="H284" s="2">
        <v>9535790</v>
      </c>
      <c r="I284" s="3">
        <f>C284+E284-G284</f>
        <v>0</v>
      </c>
      <c r="J284" s="46">
        <f>D284+F284-H284</f>
        <v>0</v>
      </c>
    </row>
    <row r="285" spans="2:10" ht="24.95" customHeight="1" x14ac:dyDescent="0.25">
      <c r="B285" s="48" t="s">
        <v>344</v>
      </c>
      <c r="C285" s="4">
        <v>0</v>
      </c>
      <c r="D285" s="5">
        <v>0</v>
      </c>
      <c r="E285" s="4">
        <v>1</v>
      </c>
      <c r="F285" s="2">
        <v>21395774</v>
      </c>
      <c r="G285" s="4">
        <v>1</v>
      </c>
      <c r="H285" s="2">
        <v>21395774</v>
      </c>
      <c r="I285" s="3">
        <f>C285+E285-G285</f>
        <v>0</v>
      </c>
      <c r="J285" s="46">
        <f>D285+F285-H285</f>
        <v>0</v>
      </c>
    </row>
    <row r="286" spans="2:10" s="23" customFormat="1" ht="24.95" customHeight="1" x14ac:dyDescent="0.25">
      <c r="B286" s="48" t="s">
        <v>343</v>
      </c>
      <c r="C286" s="4">
        <v>0</v>
      </c>
      <c r="D286" s="5">
        <v>0</v>
      </c>
      <c r="E286" s="4">
        <v>3</v>
      </c>
      <c r="F286" s="4">
        <v>1484466</v>
      </c>
      <c r="G286" s="4">
        <v>3</v>
      </c>
      <c r="H286" s="4">
        <v>1484466</v>
      </c>
      <c r="I286" s="3">
        <f>C286+E286-G286</f>
        <v>0</v>
      </c>
      <c r="J286" s="46">
        <f>D286+F286-H286</f>
        <v>0</v>
      </c>
    </row>
    <row r="287" spans="2:10" ht="24.95" customHeight="1" x14ac:dyDescent="0.25">
      <c r="B287" s="48" t="s">
        <v>342</v>
      </c>
      <c r="C287" s="4">
        <v>0</v>
      </c>
      <c r="D287" s="5">
        <v>0</v>
      </c>
      <c r="E287" s="4">
        <v>6</v>
      </c>
      <c r="F287" s="4">
        <v>15310866</v>
      </c>
      <c r="G287" s="4">
        <v>6</v>
      </c>
      <c r="H287" s="4">
        <v>15310866</v>
      </c>
      <c r="I287" s="3">
        <f>C287+E287-G287</f>
        <v>0</v>
      </c>
      <c r="J287" s="46">
        <f>D287+F287-H287</f>
        <v>0</v>
      </c>
    </row>
    <row r="288" spans="2:10" s="23" customFormat="1" ht="24.95" customHeight="1" x14ac:dyDescent="0.25">
      <c r="B288" s="48" t="s">
        <v>341</v>
      </c>
      <c r="C288" s="4">
        <v>0</v>
      </c>
      <c r="D288" s="5">
        <v>0</v>
      </c>
      <c r="E288" s="4">
        <v>2</v>
      </c>
      <c r="F288" s="4">
        <v>1934306</v>
      </c>
      <c r="G288" s="4">
        <v>2</v>
      </c>
      <c r="H288" s="4">
        <v>1934306</v>
      </c>
      <c r="I288" s="3">
        <f>C288+E288-G288</f>
        <v>0</v>
      </c>
      <c r="J288" s="46">
        <f>D288+F288-H288</f>
        <v>0</v>
      </c>
    </row>
    <row r="289" spans="2:10" s="23" customFormat="1" ht="24.95" customHeight="1" x14ac:dyDescent="0.25">
      <c r="B289" s="45" t="s">
        <v>340</v>
      </c>
      <c r="C289" s="9">
        <v>1</v>
      </c>
      <c r="D289" s="13">
        <v>12000000</v>
      </c>
      <c r="E289" s="9">
        <v>0</v>
      </c>
      <c r="F289" s="9">
        <v>0</v>
      </c>
      <c r="G289" s="9">
        <v>0</v>
      </c>
      <c r="H289" s="9">
        <v>0</v>
      </c>
      <c r="I289" s="3">
        <f>C289+E289-G289</f>
        <v>1</v>
      </c>
      <c r="J289" s="44">
        <f>D289+F289-H289</f>
        <v>12000000</v>
      </c>
    </row>
    <row r="290" spans="2:10" ht="24.95" customHeight="1" x14ac:dyDescent="0.25">
      <c r="B290" s="48" t="s">
        <v>339</v>
      </c>
      <c r="C290" s="4">
        <v>0</v>
      </c>
      <c r="D290" s="5">
        <v>0</v>
      </c>
      <c r="E290" s="4">
        <v>1</v>
      </c>
      <c r="F290" s="4">
        <v>7861547</v>
      </c>
      <c r="G290" s="4">
        <v>1</v>
      </c>
      <c r="H290" s="4">
        <v>7861547</v>
      </c>
      <c r="I290" s="3">
        <f>C290+E290-G290</f>
        <v>0</v>
      </c>
      <c r="J290" s="46">
        <f>D290+F290-H290</f>
        <v>0</v>
      </c>
    </row>
    <row r="291" spans="2:10" s="23" customFormat="1" ht="24.95" customHeight="1" x14ac:dyDescent="0.25">
      <c r="B291" s="45" t="s">
        <v>338</v>
      </c>
      <c r="C291" s="9">
        <v>1</v>
      </c>
      <c r="D291" s="13">
        <v>3000000</v>
      </c>
      <c r="E291" s="9">
        <v>0</v>
      </c>
      <c r="F291" s="9">
        <v>0</v>
      </c>
      <c r="G291" s="9">
        <v>0</v>
      </c>
      <c r="H291" s="9">
        <v>0</v>
      </c>
      <c r="I291" s="3">
        <f>C291+E291-G291</f>
        <v>1</v>
      </c>
      <c r="J291" s="44">
        <f>D291+F291-H291</f>
        <v>3000000</v>
      </c>
    </row>
    <row r="292" spans="2:10" ht="24.95" customHeight="1" x14ac:dyDescent="0.25">
      <c r="B292" s="45" t="s">
        <v>337</v>
      </c>
      <c r="C292" s="9">
        <v>1</v>
      </c>
      <c r="D292" s="13">
        <v>17724506</v>
      </c>
      <c r="E292" s="9">
        <v>0</v>
      </c>
      <c r="F292" s="9">
        <v>0</v>
      </c>
      <c r="G292" s="9">
        <v>0</v>
      </c>
      <c r="H292" s="9">
        <v>0</v>
      </c>
      <c r="I292" s="3">
        <f>C292+E292-G292</f>
        <v>1</v>
      </c>
      <c r="J292" s="44">
        <f>D292+F292-H292</f>
        <v>17724506</v>
      </c>
    </row>
    <row r="293" spans="2:10" ht="24.95" customHeight="1" x14ac:dyDescent="0.25">
      <c r="B293" s="45" t="s">
        <v>336</v>
      </c>
      <c r="C293" s="9">
        <v>1</v>
      </c>
      <c r="D293" s="2">
        <v>1700000</v>
      </c>
      <c r="E293" s="9">
        <v>0</v>
      </c>
      <c r="F293" s="9">
        <v>0</v>
      </c>
      <c r="G293" s="9">
        <v>1</v>
      </c>
      <c r="H293" s="2">
        <v>1700000</v>
      </c>
      <c r="I293" s="3">
        <f>C293+E293-G293</f>
        <v>0</v>
      </c>
      <c r="J293" s="46">
        <f>D293+F293-H293</f>
        <v>0</v>
      </c>
    </row>
    <row r="294" spans="2:10" ht="24.95" customHeight="1" x14ac:dyDescent="0.25">
      <c r="B294" s="50" t="s">
        <v>335</v>
      </c>
      <c r="C294" s="4">
        <v>2</v>
      </c>
      <c r="D294" s="5">
        <v>4507334</v>
      </c>
      <c r="E294" s="4">
        <v>0</v>
      </c>
      <c r="F294" s="4">
        <v>0</v>
      </c>
      <c r="G294" s="4">
        <v>0</v>
      </c>
      <c r="H294" s="4">
        <v>0</v>
      </c>
      <c r="I294" s="3">
        <f>C294+E294-G294</f>
        <v>2</v>
      </c>
      <c r="J294" s="44">
        <f>D294+F294-H294</f>
        <v>4507334</v>
      </c>
    </row>
    <row r="295" spans="2:10" ht="24.95" customHeight="1" x14ac:dyDescent="0.25">
      <c r="B295" s="49" t="s">
        <v>334</v>
      </c>
      <c r="C295" s="9">
        <v>1</v>
      </c>
      <c r="D295" s="13">
        <v>5407000</v>
      </c>
      <c r="E295" s="4">
        <v>0</v>
      </c>
      <c r="F295" s="4">
        <v>0</v>
      </c>
      <c r="G295" s="9">
        <v>1</v>
      </c>
      <c r="H295" s="9">
        <v>5407000</v>
      </c>
      <c r="I295" s="3">
        <f>C295+E295-G295</f>
        <v>0</v>
      </c>
      <c r="J295" s="46">
        <f>D295+F295-H295</f>
        <v>0</v>
      </c>
    </row>
    <row r="296" spans="2:10" ht="24.95" customHeight="1" x14ac:dyDescent="0.25">
      <c r="B296" s="48" t="s">
        <v>333</v>
      </c>
      <c r="C296" s="4">
        <v>0</v>
      </c>
      <c r="D296" s="5">
        <v>0</v>
      </c>
      <c r="E296" s="4">
        <v>1</v>
      </c>
      <c r="F296" s="2">
        <v>11305520</v>
      </c>
      <c r="G296" s="4">
        <v>1</v>
      </c>
      <c r="H296" s="2">
        <v>11305520</v>
      </c>
      <c r="I296" s="3">
        <f>C296+E296-G296</f>
        <v>0</v>
      </c>
      <c r="J296" s="46">
        <f>D296+F296-H296</f>
        <v>0</v>
      </c>
    </row>
    <row r="297" spans="2:10" ht="24.95" customHeight="1" x14ac:dyDescent="0.25">
      <c r="B297" s="48" t="s">
        <v>332</v>
      </c>
      <c r="C297" s="4">
        <v>0</v>
      </c>
      <c r="D297" s="5">
        <v>0</v>
      </c>
      <c r="E297" s="4">
        <v>1</v>
      </c>
      <c r="F297" s="2">
        <v>6260284</v>
      </c>
      <c r="G297" s="4">
        <v>1</v>
      </c>
      <c r="H297" s="2">
        <v>6260284</v>
      </c>
      <c r="I297" s="3">
        <f>C297+E297-G297</f>
        <v>0</v>
      </c>
      <c r="J297" s="46">
        <f>D297+F297-H297</f>
        <v>0</v>
      </c>
    </row>
    <row r="298" spans="2:10" ht="24.95" customHeight="1" x14ac:dyDescent="0.25">
      <c r="B298" s="48" t="s">
        <v>331</v>
      </c>
      <c r="C298" s="4">
        <v>0</v>
      </c>
      <c r="D298" s="5">
        <v>0</v>
      </c>
      <c r="E298" s="4">
        <v>2</v>
      </c>
      <c r="F298" s="4">
        <v>3570054</v>
      </c>
      <c r="G298" s="4">
        <v>2</v>
      </c>
      <c r="H298" s="4">
        <v>3570054</v>
      </c>
      <c r="I298" s="3">
        <f>C298+E298-G298</f>
        <v>0</v>
      </c>
      <c r="J298" s="46">
        <f>D298+F298-H298</f>
        <v>0</v>
      </c>
    </row>
    <row r="299" spans="2:10" ht="24.95" customHeight="1" x14ac:dyDescent="0.25">
      <c r="B299" s="48" t="s">
        <v>330</v>
      </c>
      <c r="C299" s="4">
        <v>3</v>
      </c>
      <c r="D299" s="5">
        <v>5231625</v>
      </c>
      <c r="E299" s="4">
        <v>0</v>
      </c>
      <c r="F299" s="4">
        <v>0</v>
      </c>
      <c r="G299" s="4">
        <v>1</v>
      </c>
      <c r="H299" s="4">
        <v>1743875</v>
      </c>
      <c r="I299" s="3">
        <f>C299+E299-G299</f>
        <v>2</v>
      </c>
      <c r="J299" s="44">
        <f>D299+F299-H299</f>
        <v>3487750</v>
      </c>
    </row>
    <row r="300" spans="2:10" s="23" customFormat="1" ht="24.95" customHeight="1" x14ac:dyDescent="0.25">
      <c r="B300" s="48" t="s">
        <v>329</v>
      </c>
      <c r="C300" s="4">
        <v>0</v>
      </c>
      <c r="D300" s="5">
        <v>0</v>
      </c>
      <c r="E300" s="4">
        <v>2</v>
      </c>
      <c r="F300" s="4">
        <v>4323954</v>
      </c>
      <c r="G300" s="4">
        <v>2</v>
      </c>
      <c r="H300" s="4">
        <v>4323954</v>
      </c>
      <c r="I300" s="3">
        <f>C300+E300-G300</f>
        <v>0</v>
      </c>
      <c r="J300" s="46">
        <f>D300+F300-H300</f>
        <v>0</v>
      </c>
    </row>
    <row r="301" spans="2:10" ht="24.95" customHeight="1" x14ac:dyDescent="0.25">
      <c r="B301" s="48" t="s">
        <v>328</v>
      </c>
      <c r="C301" s="4">
        <v>22</v>
      </c>
      <c r="D301" s="5">
        <v>48070513</v>
      </c>
      <c r="E301" s="4">
        <v>60</v>
      </c>
      <c r="F301" s="4">
        <v>154547460</v>
      </c>
      <c r="G301" s="4">
        <v>59</v>
      </c>
      <c r="H301" s="4">
        <v>143045055</v>
      </c>
      <c r="I301" s="3">
        <f>C301+E301-G301</f>
        <v>23</v>
      </c>
      <c r="J301" s="44">
        <f>D301+F301-H301</f>
        <v>59572918</v>
      </c>
    </row>
    <row r="302" spans="2:10" ht="24.95" customHeight="1" x14ac:dyDescent="0.25">
      <c r="B302" s="45" t="s">
        <v>327</v>
      </c>
      <c r="C302" s="9">
        <v>2</v>
      </c>
      <c r="D302" s="13">
        <v>621568</v>
      </c>
      <c r="E302" s="9">
        <v>0</v>
      </c>
      <c r="F302" s="9">
        <v>0</v>
      </c>
      <c r="G302" s="9">
        <v>0</v>
      </c>
      <c r="H302" s="9">
        <v>0</v>
      </c>
      <c r="I302" s="3">
        <f>C302+E302-G302</f>
        <v>2</v>
      </c>
      <c r="J302" s="44">
        <f>D302+F302-H302</f>
        <v>621568</v>
      </c>
    </row>
    <row r="303" spans="2:10" s="23" customFormat="1" ht="24.95" customHeight="1" x14ac:dyDescent="0.25">
      <c r="B303" s="45" t="s">
        <v>326</v>
      </c>
      <c r="C303" s="9">
        <v>2</v>
      </c>
      <c r="D303" s="13">
        <v>3157562</v>
      </c>
      <c r="E303" s="9">
        <v>0</v>
      </c>
      <c r="F303" s="9">
        <v>0</v>
      </c>
      <c r="G303" s="9">
        <v>1</v>
      </c>
      <c r="H303" s="9">
        <v>1578781</v>
      </c>
      <c r="I303" s="3">
        <f>C303+E303-G303</f>
        <v>1</v>
      </c>
      <c r="J303" s="44">
        <f>D303+F303-H303</f>
        <v>1578781</v>
      </c>
    </row>
    <row r="304" spans="2:10" ht="24.95" customHeight="1" x14ac:dyDescent="0.25">
      <c r="B304" s="45" t="s">
        <v>325</v>
      </c>
      <c r="C304" s="9">
        <v>1</v>
      </c>
      <c r="D304" s="13">
        <v>185084</v>
      </c>
      <c r="E304" s="9">
        <v>0</v>
      </c>
      <c r="F304" s="9">
        <v>0</v>
      </c>
      <c r="G304" s="9">
        <v>0</v>
      </c>
      <c r="H304" s="9">
        <v>0</v>
      </c>
      <c r="I304" s="3">
        <f>C304+E304-G304</f>
        <v>1</v>
      </c>
      <c r="J304" s="44">
        <f>D304+F304-H304</f>
        <v>185084</v>
      </c>
    </row>
    <row r="305" spans="2:10" s="23" customFormat="1" ht="24.95" customHeight="1" x14ac:dyDescent="0.25">
      <c r="B305" s="45" t="s">
        <v>324</v>
      </c>
      <c r="C305" s="9">
        <v>1</v>
      </c>
      <c r="D305" s="13">
        <v>246779</v>
      </c>
      <c r="E305" s="9">
        <v>0</v>
      </c>
      <c r="F305" s="9">
        <v>0</v>
      </c>
      <c r="G305" s="9">
        <v>0</v>
      </c>
      <c r="H305" s="9">
        <v>0</v>
      </c>
      <c r="I305" s="3">
        <f>C305+E305-G305</f>
        <v>1</v>
      </c>
      <c r="J305" s="44">
        <f>D305+F305-H305</f>
        <v>246779</v>
      </c>
    </row>
    <row r="306" spans="2:10" ht="24.95" customHeight="1" x14ac:dyDescent="0.25">
      <c r="B306" s="45" t="s">
        <v>323</v>
      </c>
      <c r="C306" s="9">
        <v>1</v>
      </c>
      <c r="D306" s="13">
        <v>8036678</v>
      </c>
      <c r="E306" s="9">
        <v>0</v>
      </c>
      <c r="F306" s="9">
        <v>0</v>
      </c>
      <c r="G306" s="9">
        <v>1</v>
      </c>
      <c r="H306" s="9">
        <v>8036678</v>
      </c>
      <c r="I306" s="3">
        <f>C306+E306-G306</f>
        <v>0</v>
      </c>
      <c r="J306" s="46">
        <f>D306+F306-H306</f>
        <v>0</v>
      </c>
    </row>
    <row r="307" spans="2:10" s="23" customFormat="1" ht="24.95" customHeight="1" x14ac:dyDescent="0.25">
      <c r="B307" s="48" t="s">
        <v>322</v>
      </c>
      <c r="C307" s="4">
        <v>3</v>
      </c>
      <c r="D307" s="5">
        <v>106565721</v>
      </c>
      <c r="E307" s="4">
        <v>4</v>
      </c>
      <c r="F307" s="4">
        <v>65113765</v>
      </c>
      <c r="G307" s="4">
        <v>7</v>
      </c>
      <c r="H307" s="4">
        <v>171679486</v>
      </c>
      <c r="I307" s="3">
        <f>C307+E307-G307</f>
        <v>0</v>
      </c>
      <c r="J307" s="46">
        <f>D307+F307-H307</f>
        <v>0</v>
      </c>
    </row>
    <row r="308" spans="2:10" ht="24.95" customHeight="1" x14ac:dyDescent="0.25">
      <c r="B308" s="49" t="s">
        <v>321</v>
      </c>
      <c r="C308" s="9">
        <v>4</v>
      </c>
      <c r="D308" s="13">
        <v>1881464</v>
      </c>
      <c r="E308" s="9">
        <v>0</v>
      </c>
      <c r="F308" s="9">
        <v>0</v>
      </c>
      <c r="G308" s="9">
        <v>0</v>
      </c>
      <c r="H308" s="9">
        <v>0</v>
      </c>
      <c r="I308" s="3">
        <f>C308+E308-G308</f>
        <v>4</v>
      </c>
      <c r="J308" s="44">
        <f>D308+F308-H308</f>
        <v>1881464</v>
      </c>
    </row>
    <row r="309" spans="2:10" s="23" customFormat="1" ht="24.95" customHeight="1" x14ac:dyDescent="0.25">
      <c r="B309" s="43" t="s">
        <v>320</v>
      </c>
      <c r="C309" s="3">
        <v>0</v>
      </c>
      <c r="D309" s="8">
        <v>0</v>
      </c>
      <c r="E309" s="3">
        <v>1</v>
      </c>
      <c r="F309" s="3">
        <v>69000000</v>
      </c>
      <c r="G309" s="3">
        <v>1</v>
      </c>
      <c r="H309" s="3">
        <v>69000000</v>
      </c>
      <c r="I309" s="3">
        <f>C309+E309-G309</f>
        <v>0</v>
      </c>
      <c r="J309" s="46">
        <f>D309+F309-H309</f>
        <v>0</v>
      </c>
    </row>
    <row r="310" spans="2:10" s="23" customFormat="1" ht="24.95" customHeight="1" x14ac:dyDescent="0.25">
      <c r="B310" s="45" t="s">
        <v>319</v>
      </c>
      <c r="C310" s="9">
        <v>1</v>
      </c>
      <c r="D310" s="2">
        <v>1896000</v>
      </c>
      <c r="E310" s="9">
        <v>0</v>
      </c>
      <c r="F310" s="9">
        <v>0</v>
      </c>
      <c r="G310" s="9">
        <v>0</v>
      </c>
      <c r="H310" s="9">
        <v>0</v>
      </c>
      <c r="I310" s="3">
        <f>C310+E310-G310</f>
        <v>1</v>
      </c>
      <c r="J310" s="44">
        <f>D310+F310-H310</f>
        <v>1896000</v>
      </c>
    </row>
    <row r="311" spans="2:10" ht="24.95" customHeight="1" x14ac:dyDescent="0.25">
      <c r="B311" s="43" t="s">
        <v>318</v>
      </c>
      <c r="C311" s="11">
        <v>2</v>
      </c>
      <c r="D311" s="16">
        <v>780000</v>
      </c>
      <c r="E311" s="11">
        <v>0</v>
      </c>
      <c r="F311" s="11">
        <v>0</v>
      </c>
      <c r="G311" s="11">
        <v>2</v>
      </c>
      <c r="H311" s="11">
        <v>780000</v>
      </c>
      <c r="I311" s="3">
        <f>C311+E311-G311</f>
        <v>0</v>
      </c>
      <c r="J311" s="46">
        <f>D311+F311-H311</f>
        <v>0</v>
      </c>
    </row>
    <row r="312" spans="2:10" ht="24.95" customHeight="1" x14ac:dyDescent="0.25">
      <c r="B312" s="45" t="s">
        <v>317</v>
      </c>
      <c r="C312" s="9">
        <v>30</v>
      </c>
      <c r="D312" s="13">
        <v>241170</v>
      </c>
      <c r="E312" s="9">
        <v>0</v>
      </c>
      <c r="F312" s="9">
        <v>0</v>
      </c>
      <c r="G312" s="9">
        <v>3</v>
      </c>
      <c r="H312" s="9">
        <v>24117</v>
      </c>
      <c r="I312" s="3">
        <f>C312+E312-G312</f>
        <v>27</v>
      </c>
      <c r="J312" s="44">
        <f>D312+F312-H312</f>
        <v>217053</v>
      </c>
    </row>
    <row r="313" spans="2:10" ht="24.95" customHeight="1" x14ac:dyDescent="0.25">
      <c r="B313" s="45" t="s">
        <v>316</v>
      </c>
      <c r="C313" s="9">
        <v>2</v>
      </c>
      <c r="D313" s="13">
        <v>22630</v>
      </c>
      <c r="E313" s="9">
        <v>0</v>
      </c>
      <c r="F313" s="9">
        <v>0</v>
      </c>
      <c r="G313" s="9">
        <v>0</v>
      </c>
      <c r="H313" s="9">
        <v>0</v>
      </c>
      <c r="I313" s="3">
        <f>C313+E313-G313</f>
        <v>2</v>
      </c>
      <c r="J313" s="44">
        <f>D313+F313-H313</f>
        <v>22630</v>
      </c>
    </row>
    <row r="314" spans="2:10" ht="24.95" customHeight="1" x14ac:dyDescent="0.25">
      <c r="B314" s="45" t="s">
        <v>315</v>
      </c>
      <c r="C314" s="9">
        <v>1256</v>
      </c>
      <c r="D314" s="17">
        <v>5181000</v>
      </c>
      <c r="E314" s="9">
        <v>0</v>
      </c>
      <c r="F314" s="9">
        <v>0</v>
      </c>
      <c r="G314" s="9">
        <v>198</v>
      </c>
      <c r="H314" s="9">
        <v>816750</v>
      </c>
      <c r="I314" s="3">
        <f>C314+E314-G314</f>
        <v>1058</v>
      </c>
      <c r="J314" s="44">
        <f>D314+F314-H314</f>
        <v>4364250</v>
      </c>
    </row>
    <row r="315" spans="2:10" ht="24.95" customHeight="1" x14ac:dyDescent="0.25">
      <c r="B315" s="45" t="s">
        <v>315</v>
      </c>
      <c r="C315" s="9">
        <v>376</v>
      </c>
      <c r="D315" s="13">
        <v>1504000</v>
      </c>
      <c r="E315" s="9">
        <v>0</v>
      </c>
      <c r="F315" s="9">
        <v>0</v>
      </c>
      <c r="G315" s="9">
        <v>85</v>
      </c>
      <c r="H315" s="9">
        <v>340000</v>
      </c>
      <c r="I315" s="3">
        <f>C315+E315-G315</f>
        <v>291</v>
      </c>
      <c r="J315" s="44">
        <f>D315+F315-H315</f>
        <v>1164000</v>
      </c>
    </row>
    <row r="316" spans="2:10" ht="24.95" customHeight="1" x14ac:dyDescent="0.25">
      <c r="B316" s="48" t="s">
        <v>314</v>
      </c>
      <c r="C316" s="4">
        <v>3</v>
      </c>
      <c r="D316" s="5">
        <v>944245</v>
      </c>
      <c r="E316" s="4">
        <v>3</v>
      </c>
      <c r="F316" s="4">
        <v>786756</v>
      </c>
      <c r="G316" s="4">
        <v>4</v>
      </c>
      <c r="H316" s="4">
        <v>1348811</v>
      </c>
      <c r="I316" s="3">
        <f>C316+E316-G316</f>
        <v>2</v>
      </c>
      <c r="J316" s="44">
        <f>D316+F316-H316</f>
        <v>382190</v>
      </c>
    </row>
    <row r="317" spans="2:10" ht="24.95" customHeight="1" x14ac:dyDescent="0.25">
      <c r="B317" s="49" t="s">
        <v>313</v>
      </c>
      <c r="C317" s="9">
        <v>1</v>
      </c>
      <c r="D317" s="13">
        <v>2465000</v>
      </c>
      <c r="E317" s="9">
        <v>0</v>
      </c>
      <c r="F317" s="9">
        <v>0</v>
      </c>
      <c r="G317" s="9">
        <v>0</v>
      </c>
      <c r="H317" s="9">
        <v>0</v>
      </c>
      <c r="I317" s="3">
        <f>C317+E317-G317</f>
        <v>1</v>
      </c>
      <c r="J317" s="44">
        <f>D317+F317-H317</f>
        <v>2465000</v>
      </c>
    </row>
    <row r="318" spans="2:10" ht="24.95" customHeight="1" x14ac:dyDescent="0.25">
      <c r="B318" s="43" t="s">
        <v>312</v>
      </c>
      <c r="C318" s="3">
        <v>0</v>
      </c>
      <c r="D318" s="8">
        <v>0</v>
      </c>
      <c r="E318" s="3">
        <v>1</v>
      </c>
      <c r="F318" s="7">
        <v>3916364</v>
      </c>
      <c r="G318" s="3">
        <v>1</v>
      </c>
      <c r="H318" s="7">
        <v>3916364</v>
      </c>
      <c r="I318" s="3">
        <f>C318+E318-G318</f>
        <v>0</v>
      </c>
      <c r="J318" s="46">
        <f>D318+F318-H318</f>
        <v>0</v>
      </c>
    </row>
    <row r="319" spans="2:10" ht="24.95" customHeight="1" x14ac:dyDescent="0.25">
      <c r="B319" s="48" t="s">
        <v>311</v>
      </c>
      <c r="C319" s="4">
        <v>4</v>
      </c>
      <c r="D319" s="5">
        <v>9529384</v>
      </c>
      <c r="E319" s="4">
        <v>11</v>
      </c>
      <c r="F319" s="4">
        <v>28012188</v>
      </c>
      <c r="G319" s="4">
        <v>15</v>
      </c>
      <c r="H319" s="4">
        <v>37541572</v>
      </c>
      <c r="I319" s="3">
        <f>C319+E319-G319</f>
        <v>0</v>
      </c>
      <c r="J319" s="46">
        <f>D319+F319-H319</f>
        <v>0</v>
      </c>
    </row>
    <row r="320" spans="2:10" ht="24.95" customHeight="1" x14ac:dyDescent="0.25">
      <c r="B320" s="48" t="s">
        <v>310</v>
      </c>
      <c r="C320" s="4">
        <v>33</v>
      </c>
      <c r="D320" s="5">
        <v>182919</v>
      </c>
      <c r="E320" s="4">
        <v>165</v>
      </c>
      <c r="F320" s="2">
        <v>1075470</v>
      </c>
      <c r="G320" s="4">
        <v>165</v>
      </c>
      <c r="H320" s="2">
        <v>1075470</v>
      </c>
      <c r="I320" s="3">
        <f>C320+E320-G320</f>
        <v>33</v>
      </c>
      <c r="J320" s="44">
        <f>D320+F320-H320</f>
        <v>182919</v>
      </c>
    </row>
    <row r="321" spans="2:10" ht="24.95" customHeight="1" x14ac:dyDescent="0.25">
      <c r="B321" s="45" t="s">
        <v>309</v>
      </c>
      <c r="C321" s="9">
        <v>1</v>
      </c>
      <c r="D321" s="10">
        <v>7971443</v>
      </c>
      <c r="E321" s="9">
        <v>0</v>
      </c>
      <c r="F321" s="9">
        <v>0</v>
      </c>
      <c r="G321" s="9">
        <v>1</v>
      </c>
      <c r="H321" s="10">
        <v>7971443</v>
      </c>
      <c r="I321" s="3">
        <f>C321+E321-G321</f>
        <v>0</v>
      </c>
      <c r="J321" s="46">
        <f>D321+F321-H321</f>
        <v>0</v>
      </c>
    </row>
    <row r="322" spans="2:10" ht="24.95" customHeight="1" x14ac:dyDescent="0.25">
      <c r="B322" s="49" t="s">
        <v>308</v>
      </c>
      <c r="C322" s="9">
        <v>1</v>
      </c>
      <c r="D322" s="12">
        <v>606894</v>
      </c>
      <c r="E322" s="9">
        <v>0</v>
      </c>
      <c r="F322" s="9">
        <v>0</v>
      </c>
      <c r="G322" s="9">
        <v>1</v>
      </c>
      <c r="H322" s="12">
        <v>606894</v>
      </c>
      <c r="I322" s="3">
        <f>C322+E322-G322</f>
        <v>0</v>
      </c>
      <c r="J322" s="46">
        <f>D322+F322-H322</f>
        <v>0</v>
      </c>
    </row>
    <row r="323" spans="2:10" ht="24.95" customHeight="1" x14ac:dyDescent="0.25">
      <c r="B323" s="45" t="s">
        <v>307</v>
      </c>
      <c r="C323" s="9">
        <v>1</v>
      </c>
      <c r="D323" s="2">
        <v>3464371</v>
      </c>
      <c r="E323" s="9">
        <v>0</v>
      </c>
      <c r="F323" s="9">
        <v>0</v>
      </c>
      <c r="G323" s="9">
        <v>1</v>
      </c>
      <c r="H323" s="2">
        <v>3464371</v>
      </c>
      <c r="I323" s="3">
        <f>C323+E323-G323</f>
        <v>0</v>
      </c>
      <c r="J323" s="46">
        <f>D323+F323-H323</f>
        <v>0</v>
      </c>
    </row>
    <row r="324" spans="2:10" ht="24.95" customHeight="1" x14ac:dyDescent="0.25">
      <c r="B324" s="48" t="s">
        <v>306</v>
      </c>
      <c r="C324" s="4">
        <v>0</v>
      </c>
      <c r="D324" s="5">
        <v>0</v>
      </c>
      <c r="E324" s="4">
        <v>1</v>
      </c>
      <c r="F324" s="2">
        <v>1054008</v>
      </c>
      <c r="G324" s="4">
        <v>1</v>
      </c>
      <c r="H324" s="2">
        <v>1054008</v>
      </c>
      <c r="I324" s="3">
        <f>C324+E324-G324</f>
        <v>0</v>
      </c>
      <c r="J324" s="46">
        <f>D324+F324-H324</f>
        <v>0</v>
      </c>
    </row>
    <row r="325" spans="2:10" ht="24.95" customHeight="1" x14ac:dyDescent="0.25">
      <c r="B325" s="49" t="s">
        <v>305</v>
      </c>
      <c r="C325" s="9">
        <v>1</v>
      </c>
      <c r="D325" s="12">
        <v>1235015</v>
      </c>
      <c r="E325" s="9">
        <v>0</v>
      </c>
      <c r="F325" s="9">
        <v>0</v>
      </c>
      <c r="G325" s="9">
        <v>0</v>
      </c>
      <c r="H325" s="9">
        <v>0</v>
      </c>
      <c r="I325" s="3">
        <f>C325+E325-G325</f>
        <v>1</v>
      </c>
      <c r="J325" s="44">
        <f>D325+F325-H325</f>
        <v>1235015</v>
      </c>
    </row>
    <row r="326" spans="2:10" ht="24.95" customHeight="1" x14ac:dyDescent="0.25">
      <c r="B326" s="45" t="s">
        <v>304</v>
      </c>
      <c r="C326" s="9">
        <v>1</v>
      </c>
      <c r="D326" s="2">
        <v>1000364</v>
      </c>
      <c r="E326" s="9">
        <v>0</v>
      </c>
      <c r="F326" s="9">
        <v>0</v>
      </c>
      <c r="G326" s="9">
        <v>0</v>
      </c>
      <c r="H326" s="9">
        <v>0</v>
      </c>
      <c r="I326" s="3">
        <f>C326+E326-G326</f>
        <v>1</v>
      </c>
      <c r="J326" s="44">
        <f>D326+F326-H326</f>
        <v>1000364</v>
      </c>
    </row>
    <row r="327" spans="2:10" ht="24.95" customHeight="1" x14ac:dyDescent="0.25">
      <c r="B327" s="48" t="s">
        <v>303</v>
      </c>
      <c r="C327" s="4">
        <v>0</v>
      </c>
      <c r="D327" s="5">
        <v>0</v>
      </c>
      <c r="E327" s="4">
        <v>5</v>
      </c>
      <c r="F327" s="4">
        <v>27239942</v>
      </c>
      <c r="G327" s="4">
        <v>5</v>
      </c>
      <c r="H327" s="4">
        <v>27239942</v>
      </c>
      <c r="I327" s="3">
        <f>C327+E327-G327</f>
        <v>0</v>
      </c>
      <c r="J327" s="46">
        <f>D327+F327-H327</f>
        <v>0</v>
      </c>
    </row>
    <row r="328" spans="2:10" s="23" customFormat="1" ht="24.95" customHeight="1" x14ac:dyDescent="0.25">
      <c r="B328" s="48" t="s">
        <v>302</v>
      </c>
      <c r="C328" s="4">
        <v>0</v>
      </c>
      <c r="D328" s="5">
        <v>0</v>
      </c>
      <c r="E328" s="4">
        <v>1</v>
      </c>
      <c r="F328" s="2">
        <v>776304</v>
      </c>
      <c r="G328" s="4">
        <v>0</v>
      </c>
      <c r="H328" s="4">
        <v>0</v>
      </c>
      <c r="I328" s="3">
        <f>C328+E328-G328</f>
        <v>1</v>
      </c>
      <c r="J328" s="44">
        <f>D328+F328-H328</f>
        <v>776304</v>
      </c>
    </row>
    <row r="329" spans="2:10" ht="24" x14ac:dyDescent="0.25">
      <c r="B329" s="48" t="s">
        <v>301</v>
      </c>
      <c r="C329" s="4">
        <v>0</v>
      </c>
      <c r="D329" s="5">
        <v>0</v>
      </c>
      <c r="E329" s="4">
        <v>1</v>
      </c>
      <c r="F329" s="2">
        <v>1507652</v>
      </c>
      <c r="G329" s="4">
        <v>1</v>
      </c>
      <c r="H329" s="2">
        <v>1507652</v>
      </c>
      <c r="I329" s="3">
        <f>C329+E329-G329</f>
        <v>0</v>
      </c>
      <c r="J329" s="46">
        <f>D329+F329-H329</f>
        <v>0</v>
      </c>
    </row>
    <row r="330" spans="2:10" s="23" customFormat="1" ht="24.95" customHeight="1" x14ac:dyDescent="0.25">
      <c r="B330" s="48" t="s">
        <v>300</v>
      </c>
      <c r="C330" s="4">
        <v>0</v>
      </c>
      <c r="D330" s="5">
        <v>0</v>
      </c>
      <c r="E330" s="4">
        <v>1</v>
      </c>
      <c r="F330" s="2">
        <v>39484721</v>
      </c>
      <c r="G330" s="4">
        <v>0</v>
      </c>
      <c r="H330" s="4">
        <v>0</v>
      </c>
      <c r="I330" s="3">
        <f>C330+E330-G330</f>
        <v>1</v>
      </c>
      <c r="J330" s="44">
        <f>D330+F330-H330</f>
        <v>39484721</v>
      </c>
    </row>
    <row r="331" spans="2:10" s="23" customFormat="1" ht="24.95" customHeight="1" x14ac:dyDescent="0.25">
      <c r="B331" s="43" t="s">
        <v>299</v>
      </c>
      <c r="C331" s="4">
        <v>0</v>
      </c>
      <c r="D331" s="5">
        <v>0</v>
      </c>
      <c r="E331" s="3">
        <v>3</v>
      </c>
      <c r="F331" s="3">
        <v>1470000</v>
      </c>
      <c r="G331" s="3">
        <v>2</v>
      </c>
      <c r="H331" s="3">
        <v>980000</v>
      </c>
      <c r="I331" s="3">
        <f>C331+E331-G331</f>
        <v>1</v>
      </c>
      <c r="J331" s="44">
        <f>D331+F331-H331</f>
        <v>490000</v>
      </c>
    </row>
    <row r="332" spans="2:10" ht="24.95" customHeight="1" x14ac:dyDescent="0.25">
      <c r="B332" s="48" t="s">
        <v>298</v>
      </c>
      <c r="C332" s="4">
        <v>0</v>
      </c>
      <c r="D332" s="5">
        <v>0</v>
      </c>
      <c r="E332" s="4">
        <v>5</v>
      </c>
      <c r="F332" s="4">
        <v>18205205</v>
      </c>
      <c r="G332" s="4">
        <v>5</v>
      </c>
      <c r="H332" s="4">
        <v>18205205</v>
      </c>
      <c r="I332" s="3">
        <f>C332+E332-G332</f>
        <v>0</v>
      </c>
      <c r="J332" s="46">
        <f>D332+F332-H332</f>
        <v>0</v>
      </c>
    </row>
    <row r="333" spans="2:10" ht="24.95" customHeight="1" x14ac:dyDescent="0.25">
      <c r="B333" s="48" t="s">
        <v>297</v>
      </c>
      <c r="C333" s="4">
        <v>0</v>
      </c>
      <c r="D333" s="5">
        <v>0</v>
      </c>
      <c r="E333" s="4">
        <v>1</v>
      </c>
      <c r="F333" s="4">
        <v>209948</v>
      </c>
      <c r="G333" s="4">
        <v>1</v>
      </c>
      <c r="H333" s="4">
        <v>209948</v>
      </c>
      <c r="I333" s="3">
        <f>C333+E333-G333</f>
        <v>0</v>
      </c>
      <c r="J333" s="46">
        <f>D333+F333-H333</f>
        <v>0</v>
      </c>
    </row>
    <row r="334" spans="2:10" ht="24.95" customHeight="1" x14ac:dyDescent="0.25">
      <c r="B334" s="43" t="s">
        <v>296</v>
      </c>
      <c r="C334" s="11">
        <v>1</v>
      </c>
      <c r="D334" s="6">
        <v>6206500</v>
      </c>
      <c r="E334" s="11">
        <v>1</v>
      </c>
      <c r="F334" s="6">
        <v>7385770</v>
      </c>
      <c r="G334" s="11">
        <v>1</v>
      </c>
      <c r="H334" s="6">
        <v>6206500</v>
      </c>
      <c r="I334" s="3">
        <f>C334+E334-G334</f>
        <v>1</v>
      </c>
      <c r="J334" s="44">
        <f>D334+F334-H334</f>
        <v>7385770</v>
      </c>
    </row>
    <row r="335" spans="2:10" ht="24.95" customHeight="1" x14ac:dyDescent="0.25">
      <c r="B335" s="48" t="s">
        <v>295</v>
      </c>
      <c r="C335" s="4">
        <v>1</v>
      </c>
      <c r="D335" s="5">
        <v>1929498</v>
      </c>
      <c r="E335" s="4">
        <v>1</v>
      </c>
      <c r="F335" s="4">
        <v>967639</v>
      </c>
      <c r="G335" s="4">
        <v>0</v>
      </c>
      <c r="H335" s="4">
        <v>0</v>
      </c>
      <c r="I335" s="3">
        <f>C335+E335-G335</f>
        <v>2</v>
      </c>
      <c r="J335" s="44">
        <f>D335+F335-H335</f>
        <v>2897137</v>
      </c>
    </row>
    <row r="336" spans="2:10" ht="24.95" customHeight="1" x14ac:dyDescent="0.25">
      <c r="B336" s="48" t="s">
        <v>294</v>
      </c>
      <c r="C336" s="4">
        <v>0</v>
      </c>
      <c r="D336" s="5">
        <v>0</v>
      </c>
      <c r="E336" s="4">
        <v>1</v>
      </c>
      <c r="F336" s="4">
        <v>4375532</v>
      </c>
      <c r="G336" s="4">
        <v>1</v>
      </c>
      <c r="H336" s="4">
        <v>4375532</v>
      </c>
      <c r="I336" s="3">
        <f>C336+E336-G336</f>
        <v>0</v>
      </c>
      <c r="J336" s="46">
        <f>D336+F336-H336</f>
        <v>0</v>
      </c>
    </row>
    <row r="337" spans="2:10" ht="24.95" customHeight="1" x14ac:dyDescent="0.25">
      <c r="B337" s="48" t="s">
        <v>293</v>
      </c>
      <c r="C337" s="4">
        <v>0</v>
      </c>
      <c r="D337" s="5">
        <v>0</v>
      </c>
      <c r="E337" s="4">
        <v>1</v>
      </c>
      <c r="F337" s="2">
        <v>4958748</v>
      </c>
      <c r="G337" s="4">
        <v>1</v>
      </c>
      <c r="H337" s="2">
        <v>4958748</v>
      </c>
      <c r="I337" s="3">
        <f>C337+E337-G337</f>
        <v>0</v>
      </c>
      <c r="J337" s="46">
        <f>D337+F337-H337</f>
        <v>0</v>
      </c>
    </row>
    <row r="338" spans="2:10" ht="24.95" customHeight="1" x14ac:dyDescent="0.25">
      <c r="B338" s="48" t="s">
        <v>292</v>
      </c>
      <c r="C338" s="4">
        <v>0</v>
      </c>
      <c r="D338" s="5">
        <v>0</v>
      </c>
      <c r="E338" s="4">
        <v>5</v>
      </c>
      <c r="F338" s="4">
        <v>11737917</v>
      </c>
      <c r="G338" s="4">
        <v>3</v>
      </c>
      <c r="H338" s="4">
        <v>7243737</v>
      </c>
      <c r="I338" s="3">
        <f>C338+E338-G338</f>
        <v>2</v>
      </c>
      <c r="J338" s="44">
        <f>D338+F338-H338</f>
        <v>4494180</v>
      </c>
    </row>
    <row r="339" spans="2:10" ht="24.95" customHeight="1" x14ac:dyDescent="0.25">
      <c r="B339" s="48" t="s">
        <v>291</v>
      </c>
      <c r="C339" s="4">
        <v>1</v>
      </c>
      <c r="D339" s="2">
        <v>2414060</v>
      </c>
      <c r="E339" s="4">
        <v>2</v>
      </c>
      <c r="F339" s="4">
        <v>6623891</v>
      </c>
      <c r="G339" s="4">
        <v>2</v>
      </c>
      <c r="H339" s="4">
        <v>6623891</v>
      </c>
      <c r="I339" s="3">
        <f>C339+E339-G339</f>
        <v>1</v>
      </c>
      <c r="J339" s="44">
        <f>D339+F339-H339</f>
        <v>2414060</v>
      </c>
    </row>
    <row r="340" spans="2:10" ht="24.95" customHeight="1" x14ac:dyDescent="0.25">
      <c r="B340" s="48" t="s">
        <v>290</v>
      </c>
      <c r="C340" s="4">
        <v>0</v>
      </c>
      <c r="D340" s="5">
        <v>0</v>
      </c>
      <c r="E340" s="4">
        <v>2</v>
      </c>
      <c r="F340" s="4">
        <v>93002554</v>
      </c>
      <c r="G340" s="4">
        <v>2</v>
      </c>
      <c r="H340" s="4">
        <v>93002554</v>
      </c>
      <c r="I340" s="3">
        <f>C340+E340-G340</f>
        <v>0</v>
      </c>
      <c r="J340" s="46">
        <f>D340+F340-H340</f>
        <v>0</v>
      </c>
    </row>
    <row r="341" spans="2:10" s="23" customFormat="1" ht="24.95" customHeight="1" x14ac:dyDescent="0.25">
      <c r="B341" s="48" t="s">
        <v>289</v>
      </c>
      <c r="C341" s="4">
        <v>0</v>
      </c>
      <c r="D341" s="5">
        <v>0</v>
      </c>
      <c r="E341" s="4">
        <v>1</v>
      </c>
      <c r="F341" s="4">
        <v>1704937</v>
      </c>
      <c r="G341" s="4">
        <v>1</v>
      </c>
      <c r="H341" s="4">
        <v>1704937</v>
      </c>
      <c r="I341" s="3">
        <f>C341+E341-G341</f>
        <v>0</v>
      </c>
      <c r="J341" s="46">
        <f>D341+F341-H341</f>
        <v>0</v>
      </c>
    </row>
    <row r="342" spans="2:10" ht="24.95" customHeight="1" x14ac:dyDescent="0.25">
      <c r="B342" s="48" t="s">
        <v>288</v>
      </c>
      <c r="C342" s="4">
        <v>0</v>
      </c>
      <c r="D342" s="5">
        <v>0</v>
      </c>
      <c r="E342" s="4">
        <v>1</v>
      </c>
      <c r="F342" s="2">
        <v>283493</v>
      </c>
      <c r="G342" s="4">
        <v>1</v>
      </c>
      <c r="H342" s="2">
        <v>283493</v>
      </c>
      <c r="I342" s="3">
        <f>C342+E342-G342</f>
        <v>0</v>
      </c>
      <c r="J342" s="46">
        <f>D342+F342-H342</f>
        <v>0</v>
      </c>
    </row>
    <row r="343" spans="2:10" s="23" customFormat="1" ht="24.95" customHeight="1" x14ac:dyDescent="0.25">
      <c r="B343" s="48" t="s">
        <v>287</v>
      </c>
      <c r="C343" s="4">
        <v>0</v>
      </c>
      <c r="D343" s="5">
        <v>0</v>
      </c>
      <c r="E343" s="4">
        <v>1</v>
      </c>
      <c r="F343" s="2">
        <v>516004</v>
      </c>
      <c r="G343" s="4">
        <v>1</v>
      </c>
      <c r="H343" s="2">
        <v>516004</v>
      </c>
      <c r="I343" s="3">
        <f>C343+E343-G343</f>
        <v>0</v>
      </c>
      <c r="J343" s="46">
        <f>D343+F343-H343</f>
        <v>0</v>
      </c>
    </row>
    <row r="344" spans="2:10" s="23" customFormat="1" ht="24.95" customHeight="1" x14ac:dyDescent="0.25">
      <c r="B344" s="48" t="s">
        <v>286</v>
      </c>
      <c r="C344" s="4">
        <v>0</v>
      </c>
      <c r="D344" s="5">
        <v>0</v>
      </c>
      <c r="E344" s="4">
        <v>1</v>
      </c>
      <c r="F344" s="2">
        <v>16488491</v>
      </c>
      <c r="G344" s="4">
        <v>1</v>
      </c>
      <c r="H344" s="2">
        <v>16488491</v>
      </c>
      <c r="I344" s="3">
        <f>C344+E344-G344</f>
        <v>0</v>
      </c>
      <c r="J344" s="46">
        <f>D344+F344-H344</f>
        <v>0</v>
      </c>
    </row>
    <row r="345" spans="2:10" ht="24.95" customHeight="1" x14ac:dyDescent="0.25">
      <c r="B345" s="48" t="s">
        <v>285</v>
      </c>
      <c r="C345" s="4">
        <v>2</v>
      </c>
      <c r="D345" s="5">
        <v>188953642</v>
      </c>
      <c r="E345" s="4">
        <v>0</v>
      </c>
      <c r="F345" s="4">
        <v>0</v>
      </c>
      <c r="G345" s="4">
        <v>2</v>
      </c>
      <c r="H345" s="4">
        <v>188953642</v>
      </c>
      <c r="I345" s="3">
        <f>C345+E345-G345</f>
        <v>0</v>
      </c>
      <c r="J345" s="46">
        <f>D345+F345-H345</f>
        <v>0</v>
      </c>
    </row>
    <row r="346" spans="2:10" s="23" customFormat="1" ht="24.95" customHeight="1" x14ac:dyDescent="0.25">
      <c r="B346" s="48" t="s">
        <v>284</v>
      </c>
      <c r="C346" s="4">
        <v>0</v>
      </c>
      <c r="D346" s="5">
        <v>0</v>
      </c>
      <c r="E346" s="4">
        <v>3</v>
      </c>
      <c r="F346" s="4">
        <v>2221329</v>
      </c>
      <c r="G346" s="4">
        <v>1</v>
      </c>
      <c r="H346" s="4">
        <v>740443</v>
      </c>
      <c r="I346" s="3">
        <f>C346+E346-G346</f>
        <v>2</v>
      </c>
      <c r="J346" s="44">
        <f>D346+F346-H346</f>
        <v>1480886</v>
      </c>
    </row>
    <row r="347" spans="2:10" s="23" customFormat="1" ht="24.95" customHeight="1" x14ac:dyDescent="0.25">
      <c r="B347" s="45" t="s">
        <v>283</v>
      </c>
      <c r="C347" s="9">
        <v>1</v>
      </c>
      <c r="D347" s="13">
        <v>419000</v>
      </c>
      <c r="E347" s="9">
        <v>0</v>
      </c>
      <c r="F347" s="9">
        <v>0</v>
      </c>
      <c r="G347" s="9">
        <v>1</v>
      </c>
      <c r="H347" s="9">
        <v>419000</v>
      </c>
      <c r="I347" s="3">
        <f>C347+E347-G347</f>
        <v>0</v>
      </c>
      <c r="J347" s="46">
        <f>D347+F347-H347</f>
        <v>0</v>
      </c>
    </row>
    <row r="348" spans="2:10" ht="24.95" customHeight="1" x14ac:dyDescent="0.25">
      <c r="B348" s="45" t="s">
        <v>282</v>
      </c>
      <c r="C348" s="9">
        <v>7</v>
      </c>
      <c r="D348" s="13">
        <v>19866</v>
      </c>
      <c r="E348" s="9">
        <v>0</v>
      </c>
      <c r="F348" s="9">
        <v>0</v>
      </c>
      <c r="G348" s="9">
        <v>0</v>
      </c>
      <c r="H348" s="9">
        <v>0</v>
      </c>
      <c r="I348" s="3">
        <f>C348+E348-G348</f>
        <v>7</v>
      </c>
      <c r="J348" s="44">
        <f>D348+F348-H348</f>
        <v>19866</v>
      </c>
    </row>
    <row r="349" spans="2:10" s="23" customFormat="1" ht="24.95" customHeight="1" x14ac:dyDescent="0.25">
      <c r="B349" s="48" t="s">
        <v>281</v>
      </c>
      <c r="C349" s="4">
        <v>0</v>
      </c>
      <c r="D349" s="5">
        <v>0</v>
      </c>
      <c r="E349" s="4">
        <v>1</v>
      </c>
      <c r="F349" s="2">
        <v>9934452</v>
      </c>
      <c r="G349" s="4">
        <v>1</v>
      </c>
      <c r="H349" s="2">
        <v>9934452</v>
      </c>
      <c r="I349" s="3">
        <f>C349+E349-G349</f>
        <v>0</v>
      </c>
      <c r="J349" s="46">
        <f>D349+F349-H349</f>
        <v>0</v>
      </c>
    </row>
    <row r="350" spans="2:10" s="23" customFormat="1" ht="24.95" customHeight="1" x14ac:dyDescent="0.25">
      <c r="B350" s="48" t="s">
        <v>280</v>
      </c>
      <c r="C350" s="4">
        <v>0</v>
      </c>
      <c r="D350" s="5">
        <v>0</v>
      </c>
      <c r="E350" s="4">
        <v>4</v>
      </c>
      <c r="F350" s="4">
        <v>679180</v>
      </c>
      <c r="G350" s="4">
        <v>4</v>
      </c>
      <c r="H350" s="4">
        <v>679180</v>
      </c>
      <c r="I350" s="3">
        <f>C350+E350-G350</f>
        <v>0</v>
      </c>
      <c r="J350" s="46">
        <f>D350+F350-H350</f>
        <v>0</v>
      </c>
    </row>
    <row r="351" spans="2:10" ht="24.95" customHeight="1" x14ac:dyDescent="0.25">
      <c r="B351" s="48" t="s">
        <v>279</v>
      </c>
      <c r="C351" s="4">
        <v>3</v>
      </c>
      <c r="D351" s="5">
        <v>15342654</v>
      </c>
      <c r="E351" s="4">
        <v>2</v>
      </c>
      <c r="F351" s="4">
        <v>10663985</v>
      </c>
      <c r="G351" s="4">
        <v>3</v>
      </c>
      <c r="H351" s="4">
        <v>15599753</v>
      </c>
      <c r="I351" s="3">
        <f>C351+E351-G351</f>
        <v>2</v>
      </c>
      <c r="J351" s="44">
        <f>D351+F351-H351</f>
        <v>10406886</v>
      </c>
    </row>
    <row r="352" spans="2:10" ht="24.95" customHeight="1" x14ac:dyDescent="0.25">
      <c r="B352" s="48" t="s">
        <v>278</v>
      </c>
      <c r="C352" s="4">
        <v>0</v>
      </c>
      <c r="D352" s="5">
        <v>0</v>
      </c>
      <c r="E352" s="4">
        <v>25</v>
      </c>
      <c r="F352" s="4">
        <v>422325</v>
      </c>
      <c r="G352" s="4">
        <v>25</v>
      </c>
      <c r="H352" s="4">
        <v>422325</v>
      </c>
      <c r="I352" s="3">
        <f>C352+E352-G352</f>
        <v>0</v>
      </c>
      <c r="J352" s="46">
        <f>D352+F352-H352</f>
        <v>0</v>
      </c>
    </row>
    <row r="353" spans="2:10" s="23" customFormat="1" ht="24.95" customHeight="1" x14ac:dyDescent="0.25">
      <c r="B353" s="43" t="s">
        <v>277</v>
      </c>
      <c r="C353" s="3">
        <v>0</v>
      </c>
      <c r="D353" s="8">
        <v>0</v>
      </c>
      <c r="E353" s="3">
        <v>1</v>
      </c>
      <c r="F353" s="7">
        <v>43000000</v>
      </c>
      <c r="G353" s="3">
        <v>0</v>
      </c>
      <c r="H353" s="3">
        <v>0</v>
      </c>
      <c r="I353" s="3">
        <f>C353+E353-G353</f>
        <v>1</v>
      </c>
      <c r="J353" s="44">
        <f>D353+F353-H353</f>
        <v>43000000</v>
      </c>
    </row>
    <row r="354" spans="2:10" ht="24.95" customHeight="1" x14ac:dyDescent="0.25">
      <c r="B354" s="43" t="s">
        <v>276</v>
      </c>
      <c r="C354" s="3">
        <v>0</v>
      </c>
      <c r="D354" s="8">
        <v>0</v>
      </c>
      <c r="E354" s="3">
        <v>1</v>
      </c>
      <c r="F354" s="7">
        <v>1520000</v>
      </c>
      <c r="G354" s="3">
        <v>1</v>
      </c>
      <c r="H354" s="7">
        <v>1520000</v>
      </c>
      <c r="I354" s="3">
        <f>C354+E354-G354</f>
        <v>0</v>
      </c>
      <c r="J354" s="46">
        <f>D354+F354-H354</f>
        <v>0</v>
      </c>
    </row>
    <row r="355" spans="2:10" s="23" customFormat="1" ht="24.95" customHeight="1" x14ac:dyDescent="0.25">
      <c r="B355" s="48" t="s">
        <v>275</v>
      </c>
      <c r="C355" s="4">
        <v>1</v>
      </c>
      <c r="D355" s="2">
        <v>729847</v>
      </c>
      <c r="E355" s="3">
        <v>0</v>
      </c>
      <c r="F355" s="3">
        <v>0</v>
      </c>
      <c r="G355" s="3">
        <v>0</v>
      </c>
      <c r="H355" s="3">
        <v>0</v>
      </c>
      <c r="I355" s="3">
        <f>C355+E355-G355</f>
        <v>1</v>
      </c>
      <c r="J355" s="44">
        <f>D355+F355-H355</f>
        <v>729847</v>
      </c>
    </row>
    <row r="356" spans="2:10" ht="24.95" customHeight="1" x14ac:dyDescent="0.25">
      <c r="B356" s="43" t="s">
        <v>274</v>
      </c>
      <c r="C356" s="3">
        <v>0</v>
      </c>
      <c r="D356" s="8">
        <v>0</v>
      </c>
      <c r="E356" s="3">
        <v>5</v>
      </c>
      <c r="F356" s="3">
        <v>82750000</v>
      </c>
      <c r="G356" s="3">
        <v>5</v>
      </c>
      <c r="H356" s="3">
        <v>82750000</v>
      </c>
      <c r="I356" s="3">
        <f>C356+E356-G356</f>
        <v>0</v>
      </c>
      <c r="J356" s="46">
        <f>D356+F356-H356</f>
        <v>0</v>
      </c>
    </row>
    <row r="357" spans="2:10" ht="24.95" customHeight="1" x14ac:dyDescent="0.25">
      <c r="B357" s="48" t="s">
        <v>273</v>
      </c>
      <c r="C357" s="4">
        <v>0</v>
      </c>
      <c r="D357" s="5">
        <v>0</v>
      </c>
      <c r="E357" s="4">
        <v>1</v>
      </c>
      <c r="F357" s="2">
        <v>1244926</v>
      </c>
      <c r="G357" s="4">
        <v>1</v>
      </c>
      <c r="H357" s="2">
        <v>1244926</v>
      </c>
      <c r="I357" s="3">
        <f>C357+E357-G357</f>
        <v>0</v>
      </c>
      <c r="J357" s="46">
        <f>D357+F357-H357</f>
        <v>0</v>
      </c>
    </row>
    <row r="358" spans="2:10" ht="24.95" customHeight="1" x14ac:dyDescent="0.25">
      <c r="B358" s="43" t="s">
        <v>272</v>
      </c>
      <c r="C358" s="11">
        <v>6</v>
      </c>
      <c r="D358" s="16">
        <v>844362</v>
      </c>
      <c r="E358" s="11">
        <v>0</v>
      </c>
      <c r="F358" s="11">
        <v>0</v>
      </c>
      <c r="G358" s="11">
        <v>6</v>
      </c>
      <c r="H358" s="11">
        <v>844362</v>
      </c>
      <c r="I358" s="3">
        <f>C358+E358-G358</f>
        <v>0</v>
      </c>
      <c r="J358" s="46">
        <f>D358+F358-H358</f>
        <v>0</v>
      </c>
    </row>
    <row r="359" spans="2:10" ht="24.95" customHeight="1" x14ac:dyDescent="0.25">
      <c r="B359" s="48" t="s">
        <v>271</v>
      </c>
      <c r="C359" s="4">
        <v>0</v>
      </c>
      <c r="D359" s="5">
        <v>0</v>
      </c>
      <c r="E359" s="4">
        <v>2</v>
      </c>
      <c r="F359" s="4">
        <v>6764662</v>
      </c>
      <c r="G359" s="4">
        <v>0</v>
      </c>
      <c r="H359" s="4">
        <v>0</v>
      </c>
      <c r="I359" s="3">
        <f>C359+E359-G359</f>
        <v>2</v>
      </c>
      <c r="J359" s="44">
        <f>D359+F359-H359</f>
        <v>6764662</v>
      </c>
    </row>
    <row r="360" spans="2:10" ht="24.95" customHeight="1" x14ac:dyDescent="0.25">
      <c r="B360" s="48" t="s">
        <v>270</v>
      </c>
      <c r="C360" s="4">
        <v>1</v>
      </c>
      <c r="D360" s="2">
        <v>8218934</v>
      </c>
      <c r="E360" s="4">
        <v>1</v>
      </c>
      <c r="F360" s="2">
        <v>7079408</v>
      </c>
      <c r="G360" s="4">
        <v>1</v>
      </c>
      <c r="H360" s="2">
        <v>7079408</v>
      </c>
      <c r="I360" s="3">
        <f>C360+E360-G360</f>
        <v>1</v>
      </c>
      <c r="J360" s="44">
        <f>D360+F360-H360</f>
        <v>8218934</v>
      </c>
    </row>
    <row r="361" spans="2:10" ht="24.95" customHeight="1" x14ac:dyDescent="0.25">
      <c r="B361" s="48" t="s">
        <v>269</v>
      </c>
      <c r="C361" s="4">
        <v>0</v>
      </c>
      <c r="D361" s="5">
        <v>0</v>
      </c>
      <c r="E361" s="4">
        <v>2</v>
      </c>
      <c r="F361" s="2">
        <v>7846362</v>
      </c>
      <c r="G361" s="4">
        <v>2</v>
      </c>
      <c r="H361" s="2">
        <v>7846362</v>
      </c>
      <c r="I361" s="3">
        <f>C361+E361-G361</f>
        <v>0</v>
      </c>
      <c r="J361" s="46">
        <f>D361+F361-H361</f>
        <v>0</v>
      </c>
    </row>
    <row r="362" spans="2:10" ht="24.95" customHeight="1" x14ac:dyDescent="0.25">
      <c r="B362" s="48" t="s">
        <v>268</v>
      </c>
      <c r="C362" s="4">
        <v>0</v>
      </c>
      <c r="D362" s="5">
        <v>0</v>
      </c>
      <c r="E362" s="4">
        <v>1</v>
      </c>
      <c r="F362" s="2">
        <v>4246698</v>
      </c>
      <c r="G362" s="4">
        <v>1</v>
      </c>
      <c r="H362" s="2">
        <v>4246698</v>
      </c>
      <c r="I362" s="3">
        <f>C362+E362-G362</f>
        <v>0</v>
      </c>
      <c r="J362" s="46">
        <f>D362+F362-H362</f>
        <v>0</v>
      </c>
    </row>
    <row r="363" spans="2:10" ht="24.95" customHeight="1" x14ac:dyDescent="0.25">
      <c r="B363" s="43" t="s">
        <v>267</v>
      </c>
      <c r="C363" s="3">
        <v>0</v>
      </c>
      <c r="D363" s="8">
        <v>0</v>
      </c>
      <c r="E363" s="3">
        <v>1</v>
      </c>
      <c r="F363" s="7">
        <v>1180909</v>
      </c>
      <c r="G363" s="3">
        <v>1</v>
      </c>
      <c r="H363" s="7">
        <v>1180909</v>
      </c>
      <c r="I363" s="3">
        <f>C363+E363-G363</f>
        <v>0</v>
      </c>
      <c r="J363" s="46">
        <f>D363+F363-H363</f>
        <v>0</v>
      </c>
    </row>
    <row r="364" spans="2:10" ht="24.95" customHeight="1" x14ac:dyDescent="0.25">
      <c r="B364" s="48" t="s">
        <v>266</v>
      </c>
      <c r="C364" s="4">
        <v>0</v>
      </c>
      <c r="D364" s="5">
        <v>0</v>
      </c>
      <c r="E364" s="4">
        <v>1</v>
      </c>
      <c r="F364" s="2">
        <v>6820602</v>
      </c>
      <c r="G364" s="4">
        <v>1</v>
      </c>
      <c r="H364" s="2">
        <v>6820602</v>
      </c>
      <c r="I364" s="3">
        <f>C364+E364-G364</f>
        <v>0</v>
      </c>
      <c r="J364" s="46">
        <f>D364+F364-H364</f>
        <v>0</v>
      </c>
    </row>
    <row r="365" spans="2:10" ht="24.95" customHeight="1" x14ac:dyDescent="0.25">
      <c r="B365" s="45" t="s">
        <v>265</v>
      </c>
      <c r="C365" s="9">
        <v>1</v>
      </c>
      <c r="D365" s="10">
        <v>973815</v>
      </c>
      <c r="E365" s="9">
        <v>0</v>
      </c>
      <c r="F365" s="9">
        <v>0</v>
      </c>
      <c r="G365" s="9">
        <v>0</v>
      </c>
      <c r="H365" s="9">
        <v>0</v>
      </c>
      <c r="I365" s="3">
        <f>C365+E365-G365</f>
        <v>1</v>
      </c>
      <c r="J365" s="44">
        <f>D365+F365-H365</f>
        <v>973815</v>
      </c>
    </row>
    <row r="366" spans="2:10" ht="24.95" customHeight="1" x14ac:dyDescent="0.25">
      <c r="B366" s="45" t="s">
        <v>264</v>
      </c>
      <c r="C366" s="9">
        <v>1</v>
      </c>
      <c r="D366" s="10">
        <v>768801</v>
      </c>
      <c r="E366" s="9">
        <v>0</v>
      </c>
      <c r="F366" s="9">
        <v>0</v>
      </c>
      <c r="G366" s="9">
        <v>0</v>
      </c>
      <c r="H366" s="9">
        <v>0</v>
      </c>
      <c r="I366" s="3">
        <f>C366+E366-G366</f>
        <v>1</v>
      </c>
      <c r="J366" s="44">
        <f>D366+F366-H366</f>
        <v>768801</v>
      </c>
    </row>
    <row r="367" spans="2:10" ht="24.95" customHeight="1" x14ac:dyDescent="0.25">
      <c r="B367" s="45" t="s">
        <v>263</v>
      </c>
      <c r="C367" s="9">
        <v>21</v>
      </c>
      <c r="D367" s="13">
        <v>2048928</v>
      </c>
      <c r="E367" s="9">
        <v>0</v>
      </c>
      <c r="F367" s="9">
        <v>0</v>
      </c>
      <c r="G367" s="9">
        <v>0</v>
      </c>
      <c r="H367" s="9">
        <v>0</v>
      </c>
      <c r="I367" s="3">
        <f>C367+E367-G367</f>
        <v>21</v>
      </c>
      <c r="J367" s="44">
        <f>D367+F367-H367</f>
        <v>2048928</v>
      </c>
    </row>
    <row r="368" spans="2:10" ht="24.95" customHeight="1" x14ac:dyDescent="0.25">
      <c r="B368" s="48" t="s">
        <v>262</v>
      </c>
      <c r="C368" s="4">
        <v>0</v>
      </c>
      <c r="D368" s="5">
        <v>0</v>
      </c>
      <c r="E368" s="4">
        <v>2</v>
      </c>
      <c r="F368" s="2">
        <v>1128912</v>
      </c>
      <c r="G368" s="4">
        <v>2</v>
      </c>
      <c r="H368" s="2">
        <v>1128912</v>
      </c>
      <c r="I368" s="3">
        <f>C368+E368-G368</f>
        <v>0</v>
      </c>
      <c r="J368" s="46">
        <f>D368+F368-H368</f>
        <v>0</v>
      </c>
    </row>
    <row r="369" spans="2:10" ht="24.95" customHeight="1" x14ac:dyDescent="0.25">
      <c r="B369" s="48" t="s">
        <v>261</v>
      </c>
      <c r="C369" s="4">
        <v>0</v>
      </c>
      <c r="D369" s="5">
        <v>0</v>
      </c>
      <c r="E369" s="4">
        <v>2</v>
      </c>
      <c r="F369" s="4">
        <v>2316930</v>
      </c>
      <c r="G369" s="4">
        <v>2</v>
      </c>
      <c r="H369" s="4">
        <v>2316930</v>
      </c>
      <c r="I369" s="3">
        <f>C369+E369-G369</f>
        <v>0</v>
      </c>
      <c r="J369" s="46">
        <f>D369+F369-H369</f>
        <v>0</v>
      </c>
    </row>
    <row r="370" spans="2:10" ht="24.95" customHeight="1" x14ac:dyDescent="0.25">
      <c r="B370" s="45" t="s">
        <v>260</v>
      </c>
      <c r="C370" s="9">
        <v>3</v>
      </c>
      <c r="D370" s="13">
        <v>3163179</v>
      </c>
      <c r="E370" s="9">
        <v>0</v>
      </c>
      <c r="F370" s="9">
        <v>0</v>
      </c>
      <c r="G370" s="9">
        <v>2</v>
      </c>
      <c r="H370" s="9">
        <v>2108786</v>
      </c>
      <c r="I370" s="3">
        <f>C370+E370-G370</f>
        <v>1</v>
      </c>
      <c r="J370" s="44">
        <f>D370+F370-H370</f>
        <v>1054393</v>
      </c>
    </row>
    <row r="371" spans="2:10" ht="24.95" customHeight="1" x14ac:dyDescent="0.25">
      <c r="B371" s="48" t="s">
        <v>259</v>
      </c>
      <c r="C371" s="4">
        <v>0</v>
      </c>
      <c r="D371" s="5">
        <v>0</v>
      </c>
      <c r="E371" s="4">
        <v>2</v>
      </c>
      <c r="F371" s="4">
        <v>1319942</v>
      </c>
      <c r="G371" s="4">
        <v>1</v>
      </c>
      <c r="H371" s="4">
        <v>659971</v>
      </c>
      <c r="I371" s="3">
        <f>C371+E371-G371</f>
        <v>1</v>
      </c>
      <c r="J371" s="44">
        <f>D371+F371-H371</f>
        <v>659971</v>
      </c>
    </row>
    <row r="372" spans="2:10" ht="24.95" customHeight="1" x14ac:dyDescent="0.25">
      <c r="B372" s="48" t="s">
        <v>258</v>
      </c>
      <c r="C372" s="4">
        <v>2</v>
      </c>
      <c r="D372" s="5">
        <v>1591490</v>
      </c>
      <c r="E372" s="4">
        <v>72</v>
      </c>
      <c r="F372" s="4">
        <v>67818656</v>
      </c>
      <c r="G372" s="4">
        <v>34</v>
      </c>
      <c r="H372" s="4">
        <v>31479906</v>
      </c>
      <c r="I372" s="3">
        <f>C372+E372-G372</f>
        <v>40</v>
      </c>
      <c r="J372" s="44">
        <f>D372+F372-H372</f>
        <v>37930240</v>
      </c>
    </row>
    <row r="373" spans="2:10" ht="24.95" customHeight="1" x14ac:dyDescent="0.25">
      <c r="B373" s="48" t="s">
        <v>257</v>
      </c>
      <c r="C373" s="4">
        <v>0</v>
      </c>
      <c r="D373" s="5">
        <v>0</v>
      </c>
      <c r="E373" s="4">
        <v>1</v>
      </c>
      <c r="F373" s="2">
        <v>2848202</v>
      </c>
      <c r="G373" s="4">
        <v>1</v>
      </c>
      <c r="H373" s="2">
        <v>2848202</v>
      </c>
      <c r="I373" s="3">
        <f>C373+E373-G373</f>
        <v>0</v>
      </c>
      <c r="J373" s="46">
        <f>D373+F373-H373</f>
        <v>0</v>
      </c>
    </row>
    <row r="374" spans="2:10" ht="24.95" customHeight="1" x14ac:dyDescent="0.25">
      <c r="B374" s="43" t="s">
        <v>256</v>
      </c>
      <c r="C374" s="3">
        <v>0</v>
      </c>
      <c r="D374" s="8">
        <v>0</v>
      </c>
      <c r="E374" s="3">
        <v>2</v>
      </c>
      <c r="F374" s="7">
        <v>742728</v>
      </c>
      <c r="G374" s="3">
        <v>2</v>
      </c>
      <c r="H374" s="7">
        <v>742728</v>
      </c>
      <c r="I374" s="3">
        <f>C374+E374-G374</f>
        <v>0</v>
      </c>
      <c r="J374" s="46">
        <f>D374+F374-H374</f>
        <v>0</v>
      </c>
    </row>
    <row r="375" spans="2:10" ht="24.95" customHeight="1" x14ac:dyDescent="0.25">
      <c r="B375" s="48" t="s">
        <v>255</v>
      </c>
      <c r="C375" s="4">
        <v>0</v>
      </c>
      <c r="D375" s="5">
        <v>0</v>
      </c>
      <c r="E375" s="4">
        <v>1</v>
      </c>
      <c r="F375" s="2">
        <v>414888</v>
      </c>
      <c r="G375" s="4">
        <v>0</v>
      </c>
      <c r="H375" s="4">
        <v>0</v>
      </c>
      <c r="I375" s="3">
        <f>C375+E375-G375</f>
        <v>1</v>
      </c>
      <c r="J375" s="44">
        <f>D375+F375-H375</f>
        <v>414888</v>
      </c>
    </row>
    <row r="376" spans="2:10" ht="24.95" customHeight="1" x14ac:dyDescent="0.25">
      <c r="B376" s="48" t="s">
        <v>254</v>
      </c>
      <c r="C376" s="4">
        <v>0</v>
      </c>
      <c r="D376" s="5">
        <v>0</v>
      </c>
      <c r="E376" s="4">
        <v>1</v>
      </c>
      <c r="F376" s="2">
        <v>414888</v>
      </c>
      <c r="G376" s="4">
        <v>0</v>
      </c>
      <c r="H376" s="4">
        <v>0</v>
      </c>
      <c r="I376" s="3">
        <f>C376+E376-G376</f>
        <v>1</v>
      </c>
      <c r="J376" s="44">
        <f>D376+F376-H376</f>
        <v>414888</v>
      </c>
    </row>
    <row r="377" spans="2:10" ht="24.95" customHeight="1" x14ac:dyDescent="0.25">
      <c r="B377" s="45" t="s">
        <v>253</v>
      </c>
      <c r="C377" s="9">
        <v>1</v>
      </c>
      <c r="D377" s="2">
        <v>616785</v>
      </c>
      <c r="E377" s="9">
        <v>0</v>
      </c>
      <c r="F377" s="9">
        <v>0</v>
      </c>
      <c r="G377" s="9">
        <v>0</v>
      </c>
      <c r="H377" s="9">
        <v>0</v>
      </c>
      <c r="I377" s="3">
        <f>C377+E377-G377</f>
        <v>1</v>
      </c>
      <c r="J377" s="44">
        <f>D377+F377-H377</f>
        <v>616785</v>
      </c>
    </row>
    <row r="378" spans="2:10" ht="24.95" customHeight="1" x14ac:dyDescent="0.25">
      <c r="B378" s="45" t="s">
        <v>252</v>
      </c>
      <c r="C378" s="9">
        <v>1</v>
      </c>
      <c r="D378" s="2">
        <v>628978</v>
      </c>
      <c r="E378" s="9">
        <v>0</v>
      </c>
      <c r="F378" s="9">
        <v>0</v>
      </c>
      <c r="G378" s="9">
        <v>0</v>
      </c>
      <c r="H378" s="9">
        <v>0</v>
      </c>
      <c r="I378" s="3">
        <f>C378+E378-G378</f>
        <v>1</v>
      </c>
      <c r="J378" s="44">
        <f>D378+F378-H378</f>
        <v>628978</v>
      </c>
    </row>
    <row r="379" spans="2:10" ht="24.95" customHeight="1" x14ac:dyDescent="0.25">
      <c r="B379" s="48" t="s">
        <v>251</v>
      </c>
      <c r="C379" s="4">
        <v>0</v>
      </c>
      <c r="D379" s="5">
        <v>0</v>
      </c>
      <c r="E379" s="4">
        <v>1</v>
      </c>
      <c r="F379" s="2">
        <v>7098887</v>
      </c>
      <c r="G379" s="4">
        <v>1</v>
      </c>
      <c r="H379" s="2">
        <v>7098887</v>
      </c>
      <c r="I379" s="3">
        <f>C379+E379-G379</f>
        <v>0</v>
      </c>
      <c r="J379" s="46">
        <f>D379+F379-H379</f>
        <v>0</v>
      </c>
    </row>
    <row r="380" spans="2:10" ht="24.95" customHeight="1" x14ac:dyDescent="0.25">
      <c r="B380" s="48" t="s">
        <v>250</v>
      </c>
      <c r="C380" s="4">
        <v>0</v>
      </c>
      <c r="D380" s="5">
        <v>0</v>
      </c>
      <c r="E380" s="4">
        <v>1</v>
      </c>
      <c r="F380" s="2">
        <v>112607249</v>
      </c>
      <c r="G380" s="4">
        <v>1</v>
      </c>
      <c r="H380" s="2">
        <v>112607249</v>
      </c>
      <c r="I380" s="3">
        <f>C380+E380-G380</f>
        <v>0</v>
      </c>
      <c r="J380" s="46">
        <f>D380+F380-H380</f>
        <v>0</v>
      </c>
    </row>
    <row r="381" spans="2:10" ht="24.95" customHeight="1" x14ac:dyDescent="0.25">
      <c r="B381" s="48" t="s">
        <v>249</v>
      </c>
      <c r="C381" s="4">
        <v>0</v>
      </c>
      <c r="D381" s="5">
        <v>0</v>
      </c>
      <c r="E381" s="4">
        <v>2</v>
      </c>
      <c r="F381" s="4">
        <v>5458832</v>
      </c>
      <c r="G381" s="4">
        <v>1</v>
      </c>
      <c r="H381" s="4">
        <v>2729416</v>
      </c>
      <c r="I381" s="3">
        <f>C381+E381-G381</f>
        <v>1</v>
      </c>
      <c r="J381" s="44">
        <f>D381+F381-H381</f>
        <v>2729416</v>
      </c>
    </row>
    <row r="382" spans="2:10" ht="24.95" customHeight="1" x14ac:dyDescent="0.25">
      <c r="B382" s="48" t="s">
        <v>248</v>
      </c>
      <c r="C382" s="4">
        <v>0</v>
      </c>
      <c r="D382" s="5">
        <v>0</v>
      </c>
      <c r="E382" s="4">
        <v>1</v>
      </c>
      <c r="F382" s="2">
        <v>687591</v>
      </c>
      <c r="G382" s="4">
        <v>1</v>
      </c>
      <c r="H382" s="2">
        <v>687591</v>
      </c>
      <c r="I382" s="3">
        <f>C382+E382-G382</f>
        <v>0</v>
      </c>
      <c r="J382" s="46">
        <f>D382+F382-H382</f>
        <v>0</v>
      </c>
    </row>
    <row r="383" spans="2:10" ht="24.95" customHeight="1" x14ac:dyDescent="0.25">
      <c r="B383" s="48" t="s">
        <v>247</v>
      </c>
      <c r="C383" s="4">
        <v>0</v>
      </c>
      <c r="D383" s="5">
        <v>0</v>
      </c>
      <c r="E383" s="4">
        <v>1</v>
      </c>
      <c r="F383" s="2">
        <v>618071869</v>
      </c>
      <c r="G383" s="4">
        <v>1</v>
      </c>
      <c r="H383" s="2">
        <v>618071869</v>
      </c>
      <c r="I383" s="3">
        <f>C383+E383-G383</f>
        <v>0</v>
      </c>
      <c r="J383" s="46">
        <f>D383+F383-H383</f>
        <v>0</v>
      </c>
    </row>
    <row r="384" spans="2:10" ht="24.95" customHeight="1" x14ac:dyDescent="0.25">
      <c r="B384" s="43" t="s">
        <v>246</v>
      </c>
      <c r="C384" s="4">
        <v>0</v>
      </c>
      <c r="D384" s="5">
        <v>0</v>
      </c>
      <c r="E384" s="3">
        <v>3</v>
      </c>
      <c r="F384" s="3">
        <v>119000000</v>
      </c>
      <c r="G384" s="3">
        <v>1</v>
      </c>
      <c r="H384" s="3">
        <v>35000000</v>
      </c>
      <c r="I384" s="3">
        <f>C384+E384-G384</f>
        <v>2</v>
      </c>
      <c r="J384" s="44">
        <f>D384+F384-H384</f>
        <v>84000000</v>
      </c>
    </row>
    <row r="385" spans="2:10" ht="24.95" customHeight="1" x14ac:dyDescent="0.25">
      <c r="B385" s="45" t="s">
        <v>245</v>
      </c>
      <c r="C385" s="9">
        <v>1</v>
      </c>
      <c r="D385" s="2">
        <v>148194</v>
      </c>
      <c r="E385" s="4">
        <v>0</v>
      </c>
      <c r="F385" s="4">
        <v>0</v>
      </c>
      <c r="G385" s="4">
        <v>0</v>
      </c>
      <c r="H385" s="4">
        <v>0</v>
      </c>
      <c r="I385" s="3">
        <f>C385+E385-G385</f>
        <v>1</v>
      </c>
      <c r="J385" s="44">
        <f>D385+F385-H385</f>
        <v>148194</v>
      </c>
    </row>
    <row r="386" spans="2:10" ht="24.95" customHeight="1" x14ac:dyDescent="0.25">
      <c r="B386" s="48" t="s">
        <v>244</v>
      </c>
      <c r="C386" s="4">
        <v>10</v>
      </c>
      <c r="D386" s="2">
        <v>199110</v>
      </c>
      <c r="E386" s="4">
        <v>2</v>
      </c>
      <c r="F386" s="2">
        <v>43300</v>
      </c>
      <c r="G386" s="4">
        <v>3</v>
      </c>
      <c r="H386" s="4">
        <v>59733</v>
      </c>
      <c r="I386" s="3">
        <f>C386+E386-G386</f>
        <v>9</v>
      </c>
      <c r="J386" s="44">
        <f>D386+F386-H386</f>
        <v>182677</v>
      </c>
    </row>
    <row r="387" spans="2:10" ht="24.95" customHeight="1" x14ac:dyDescent="0.25">
      <c r="B387" s="45" t="s">
        <v>243</v>
      </c>
      <c r="C387" s="9">
        <v>14</v>
      </c>
      <c r="D387" s="13">
        <v>171201</v>
      </c>
      <c r="E387" s="9">
        <v>0</v>
      </c>
      <c r="F387" s="9">
        <v>0</v>
      </c>
      <c r="G387" s="9">
        <v>3</v>
      </c>
      <c r="H387" s="9">
        <v>40707</v>
      </c>
      <c r="I387" s="3">
        <f>C387+E387-G387</f>
        <v>11</v>
      </c>
      <c r="J387" s="44">
        <f>D387+F387-H387</f>
        <v>130494</v>
      </c>
    </row>
    <row r="388" spans="2:10" ht="24.95" customHeight="1" x14ac:dyDescent="0.25">
      <c r="B388" s="48" t="s">
        <v>242</v>
      </c>
      <c r="C388" s="4">
        <v>7</v>
      </c>
      <c r="D388" s="5">
        <v>181803</v>
      </c>
      <c r="E388" s="4">
        <v>5</v>
      </c>
      <c r="F388" s="2">
        <v>100515</v>
      </c>
      <c r="G388" s="4">
        <v>1</v>
      </c>
      <c r="H388" s="4">
        <v>18489</v>
      </c>
      <c r="I388" s="3">
        <f>C388+E388-G388</f>
        <v>11</v>
      </c>
      <c r="J388" s="44">
        <f>D388+F388-H388</f>
        <v>263829</v>
      </c>
    </row>
    <row r="389" spans="2:10" ht="24.95" customHeight="1" x14ac:dyDescent="0.25">
      <c r="B389" s="45" t="s">
        <v>241</v>
      </c>
      <c r="C389" s="9">
        <v>23</v>
      </c>
      <c r="D389" s="13">
        <v>291544</v>
      </c>
      <c r="E389" s="9">
        <v>0</v>
      </c>
      <c r="F389" s="9">
        <v>0</v>
      </c>
      <c r="G389" s="9">
        <v>2</v>
      </c>
      <c r="H389" s="9">
        <v>22968</v>
      </c>
      <c r="I389" s="3">
        <f>C389+E389-G389</f>
        <v>21</v>
      </c>
      <c r="J389" s="44">
        <f>D389+F389-H389</f>
        <v>268576</v>
      </c>
    </row>
    <row r="390" spans="2:10" ht="24.95" customHeight="1" x14ac:dyDescent="0.25">
      <c r="B390" s="45" t="s">
        <v>240</v>
      </c>
      <c r="C390" s="9">
        <v>5</v>
      </c>
      <c r="D390" s="2">
        <v>78220</v>
      </c>
      <c r="E390" s="9">
        <v>0</v>
      </c>
      <c r="F390" s="9">
        <v>0</v>
      </c>
      <c r="G390" s="9">
        <v>1</v>
      </c>
      <c r="H390" s="9">
        <v>15644</v>
      </c>
      <c r="I390" s="3">
        <f>C390+E390-G390</f>
        <v>4</v>
      </c>
      <c r="J390" s="44">
        <f>D390+F390-H390</f>
        <v>62576</v>
      </c>
    </row>
    <row r="391" spans="2:10" ht="24.95" customHeight="1" x14ac:dyDescent="0.25">
      <c r="B391" s="45" t="s">
        <v>239</v>
      </c>
      <c r="C391" s="9">
        <v>4</v>
      </c>
      <c r="D391" s="2">
        <v>28444</v>
      </c>
      <c r="E391" s="9">
        <v>0</v>
      </c>
      <c r="F391" s="9">
        <v>0</v>
      </c>
      <c r="G391" s="9">
        <v>0</v>
      </c>
      <c r="H391" s="9">
        <v>0</v>
      </c>
      <c r="I391" s="3">
        <f>C391+E391-G391</f>
        <v>4</v>
      </c>
      <c r="J391" s="44">
        <f>D391+F391-H391</f>
        <v>28444</v>
      </c>
    </row>
    <row r="392" spans="2:10" ht="24.95" customHeight="1" x14ac:dyDescent="0.25">
      <c r="B392" s="48" t="s">
        <v>238</v>
      </c>
      <c r="C392" s="4">
        <v>9</v>
      </c>
      <c r="D392" s="5">
        <v>127998</v>
      </c>
      <c r="E392" s="4">
        <v>1</v>
      </c>
      <c r="F392" s="4">
        <v>15464</v>
      </c>
      <c r="G392" s="4">
        <v>0</v>
      </c>
      <c r="H392" s="4">
        <v>0</v>
      </c>
      <c r="I392" s="3">
        <f>C392+E392-G392</f>
        <v>10</v>
      </c>
      <c r="J392" s="44">
        <f>D392+F392-H392</f>
        <v>143462</v>
      </c>
    </row>
    <row r="393" spans="2:10" ht="24.95" customHeight="1" x14ac:dyDescent="0.25">
      <c r="B393" s="45" t="s">
        <v>237</v>
      </c>
      <c r="C393" s="9">
        <v>10</v>
      </c>
      <c r="D393" s="13">
        <v>106316</v>
      </c>
      <c r="E393" s="9">
        <v>0</v>
      </c>
      <c r="F393" s="9">
        <v>0</v>
      </c>
      <c r="G393" s="9">
        <v>3</v>
      </c>
      <c r="H393" s="9">
        <v>30190</v>
      </c>
      <c r="I393" s="3">
        <f>C393+E393-G393</f>
        <v>7</v>
      </c>
      <c r="J393" s="44">
        <f>D393+F393-H393</f>
        <v>76126</v>
      </c>
    </row>
    <row r="394" spans="2:10" ht="24.95" customHeight="1" x14ac:dyDescent="0.25">
      <c r="B394" s="48" t="s">
        <v>236</v>
      </c>
      <c r="C394" s="4">
        <v>9</v>
      </c>
      <c r="D394" s="5">
        <v>102402</v>
      </c>
      <c r="E394" s="4">
        <v>1</v>
      </c>
      <c r="F394" s="4">
        <v>12371</v>
      </c>
      <c r="G394" s="4"/>
      <c r="H394" s="4"/>
      <c r="I394" s="3">
        <f>C394+E394-G394</f>
        <v>10</v>
      </c>
      <c r="J394" s="44">
        <f>D394+F394-H394</f>
        <v>114773</v>
      </c>
    </row>
    <row r="395" spans="2:10" ht="24.95" customHeight="1" x14ac:dyDescent="0.25">
      <c r="B395" s="48" t="s">
        <v>235</v>
      </c>
      <c r="C395" s="4">
        <v>9</v>
      </c>
      <c r="D395" s="5">
        <v>63999</v>
      </c>
      <c r="E395" s="4">
        <v>2</v>
      </c>
      <c r="F395" s="4">
        <v>15464</v>
      </c>
      <c r="G395" s="4">
        <v>2</v>
      </c>
      <c r="H395" s="4">
        <v>14222</v>
      </c>
      <c r="I395" s="3">
        <f>C395+E395-G395</f>
        <v>9</v>
      </c>
      <c r="J395" s="44">
        <f>D395+F395-H395</f>
        <v>65241</v>
      </c>
    </row>
    <row r="396" spans="2:10" ht="24.95" customHeight="1" x14ac:dyDescent="0.25">
      <c r="B396" s="48" t="s">
        <v>234</v>
      </c>
      <c r="C396" s="4">
        <v>0</v>
      </c>
      <c r="D396" s="5">
        <v>0</v>
      </c>
      <c r="E396" s="4">
        <v>8</v>
      </c>
      <c r="F396" s="4">
        <v>86600</v>
      </c>
      <c r="G396" s="4"/>
      <c r="H396" s="4"/>
      <c r="I396" s="3">
        <f>C396+E396-G396</f>
        <v>8</v>
      </c>
      <c r="J396" s="44">
        <f>D396+F396-H396</f>
        <v>86600</v>
      </c>
    </row>
    <row r="397" spans="2:10" ht="24.95" customHeight="1" x14ac:dyDescent="0.25">
      <c r="B397" s="45" t="s">
        <v>233</v>
      </c>
      <c r="C397" s="9">
        <v>12</v>
      </c>
      <c r="D397" s="13">
        <v>1662492</v>
      </c>
      <c r="E397" s="9">
        <v>0</v>
      </c>
      <c r="F397" s="9">
        <v>0</v>
      </c>
      <c r="G397" s="9">
        <v>6</v>
      </c>
      <c r="H397" s="9">
        <v>831246</v>
      </c>
      <c r="I397" s="3">
        <f>C397+E397-G397</f>
        <v>6</v>
      </c>
      <c r="J397" s="44">
        <f>D397+F397-H397</f>
        <v>831246</v>
      </c>
    </row>
    <row r="398" spans="2:10" ht="24.95" customHeight="1" x14ac:dyDescent="0.25">
      <c r="B398" s="45" t="s">
        <v>232</v>
      </c>
      <c r="C398" s="9">
        <v>16</v>
      </c>
      <c r="D398" s="13">
        <v>896848</v>
      </c>
      <c r="E398" s="9">
        <v>0</v>
      </c>
      <c r="F398" s="9">
        <v>0</v>
      </c>
      <c r="G398" s="9">
        <v>0</v>
      </c>
      <c r="H398" s="9">
        <v>0</v>
      </c>
      <c r="I398" s="3">
        <f>C398+E398-G398</f>
        <v>16</v>
      </c>
      <c r="J398" s="44">
        <f>D398+F398-H398</f>
        <v>896848</v>
      </c>
    </row>
    <row r="399" spans="2:10" ht="24.95" customHeight="1" x14ac:dyDescent="0.25">
      <c r="B399" s="49" t="s">
        <v>231</v>
      </c>
      <c r="C399" s="9">
        <v>10</v>
      </c>
      <c r="D399" s="13">
        <v>283330</v>
      </c>
      <c r="E399" s="9">
        <v>0</v>
      </c>
      <c r="F399" s="9">
        <v>0</v>
      </c>
      <c r="G399" s="9">
        <v>0</v>
      </c>
      <c r="H399" s="9">
        <v>0</v>
      </c>
      <c r="I399" s="3">
        <f>C399+E399-G399</f>
        <v>10</v>
      </c>
      <c r="J399" s="44">
        <f>D399+F399-H399</f>
        <v>283330</v>
      </c>
    </row>
    <row r="400" spans="2:10" ht="24.95" customHeight="1" x14ac:dyDescent="0.25">
      <c r="B400" s="49" t="s">
        <v>230</v>
      </c>
      <c r="C400" s="9">
        <v>3</v>
      </c>
      <c r="D400" s="13">
        <v>55995</v>
      </c>
      <c r="E400" s="9">
        <v>0</v>
      </c>
      <c r="F400" s="9">
        <v>0</v>
      </c>
      <c r="G400" s="9">
        <v>3</v>
      </c>
      <c r="H400" s="9">
        <v>55995</v>
      </c>
      <c r="I400" s="3">
        <f>C400+E400-G400</f>
        <v>0</v>
      </c>
      <c r="J400" s="46">
        <f>D400+F400-H400</f>
        <v>0</v>
      </c>
    </row>
    <row r="401" spans="2:10" ht="24.95" customHeight="1" x14ac:dyDescent="0.25">
      <c r="B401" s="48" t="s">
        <v>229</v>
      </c>
      <c r="C401" s="4">
        <v>2</v>
      </c>
      <c r="D401" s="2">
        <v>29593503</v>
      </c>
      <c r="E401" s="4">
        <v>0</v>
      </c>
      <c r="F401" s="4">
        <v>0</v>
      </c>
      <c r="G401" s="4">
        <v>0</v>
      </c>
      <c r="H401" s="4">
        <v>0</v>
      </c>
      <c r="I401" s="3">
        <f>C401+E401-G401</f>
        <v>2</v>
      </c>
      <c r="J401" s="44">
        <f>D401+F401-H401</f>
        <v>29593503</v>
      </c>
    </row>
    <row r="402" spans="2:10" ht="24.95" customHeight="1" x14ac:dyDescent="0.25">
      <c r="B402" s="45" t="s">
        <v>228</v>
      </c>
      <c r="C402" s="9">
        <v>1</v>
      </c>
      <c r="D402" s="2">
        <v>871901</v>
      </c>
      <c r="E402" s="4">
        <v>0</v>
      </c>
      <c r="F402" s="4">
        <v>0</v>
      </c>
      <c r="G402" s="4">
        <v>0</v>
      </c>
      <c r="H402" s="4">
        <v>0</v>
      </c>
      <c r="I402" s="3">
        <f>C402+E402-G402</f>
        <v>1</v>
      </c>
      <c r="J402" s="44">
        <f>D402+F402-H402</f>
        <v>871901</v>
      </c>
    </row>
    <row r="403" spans="2:10" ht="24.95" customHeight="1" x14ac:dyDescent="0.25">
      <c r="B403" s="45" t="s">
        <v>227</v>
      </c>
      <c r="C403" s="9">
        <v>1</v>
      </c>
      <c r="D403" s="13">
        <v>2164944</v>
      </c>
      <c r="E403" s="4">
        <v>0</v>
      </c>
      <c r="F403" s="4">
        <v>0</v>
      </c>
      <c r="G403" s="4">
        <v>0</v>
      </c>
      <c r="H403" s="4">
        <v>0</v>
      </c>
      <c r="I403" s="3">
        <f>C403+E403-G403</f>
        <v>1</v>
      </c>
      <c r="J403" s="44">
        <f>D403+F403-H403</f>
        <v>2164944</v>
      </c>
    </row>
    <row r="404" spans="2:10" ht="24.95" customHeight="1" x14ac:dyDescent="0.25">
      <c r="B404" s="48" t="s">
        <v>226</v>
      </c>
      <c r="C404" s="4">
        <v>0</v>
      </c>
      <c r="D404" s="5">
        <v>0</v>
      </c>
      <c r="E404" s="4">
        <v>3</v>
      </c>
      <c r="F404" s="4">
        <v>12068044</v>
      </c>
      <c r="G404" s="4">
        <v>3</v>
      </c>
      <c r="H404" s="4">
        <v>12068044</v>
      </c>
      <c r="I404" s="3">
        <f>C404+E404-G404</f>
        <v>0</v>
      </c>
      <c r="J404" s="46">
        <f>D404+F404-H404</f>
        <v>0</v>
      </c>
    </row>
    <row r="405" spans="2:10" ht="24.95" customHeight="1" x14ac:dyDescent="0.25">
      <c r="B405" s="43" t="s">
        <v>225</v>
      </c>
      <c r="C405" s="11">
        <v>1</v>
      </c>
      <c r="D405" s="2">
        <v>817181</v>
      </c>
      <c r="E405" s="11">
        <v>0</v>
      </c>
      <c r="F405" s="11">
        <v>0</v>
      </c>
      <c r="G405" s="11">
        <v>1</v>
      </c>
      <c r="H405" s="2">
        <v>817181</v>
      </c>
      <c r="I405" s="3">
        <f>C405+E405-G405</f>
        <v>0</v>
      </c>
      <c r="J405" s="46">
        <f>D405+F405-H405</f>
        <v>0</v>
      </c>
    </row>
    <row r="406" spans="2:10" ht="24.95" customHeight="1" x14ac:dyDescent="0.25">
      <c r="B406" s="45" t="s">
        <v>224</v>
      </c>
      <c r="C406" s="9">
        <v>1</v>
      </c>
      <c r="D406" s="2">
        <v>1420000</v>
      </c>
      <c r="E406" s="11">
        <v>0</v>
      </c>
      <c r="F406" s="11">
        <v>0</v>
      </c>
      <c r="G406" s="9">
        <v>1</v>
      </c>
      <c r="H406" s="2">
        <v>1420000</v>
      </c>
      <c r="I406" s="3">
        <f>C406+E406-G406</f>
        <v>0</v>
      </c>
      <c r="J406" s="46">
        <f>D406+F406-H406</f>
        <v>0</v>
      </c>
    </row>
    <row r="407" spans="2:10" ht="24.95" customHeight="1" x14ac:dyDescent="0.25">
      <c r="B407" s="45" t="s">
        <v>223</v>
      </c>
      <c r="C407" s="9">
        <v>1</v>
      </c>
      <c r="D407" s="2">
        <v>6055728</v>
      </c>
      <c r="E407" s="11">
        <v>0</v>
      </c>
      <c r="F407" s="11">
        <v>0</v>
      </c>
      <c r="G407" s="9">
        <v>1</v>
      </c>
      <c r="H407" s="2">
        <v>6055728</v>
      </c>
      <c r="I407" s="3">
        <f>C407+E407-G407</f>
        <v>0</v>
      </c>
      <c r="J407" s="46">
        <f>D407+F407-H407</f>
        <v>0</v>
      </c>
    </row>
    <row r="408" spans="2:10" ht="24.95" customHeight="1" x14ac:dyDescent="0.25">
      <c r="B408" s="43" t="s">
        <v>222</v>
      </c>
      <c r="C408" s="3">
        <v>9</v>
      </c>
      <c r="D408" s="8">
        <v>4080101</v>
      </c>
      <c r="E408" s="3">
        <v>5</v>
      </c>
      <c r="F408" s="3">
        <v>3000000</v>
      </c>
      <c r="G408" s="3">
        <v>9</v>
      </c>
      <c r="H408" s="3">
        <v>4080101</v>
      </c>
      <c r="I408" s="3">
        <f>C408+E408-G408</f>
        <v>5</v>
      </c>
      <c r="J408" s="44">
        <f>D408+F408-H408</f>
        <v>3000000</v>
      </c>
    </row>
    <row r="409" spans="2:10" ht="24.95" customHeight="1" x14ac:dyDescent="0.25">
      <c r="B409" s="48" t="s">
        <v>221</v>
      </c>
      <c r="C409" s="4">
        <v>0</v>
      </c>
      <c r="D409" s="5">
        <v>0</v>
      </c>
      <c r="E409" s="4">
        <v>1</v>
      </c>
      <c r="F409" s="2">
        <v>960387</v>
      </c>
      <c r="G409" s="4">
        <v>1</v>
      </c>
      <c r="H409" s="2">
        <v>960387</v>
      </c>
      <c r="I409" s="3">
        <f>C409+E409-G409</f>
        <v>0</v>
      </c>
      <c r="J409" s="46">
        <f>D409+F409-H409</f>
        <v>0</v>
      </c>
    </row>
    <row r="410" spans="2:10" ht="24.95" customHeight="1" x14ac:dyDescent="0.25">
      <c r="B410" s="48" t="s">
        <v>220</v>
      </c>
      <c r="C410" s="4">
        <v>1</v>
      </c>
      <c r="D410" s="5">
        <v>308652</v>
      </c>
      <c r="E410" s="4">
        <v>1</v>
      </c>
      <c r="F410" s="4">
        <v>509551</v>
      </c>
      <c r="G410" s="4">
        <v>0</v>
      </c>
      <c r="H410" s="4">
        <v>0</v>
      </c>
      <c r="I410" s="3">
        <f>C410+E410-G410</f>
        <v>2</v>
      </c>
      <c r="J410" s="44">
        <f>D410+F410-H410</f>
        <v>818203</v>
      </c>
    </row>
    <row r="411" spans="2:10" ht="24.95" customHeight="1" x14ac:dyDescent="0.25">
      <c r="B411" s="48" t="s">
        <v>219</v>
      </c>
      <c r="C411" s="4">
        <v>0</v>
      </c>
      <c r="D411" s="5">
        <v>0</v>
      </c>
      <c r="E411" s="4">
        <v>1</v>
      </c>
      <c r="F411" s="2">
        <v>305276</v>
      </c>
      <c r="G411" s="4">
        <v>1</v>
      </c>
      <c r="H411" s="2">
        <v>305276</v>
      </c>
      <c r="I411" s="3">
        <f>C411+E411-G411</f>
        <v>0</v>
      </c>
      <c r="J411" s="46">
        <f>D411+F411-H411</f>
        <v>0</v>
      </c>
    </row>
    <row r="412" spans="2:10" ht="24.95" customHeight="1" x14ac:dyDescent="0.25">
      <c r="B412" s="48" t="s">
        <v>218</v>
      </c>
      <c r="C412" s="4">
        <v>0</v>
      </c>
      <c r="D412" s="5">
        <v>0</v>
      </c>
      <c r="E412" s="4">
        <v>5</v>
      </c>
      <c r="F412" s="4">
        <v>1134421</v>
      </c>
      <c r="G412" s="4">
        <v>5</v>
      </c>
      <c r="H412" s="4">
        <v>1134421</v>
      </c>
      <c r="I412" s="3">
        <f>C412+E412-G412</f>
        <v>0</v>
      </c>
      <c r="J412" s="46">
        <f>D412+F412-H412</f>
        <v>0</v>
      </c>
    </row>
    <row r="413" spans="2:10" ht="24.95" customHeight="1" x14ac:dyDescent="0.25">
      <c r="B413" s="48" t="s">
        <v>217</v>
      </c>
      <c r="C413" s="4">
        <v>0</v>
      </c>
      <c r="D413" s="2">
        <v>0</v>
      </c>
      <c r="E413" s="4">
        <v>4</v>
      </c>
      <c r="F413" s="4">
        <v>41606355</v>
      </c>
      <c r="G413" s="4">
        <v>3</v>
      </c>
      <c r="H413" s="4">
        <v>30470261</v>
      </c>
      <c r="I413" s="3">
        <f>C413+E413-G413</f>
        <v>1</v>
      </c>
      <c r="J413" s="44">
        <f>D413+F413-H413</f>
        <v>11136094</v>
      </c>
    </row>
    <row r="414" spans="2:10" ht="24.95" customHeight="1" x14ac:dyDescent="0.25">
      <c r="B414" s="48" t="s">
        <v>216</v>
      </c>
      <c r="C414" s="4">
        <v>0</v>
      </c>
      <c r="D414" s="5">
        <v>0</v>
      </c>
      <c r="E414" s="4">
        <v>1</v>
      </c>
      <c r="F414" s="2">
        <v>8469253</v>
      </c>
      <c r="G414" s="4">
        <v>1</v>
      </c>
      <c r="H414" s="2">
        <v>8469253</v>
      </c>
      <c r="I414" s="3">
        <f>C414+E414-G414</f>
        <v>0</v>
      </c>
      <c r="J414" s="46">
        <f>D414+F414-H414</f>
        <v>0</v>
      </c>
    </row>
    <row r="415" spans="2:10" ht="24.95" customHeight="1" x14ac:dyDescent="0.25">
      <c r="B415" s="48" t="s">
        <v>215</v>
      </c>
      <c r="C415" s="4">
        <v>0</v>
      </c>
      <c r="D415" s="5">
        <v>0</v>
      </c>
      <c r="E415" s="4">
        <v>1</v>
      </c>
      <c r="F415" s="2">
        <v>9149803</v>
      </c>
      <c r="G415" s="4">
        <v>1</v>
      </c>
      <c r="H415" s="2">
        <v>9149803</v>
      </c>
      <c r="I415" s="3">
        <f>C415+E415-G415</f>
        <v>0</v>
      </c>
      <c r="J415" s="46">
        <f>D415+F415-H415</f>
        <v>0</v>
      </c>
    </row>
    <row r="416" spans="2:10" ht="24.95" customHeight="1" x14ac:dyDescent="0.25">
      <c r="B416" s="48" t="s">
        <v>214</v>
      </c>
      <c r="C416" s="4">
        <v>0</v>
      </c>
      <c r="D416" s="5">
        <v>0</v>
      </c>
      <c r="E416" s="4">
        <v>1</v>
      </c>
      <c r="F416" s="2">
        <v>14953750</v>
      </c>
      <c r="G416" s="4">
        <v>1</v>
      </c>
      <c r="H416" s="2">
        <v>14953750</v>
      </c>
      <c r="I416" s="3">
        <f>C416+E416-G416</f>
        <v>0</v>
      </c>
      <c r="J416" s="46">
        <f>D416+F416-H416</f>
        <v>0</v>
      </c>
    </row>
    <row r="417" spans="2:10" ht="24.95" customHeight="1" x14ac:dyDescent="0.25">
      <c r="B417" s="48" t="s">
        <v>213</v>
      </c>
      <c r="C417" s="4">
        <v>0</v>
      </c>
      <c r="D417" s="5">
        <v>0</v>
      </c>
      <c r="E417" s="4">
        <v>1</v>
      </c>
      <c r="F417" s="2">
        <v>8049988</v>
      </c>
      <c r="G417" s="4">
        <v>1</v>
      </c>
      <c r="H417" s="2">
        <v>8049988</v>
      </c>
      <c r="I417" s="3">
        <f>C417+E417-G417</f>
        <v>0</v>
      </c>
      <c r="J417" s="46">
        <f>D417+F417-H417</f>
        <v>0</v>
      </c>
    </row>
    <row r="418" spans="2:10" ht="24.95" customHeight="1" x14ac:dyDescent="0.25">
      <c r="B418" s="45" t="s">
        <v>212</v>
      </c>
      <c r="C418" s="9">
        <v>1</v>
      </c>
      <c r="D418" s="2">
        <v>3515062</v>
      </c>
      <c r="E418" s="9">
        <v>0</v>
      </c>
      <c r="F418" s="9">
        <v>0</v>
      </c>
      <c r="G418" s="9">
        <v>1</v>
      </c>
      <c r="H418" s="2">
        <v>3515062</v>
      </c>
      <c r="I418" s="3">
        <f>C418+E418-G418</f>
        <v>0</v>
      </c>
      <c r="J418" s="46">
        <f>D418+F418-H418</f>
        <v>0</v>
      </c>
    </row>
    <row r="419" spans="2:10" ht="24.95" customHeight="1" x14ac:dyDescent="0.25">
      <c r="B419" s="48" t="s">
        <v>211</v>
      </c>
      <c r="C419" s="4">
        <v>0</v>
      </c>
      <c r="D419" s="5">
        <v>0</v>
      </c>
      <c r="E419" s="4">
        <v>2</v>
      </c>
      <c r="F419" s="4">
        <v>7032094</v>
      </c>
      <c r="G419" s="4">
        <v>2</v>
      </c>
      <c r="H419" s="4">
        <v>7032094</v>
      </c>
      <c r="I419" s="3">
        <f>C419+E419-G419</f>
        <v>0</v>
      </c>
      <c r="J419" s="46">
        <f>D419+F419-H419</f>
        <v>0</v>
      </c>
    </row>
    <row r="420" spans="2:10" ht="24.95" customHeight="1" x14ac:dyDescent="0.25">
      <c r="B420" s="43" t="s">
        <v>210</v>
      </c>
      <c r="C420" s="3">
        <v>0</v>
      </c>
      <c r="D420" s="8">
        <v>0</v>
      </c>
      <c r="E420" s="3">
        <v>2</v>
      </c>
      <c r="F420" s="3">
        <v>7800000</v>
      </c>
      <c r="G420" s="3">
        <v>2</v>
      </c>
      <c r="H420" s="3">
        <v>7800000</v>
      </c>
      <c r="I420" s="3">
        <f>C420+E420-G420</f>
        <v>0</v>
      </c>
      <c r="J420" s="46">
        <f>D420+F420-H420</f>
        <v>0</v>
      </c>
    </row>
    <row r="421" spans="2:10" ht="24.95" customHeight="1" x14ac:dyDescent="0.25">
      <c r="B421" s="48" t="s">
        <v>209</v>
      </c>
      <c r="C421" s="4">
        <v>0</v>
      </c>
      <c r="D421" s="5">
        <v>0</v>
      </c>
      <c r="E421" s="4">
        <v>1</v>
      </c>
      <c r="F421" s="2">
        <v>7804361</v>
      </c>
      <c r="G421" s="4">
        <v>1</v>
      </c>
      <c r="H421" s="2">
        <v>7804361</v>
      </c>
      <c r="I421" s="3">
        <f>C421+E421-G421</f>
        <v>0</v>
      </c>
      <c r="J421" s="46">
        <f>D421+F421-H421</f>
        <v>0</v>
      </c>
    </row>
    <row r="422" spans="2:10" ht="24.95" customHeight="1" x14ac:dyDescent="0.25">
      <c r="B422" s="48" t="s">
        <v>208</v>
      </c>
      <c r="C422" s="4">
        <v>2</v>
      </c>
      <c r="D422" s="5">
        <v>9699498</v>
      </c>
      <c r="E422" s="4">
        <v>9</v>
      </c>
      <c r="F422" s="4">
        <v>49532964</v>
      </c>
      <c r="G422" s="4">
        <v>9</v>
      </c>
      <c r="H422" s="4">
        <v>48798275</v>
      </c>
      <c r="I422" s="3">
        <f>C422+E422-G422</f>
        <v>2</v>
      </c>
      <c r="J422" s="44">
        <f>D422+F422-H422</f>
        <v>10434187</v>
      </c>
    </row>
    <row r="423" spans="2:10" ht="24.95" customHeight="1" x14ac:dyDescent="0.25">
      <c r="B423" s="48" t="s">
        <v>207</v>
      </c>
      <c r="C423" s="4">
        <v>0</v>
      </c>
      <c r="D423" s="5">
        <v>0</v>
      </c>
      <c r="E423" s="4">
        <v>6</v>
      </c>
      <c r="F423" s="4">
        <v>5577874</v>
      </c>
      <c r="G423" s="4">
        <v>5</v>
      </c>
      <c r="H423" s="4">
        <v>4650920</v>
      </c>
      <c r="I423" s="3">
        <f>C423+E423-G423</f>
        <v>1</v>
      </c>
      <c r="J423" s="44">
        <f>D423+F423-H423</f>
        <v>926954</v>
      </c>
    </row>
    <row r="424" spans="2:10" ht="24.95" customHeight="1" x14ac:dyDescent="0.25">
      <c r="B424" s="48" t="s">
        <v>206</v>
      </c>
      <c r="C424" s="4">
        <v>0</v>
      </c>
      <c r="D424" s="5">
        <v>0</v>
      </c>
      <c r="E424" s="4">
        <v>2</v>
      </c>
      <c r="F424" s="2">
        <v>1842580</v>
      </c>
      <c r="G424" s="4">
        <v>2</v>
      </c>
      <c r="H424" s="2">
        <v>1842580</v>
      </c>
      <c r="I424" s="3">
        <f>C424+E424-G424</f>
        <v>0</v>
      </c>
      <c r="J424" s="46">
        <f>D424+F424-H424</f>
        <v>0</v>
      </c>
    </row>
    <row r="425" spans="2:10" ht="24.95" customHeight="1" x14ac:dyDescent="0.25">
      <c r="B425" s="48" t="s">
        <v>205</v>
      </c>
      <c r="C425" s="4">
        <v>0</v>
      </c>
      <c r="D425" s="5">
        <v>0</v>
      </c>
      <c r="E425" s="4">
        <v>1</v>
      </c>
      <c r="F425" s="2">
        <v>4305658</v>
      </c>
      <c r="G425" s="4">
        <v>1</v>
      </c>
      <c r="H425" s="2">
        <v>4305658</v>
      </c>
      <c r="I425" s="3">
        <f>C425+E425-G425</f>
        <v>0</v>
      </c>
      <c r="J425" s="46">
        <f>D425+F425-H425</f>
        <v>0</v>
      </c>
    </row>
    <row r="426" spans="2:10" ht="24.95" customHeight="1" x14ac:dyDescent="0.25">
      <c r="B426" s="49" t="s">
        <v>204</v>
      </c>
      <c r="C426" s="9">
        <v>1</v>
      </c>
      <c r="D426" s="13">
        <v>703606</v>
      </c>
      <c r="E426" s="4">
        <v>0</v>
      </c>
      <c r="F426" s="4">
        <v>0</v>
      </c>
      <c r="G426" s="9">
        <v>1</v>
      </c>
      <c r="H426" s="9">
        <v>703606</v>
      </c>
      <c r="I426" s="3">
        <f>C426+E426-G426</f>
        <v>0</v>
      </c>
      <c r="J426" s="46">
        <f>D426+F426-H426</f>
        <v>0</v>
      </c>
    </row>
    <row r="427" spans="2:10" ht="24.95" customHeight="1" x14ac:dyDescent="0.25">
      <c r="B427" s="48" t="s">
        <v>203</v>
      </c>
      <c r="C427" s="4">
        <v>0</v>
      </c>
      <c r="D427" s="5">
        <v>0</v>
      </c>
      <c r="E427" s="4">
        <v>3</v>
      </c>
      <c r="F427" s="4">
        <v>3300196</v>
      </c>
      <c r="G427" s="4">
        <v>3</v>
      </c>
      <c r="H427" s="4">
        <v>3300196</v>
      </c>
      <c r="I427" s="3">
        <f>C427+E427-G427</f>
        <v>0</v>
      </c>
      <c r="J427" s="46">
        <f>D427+F427-H427</f>
        <v>0</v>
      </c>
    </row>
    <row r="428" spans="2:10" ht="24.95" customHeight="1" x14ac:dyDescent="0.25">
      <c r="B428" s="45" t="s">
        <v>202</v>
      </c>
      <c r="C428" s="9">
        <v>3</v>
      </c>
      <c r="D428" s="13">
        <v>84963</v>
      </c>
      <c r="E428" s="4">
        <v>0</v>
      </c>
      <c r="F428" s="4">
        <v>0</v>
      </c>
      <c r="G428" s="4">
        <v>0</v>
      </c>
      <c r="H428" s="4">
        <v>0</v>
      </c>
      <c r="I428" s="3">
        <f>C428+E428-G428</f>
        <v>3</v>
      </c>
      <c r="J428" s="44">
        <f>D428+F428-H428</f>
        <v>84963</v>
      </c>
    </row>
    <row r="429" spans="2:10" ht="24.95" customHeight="1" x14ac:dyDescent="0.25">
      <c r="B429" s="45" t="s">
        <v>201</v>
      </c>
      <c r="C429" s="9">
        <v>2</v>
      </c>
      <c r="D429" s="13">
        <v>1311682</v>
      </c>
      <c r="E429" s="9">
        <v>0</v>
      </c>
      <c r="F429" s="9">
        <v>0</v>
      </c>
      <c r="G429" s="9">
        <v>0</v>
      </c>
      <c r="H429" s="9">
        <v>0</v>
      </c>
      <c r="I429" s="3">
        <f>C429+E429-G429</f>
        <v>2</v>
      </c>
      <c r="J429" s="44">
        <f>D429+F429-H429</f>
        <v>1311682</v>
      </c>
    </row>
    <row r="430" spans="2:10" ht="24.95" customHeight="1" x14ac:dyDescent="0.25">
      <c r="B430" s="43" t="s">
        <v>200</v>
      </c>
      <c r="C430" s="3">
        <v>0</v>
      </c>
      <c r="D430" s="8">
        <v>0</v>
      </c>
      <c r="E430" s="3">
        <v>1</v>
      </c>
      <c r="F430" s="7">
        <v>1200000</v>
      </c>
      <c r="G430" s="3">
        <v>1</v>
      </c>
      <c r="H430" s="7">
        <v>1200000</v>
      </c>
      <c r="I430" s="3">
        <f>C430+E430-G430</f>
        <v>0</v>
      </c>
      <c r="J430" s="46">
        <f>D430+F430-H430</f>
        <v>0</v>
      </c>
    </row>
    <row r="431" spans="2:10" ht="24.95" customHeight="1" x14ac:dyDescent="0.25">
      <c r="B431" s="43" t="s">
        <v>199</v>
      </c>
      <c r="C431" s="3">
        <v>0</v>
      </c>
      <c r="D431" s="8">
        <v>0</v>
      </c>
      <c r="E431" s="3">
        <v>3</v>
      </c>
      <c r="F431" s="3">
        <v>16260000</v>
      </c>
      <c r="G431" s="3">
        <v>3</v>
      </c>
      <c r="H431" s="3">
        <v>16260000</v>
      </c>
      <c r="I431" s="3">
        <f>C431+E431-G431</f>
        <v>0</v>
      </c>
      <c r="J431" s="46">
        <f>D431+F431-H431</f>
        <v>0</v>
      </c>
    </row>
    <row r="432" spans="2:10" ht="24.95" customHeight="1" x14ac:dyDescent="0.25">
      <c r="B432" s="45" t="s">
        <v>198</v>
      </c>
      <c r="C432" s="9">
        <v>1</v>
      </c>
      <c r="D432" s="2">
        <v>2479200</v>
      </c>
      <c r="E432" s="9">
        <v>0</v>
      </c>
      <c r="F432" s="9">
        <v>0</v>
      </c>
      <c r="G432" s="9">
        <v>0</v>
      </c>
      <c r="H432" s="9">
        <v>0</v>
      </c>
      <c r="I432" s="3">
        <f>C432+E432-G432</f>
        <v>1</v>
      </c>
      <c r="J432" s="44">
        <f>D432+F432-H432</f>
        <v>2479200</v>
      </c>
    </row>
    <row r="433" spans="2:10" ht="24.95" customHeight="1" x14ac:dyDescent="0.25">
      <c r="B433" s="48" t="s">
        <v>197</v>
      </c>
      <c r="C433" s="4">
        <v>1</v>
      </c>
      <c r="D433" s="2">
        <v>52619918</v>
      </c>
      <c r="E433" s="9">
        <v>0</v>
      </c>
      <c r="F433" s="9">
        <v>0</v>
      </c>
      <c r="G433" s="4">
        <v>1</v>
      </c>
      <c r="H433" s="2">
        <v>52619918</v>
      </c>
      <c r="I433" s="3">
        <f>C433+E433-G433</f>
        <v>0</v>
      </c>
      <c r="J433" s="46">
        <f>D433+F433-H433</f>
        <v>0</v>
      </c>
    </row>
    <row r="434" spans="2:10" ht="24.95" customHeight="1" x14ac:dyDescent="0.25">
      <c r="B434" s="48" t="s">
        <v>196</v>
      </c>
      <c r="C434" s="4">
        <v>0</v>
      </c>
      <c r="D434" s="5">
        <v>0</v>
      </c>
      <c r="E434" s="4">
        <v>1</v>
      </c>
      <c r="F434" s="2">
        <v>5726703</v>
      </c>
      <c r="G434" s="4">
        <v>1</v>
      </c>
      <c r="H434" s="2">
        <v>5726703</v>
      </c>
      <c r="I434" s="3">
        <f>C434+E434-G434</f>
        <v>0</v>
      </c>
      <c r="J434" s="46">
        <f>D434+F434-H434</f>
        <v>0</v>
      </c>
    </row>
    <row r="435" spans="2:10" ht="24.95" customHeight="1" x14ac:dyDescent="0.25">
      <c r="B435" s="43" t="s">
        <v>195</v>
      </c>
      <c r="C435" s="3">
        <v>0</v>
      </c>
      <c r="D435" s="8">
        <v>0</v>
      </c>
      <c r="E435" s="3">
        <v>4</v>
      </c>
      <c r="F435" s="3">
        <v>681000</v>
      </c>
      <c r="G435" s="3">
        <v>4</v>
      </c>
      <c r="H435" s="3">
        <v>681000</v>
      </c>
      <c r="I435" s="3">
        <f>C435+E435-G435</f>
        <v>0</v>
      </c>
      <c r="J435" s="46">
        <f>D435+F435-H435</f>
        <v>0</v>
      </c>
    </row>
    <row r="436" spans="2:10" ht="24.95" customHeight="1" x14ac:dyDescent="0.25">
      <c r="B436" s="45" t="s">
        <v>194</v>
      </c>
      <c r="C436" s="9">
        <v>1084</v>
      </c>
      <c r="D436" s="13">
        <v>23419376</v>
      </c>
      <c r="E436" s="9">
        <v>0</v>
      </c>
      <c r="F436" s="9">
        <v>0</v>
      </c>
      <c r="G436" s="9">
        <v>596</v>
      </c>
      <c r="H436" s="9">
        <v>12791712</v>
      </c>
      <c r="I436" s="3">
        <f>C436+E436-G436</f>
        <v>488</v>
      </c>
      <c r="J436" s="44">
        <f>D436+F436-H436</f>
        <v>10627664</v>
      </c>
    </row>
    <row r="437" spans="2:10" ht="24.95" customHeight="1" x14ac:dyDescent="0.25">
      <c r="B437" s="48" t="s">
        <v>193</v>
      </c>
      <c r="C437" s="4">
        <v>0</v>
      </c>
      <c r="D437" s="5">
        <v>0</v>
      </c>
      <c r="E437" s="4">
        <v>14</v>
      </c>
      <c r="F437" s="4">
        <v>5405516</v>
      </c>
      <c r="G437" s="4">
        <v>9</v>
      </c>
      <c r="H437" s="4">
        <v>3452002</v>
      </c>
      <c r="I437" s="3">
        <f>C437+E437-G437</f>
        <v>5</v>
      </c>
      <c r="J437" s="44">
        <f>D437+F437-H437</f>
        <v>1953514</v>
      </c>
    </row>
    <row r="438" spans="2:10" ht="24.95" customHeight="1" x14ac:dyDescent="0.25">
      <c r="B438" s="51" t="s">
        <v>192</v>
      </c>
      <c r="C438" s="14">
        <v>0</v>
      </c>
      <c r="D438" s="15">
        <v>0</v>
      </c>
      <c r="E438" s="14">
        <v>6</v>
      </c>
      <c r="F438" s="14">
        <v>4070477</v>
      </c>
      <c r="G438" s="14">
        <v>6</v>
      </c>
      <c r="H438" s="14">
        <v>4070477</v>
      </c>
      <c r="I438" s="3">
        <f>C438+E438-G438</f>
        <v>0</v>
      </c>
      <c r="J438" s="46">
        <f>D438+F438-H438</f>
        <v>0</v>
      </c>
    </row>
    <row r="439" spans="2:10" ht="24.95" customHeight="1" x14ac:dyDescent="0.25">
      <c r="B439" s="48" t="s">
        <v>191</v>
      </c>
      <c r="C439" s="4">
        <v>0</v>
      </c>
      <c r="D439" s="5">
        <v>0</v>
      </c>
      <c r="E439" s="4">
        <v>2</v>
      </c>
      <c r="F439" s="4">
        <v>1047407</v>
      </c>
      <c r="G439" s="4">
        <v>1</v>
      </c>
      <c r="H439" s="4">
        <v>523703</v>
      </c>
      <c r="I439" s="3">
        <f>C439+E439-G439</f>
        <v>1</v>
      </c>
      <c r="J439" s="44">
        <f>D439+F439-H439</f>
        <v>523704</v>
      </c>
    </row>
    <row r="440" spans="2:10" ht="24.95" customHeight="1" x14ac:dyDescent="0.25">
      <c r="B440" s="43" t="s">
        <v>190</v>
      </c>
      <c r="C440" s="3">
        <v>0</v>
      </c>
      <c r="D440" s="8">
        <v>0</v>
      </c>
      <c r="E440" s="3">
        <v>3</v>
      </c>
      <c r="F440" s="3">
        <v>4500000</v>
      </c>
      <c r="G440" s="3">
        <v>3</v>
      </c>
      <c r="H440" s="3">
        <v>4500000</v>
      </c>
      <c r="I440" s="3">
        <f>C440+E440-G440</f>
        <v>0</v>
      </c>
      <c r="J440" s="46">
        <f>D440+F440-H440</f>
        <v>0</v>
      </c>
    </row>
    <row r="441" spans="2:10" ht="24.95" customHeight="1" x14ac:dyDescent="0.25">
      <c r="B441" s="45" t="s">
        <v>189</v>
      </c>
      <c r="C441" s="9">
        <v>1</v>
      </c>
      <c r="D441" s="13">
        <v>450000</v>
      </c>
      <c r="E441" s="9">
        <v>0</v>
      </c>
      <c r="F441" s="9">
        <v>0</v>
      </c>
      <c r="G441" s="9">
        <v>0</v>
      </c>
      <c r="H441" s="9">
        <v>0</v>
      </c>
      <c r="I441" s="3">
        <f>C441+E441-G441</f>
        <v>1</v>
      </c>
      <c r="J441" s="44">
        <f>D441+F441-H441</f>
        <v>450000</v>
      </c>
    </row>
    <row r="442" spans="2:10" ht="24.95" customHeight="1" x14ac:dyDescent="0.25">
      <c r="B442" s="45" t="s">
        <v>188</v>
      </c>
      <c r="C442" s="9">
        <v>1</v>
      </c>
      <c r="D442" s="13">
        <v>1032330</v>
      </c>
      <c r="E442" s="9">
        <v>0</v>
      </c>
      <c r="F442" s="9">
        <v>0</v>
      </c>
      <c r="G442" s="9">
        <v>0</v>
      </c>
      <c r="H442" s="9">
        <v>0</v>
      </c>
      <c r="I442" s="3">
        <f>C442+E442-G442</f>
        <v>1</v>
      </c>
      <c r="J442" s="44">
        <f>D442+F442-H442</f>
        <v>1032330</v>
      </c>
    </row>
    <row r="443" spans="2:10" ht="24.95" customHeight="1" x14ac:dyDescent="0.25">
      <c r="B443" s="48" t="s">
        <v>187</v>
      </c>
      <c r="C443" s="4">
        <v>4</v>
      </c>
      <c r="D443" s="5">
        <v>1247717</v>
      </c>
      <c r="E443" s="4">
        <v>0</v>
      </c>
      <c r="F443" s="4">
        <v>0</v>
      </c>
      <c r="G443" s="4">
        <v>3</v>
      </c>
      <c r="H443" s="4">
        <v>1011216</v>
      </c>
      <c r="I443" s="3">
        <f>C443+E443-G443</f>
        <v>1</v>
      </c>
      <c r="J443" s="44">
        <f>D443+F443-H443</f>
        <v>236501</v>
      </c>
    </row>
    <row r="444" spans="2:10" ht="24.95" customHeight="1" x14ac:dyDescent="0.25">
      <c r="B444" s="43" t="s">
        <v>186</v>
      </c>
      <c r="C444" s="3">
        <v>0</v>
      </c>
      <c r="D444" s="8">
        <v>0</v>
      </c>
      <c r="E444" s="3">
        <v>1</v>
      </c>
      <c r="F444" s="7">
        <v>3524000</v>
      </c>
      <c r="G444" s="3">
        <v>1</v>
      </c>
      <c r="H444" s="7">
        <v>3524000</v>
      </c>
      <c r="I444" s="3">
        <f>C444+E444-G444</f>
        <v>0</v>
      </c>
      <c r="J444" s="46">
        <f>D444+F444-H444</f>
        <v>0</v>
      </c>
    </row>
    <row r="445" spans="2:10" ht="24.95" customHeight="1" x14ac:dyDescent="0.25">
      <c r="B445" s="48" t="s">
        <v>185</v>
      </c>
      <c r="C445" s="4">
        <v>0</v>
      </c>
      <c r="D445" s="5">
        <v>0</v>
      </c>
      <c r="E445" s="4">
        <v>40</v>
      </c>
      <c r="F445" s="2">
        <v>4833600</v>
      </c>
      <c r="G445" s="4">
        <v>40</v>
      </c>
      <c r="H445" s="2">
        <v>4833600</v>
      </c>
      <c r="I445" s="3">
        <f>C445+E445-G445</f>
        <v>0</v>
      </c>
      <c r="J445" s="46">
        <f>D445+F445-H445</f>
        <v>0</v>
      </c>
    </row>
    <row r="446" spans="2:10" ht="24.95" customHeight="1" x14ac:dyDescent="0.25">
      <c r="B446" s="48" t="s">
        <v>184</v>
      </c>
      <c r="C446" s="4">
        <v>0</v>
      </c>
      <c r="D446" s="5">
        <v>0</v>
      </c>
      <c r="E446" s="4">
        <v>2</v>
      </c>
      <c r="F446" s="4">
        <v>82155352</v>
      </c>
      <c r="G446" s="4">
        <v>2</v>
      </c>
      <c r="H446" s="4">
        <v>82155352</v>
      </c>
      <c r="I446" s="3">
        <f>C446+E446-G446</f>
        <v>0</v>
      </c>
      <c r="J446" s="46">
        <f>D446+F446-H446</f>
        <v>0</v>
      </c>
    </row>
    <row r="447" spans="2:10" ht="24.95" customHeight="1" x14ac:dyDescent="0.25">
      <c r="B447" s="48" t="s">
        <v>183</v>
      </c>
      <c r="C447" s="4">
        <v>0</v>
      </c>
      <c r="D447" s="5">
        <v>0</v>
      </c>
      <c r="E447" s="4">
        <v>1</v>
      </c>
      <c r="F447" s="2">
        <v>1817427</v>
      </c>
      <c r="G447" s="4">
        <v>1</v>
      </c>
      <c r="H447" s="2">
        <v>1817427</v>
      </c>
      <c r="I447" s="3">
        <f>C447+E447-G447</f>
        <v>0</v>
      </c>
      <c r="J447" s="46">
        <f>D447+F447-H447</f>
        <v>0</v>
      </c>
    </row>
    <row r="448" spans="2:10" ht="24.95" customHeight="1" x14ac:dyDescent="0.25">
      <c r="B448" s="48" t="s">
        <v>182</v>
      </c>
      <c r="C448" s="4">
        <v>360</v>
      </c>
      <c r="D448" s="5">
        <v>551979</v>
      </c>
      <c r="E448" s="4">
        <v>1000</v>
      </c>
      <c r="F448" s="4">
        <v>690000</v>
      </c>
      <c r="G448" s="4">
        <v>520</v>
      </c>
      <c r="H448" s="4">
        <v>375665</v>
      </c>
      <c r="I448" s="3">
        <f>C448+E448-G448</f>
        <v>840</v>
      </c>
      <c r="J448" s="44">
        <f>D448+F448-H448</f>
        <v>866314</v>
      </c>
    </row>
    <row r="449" spans="2:10" ht="24.95" customHeight="1" x14ac:dyDescent="0.25">
      <c r="B449" s="45" t="s">
        <v>181</v>
      </c>
      <c r="C449" s="4">
        <v>150</v>
      </c>
      <c r="D449" s="10">
        <v>33816265</v>
      </c>
      <c r="E449" s="9">
        <v>0</v>
      </c>
      <c r="F449" s="9">
        <v>0</v>
      </c>
      <c r="G449" s="9">
        <v>10</v>
      </c>
      <c r="H449" s="9">
        <v>2254418</v>
      </c>
      <c r="I449" s="3">
        <f>C449+E449-G449</f>
        <v>140</v>
      </c>
      <c r="J449" s="44">
        <f>D449+F449-H449</f>
        <v>31561847</v>
      </c>
    </row>
    <row r="450" spans="2:10" ht="24.95" customHeight="1" x14ac:dyDescent="0.25">
      <c r="B450" s="48" t="s">
        <v>180</v>
      </c>
      <c r="C450" s="4">
        <v>0</v>
      </c>
      <c r="D450" s="5">
        <v>0</v>
      </c>
      <c r="E450" s="4">
        <v>2</v>
      </c>
      <c r="F450" s="4">
        <v>67838238</v>
      </c>
      <c r="G450" s="4">
        <v>2</v>
      </c>
      <c r="H450" s="4">
        <v>67838238</v>
      </c>
      <c r="I450" s="3">
        <f>C450+E450-G450</f>
        <v>0</v>
      </c>
      <c r="J450" s="46">
        <f>D450+F450-H450</f>
        <v>0</v>
      </c>
    </row>
    <row r="451" spans="2:10" ht="24.95" customHeight="1" x14ac:dyDescent="0.25">
      <c r="B451" s="48" t="s">
        <v>179</v>
      </c>
      <c r="C451" s="4">
        <v>0</v>
      </c>
      <c r="D451" s="5">
        <v>0</v>
      </c>
      <c r="E451" s="4">
        <v>2</v>
      </c>
      <c r="F451" s="4">
        <v>87027343</v>
      </c>
      <c r="G451" s="4">
        <v>2</v>
      </c>
      <c r="H451" s="4">
        <v>87027343</v>
      </c>
      <c r="I451" s="3">
        <f>C451+E451-G451</f>
        <v>0</v>
      </c>
      <c r="J451" s="46">
        <f>D451+F451-H451</f>
        <v>0</v>
      </c>
    </row>
    <row r="452" spans="2:10" ht="24.95" customHeight="1" x14ac:dyDescent="0.25">
      <c r="B452" s="48" t="s">
        <v>178</v>
      </c>
      <c r="C452" s="4">
        <v>0</v>
      </c>
      <c r="D452" s="5">
        <v>0</v>
      </c>
      <c r="E452" s="4">
        <v>2</v>
      </c>
      <c r="F452" s="4">
        <v>67838238</v>
      </c>
      <c r="G452" s="4">
        <v>2</v>
      </c>
      <c r="H452" s="4">
        <v>67838238</v>
      </c>
      <c r="I452" s="3">
        <f>C452+E452-G452</f>
        <v>0</v>
      </c>
      <c r="J452" s="46">
        <f>D452+F452-H452</f>
        <v>0</v>
      </c>
    </row>
    <row r="453" spans="2:10" ht="24.95" customHeight="1" x14ac:dyDescent="0.25">
      <c r="B453" s="48" t="s">
        <v>177</v>
      </c>
      <c r="C453" s="4">
        <v>0</v>
      </c>
      <c r="D453" s="5">
        <v>0</v>
      </c>
      <c r="E453" s="4">
        <v>2</v>
      </c>
      <c r="F453" s="4">
        <v>1096248</v>
      </c>
      <c r="G453" s="4">
        <v>0</v>
      </c>
      <c r="H453" s="4">
        <v>0</v>
      </c>
      <c r="I453" s="3">
        <f>C453+E453-G453</f>
        <v>2</v>
      </c>
      <c r="J453" s="44">
        <f>D453+F453-H453</f>
        <v>1096248</v>
      </c>
    </row>
    <row r="454" spans="2:10" ht="24.95" customHeight="1" x14ac:dyDescent="0.25">
      <c r="B454" s="45" t="s">
        <v>176</v>
      </c>
      <c r="C454" s="4">
        <v>2</v>
      </c>
      <c r="D454" s="5">
        <v>166460</v>
      </c>
      <c r="E454" s="9">
        <v>0</v>
      </c>
      <c r="F454" s="9">
        <v>0</v>
      </c>
      <c r="G454" s="9">
        <v>1</v>
      </c>
      <c r="H454" s="9">
        <v>83230</v>
      </c>
      <c r="I454" s="3">
        <f>C454+E454-G454</f>
        <v>1</v>
      </c>
      <c r="J454" s="44">
        <f>D454+F454-H454</f>
        <v>83230</v>
      </c>
    </row>
    <row r="455" spans="2:10" ht="24.95" customHeight="1" x14ac:dyDescent="0.25">
      <c r="B455" s="45" t="s">
        <v>175</v>
      </c>
      <c r="C455" s="4">
        <v>17</v>
      </c>
      <c r="D455" s="5">
        <v>1113538</v>
      </c>
      <c r="E455" s="9">
        <v>0</v>
      </c>
      <c r="F455" s="9">
        <v>0</v>
      </c>
      <c r="G455" s="9">
        <v>0</v>
      </c>
      <c r="H455" s="9">
        <v>0</v>
      </c>
      <c r="I455" s="3">
        <f>C455+E455-G455</f>
        <v>17</v>
      </c>
      <c r="J455" s="44">
        <f>D455+F455-H455</f>
        <v>1113538</v>
      </c>
    </row>
    <row r="456" spans="2:10" ht="24.95" customHeight="1" x14ac:dyDescent="0.25">
      <c r="B456" s="49" t="s">
        <v>174</v>
      </c>
      <c r="C456" s="4">
        <v>1</v>
      </c>
      <c r="D456" s="5">
        <v>83312</v>
      </c>
      <c r="E456" s="9">
        <v>0</v>
      </c>
      <c r="F456" s="9">
        <v>0</v>
      </c>
      <c r="G456" s="4">
        <v>1</v>
      </c>
      <c r="H456" s="4">
        <v>83312</v>
      </c>
      <c r="I456" s="3">
        <f>C456+E456-G456</f>
        <v>0</v>
      </c>
      <c r="J456" s="46">
        <f>D456+F456-H456</f>
        <v>0</v>
      </c>
    </row>
    <row r="457" spans="2:10" ht="24.95" customHeight="1" x14ac:dyDescent="0.25">
      <c r="B457" s="45" t="s">
        <v>173</v>
      </c>
      <c r="C457" s="4">
        <v>7</v>
      </c>
      <c r="D457" s="5">
        <v>608213</v>
      </c>
      <c r="E457" s="9">
        <v>0</v>
      </c>
      <c r="F457" s="9">
        <v>0</v>
      </c>
      <c r="G457" s="9">
        <v>0</v>
      </c>
      <c r="H457" s="9">
        <v>0</v>
      </c>
      <c r="I457" s="3">
        <f>C457+E457-G457</f>
        <v>7</v>
      </c>
      <c r="J457" s="44">
        <f>D457+F457-H457</f>
        <v>608213</v>
      </c>
    </row>
    <row r="458" spans="2:10" ht="24.95" customHeight="1" x14ac:dyDescent="0.25">
      <c r="B458" s="45" t="s">
        <v>172</v>
      </c>
      <c r="C458" s="4">
        <v>6</v>
      </c>
      <c r="D458" s="5">
        <v>295256</v>
      </c>
      <c r="E458" s="9">
        <v>0</v>
      </c>
      <c r="F458" s="9">
        <v>0</v>
      </c>
      <c r="G458" s="9">
        <v>1</v>
      </c>
      <c r="H458" s="9">
        <v>65586</v>
      </c>
      <c r="I458" s="3">
        <f>C458+E458-G458</f>
        <v>5</v>
      </c>
      <c r="J458" s="44">
        <f>D458+F458-H458</f>
        <v>229670</v>
      </c>
    </row>
    <row r="459" spans="2:10" ht="24.95" customHeight="1" x14ac:dyDescent="0.25">
      <c r="B459" s="49" t="s">
        <v>171</v>
      </c>
      <c r="C459" s="4">
        <v>2</v>
      </c>
      <c r="D459" s="12">
        <v>2535604</v>
      </c>
      <c r="E459" s="9">
        <v>4</v>
      </c>
      <c r="F459" s="9">
        <v>6785878</v>
      </c>
      <c r="G459" s="9">
        <v>2</v>
      </c>
      <c r="H459" s="9">
        <v>2535604</v>
      </c>
      <c r="I459" s="3">
        <f>C459+E459-G459</f>
        <v>4</v>
      </c>
      <c r="J459" s="44">
        <f>D459+F459-H459</f>
        <v>6785878</v>
      </c>
    </row>
    <row r="460" spans="2:10" ht="24.95" customHeight="1" x14ac:dyDescent="0.25">
      <c r="B460" s="48" t="s">
        <v>170</v>
      </c>
      <c r="C460" s="4">
        <v>6</v>
      </c>
      <c r="D460" s="5">
        <v>1085655</v>
      </c>
      <c r="E460" s="4">
        <v>2</v>
      </c>
      <c r="F460" s="4">
        <v>488122</v>
      </c>
      <c r="G460" s="4">
        <v>3</v>
      </c>
      <c r="H460" s="4">
        <v>507120</v>
      </c>
      <c r="I460" s="3">
        <f>C460+E460-G460</f>
        <v>5</v>
      </c>
      <c r="J460" s="44">
        <f>D460+F460-H460</f>
        <v>1066657</v>
      </c>
    </row>
    <row r="461" spans="2:10" ht="24.95" customHeight="1" x14ac:dyDescent="0.25">
      <c r="B461" s="48" t="s">
        <v>169</v>
      </c>
      <c r="C461" s="4">
        <v>0</v>
      </c>
      <c r="D461" s="5">
        <v>0</v>
      </c>
      <c r="E461" s="4">
        <v>1</v>
      </c>
      <c r="F461" s="2">
        <v>3497285</v>
      </c>
      <c r="G461" s="4">
        <v>1</v>
      </c>
      <c r="H461" s="2">
        <v>3497285</v>
      </c>
      <c r="I461" s="3">
        <f>C461+E461-G461</f>
        <v>0</v>
      </c>
      <c r="J461" s="46">
        <f>D461+F461-H461</f>
        <v>0</v>
      </c>
    </row>
    <row r="462" spans="2:10" ht="24.95" customHeight="1" x14ac:dyDescent="0.25">
      <c r="B462" s="48" t="s">
        <v>168</v>
      </c>
      <c r="C462" s="4">
        <v>2</v>
      </c>
      <c r="D462" s="5">
        <v>5229732</v>
      </c>
      <c r="E462" s="4">
        <v>15</v>
      </c>
      <c r="F462" s="4">
        <v>51281490</v>
      </c>
      <c r="G462" s="4">
        <v>14</v>
      </c>
      <c r="H462" s="4">
        <v>47641055</v>
      </c>
      <c r="I462" s="3">
        <f>C462+E462-G462</f>
        <v>3</v>
      </c>
      <c r="J462" s="44">
        <f>D462+F462-H462</f>
        <v>8870167</v>
      </c>
    </row>
    <row r="463" spans="2:10" ht="24.95" customHeight="1" x14ac:dyDescent="0.25">
      <c r="B463" s="45" t="s">
        <v>167</v>
      </c>
      <c r="C463" s="4">
        <v>1</v>
      </c>
      <c r="D463" s="5">
        <v>1394626</v>
      </c>
      <c r="E463" s="9">
        <v>0</v>
      </c>
      <c r="F463" s="9">
        <v>0</v>
      </c>
      <c r="G463" s="9">
        <v>0</v>
      </c>
      <c r="H463" s="9">
        <v>0</v>
      </c>
      <c r="I463" s="3">
        <f>C463+E463-G463</f>
        <v>1</v>
      </c>
      <c r="J463" s="44">
        <f>D463+F463-H463</f>
        <v>1394626</v>
      </c>
    </row>
    <row r="464" spans="2:10" ht="24.95" customHeight="1" x14ac:dyDescent="0.25">
      <c r="B464" s="45" t="s">
        <v>166</v>
      </c>
      <c r="C464" s="4">
        <v>1</v>
      </c>
      <c r="D464" s="2">
        <v>508761</v>
      </c>
      <c r="E464" s="9">
        <v>0</v>
      </c>
      <c r="F464" s="9">
        <v>0</v>
      </c>
      <c r="G464" s="9">
        <v>0</v>
      </c>
      <c r="H464" s="9">
        <v>0</v>
      </c>
      <c r="I464" s="3">
        <f>C464+E464-G464</f>
        <v>1</v>
      </c>
      <c r="J464" s="44">
        <f>D464+F464-H464</f>
        <v>508761</v>
      </c>
    </row>
    <row r="465" spans="2:10" ht="24.95" customHeight="1" x14ac:dyDescent="0.25">
      <c r="B465" s="48" t="s">
        <v>165</v>
      </c>
      <c r="C465" s="4">
        <v>3</v>
      </c>
      <c r="D465" s="5">
        <v>2773935</v>
      </c>
      <c r="E465" s="4">
        <v>2</v>
      </c>
      <c r="F465" s="4">
        <v>2737590</v>
      </c>
      <c r="G465" s="4">
        <v>3</v>
      </c>
      <c r="H465" s="4">
        <v>2773935</v>
      </c>
      <c r="I465" s="3">
        <f>C465+E465-G465</f>
        <v>2</v>
      </c>
      <c r="J465" s="44">
        <f>D465+F465-H465</f>
        <v>2737590</v>
      </c>
    </row>
    <row r="466" spans="2:10" ht="36" x14ac:dyDescent="0.25">
      <c r="B466" s="48" t="s">
        <v>164</v>
      </c>
      <c r="C466" s="4">
        <v>0</v>
      </c>
      <c r="D466" s="5">
        <v>0</v>
      </c>
      <c r="E466" s="4">
        <v>1</v>
      </c>
      <c r="F466" s="2">
        <v>28142838</v>
      </c>
      <c r="G466" s="4">
        <v>1</v>
      </c>
      <c r="H466" s="2">
        <v>28142838</v>
      </c>
      <c r="I466" s="3">
        <f>C466+E466-G466</f>
        <v>0</v>
      </c>
      <c r="J466" s="46">
        <f>D466+F466-H466</f>
        <v>0</v>
      </c>
    </row>
    <row r="467" spans="2:10" ht="24.95" customHeight="1" x14ac:dyDescent="0.25">
      <c r="B467" s="45" t="s">
        <v>163</v>
      </c>
      <c r="C467" s="4">
        <v>1</v>
      </c>
      <c r="D467" s="5">
        <v>1800000</v>
      </c>
      <c r="E467" s="9">
        <v>0</v>
      </c>
      <c r="F467" s="9">
        <v>0</v>
      </c>
      <c r="G467" s="9">
        <v>0</v>
      </c>
      <c r="H467" s="9">
        <v>0</v>
      </c>
      <c r="I467" s="3">
        <f>C467+E467-G467</f>
        <v>1</v>
      </c>
      <c r="J467" s="44">
        <f>D467+F467-H467</f>
        <v>1800000</v>
      </c>
    </row>
    <row r="468" spans="2:10" ht="24.95" customHeight="1" x14ac:dyDescent="0.25">
      <c r="B468" s="43" t="s">
        <v>162</v>
      </c>
      <c r="C468" s="4">
        <v>0</v>
      </c>
      <c r="D468" s="5">
        <v>0</v>
      </c>
      <c r="E468" s="3">
        <v>3</v>
      </c>
      <c r="F468" s="3">
        <v>25555000</v>
      </c>
      <c r="G468" s="3">
        <v>3</v>
      </c>
      <c r="H468" s="3">
        <v>25555000</v>
      </c>
      <c r="I468" s="3">
        <f>C468+E468-G468</f>
        <v>0</v>
      </c>
      <c r="J468" s="46">
        <f>D468+F468-H468</f>
        <v>0</v>
      </c>
    </row>
    <row r="469" spans="2:10" ht="24.95" customHeight="1" x14ac:dyDescent="0.25">
      <c r="B469" s="43" t="s">
        <v>161</v>
      </c>
      <c r="C469" s="4">
        <v>0</v>
      </c>
      <c r="D469" s="5">
        <v>0</v>
      </c>
      <c r="E469" s="3">
        <v>1</v>
      </c>
      <c r="F469" s="3">
        <v>150000</v>
      </c>
      <c r="G469" s="3">
        <v>1</v>
      </c>
      <c r="H469" s="3">
        <v>150000</v>
      </c>
      <c r="I469" s="3">
        <f>C469+E469-G469</f>
        <v>0</v>
      </c>
      <c r="J469" s="46">
        <f>D469+F469-H469</f>
        <v>0</v>
      </c>
    </row>
    <row r="470" spans="2:10" ht="24.95" customHeight="1" x14ac:dyDescent="0.25">
      <c r="B470" s="43" t="s">
        <v>160</v>
      </c>
      <c r="C470" s="4">
        <v>0</v>
      </c>
      <c r="D470" s="5">
        <v>0</v>
      </c>
      <c r="E470" s="3">
        <v>1</v>
      </c>
      <c r="F470" s="3">
        <v>150000</v>
      </c>
      <c r="G470" s="3">
        <v>1</v>
      </c>
      <c r="H470" s="3">
        <v>150000</v>
      </c>
      <c r="I470" s="3">
        <f>C470+E470-G470</f>
        <v>0</v>
      </c>
      <c r="J470" s="46">
        <f>D470+F470-H470</f>
        <v>0</v>
      </c>
    </row>
    <row r="471" spans="2:10" ht="24.95" customHeight="1" x14ac:dyDescent="0.25">
      <c r="B471" s="43" t="s">
        <v>159</v>
      </c>
      <c r="C471" s="4">
        <v>0</v>
      </c>
      <c r="D471" s="5">
        <v>0</v>
      </c>
      <c r="E471" s="3">
        <v>1</v>
      </c>
      <c r="F471" s="3">
        <v>150000</v>
      </c>
      <c r="G471" s="3">
        <v>1</v>
      </c>
      <c r="H471" s="3">
        <v>150000</v>
      </c>
      <c r="I471" s="3">
        <f>C471+E471-G471</f>
        <v>0</v>
      </c>
      <c r="J471" s="46">
        <f>D471+F471-H471</f>
        <v>0</v>
      </c>
    </row>
    <row r="472" spans="2:10" ht="24.95" customHeight="1" x14ac:dyDescent="0.25">
      <c r="B472" s="48" t="s">
        <v>158</v>
      </c>
      <c r="C472" s="4">
        <v>0</v>
      </c>
      <c r="D472" s="5">
        <v>0</v>
      </c>
      <c r="E472" s="4">
        <v>1</v>
      </c>
      <c r="F472" s="2">
        <v>4903143</v>
      </c>
      <c r="G472" s="4">
        <v>1</v>
      </c>
      <c r="H472" s="2">
        <v>4903143</v>
      </c>
      <c r="I472" s="3">
        <f>C472+E472-G472</f>
        <v>0</v>
      </c>
      <c r="J472" s="46">
        <f>D472+F472-H472</f>
        <v>0</v>
      </c>
    </row>
    <row r="473" spans="2:10" ht="24.95" customHeight="1" x14ac:dyDescent="0.25">
      <c r="B473" s="48" t="s">
        <v>157</v>
      </c>
      <c r="C473" s="4">
        <v>0</v>
      </c>
      <c r="D473" s="5">
        <v>0</v>
      </c>
      <c r="E473" s="4">
        <v>1</v>
      </c>
      <c r="F473" s="2">
        <v>17343595</v>
      </c>
      <c r="G473" s="4">
        <v>1</v>
      </c>
      <c r="H473" s="2">
        <v>17343595</v>
      </c>
      <c r="I473" s="3">
        <f>C473+E473-G473</f>
        <v>0</v>
      </c>
      <c r="J473" s="46">
        <f>D473+F473-H473</f>
        <v>0</v>
      </c>
    </row>
    <row r="474" spans="2:10" ht="24.95" customHeight="1" x14ac:dyDescent="0.25">
      <c r="B474" s="48" t="s">
        <v>156</v>
      </c>
      <c r="C474" s="4">
        <v>0</v>
      </c>
      <c r="D474" s="5">
        <v>0</v>
      </c>
      <c r="E474" s="4">
        <v>1</v>
      </c>
      <c r="F474" s="2">
        <v>2987385</v>
      </c>
      <c r="G474" s="4">
        <v>1</v>
      </c>
      <c r="H474" s="2">
        <v>2987385</v>
      </c>
      <c r="I474" s="3">
        <f>C474+E474-G474</f>
        <v>0</v>
      </c>
      <c r="J474" s="46">
        <f>D474+F474-H474</f>
        <v>0</v>
      </c>
    </row>
    <row r="475" spans="2:10" ht="24.95" customHeight="1" x14ac:dyDescent="0.25">
      <c r="B475" s="48" t="s">
        <v>155</v>
      </c>
      <c r="C475" s="4">
        <v>0</v>
      </c>
      <c r="D475" s="5">
        <v>0</v>
      </c>
      <c r="E475" s="4">
        <v>2</v>
      </c>
      <c r="F475" s="4">
        <v>10035090</v>
      </c>
      <c r="G475" s="4">
        <v>2</v>
      </c>
      <c r="H475" s="4">
        <v>10035090</v>
      </c>
      <c r="I475" s="3">
        <f>C475+E475-G475</f>
        <v>0</v>
      </c>
      <c r="J475" s="46">
        <f>D475+F475-H475</f>
        <v>0</v>
      </c>
    </row>
    <row r="476" spans="2:10" ht="24.95" customHeight="1" x14ac:dyDescent="0.25">
      <c r="B476" s="48" t="s">
        <v>154</v>
      </c>
      <c r="C476" s="4">
        <v>0</v>
      </c>
      <c r="D476" s="5">
        <v>0</v>
      </c>
      <c r="E476" s="4">
        <v>2</v>
      </c>
      <c r="F476" s="2">
        <v>531962</v>
      </c>
      <c r="G476" s="4">
        <v>2</v>
      </c>
      <c r="H476" s="2">
        <v>531962</v>
      </c>
      <c r="I476" s="3">
        <f>C476+E476-G476</f>
        <v>0</v>
      </c>
      <c r="J476" s="46">
        <f>D476+F476-H476</f>
        <v>0</v>
      </c>
    </row>
    <row r="477" spans="2:10" ht="24.95" customHeight="1" x14ac:dyDescent="0.25">
      <c r="B477" s="48" t="s">
        <v>153</v>
      </c>
      <c r="C477" s="4">
        <v>0</v>
      </c>
      <c r="D477" s="5">
        <v>0</v>
      </c>
      <c r="E477" s="4">
        <v>8</v>
      </c>
      <c r="F477" s="2">
        <v>1262680</v>
      </c>
      <c r="G477" s="4">
        <v>8</v>
      </c>
      <c r="H477" s="2">
        <v>1262680</v>
      </c>
      <c r="I477" s="3">
        <f>C477+E477-G477</f>
        <v>0</v>
      </c>
      <c r="J477" s="46">
        <f>D477+F477-H477</f>
        <v>0</v>
      </c>
    </row>
    <row r="478" spans="2:10" ht="24.95" customHeight="1" x14ac:dyDescent="0.25">
      <c r="B478" s="48" t="s">
        <v>152</v>
      </c>
      <c r="C478" s="4">
        <v>0</v>
      </c>
      <c r="D478" s="5">
        <v>0</v>
      </c>
      <c r="E478" s="4">
        <v>1</v>
      </c>
      <c r="F478" s="2">
        <v>1280119</v>
      </c>
      <c r="G478" s="4">
        <v>1</v>
      </c>
      <c r="H478" s="2">
        <v>1280119</v>
      </c>
      <c r="I478" s="3">
        <f>C478+E478-G478</f>
        <v>0</v>
      </c>
      <c r="J478" s="46">
        <f>D478+F478-H478</f>
        <v>0</v>
      </c>
    </row>
    <row r="479" spans="2:10" ht="24.95" customHeight="1" x14ac:dyDescent="0.25">
      <c r="B479" s="48" t="s">
        <v>151</v>
      </c>
      <c r="C479" s="4">
        <v>0</v>
      </c>
      <c r="D479" s="5">
        <v>0</v>
      </c>
      <c r="E479" s="4">
        <v>3</v>
      </c>
      <c r="F479" s="4">
        <v>76843928</v>
      </c>
      <c r="G479" s="4">
        <v>3</v>
      </c>
      <c r="H479" s="4">
        <v>76843928</v>
      </c>
      <c r="I479" s="3">
        <f>C479+E479-G479</f>
        <v>0</v>
      </c>
      <c r="J479" s="46">
        <f>D479+F479-H479</f>
        <v>0</v>
      </c>
    </row>
    <row r="480" spans="2:10" ht="24.95" customHeight="1" x14ac:dyDescent="0.25">
      <c r="B480" s="48" t="s">
        <v>150</v>
      </c>
      <c r="C480" s="4">
        <v>0</v>
      </c>
      <c r="D480" s="5">
        <v>0</v>
      </c>
      <c r="E480" s="4">
        <v>1</v>
      </c>
      <c r="F480" s="4">
        <v>46174180</v>
      </c>
      <c r="G480" s="4">
        <v>1</v>
      </c>
      <c r="H480" s="4">
        <v>46174180</v>
      </c>
      <c r="I480" s="3">
        <f>C480+E480-G480</f>
        <v>0</v>
      </c>
      <c r="J480" s="46">
        <f>D480+F480-H480</f>
        <v>0</v>
      </c>
    </row>
    <row r="481" spans="2:10" ht="24.95" customHeight="1" x14ac:dyDescent="0.25">
      <c r="B481" s="48" t="s">
        <v>149</v>
      </c>
      <c r="C481" s="4">
        <v>0</v>
      </c>
      <c r="D481" s="5">
        <v>0</v>
      </c>
      <c r="E481" s="4">
        <v>1</v>
      </c>
      <c r="F481" s="2">
        <v>1469792</v>
      </c>
      <c r="G481" s="4">
        <v>1</v>
      </c>
      <c r="H481" s="2">
        <v>1469792</v>
      </c>
      <c r="I481" s="3">
        <f>C481+E481-G481</f>
        <v>0</v>
      </c>
      <c r="J481" s="46">
        <f>D481+F481-H481</f>
        <v>0</v>
      </c>
    </row>
    <row r="482" spans="2:10" ht="24.95" customHeight="1" x14ac:dyDescent="0.25">
      <c r="B482" s="48" t="s">
        <v>148</v>
      </c>
      <c r="C482" s="4">
        <v>0</v>
      </c>
      <c r="D482" s="5">
        <v>0</v>
      </c>
      <c r="E482" s="4">
        <v>2</v>
      </c>
      <c r="F482" s="4">
        <v>2912616</v>
      </c>
      <c r="G482" s="4">
        <v>2</v>
      </c>
      <c r="H482" s="4">
        <v>2912616</v>
      </c>
      <c r="I482" s="3">
        <f>C482+E482-G482</f>
        <v>0</v>
      </c>
      <c r="J482" s="46">
        <f>D482+F482-H482</f>
        <v>0</v>
      </c>
    </row>
    <row r="483" spans="2:10" ht="24.95" customHeight="1" x14ac:dyDescent="0.25">
      <c r="B483" s="48" t="s">
        <v>147</v>
      </c>
      <c r="C483" s="4">
        <v>0</v>
      </c>
      <c r="D483" s="5">
        <v>0</v>
      </c>
      <c r="E483" s="4">
        <v>1</v>
      </c>
      <c r="F483" s="4">
        <v>1658573</v>
      </c>
      <c r="G483" s="4">
        <v>1</v>
      </c>
      <c r="H483" s="4">
        <v>1658573</v>
      </c>
      <c r="I483" s="3">
        <f>C483+E483-G483</f>
        <v>0</v>
      </c>
      <c r="J483" s="46">
        <f>D483+F483-H483</f>
        <v>0</v>
      </c>
    </row>
    <row r="484" spans="2:10" ht="24.95" customHeight="1" x14ac:dyDescent="0.25">
      <c r="B484" s="48" t="s">
        <v>146</v>
      </c>
      <c r="C484" s="4">
        <v>0</v>
      </c>
      <c r="D484" s="5">
        <v>0</v>
      </c>
      <c r="E484" s="4">
        <v>4</v>
      </c>
      <c r="F484" s="4">
        <v>147140744</v>
      </c>
      <c r="G484" s="4">
        <v>4</v>
      </c>
      <c r="H484" s="4">
        <v>147140744</v>
      </c>
      <c r="I484" s="3">
        <f>C484+E484-G484</f>
        <v>0</v>
      </c>
      <c r="J484" s="46">
        <f>D484+F484-H484</f>
        <v>0</v>
      </c>
    </row>
    <row r="485" spans="2:10" ht="24.95" customHeight="1" x14ac:dyDescent="0.25">
      <c r="B485" s="48" t="s">
        <v>145</v>
      </c>
      <c r="C485" s="4">
        <v>0</v>
      </c>
      <c r="D485" s="5">
        <v>0</v>
      </c>
      <c r="E485" s="4">
        <v>1</v>
      </c>
      <c r="F485" s="2">
        <v>35209762</v>
      </c>
      <c r="G485" s="4">
        <v>1</v>
      </c>
      <c r="H485" s="2">
        <v>35209762</v>
      </c>
      <c r="I485" s="3">
        <f>C485+E485-G485</f>
        <v>0</v>
      </c>
      <c r="J485" s="46">
        <f>D485+F485-H485</f>
        <v>0</v>
      </c>
    </row>
    <row r="486" spans="2:10" ht="24.95" customHeight="1" x14ac:dyDescent="0.25">
      <c r="B486" s="48" t="s">
        <v>144</v>
      </c>
      <c r="C486" s="4">
        <v>0</v>
      </c>
      <c r="D486" s="5">
        <v>0</v>
      </c>
      <c r="E486" s="4">
        <v>1</v>
      </c>
      <c r="F486" s="2">
        <v>7965797</v>
      </c>
      <c r="G486" s="4">
        <v>1</v>
      </c>
      <c r="H486" s="2">
        <v>7965797</v>
      </c>
      <c r="I486" s="3">
        <f>C486+E486-G486</f>
        <v>0</v>
      </c>
      <c r="J486" s="46">
        <f>D486+F486-H486</f>
        <v>0</v>
      </c>
    </row>
    <row r="487" spans="2:10" ht="24.95" customHeight="1" x14ac:dyDescent="0.25">
      <c r="B487" s="48" t="s">
        <v>143</v>
      </c>
      <c r="C487" s="4">
        <v>0</v>
      </c>
      <c r="D487" s="5">
        <v>0</v>
      </c>
      <c r="E487" s="4">
        <v>1</v>
      </c>
      <c r="F487" s="2">
        <v>9147896</v>
      </c>
      <c r="G487" s="4">
        <v>1</v>
      </c>
      <c r="H487" s="2">
        <v>9147896</v>
      </c>
      <c r="I487" s="3">
        <f>C487+E487-G487</f>
        <v>0</v>
      </c>
      <c r="J487" s="46">
        <f>D487+F487-H487</f>
        <v>0</v>
      </c>
    </row>
    <row r="488" spans="2:10" ht="24.95" customHeight="1" x14ac:dyDescent="0.25">
      <c r="B488" s="48" t="s">
        <v>142</v>
      </c>
      <c r="C488" s="4">
        <v>0</v>
      </c>
      <c r="D488" s="5">
        <v>0</v>
      </c>
      <c r="E488" s="4">
        <v>1</v>
      </c>
      <c r="F488" s="2">
        <v>2437159</v>
      </c>
      <c r="G488" s="4">
        <v>0</v>
      </c>
      <c r="H488" s="4">
        <v>0</v>
      </c>
      <c r="I488" s="3">
        <f>C488+E488-G488</f>
        <v>1</v>
      </c>
      <c r="J488" s="44">
        <f>D488+F488-H488</f>
        <v>2437159</v>
      </c>
    </row>
    <row r="489" spans="2:10" ht="24.95" customHeight="1" x14ac:dyDescent="0.25">
      <c r="B489" s="49" t="s">
        <v>141</v>
      </c>
      <c r="C489" s="4">
        <v>1</v>
      </c>
      <c r="D489" s="5">
        <v>558928</v>
      </c>
      <c r="E489" s="9">
        <v>0</v>
      </c>
      <c r="F489" s="9">
        <v>0</v>
      </c>
      <c r="G489" s="9">
        <v>0</v>
      </c>
      <c r="H489" s="9">
        <v>0</v>
      </c>
      <c r="I489" s="3">
        <f>C489+E489-G489</f>
        <v>1</v>
      </c>
      <c r="J489" s="44">
        <f>D489+F489-H489</f>
        <v>558928</v>
      </c>
    </row>
    <row r="490" spans="2:10" ht="24.95" customHeight="1" x14ac:dyDescent="0.25">
      <c r="B490" s="48" t="s">
        <v>140</v>
      </c>
      <c r="C490" s="4">
        <v>3</v>
      </c>
      <c r="D490" s="8">
        <v>793971</v>
      </c>
      <c r="E490" s="4">
        <v>10</v>
      </c>
      <c r="F490" s="4">
        <v>2888410</v>
      </c>
      <c r="G490" s="4">
        <v>8</v>
      </c>
      <c r="H490" s="4">
        <v>2238176</v>
      </c>
      <c r="I490" s="3">
        <f>C490+E490-G490</f>
        <v>5</v>
      </c>
      <c r="J490" s="44">
        <f>D490+F490-H490</f>
        <v>1444205</v>
      </c>
    </row>
    <row r="491" spans="2:10" ht="24.95" customHeight="1" x14ac:dyDescent="0.25">
      <c r="B491" s="48" t="s">
        <v>139</v>
      </c>
      <c r="C491" s="4">
        <v>0</v>
      </c>
      <c r="D491" s="5">
        <v>0</v>
      </c>
      <c r="E491" s="4">
        <v>5</v>
      </c>
      <c r="F491" s="4">
        <v>22826123</v>
      </c>
      <c r="G491" s="4">
        <v>2</v>
      </c>
      <c r="H491" s="4">
        <v>13890935</v>
      </c>
      <c r="I491" s="3">
        <f>C491+E491-G491</f>
        <v>3</v>
      </c>
      <c r="J491" s="44">
        <f>D491+F491-H491</f>
        <v>8935188</v>
      </c>
    </row>
    <row r="492" spans="2:10" ht="24.95" customHeight="1" x14ac:dyDescent="0.25">
      <c r="B492" s="45" t="s">
        <v>138</v>
      </c>
      <c r="C492" s="4">
        <v>5</v>
      </c>
      <c r="D492" s="5">
        <v>444530</v>
      </c>
      <c r="E492" s="9">
        <v>0</v>
      </c>
      <c r="F492" s="9">
        <v>0</v>
      </c>
      <c r="G492" s="9">
        <v>5</v>
      </c>
      <c r="H492" s="9">
        <v>444530</v>
      </c>
      <c r="I492" s="3">
        <f>C492+E492-G492</f>
        <v>0</v>
      </c>
      <c r="J492" s="46">
        <f>D492+F492-H492</f>
        <v>0</v>
      </c>
    </row>
    <row r="493" spans="2:10" ht="24.95" customHeight="1" x14ac:dyDescent="0.25">
      <c r="B493" s="45" t="s">
        <v>137</v>
      </c>
      <c r="C493" s="4">
        <v>5</v>
      </c>
      <c r="D493" s="5">
        <v>311870</v>
      </c>
      <c r="E493" s="9">
        <v>0</v>
      </c>
      <c r="F493" s="9">
        <v>0</v>
      </c>
      <c r="G493" s="9">
        <v>0</v>
      </c>
      <c r="H493" s="9">
        <v>0</v>
      </c>
      <c r="I493" s="3">
        <f>C493+E493-G493</f>
        <v>5</v>
      </c>
      <c r="J493" s="44">
        <f>D493+F493-H493</f>
        <v>311870</v>
      </c>
    </row>
    <row r="494" spans="2:10" ht="24.95" customHeight="1" x14ac:dyDescent="0.25">
      <c r="B494" s="48" t="s">
        <v>136</v>
      </c>
      <c r="C494" s="4">
        <v>1</v>
      </c>
      <c r="D494" s="5">
        <v>3159030</v>
      </c>
      <c r="E494" s="4">
        <v>2</v>
      </c>
      <c r="F494" s="4">
        <v>8898546</v>
      </c>
      <c r="G494" s="4">
        <v>2</v>
      </c>
      <c r="H494" s="4">
        <v>8898546</v>
      </c>
      <c r="I494" s="3">
        <f>C494+E494-G494</f>
        <v>1</v>
      </c>
      <c r="J494" s="44">
        <f>D494+F494-H494</f>
        <v>3159030</v>
      </c>
    </row>
    <row r="495" spans="2:10" ht="24.95" customHeight="1" x14ac:dyDescent="0.25">
      <c r="B495" s="45" t="s">
        <v>135</v>
      </c>
      <c r="C495" s="4">
        <v>4</v>
      </c>
      <c r="D495" s="5">
        <v>483944</v>
      </c>
      <c r="E495" s="9">
        <v>0</v>
      </c>
      <c r="F495" s="9">
        <v>0</v>
      </c>
      <c r="G495" s="9">
        <v>0</v>
      </c>
      <c r="H495" s="9">
        <v>0</v>
      </c>
      <c r="I495" s="3">
        <f>C495+E495-G495</f>
        <v>4</v>
      </c>
      <c r="J495" s="44">
        <f>D495+F495-H495</f>
        <v>483944</v>
      </c>
    </row>
    <row r="496" spans="2:10" ht="24.95" customHeight="1" x14ac:dyDescent="0.25">
      <c r="B496" s="48" t="s">
        <v>134</v>
      </c>
      <c r="C496" s="4">
        <v>7</v>
      </c>
      <c r="D496" s="10">
        <v>1187396</v>
      </c>
      <c r="E496" s="4">
        <v>2</v>
      </c>
      <c r="F496" s="2">
        <v>450520</v>
      </c>
      <c r="G496" s="4">
        <v>0</v>
      </c>
      <c r="H496" s="4">
        <v>0</v>
      </c>
      <c r="I496" s="3">
        <f>C496+E496-G496</f>
        <v>9</v>
      </c>
      <c r="J496" s="44">
        <f>D496+F496-H496</f>
        <v>1637916</v>
      </c>
    </row>
    <row r="497" spans="2:10" ht="24.95" customHeight="1" x14ac:dyDescent="0.25">
      <c r="B497" s="48" t="s">
        <v>133</v>
      </c>
      <c r="C497" s="4">
        <v>0</v>
      </c>
      <c r="D497" s="5">
        <v>0</v>
      </c>
      <c r="E497" s="4">
        <v>14</v>
      </c>
      <c r="F497" s="2">
        <v>968226</v>
      </c>
      <c r="G497" s="4">
        <v>14</v>
      </c>
      <c r="H497" s="2">
        <v>968226</v>
      </c>
      <c r="I497" s="3">
        <f>C497+E497-G497</f>
        <v>0</v>
      </c>
      <c r="J497" s="46">
        <f>D497+F497-H497</f>
        <v>0</v>
      </c>
    </row>
    <row r="498" spans="2:10" ht="24.95" customHeight="1" x14ac:dyDescent="0.25">
      <c r="B498" s="48" t="s">
        <v>132</v>
      </c>
      <c r="C498" s="4">
        <v>0</v>
      </c>
      <c r="D498" s="5">
        <v>0</v>
      </c>
      <c r="E498" s="4">
        <v>1</v>
      </c>
      <c r="F498" s="2">
        <v>152350</v>
      </c>
      <c r="G498" s="4">
        <v>1</v>
      </c>
      <c r="H498" s="2">
        <v>152350</v>
      </c>
      <c r="I498" s="3">
        <f>C498+E498-G498</f>
        <v>0</v>
      </c>
      <c r="J498" s="46">
        <f>D498+F498-H498</f>
        <v>0</v>
      </c>
    </row>
    <row r="499" spans="2:10" ht="24.95" customHeight="1" x14ac:dyDescent="0.25">
      <c r="B499" s="48" t="s">
        <v>131</v>
      </c>
      <c r="C499" s="4">
        <v>1</v>
      </c>
      <c r="D499" s="5">
        <v>420550</v>
      </c>
      <c r="E499" s="4">
        <v>13</v>
      </c>
      <c r="F499" s="4">
        <v>1109679</v>
      </c>
      <c r="G499" s="4">
        <v>2</v>
      </c>
      <c r="H499" s="4">
        <v>948925</v>
      </c>
      <c r="I499" s="3">
        <f>C499+E499-G499</f>
        <v>12</v>
      </c>
      <c r="J499" s="44">
        <f>D499+F499-H499</f>
        <v>581304</v>
      </c>
    </row>
    <row r="500" spans="2:10" ht="24.95" customHeight="1" x14ac:dyDescent="0.25">
      <c r="B500" s="48" t="s">
        <v>130</v>
      </c>
      <c r="C500" s="4">
        <v>0</v>
      </c>
      <c r="D500" s="5">
        <v>0</v>
      </c>
      <c r="E500" s="4">
        <v>1</v>
      </c>
      <c r="F500" s="2">
        <v>1226945</v>
      </c>
      <c r="G500" s="2">
        <v>1</v>
      </c>
      <c r="H500" s="2">
        <v>1226945</v>
      </c>
      <c r="I500" s="3">
        <f>C500+E500-G500</f>
        <v>0</v>
      </c>
      <c r="J500" s="46">
        <f>D500+F500-H500</f>
        <v>0</v>
      </c>
    </row>
    <row r="501" spans="2:10" ht="24.95" customHeight="1" x14ac:dyDescent="0.25">
      <c r="B501" s="45" t="s">
        <v>129</v>
      </c>
      <c r="C501" s="4">
        <v>3</v>
      </c>
      <c r="D501" s="5">
        <v>315427</v>
      </c>
      <c r="E501" s="9">
        <v>0</v>
      </c>
      <c r="F501" s="9">
        <v>0</v>
      </c>
      <c r="G501" s="4">
        <v>3</v>
      </c>
      <c r="H501" s="4">
        <v>315427</v>
      </c>
      <c r="I501" s="3">
        <f>C501+E501-G501</f>
        <v>0</v>
      </c>
      <c r="J501" s="46">
        <f>D501+F501-H501</f>
        <v>0</v>
      </c>
    </row>
    <row r="502" spans="2:10" ht="24.95" customHeight="1" x14ac:dyDescent="0.25">
      <c r="B502" s="48" t="s">
        <v>128</v>
      </c>
      <c r="C502" s="4">
        <v>10</v>
      </c>
      <c r="D502" s="5">
        <v>452309</v>
      </c>
      <c r="E502" s="4">
        <v>6</v>
      </c>
      <c r="F502" s="4">
        <v>259650</v>
      </c>
      <c r="G502" s="4">
        <v>10</v>
      </c>
      <c r="H502" s="4">
        <v>454591</v>
      </c>
      <c r="I502" s="3">
        <f>C502+E502-G502</f>
        <v>6</v>
      </c>
      <c r="J502" s="44">
        <f>D502+F502-H502</f>
        <v>257368</v>
      </c>
    </row>
    <row r="503" spans="2:10" ht="24.95" customHeight="1" x14ac:dyDescent="0.25">
      <c r="B503" s="48" t="s">
        <v>127</v>
      </c>
      <c r="C503" s="4">
        <v>3</v>
      </c>
      <c r="D503" s="5">
        <v>118274</v>
      </c>
      <c r="E503" s="4">
        <v>19</v>
      </c>
      <c r="F503" s="4">
        <v>793457</v>
      </c>
      <c r="G503" s="4">
        <v>18</v>
      </c>
      <c r="H503" s="4">
        <v>748753</v>
      </c>
      <c r="I503" s="3">
        <f>C503+E503-G503</f>
        <v>4</v>
      </c>
      <c r="J503" s="44">
        <f>D503+F503-H503</f>
        <v>162978</v>
      </c>
    </row>
    <row r="504" spans="2:10" ht="24.95" customHeight="1" x14ac:dyDescent="0.25">
      <c r="B504" s="48" t="s">
        <v>126</v>
      </c>
      <c r="C504" s="4">
        <v>0</v>
      </c>
      <c r="D504" s="5">
        <v>0</v>
      </c>
      <c r="E504" s="4">
        <v>1</v>
      </c>
      <c r="F504" s="2">
        <v>417531</v>
      </c>
      <c r="G504" s="4">
        <v>1</v>
      </c>
      <c r="H504" s="2">
        <v>417531</v>
      </c>
      <c r="I504" s="3">
        <f>C504+E504-G504</f>
        <v>0</v>
      </c>
      <c r="J504" s="46">
        <f>D504+F504-H504</f>
        <v>0</v>
      </c>
    </row>
    <row r="505" spans="2:10" ht="24.95" customHeight="1" x14ac:dyDescent="0.25">
      <c r="B505" s="48" t="s">
        <v>125</v>
      </c>
      <c r="C505" s="4">
        <v>0</v>
      </c>
      <c r="D505" s="5">
        <v>0</v>
      </c>
      <c r="E505" s="4">
        <v>1</v>
      </c>
      <c r="F505" s="2">
        <v>1132273</v>
      </c>
      <c r="G505" s="4">
        <v>1</v>
      </c>
      <c r="H505" s="2">
        <v>1132273</v>
      </c>
      <c r="I505" s="3">
        <f>C505+E505-G505</f>
        <v>0</v>
      </c>
      <c r="J505" s="46">
        <f>D505+F505-H505</f>
        <v>0</v>
      </c>
    </row>
    <row r="506" spans="2:10" ht="24.95" customHeight="1" x14ac:dyDescent="0.25">
      <c r="B506" s="48" t="s">
        <v>124</v>
      </c>
      <c r="C506" s="4">
        <v>0</v>
      </c>
      <c r="D506" s="5">
        <v>0</v>
      </c>
      <c r="E506" s="4">
        <v>1</v>
      </c>
      <c r="F506" s="2">
        <v>744140</v>
      </c>
      <c r="G506" s="4">
        <v>1</v>
      </c>
      <c r="H506" s="2">
        <v>744140</v>
      </c>
      <c r="I506" s="3">
        <f>C506+E506-G506</f>
        <v>0</v>
      </c>
      <c r="J506" s="46">
        <f>D506+F506-H506</f>
        <v>0</v>
      </c>
    </row>
    <row r="507" spans="2:10" ht="24.95" customHeight="1" x14ac:dyDescent="0.25">
      <c r="B507" s="48" t="s">
        <v>123</v>
      </c>
      <c r="C507" s="4">
        <v>0</v>
      </c>
      <c r="D507" s="5">
        <v>0</v>
      </c>
      <c r="E507" s="4">
        <v>2</v>
      </c>
      <c r="F507" s="2">
        <v>344188</v>
      </c>
      <c r="G507" s="4">
        <v>2</v>
      </c>
      <c r="H507" s="2">
        <v>344188</v>
      </c>
      <c r="I507" s="3">
        <f>C507+E507-G507</f>
        <v>0</v>
      </c>
      <c r="J507" s="46">
        <f>D507+F507-H507</f>
        <v>0</v>
      </c>
    </row>
    <row r="508" spans="2:10" ht="24.95" customHeight="1" x14ac:dyDescent="0.25">
      <c r="B508" s="48" t="s">
        <v>122</v>
      </c>
      <c r="C508" s="4">
        <v>4</v>
      </c>
      <c r="D508" s="5">
        <v>150225</v>
      </c>
      <c r="E508" s="4">
        <v>7</v>
      </c>
      <c r="F508" s="4">
        <v>361874</v>
      </c>
      <c r="G508" s="4">
        <v>5</v>
      </c>
      <c r="H508" s="4">
        <v>281460</v>
      </c>
      <c r="I508" s="3">
        <f>C508+E508-G508</f>
        <v>6</v>
      </c>
      <c r="J508" s="44">
        <f>D508+F508-H508</f>
        <v>230639</v>
      </c>
    </row>
    <row r="509" spans="2:10" ht="24.95" customHeight="1" x14ac:dyDescent="0.25">
      <c r="B509" s="48" t="s">
        <v>121</v>
      </c>
      <c r="C509" s="4">
        <v>14</v>
      </c>
      <c r="D509" s="5">
        <v>3708092</v>
      </c>
      <c r="E509" s="4">
        <v>11</v>
      </c>
      <c r="F509" s="4">
        <v>740959</v>
      </c>
      <c r="G509" s="4">
        <v>15</v>
      </c>
      <c r="H509" s="4">
        <v>4067391</v>
      </c>
      <c r="I509" s="3">
        <f>C509+E509-G509</f>
        <v>10</v>
      </c>
      <c r="J509" s="44">
        <f>D509+F509-H509</f>
        <v>381660</v>
      </c>
    </row>
    <row r="510" spans="2:10" ht="24.95" customHeight="1" x14ac:dyDescent="0.25">
      <c r="B510" s="48" t="s">
        <v>120</v>
      </c>
      <c r="C510" s="4">
        <v>12</v>
      </c>
      <c r="D510" s="5">
        <v>407658</v>
      </c>
      <c r="E510" s="4">
        <v>13</v>
      </c>
      <c r="F510" s="4">
        <v>513071</v>
      </c>
      <c r="G510" s="4">
        <v>18</v>
      </c>
      <c r="H510" s="4">
        <v>650522</v>
      </c>
      <c r="I510" s="3">
        <f>C510+E510-G510</f>
        <v>7</v>
      </c>
      <c r="J510" s="44">
        <f>D510+F510-H510</f>
        <v>270207</v>
      </c>
    </row>
    <row r="511" spans="2:10" ht="24.95" customHeight="1" x14ac:dyDescent="0.25">
      <c r="B511" s="48" t="s">
        <v>119</v>
      </c>
      <c r="C511" s="4">
        <v>0</v>
      </c>
      <c r="D511" s="5">
        <v>0</v>
      </c>
      <c r="E511" s="4">
        <v>20</v>
      </c>
      <c r="F511" s="2">
        <v>3120200</v>
      </c>
      <c r="G511" s="4">
        <v>20</v>
      </c>
      <c r="H511" s="2">
        <v>3120200</v>
      </c>
      <c r="I511" s="3">
        <f>C511+E511-G511</f>
        <v>0</v>
      </c>
      <c r="J511" s="46">
        <f>D511+F511-H511</f>
        <v>0</v>
      </c>
    </row>
    <row r="512" spans="2:10" ht="24.95" customHeight="1" x14ac:dyDescent="0.25">
      <c r="B512" s="48" t="s">
        <v>118</v>
      </c>
      <c r="C512" s="4">
        <v>8</v>
      </c>
      <c r="D512" s="5">
        <v>251538</v>
      </c>
      <c r="E512" s="4">
        <v>13</v>
      </c>
      <c r="F512" s="4">
        <v>479471</v>
      </c>
      <c r="G512" s="4">
        <v>9</v>
      </c>
      <c r="H512" s="4">
        <v>287105</v>
      </c>
      <c r="I512" s="3">
        <f>C512+E512-G512</f>
        <v>12</v>
      </c>
      <c r="J512" s="44">
        <f>D512+F512-H512</f>
        <v>443904</v>
      </c>
    </row>
    <row r="513" spans="2:10" ht="24.95" customHeight="1" x14ac:dyDescent="0.25">
      <c r="B513" s="48" t="s">
        <v>117</v>
      </c>
      <c r="C513" s="4">
        <v>9</v>
      </c>
      <c r="D513" s="5">
        <v>197719</v>
      </c>
      <c r="E513" s="4">
        <v>2</v>
      </c>
      <c r="F513" s="4">
        <v>49486</v>
      </c>
      <c r="G513" s="4">
        <v>1</v>
      </c>
      <c r="H513" s="4">
        <v>22755</v>
      </c>
      <c r="I513" s="3">
        <f>C513+E513-G513</f>
        <v>10</v>
      </c>
      <c r="J513" s="44">
        <f>D513+F513-H513</f>
        <v>224450</v>
      </c>
    </row>
    <row r="514" spans="2:10" ht="24.95" customHeight="1" x14ac:dyDescent="0.25">
      <c r="B514" s="48" t="s">
        <v>116</v>
      </c>
      <c r="C514" s="4">
        <v>2</v>
      </c>
      <c r="D514" s="5">
        <v>45510</v>
      </c>
      <c r="E514" s="4">
        <v>3</v>
      </c>
      <c r="F514" s="4">
        <v>74229</v>
      </c>
      <c r="G514" s="4">
        <v>3</v>
      </c>
      <c r="H514" s="4">
        <v>70253</v>
      </c>
      <c r="I514" s="3">
        <f>C514+E514-G514</f>
        <v>2</v>
      </c>
      <c r="J514" s="44">
        <f>D514+F514-H514</f>
        <v>49486</v>
      </c>
    </row>
    <row r="515" spans="2:10" ht="24.95" customHeight="1" x14ac:dyDescent="0.25">
      <c r="B515" s="48" t="s">
        <v>115</v>
      </c>
      <c r="C515" s="4">
        <v>9</v>
      </c>
      <c r="D515" s="5">
        <v>161893</v>
      </c>
      <c r="E515" s="4">
        <v>1</v>
      </c>
      <c r="F515" s="4">
        <v>20103</v>
      </c>
      <c r="G515" s="4">
        <v>1</v>
      </c>
      <c r="H515" s="4">
        <v>17362</v>
      </c>
      <c r="I515" s="3">
        <f>C515+E515-G515</f>
        <v>9</v>
      </c>
      <c r="J515" s="44">
        <f>D515+F515-H515</f>
        <v>164634</v>
      </c>
    </row>
    <row r="516" spans="2:10" ht="24.95" customHeight="1" x14ac:dyDescent="0.25">
      <c r="B516" s="48" t="s">
        <v>114</v>
      </c>
      <c r="C516" s="4">
        <v>0</v>
      </c>
      <c r="D516" s="5">
        <v>0</v>
      </c>
      <c r="E516" s="4">
        <v>2</v>
      </c>
      <c r="F516" s="2">
        <v>126958</v>
      </c>
      <c r="G516" s="4">
        <v>2</v>
      </c>
      <c r="H516" s="2">
        <v>126958</v>
      </c>
      <c r="I516" s="3">
        <f>C516+E516-G516</f>
        <v>0</v>
      </c>
      <c r="J516" s="46">
        <f>D516+F516-H516</f>
        <v>0</v>
      </c>
    </row>
    <row r="517" spans="2:10" ht="24.95" customHeight="1" x14ac:dyDescent="0.25">
      <c r="B517" s="48" t="s">
        <v>113</v>
      </c>
      <c r="C517" s="4">
        <v>8</v>
      </c>
      <c r="D517" s="5">
        <v>145082</v>
      </c>
      <c r="E517" s="4">
        <v>4</v>
      </c>
      <c r="F517" s="4">
        <v>80412</v>
      </c>
      <c r="G517" s="4">
        <v>0</v>
      </c>
      <c r="H517" s="4">
        <v>0</v>
      </c>
      <c r="I517" s="3">
        <f>C517+E517-G517</f>
        <v>12</v>
      </c>
      <c r="J517" s="44">
        <f>D517+F517-H517</f>
        <v>225494</v>
      </c>
    </row>
    <row r="518" spans="2:10" ht="24.95" customHeight="1" x14ac:dyDescent="0.25">
      <c r="B518" s="48" t="s">
        <v>112</v>
      </c>
      <c r="C518" s="4">
        <v>0</v>
      </c>
      <c r="D518" s="5">
        <v>0</v>
      </c>
      <c r="E518" s="4">
        <v>400</v>
      </c>
      <c r="F518" s="2">
        <v>5453200</v>
      </c>
      <c r="G518" s="4">
        <v>170</v>
      </c>
      <c r="H518" s="4">
        <v>2317610</v>
      </c>
      <c r="I518" s="3">
        <f>C518+E518-G518</f>
        <v>230</v>
      </c>
      <c r="J518" s="44">
        <f>D518+F518-H518</f>
        <v>3135590</v>
      </c>
    </row>
    <row r="519" spans="2:10" ht="24.95" customHeight="1" x14ac:dyDescent="0.25">
      <c r="B519" s="48" t="s">
        <v>111</v>
      </c>
      <c r="C519" s="4">
        <v>0</v>
      </c>
      <c r="D519" s="5">
        <v>0</v>
      </c>
      <c r="E519" s="4">
        <v>2</v>
      </c>
      <c r="F519" s="4">
        <v>111342</v>
      </c>
      <c r="G519" s="4">
        <v>0</v>
      </c>
      <c r="H519" s="4">
        <v>0</v>
      </c>
      <c r="I519" s="3">
        <f>C519+E519-G519</f>
        <v>2</v>
      </c>
      <c r="J519" s="44">
        <f>D519+F519-H519</f>
        <v>111342</v>
      </c>
    </row>
    <row r="520" spans="2:10" ht="24.95" customHeight="1" x14ac:dyDescent="0.25">
      <c r="B520" s="45" t="s">
        <v>110</v>
      </c>
      <c r="C520" s="4">
        <v>1</v>
      </c>
      <c r="D520" s="5">
        <v>106618</v>
      </c>
      <c r="E520" s="9">
        <v>0</v>
      </c>
      <c r="F520" s="9">
        <v>0</v>
      </c>
      <c r="G520" s="9">
        <v>0</v>
      </c>
      <c r="H520" s="9">
        <v>0</v>
      </c>
      <c r="I520" s="3">
        <f>C520+E520-G520</f>
        <v>1</v>
      </c>
      <c r="J520" s="44">
        <f>D520+F520-H520</f>
        <v>106618</v>
      </c>
    </row>
    <row r="521" spans="2:10" ht="24.95" customHeight="1" x14ac:dyDescent="0.25">
      <c r="B521" s="48" t="s">
        <v>109</v>
      </c>
      <c r="C521" s="4">
        <v>0</v>
      </c>
      <c r="D521" s="5">
        <v>0</v>
      </c>
      <c r="E521" s="4">
        <v>4</v>
      </c>
      <c r="F521" s="2">
        <v>128668</v>
      </c>
      <c r="G521" s="4">
        <v>4</v>
      </c>
      <c r="H521" s="2">
        <v>128668</v>
      </c>
      <c r="I521" s="3">
        <f>C521+E521-G521</f>
        <v>0</v>
      </c>
      <c r="J521" s="46">
        <f>D521+F521-H521</f>
        <v>0</v>
      </c>
    </row>
    <row r="522" spans="2:10" ht="24.95" customHeight="1" x14ac:dyDescent="0.25">
      <c r="B522" s="48" t="s">
        <v>108</v>
      </c>
      <c r="C522" s="4">
        <v>0</v>
      </c>
      <c r="D522" s="5">
        <v>0</v>
      </c>
      <c r="E522" s="4">
        <v>1</v>
      </c>
      <c r="F522" s="2">
        <v>3326508</v>
      </c>
      <c r="G522" s="4">
        <v>1</v>
      </c>
      <c r="H522" s="2">
        <v>3326508</v>
      </c>
      <c r="I522" s="3">
        <f>C522+E522-G522</f>
        <v>0</v>
      </c>
      <c r="J522" s="46">
        <f>D522+F522-H522</f>
        <v>0</v>
      </c>
    </row>
    <row r="523" spans="2:10" ht="24.95" customHeight="1" x14ac:dyDescent="0.25">
      <c r="B523" s="48" t="s">
        <v>107</v>
      </c>
      <c r="C523" s="4">
        <v>0</v>
      </c>
      <c r="D523" s="5">
        <v>0</v>
      </c>
      <c r="E523" s="4">
        <v>7</v>
      </c>
      <c r="F523" s="4">
        <v>947478</v>
      </c>
      <c r="G523" s="4">
        <v>5</v>
      </c>
      <c r="H523" s="4">
        <v>651088</v>
      </c>
      <c r="I523" s="3">
        <f>C523+E523-G523</f>
        <v>2</v>
      </c>
      <c r="J523" s="44">
        <f>D523+F523-H523</f>
        <v>296390</v>
      </c>
    </row>
    <row r="524" spans="2:10" ht="24.95" customHeight="1" x14ac:dyDescent="0.25">
      <c r="B524" s="48" t="s">
        <v>106</v>
      </c>
      <c r="C524" s="4">
        <v>0</v>
      </c>
      <c r="D524" s="5">
        <v>0</v>
      </c>
      <c r="E524" s="4">
        <v>7</v>
      </c>
      <c r="F524" s="4">
        <v>958894</v>
      </c>
      <c r="G524" s="4">
        <v>5</v>
      </c>
      <c r="H524" s="4">
        <v>658934</v>
      </c>
      <c r="I524" s="3">
        <f>C524+E524-G524</f>
        <v>2</v>
      </c>
      <c r="J524" s="44">
        <f>D524+F524-H524</f>
        <v>299960</v>
      </c>
    </row>
    <row r="525" spans="2:10" ht="24.95" customHeight="1" x14ac:dyDescent="0.25">
      <c r="B525" s="48" t="s">
        <v>105</v>
      </c>
      <c r="C525" s="4">
        <v>5</v>
      </c>
      <c r="D525" s="10">
        <v>926420</v>
      </c>
      <c r="E525" s="4">
        <v>10</v>
      </c>
      <c r="F525" s="2">
        <v>2783730</v>
      </c>
      <c r="G525" s="4">
        <v>4</v>
      </c>
      <c r="H525" s="4">
        <v>741136</v>
      </c>
      <c r="I525" s="3">
        <f>C525+E525-G525</f>
        <v>11</v>
      </c>
      <c r="J525" s="44">
        <f>D525+F525-H525</f>
        <v>2969014</v>
      </c>
    </row>
    <row r="526" spans="2:10" ht="24.95" customHeight="1" x14ac:dyDescent="0.25">
      <c r="B526" s="48" t="s">
        <v>104</v>
      </c>
      <c r="C526" s="4">
        <v>0</v>
      </c>
      <c r="D526" s="5">
        <v>0</v>
      </c>
      <c r="E526" s="4">
        <v>1000</v>
      </c>
      <c r="F526" s="2">
        <v>26204396</v>
      </c>
      <c r="G526" s="4">
        <v>500</v>
      </c>
      <c r="H526" s="1">
        <v>13102198</v>
      </c>
      <c r="I526" s="3">
        <f>C526+E526-G526</f>
        <v>500</v>
      </c>
      <c r="J526" s="44">
        <f>D526+F526-H526</f>
        <v>13102198</v>
      </c>
    </row>
    <row r="527" spans="2:10" ht="24.95" customHeight="1" x14ac:dyDescent="0.25">
      <c r="B527" s="48" t="s">
        <v>103</v>
      </c>
      <c r="C527" s="4">
        <v>0</v>
      </c>
      <c r="D527" s="5">
        <v>0</v>
      </c>
      <c r="E527" s="4">
        <v>1000</v>
      </c>
      <c r="F527" s="2">
        <v>27010447</v>
      </c>
      <c r="G527" s="4">
        <v>0</v>
      </c>
      <c r="H527" s="4">
        <v>0</v>
      </c>
      <c r="I527" s="3">
        <f>C527+E527-G527</f>
        <v>1000</v>
      </c>
      <c r="J527" s="44">
        <f>D527+F527-H527</f>
        <v>27010447</v>
      </c>
    </row>
    <row r="528" spans="2:10" ht="24.95" customHeight="1" x14ac:dyDescent="0.25">
      <c r="B528" s="45" t="s">
        <v>102</v>
      </c>
      <c r="C528" s="4">
        <v>1</v>
      </c>
      <c r="D528" s="2">
        <v>1863625</v>
      </c>
      <c r="E528" s="9">
        <v>0</v>
      </c>
      <c r="F528" s="9">
        <v>0</v>
      </c>
      <c r="G528" s="9">
        <v>0</v>
      </c>
      <c r="H528" s="9">
        <v>0</v>
      </c>
      <c r="I528" s="3">
        <f>C528+E528-G528</f>
        <v>1</v>
      </c>
      <c r="J528" s="44">
        <f>D528+F528-H528</f>
        <v>1863625</v>
      </c>
    </row>
    <row r="529" spans="2:10" ht="24.95" customHeight="1" x14ac:dyDescent="0.25">
      <c r="B529" s="45" t="s">
        <v>101</v>
      </c>
      <c r="C529" s="4">
        <v>1</v>
      </c>
      <c r="D529" s="2">
        <v>90430</v>
      </c>
      <c r="E529" s="9">
        <v>0</v>
      </c>
      <c r="F529" s="9">
        <v>0</v>
      </c>
      <c r="G529" s="4">
        <v>1</v>
      </c>
      <c r="H529" s="2">
        <v>90430</v>
      </c>
      <c r="I529" s="3">
        <f>C529+E529-G529</f>
        <v>0</v>
      </c>
      <c r="J529" s="46">
        <f>D529+F529-H529</f>
        <v>0</v>
      </c>
    </row>
    <row r="530" spans="2:10" ht="24.95" customHeight="1" x14ac:dyDescent="0.25">
      <c r="B530" s="48" t="s">
        <v>100</v>
      </c>
      <c r="C530" s="4">
        <v>0</v>
      </c>
      <c r="D530" s="5">
        <v>0</v>
      </c>
      <c r="E530" s="4">
        <v>1</v>
      </c>
      <c r="F530" s="2">
        <v>406970</v>
      </c>
      <c r="G530" s="4">
        <v>0</v>
      </c>
      <c r="H530" s="4">
        <v>0</v>
      </c>
      <c r="I530" s="3">
        <f>C530+E530-G530</f>
        <v>1</v>
      </c>
      <c r="J530" s="44">
        <f>D530+F530-H530</f>
        <v>406970</v>
      </c>
    </row>
    <row r="531" spans="2:10" ht="24.95" customHeight="1" x14ac:dyDescent="0.25">
      <c r="B531" s="45" t="s">
        <v>99</v>
      </c>
      <c r="C531" s="4">
        <v>1</v>
      </c>
      <c r="D531" s="2">
        <v>208709</v>
      </c>
      <c r="E531" s="9">
        <v>0</v>
      </c>
      <c r="F531" s="9">
        <v>0</v>
      </c>
      <c r="G531" s="9">
        <v>0</v>
      </c>
      <c r="H531" s="9">
        <v>0</v>
      </c>
      <c r="I531" s="3">
        <f>C531+E531-G531</f>
        <v>1</v>
      </c>
      <c r="J531" s="44">
        <f>D531+F531-H531</f>
        <v>208709</v>
      </c>
    </row>
    <row r="532" spans="2:10" ht="24.95" customHeight="1" x14ac:dyDescent="0.25">
      <c r="B532" s="45" t="s">
        <v>98</v>
      </c>
      <c r="C532" s="4">
        <v>4</v>
      </c>
      <c r="D532" s="5">
        <v>336608</v>
      </c>
      <c r="E532" s="9">
        <v>0</v>
      </c>
      <c r="F532" s="9">
        <v>0</v>
      </c>
      <c r="G532" s="9">
        <v>0</v>
      </c>
      <c r="H532" s="9">
        <v>0</v>
      </c>
      <c r="I532" s="3">
        <f>C532+E532-G532</f>
        <v>4</v>
      </c>
      <c r="J532" s="44">
        <f>D532+F532-H532</f>
        <v>336608</v>
      </c>
    </row>
    <row r="533" spans="2:10" ht="24.95" customHeight="1" x14ac:dyDescent="0.25">
      <c r="B533" s="45" t="s">
        <v>97</v>
      </c>
      <c r="C533" s="4">
        <v>10</v>
      </c>
      <c r="D533" s="5">
        <v>1803800</v>
      </c>
      <c r="E533" s="9">
        <v>0</v>
      </c>
      <c r="F533" s="9">
        <v>0</v>
      </c>
      <c r="G533" s="9">
        <v>0</v>
      </c>
      <c r="H533" s="9">
        <v>0</v>
      </c>
      <c r="I533" s="3">
        <f>C533+E533-G533</f>
        <v>10</v>
      </c>
      <c r="J533" s="44">
        <f>D533+F533-H533</f>
        <v>1803800</v>
      </c>
    </row>
    <row r="534" spans="2:10" ht="24.95" customHeight="1" x14ac:dyDescent="0.25">
      <c r="B534" s="48" t="s">
        <v>96</v>
      </c>
      <c r="C534" s="4">
        <v>0</v>
      </c>
      <c r="D534" s="5">
        <v>0</v>
      </c>
      <c r="E534" s="4">
        <v>3</v>
      </c>
      <c r="F534" s="2">
        <v>140922</v>
      </c>
      <c r="G534" s="4">
        <v>0</v>
      </c>
      <c r="H534" s="4">
        <v>0</v>
      </c>
      <c r="I534" s="3">
        <f>C534+E534-G534</f>
        <v>3</v>
      </c>
      <c r="J534" s="44">
        <f>D534+F534-H534</f>
        <v>140922</v>
      </c>
    </row>
    <row r="535" spans="2:10" ht="24.95" customHeight="1" x14ac:dyDescent="0.25">
      <c r="B535" s="45" t="s">
        <v>95</v>
      </c>
      <c r="C535" s="4">
        <v>2</v>
      </c>
      <c r="D535" s="2">
        <v>105244</v>
      </c>
      <c r="E535" s="9">
        <v>0</v>
      </c>
      <c r="F535" s="9">
        <v>0</v>
      </c>
      <c r="G535" s="4">
        <v>2</v>
      </c>
      <c r="H535" s="2">
        <v>105244</v>
      </c>
      <c r="I535" s="3">
        <f>C535+E535-G535</f>
        <v>0</v>
      </c>
      <c r="J535" s="46">
        <f>D535+F535-H535</f>
        <v>0</v>
      </c>
    </row>
    <row r="536" spans="2:10" ht="24.95" customHeight="1" x14ac:dyDescent="0.25">
      <c r="B536" s="48" t="s">
        <v>94</v>
      </c>
      <c r="C536" s="4">
        <v>0</v>
      </c>
      <c r="D536" s="5">
        <v>0</v>
      </c>
      <c r="E536" s="4">
        <v>49</v>
      </c>
      <c r="F536" s="4">
        <v>2659650</v>
      </c>
      <c r="G536" s="4">
        <v>38</v>
      </c>
      <c r="H536" s="4">
        <v>2100540</v>
      </c>
      <c r="I536" s="3">
        <v>11</v>
      </c>
      <c r="J536" s="44">
        <f>D536+F536-H536</f>
        <v>559110</v>
      </c>
    </row>
    <row r="537" spans="2:10" ht="24.95" customHeight="1" x14ac:dyDescent="0.25">
      <c r="B537" s="48" t="s">
        <v>93</v>
      </c>
      <c r="C537" s="4">
        <v>11</v>
      </c>
      <c r="D537" s="5">
        <v>516263</v>
      </c>
      <c r="E537" s="4">
        <v>4</v>
      </c>
      <c r="F537" s="4">
        <v>176152</v>
      </c>
      <c r="G537" s="4">
        <v>5</v>
      </c>
      <c r="H537" s="4">
        <v>234665</v>
      </c>
      <c r="I537" s="3">
        <f>C537+E537-G537</f>
        <v>10</v>
      </c>
      <c r="J537" s="44">
        <f>D537+F537-H537</f>
        <v>457750</v>
      </c>
    </row>
    <row r="538" spans="2:10" ht="24.95" customHeight="1" x14ac:dyDescent="0.25">
      <c r="B538" s="48" t="s">
        <v>92</v>
      </c>
      <c r="C538" s="4">
        <v>10</v>
      </c>
      <c r="D538" s="5">
        <v>559259</v>
      </c>
      <c r="E538" s="4">
        <v>8</v>
      </c>
      <c r="F538" s="4">
        <v>409952</v>
      </c>
      <c r="G538" s="4">
        <v>9</v>
      </c>
      <c r="H538" s="4">
        <v>502370</v>
      </c>
      <c r="I538" s="3">
        <f>C538+E538-G538</f>
        <v>9</v>
      </c>
      <c r="J538" s="44">
        <f>D538+F538-H538</f>
        <v>466841</v>
      </c>
    </row>
    <row r="539" spans="2:10" ht="24.95" customHeight="1" x14ac:dyDescent="0.25">
      <c r="B539" s="45" t="s">
        <v>91</v>
      </c>
      <c r="C539" s="4">
        <v>1</v>
      </c>
      <c r="D539" s="2">
        <v>123495</v>
      </c>
      <c r="E539" s="9">
        <v>0</v>
      </c>
      <c r="F539" s="9">
        <v>0</v>
      </c>
      <c r="G539" s="9">
        <v>0</v>
      </c>
      <c r="H539" s="9">
        <v>0</v>
      </c>
      <c r="I539" s="3">
        <f>C539+E539-G539</f>
        <v>1</v>
      </c>
      <c r="J539" s="44">
        <f>D539+F539-H539</f>
        <v>123495</v>
      </c>
    </row>
    <row r="540" spans="2:10" ht="24.95" customHeight="1" x14ac:dyDescent="0.25">
      <c r="B540" s="45" t="s">
        <v>90</v>
      </c>
      <c r="C540" s="4">
        <v>5</v>
      </c>
      <c r="D540" s="5">
        <v>220445</v>
      </c>
      <c r="E540" s="9">
        <v>0</v>
      </c>
      <c r="F540" s="9">
        <v>0</v>
      </c>
      <c r="G540" s="9">
        <v>2</v>
      </c>
      <c r="H540" s="9">
        <v>88178</v>
      </c>
      <c r="I540" s="3">
        <f>C540+E540-G540</f>
        <v>3</v>
      </c>
      <c r="J540" s="44">
        <f>D540+F540-H540</f>
        <v>132267</v>
      </c>
    </row>
    <row r="541" spans="2:10" ht="24.95" customHeight="1" x14ac:dyDescent="0.25">
      <c r="B541" s="48" t="s">
        <v>89</v>
      </c>
      <c r="C541" s="4">
        <v>8</v>
      </c>
      <c r="D541" s="5">
        <v>402684</v>
      </c>
      <c r="E541" s="4">
        <v>21</v>
      </c>
      <c r="F541" s="4">
        <v>1011089</v>
      </c>
      <c r="G541" s="4">
        <v>19</v>
      </c>
      <c r="H541" s="4">
        <v>955089</v>
      </c>
      <c r="I541" s="3">
        <f>C541+E541-G541</f>
        <v>10</v>
      </c>
      <c r="J541" s="44">
        <f>D541+F541-H541</f>
        <v>458684</v>
      </c>
    </row>
    <row r="542" spans="2:10" ht="24.95" customHeight="1" x14ac:dyDescent="0.25">
      <c r="B542" s="48" t="s">
        <v>88</v>
      </c>
      <c r="C542" s="4">
        <v>9</v>
      </c>
      <c r="D542" s="5">
        <v>324174</v>
      </c>
      <c r="E542" s="4">
        <v>1</v>
      </c>
      <c r="F542" s="4">
        <v>41753</v>
      </c>
      <c r="G542" s="4">
        <v>2</v>
      </c>
      <c r="H542" s="4">
        <v>76800</v>
      </c>
      <c r="I542" s="3">
        <f>C542+E542-G542</f>
        <v>8</v>
      </c>
      <c r="J542" s="44">
        <f>D542+F542-H542</f>
        <v>289127</v>
      </c>
    </row>
    <row r="543" spans="2:10" ht="24.95" customHeight="1" x14ac:dyDescent="0.25">
      <c r="B543" s="48" t="s">
        <v>87</v>
      </c>
      <c r="C543" s="4">
        <v>15</v>
      </c>
      <c r="D543" s="5">
        <v>652158</v>
      </c>
      <c r="E543" s="4">
        <v>28</v>
      </c>
      <c r="F543" s="4">
        <v>1166348</v>
      </c>
      <c r="G543" s="4">
        <v>34</v>
      </c>
      <c r="H543" s="4">
        <v>1037025</v>
      </c>
      <c r="I543" s="3">
        <f>C543+E543-G543</f>
        <v>9</v>
      </c>
      <c r="J543" s="44">
        <f>D543+F543-H543</f>
        <v>781481</v>
      </c>
    </row>
    <row r="544" spans="2:10" ht="24.95" customHeight="1" x14ac:dyDescent="0.25">
      <c r="B544" s="45" t="s">
        <v>86</v>
      </c>
      <c r="C544" s="4">
        <v>10</v>
      </c>
      <c r="D544" s="5">
        <v>289265</v>
      </c>
      <c r="E544" s="9">
        <v>0</v>
      </c>
      <c r="F544" s="9">
        <v>0</v>
      </c>
      <c r="G544" s="9">
        <v>0</v>
      </c>
      <c r="H544" s="9">
        <v>0</v>
      </c>
      <c r="I544" s="3">
        <f>C544+E544-G544</f>
        <v>10</v>
      </c>
      <c r="J544" s="44">
        <f>D544+F544-H544</f>
        <v>289265</v>
      </c>
    </row>
    <row r="545" spans="2:10" ht="24.95" customHeight="1" x14ac:dyDescent="0.25">
      <c r="B545" s="45" t="s">
        <v>85</v>
      </c>
      <c r="C545" s="4">
        <v>10</v>
      </c>
      <c r="D545" s="5">
        <v>369940</v>
      </c>
      <c r="E545" s="9">
        <v>0</v>
      </c>
      <c r="F545" s="9">
        <v>0</v>
      </c>
      <c r="G545" s="9">
        <v>1</v>
      </c>
      <c r="H545" s="9">
        <v>35588</v>
      </c>
      <c r="I545" s="3">
        <f>C545+E545-G545</f>
        <v>9</v>
      </c>
      <c r="J545" s="44">
        <f>D545+F545-H545</f>
        <v>334352</v>
      </c>
    </row>
    <row r="546" spans="2:10" ht="24.95" customHeight="1" x14ac:dyDescent="0.25">
      <c r="B546" s="45" t="s">
        <v>84</v>
      </c>
      <c r="C546" s="4">
        <v>16</v>
      </c>
      <c r="D546" s="2">
        <v>716576</v>
      </c>
      <c r="E546" s="9">
        <v>0</v>
      </c>
      <c r="F546" s="9">
        <v>0</v>
      </c>
      <c r="G546" s="9">
        <v>0</v>
      </c>
      <c r="H546" s="9">
        <v>0</v>
      </c>
      <c r="I546" s="3">
        <f>C546+E546-G546</f>
        <v>16</v>
      </c>
      <c r="J546" s="44">
        <f>D546+F546-H546</f>
        <v>716576</v>
      </c>
    </row>
    <row r="547" spans="2:10" ht="24.95" customHeight="1" x14ac:dyDescent="0.25">
      <c r="B547" s="45" t="s">
        <v>83</v>
      </c>
      <c r="C547" s="4">
        <v>10</v>
      </c>
      <c r="D547" s="5">
        <v>256000</v>
      </c>
      <c r="E547" s="9">
        <v>0</v>
      </c>
      <c r="F547" s="9">
        <v>0</v>
      </c>
      <c r="G547" s="9">
        <v>5</v>
      </c>
      <c r="H547" s="9">
        <v>128000</v>
      </c>
      <c r="I547" s="3">
        <f>C547+E547-G547</f>
        <v>5</v>
      </c>
      <c r="J547" s="44">
        <f>D547+F547-H547</f>
        <v>128000</v>
      </c>
    </row>
    <row r="548" spans="2:10" ht="24.95" customHeight="1" x14ac:dyDescent="0.25">
      <c r="B548" s="48" t="s">
        <v>82</v>
      </c>
      <c r="C548" s="4">
        <v>9</v>
      </c>
      <c r="D548" s="2">
        <v>268803</v>
      </c>
      <c r="E548" s="4">
        <v>12</v>
      </c>
      <c r="F548" s="4">
        <v>368768</v>
      </c>
      <c r="G548" s="4">
        <v>6</v>
      </c>
      <c r="H548" s="4">
        <v>198958</v>
      </c>
      <c r="I548" s="3">
        <f>C548+E548-G548</f>
        <v>15</v>
      </c>
      <c r="J548" s="44">
        <f>D548+F548-H548</f>
        <v>438613</v>
      </c>
    </row>
    <row r="549" spans="2:10" ht="24.95" customHeight="1" x14ac:dyDescent="0.25">
      <c r="B549" s="45" t="s">
        <v>81</v>
      </c>
      <c r="C549" s="4">
        <v>2</v>
      </c>
      <c r="D549" s="2">
        <v>123580</v>
      </c>
      <c r="E549" s="9">
        <v>0</v>
      </c>
      <c r="F549" s="9">
        <v>0</v>
      </c>
      <c r="G549" s="9">
        <v>0</v>
      </c>
      <c r="H549" s="9">
        <v>0</v>
      </c>
      <c r="I549" s="3">
        <f>C549+E549-G549</f>
        <v>2</v>
      </c>
      <c r="J549" s="44">
        <f>D549+F549-H549</f>
        <v>123580</v>
      </c>
    </row>
    <row r="550" spans="2:10" ht="24.95" customHeight="1" x14ac:dyDescent="0.25">
      <c r="B550" s="48" t="s">
        <v>80</v>
      </c>
      <c r="C550" s="4">
        <v>2</v>
      </c>
      <c r="D550" s="10">
        <v>73460</v>
      </c>
      <c r="E550" s="4">
        <v>2</v>
      </c>
      <c r="F550" s="4">
        <v>61118</v>
      </c>
      <c r="G550" s="4">
        <v>4</v>
      </c>
      <c r="H550" s="4">
        <v>134578</v>
      </c>
      <c r="I550" s="3">
        <f>C550+E550-G550</f>
        <v>0</v>
      </c>
      <c r="J550" s="46">
        <f>D550+F550-H550</f>
        <v>0</v>
      </c>
    </row>
    <row r="551" spans="2:10" ht="24.95" customHeight="1" x14ac:dyDescent="0.25">
      <c r="B551" s="45" t="s">
        <v>79</v>
      </c>
      <c r="C551" s="4">
        <v>2</v>
      </c>
      <c r="D551" s="2">
        <v>274992</v>
      </c>
      <c r="E551" s="9">
        <v>0</v>
      </c>
      <c r="F551" s="9">
        <v>0</v>
      </c>
      <c r="G551" s="9">
        <v>0</v>
      </c>
      <c r="H551" s="9">
        <v>0</v>
      </c>
      <c r="I551" s="3">
        <f>C551+E551-G551</f>
        <v>2</v>
      </c>
      <c r="J551" s="44">
        <f>D551+F551-H551</f>
        <v>274992</v>
      </c>
    </row>
    <row r="552" spans="2:10" ht="24.95" customHeight="1" x14ac:dyDescent="0.25">
      <c r="B552" s="45" t="s">
        <v>78</v>
      </c>
      <c r="C552" s="4">
        <v>4</v>
      </c>
      <c r="D552" s="2">
        <v>867488</v>
      </c>
      <c r="E552" s="9">
        <v>0</v>
      </c>
      <c r="F552" s="9">
        <v>0</v>
      </c>
      <c r="G552" s="9">
        <v>0</v>
      </c>
      <c r="H552" s="9">
        <v>0</v>
      </c>
      <c r="I552" s="3">
        <f>C552+E552-G552</f>
        <v>4</v>
      </c>
      <c r="J552" s="44">
        <f>D552+F552-H552</f>
        <v>867488</v>
      </c>
    </row>
    <row r="553" spans="2:10" ht="24.95" customHeight="1" x14ac:dyDescent="0.25">
      <c r="B553" s="45" t="s">
        <v>77</v>
      </c>
      <c r="C553" s="4">
        <v>4</v>
      </c>
      <c r="D553" s="2">
        <v>1318192</v>
      </c>
      <c r="E553" s="9">
        <v>0</v>
      </c>
      <c r="F553" s="9">
        <v>0</v>
      </c>
      <c r="G553" s="9">
        <v>0</v>
      </c>
      <c r="H553" s="9">
        <v>0</v>
      </c>
      <c r="I553" s="3">
        <f>C553+E553-G553</f>
        <v>4</v>
      </c>
      <c r="J553" s="44">
        <f>D553+F553-H553</f>
        <v>1318192</v>
      </c>
    </row>
    <row r="554" spans="2:10" ht="24.95" customHeight="1" x14ac:dyDescent="0.25">
      <c r="B554" s="43" t="s">
        <v>76</v>
      </c>
      <c r="C554" s="4">
        <v>0</v>
      </c>
      <c r="D554" s="5">
        <v>0</v>
      </c>
      <c r="E554" s="3">
        <v>1</v>
      </c>
      <c r="F554" s="3">
        <v>45000000</v>
      </c>
      <c r="G554" s="3">
        <v>1</v>
      </c>
      <c r="H554" s="3">
        <v>45000000</v>
      </c>
      <c r="I554" s="3">
        <f>C554+E554-G554</f>
        <v>0</v>
      </c>
      <c r="J554" s="46">
        <f>D554+F554-H554</f>
        <v>0</v>
      </c>
    </row>
    <row r="555" spans="2:10" ht="24.95" customHeight="1" x14ac:dyDescent="0.25">
      <c r="B555" s="48" t="s">
        <v>75</v>
      </c>
      <c r="C555" s="4">
        <v>0</v>
      </c>
      <c r="D555" s="5">
        <v>0</v>
      </c>
      <c r="E555" s="4">
        <v>1</v>
      </c>
      <c r="F555" s="2">
        <v>21427714</v>
      </c>
      <c r="G555" s="4">
        <v>1</v>
      </c>
      <c r="H555" s="2">
        <v>21427714</v>
      </c>
      <c r="I555" s="3">
        <f>C555+E555-G555</f>
        <v>0</v>
      </c>
      <c r="J555" s="46">
        <f>D555+F555-H555</f>
        <v>0</v>
      </c>
    </row>
    <row r="556" spans="2:10" ht="24.95" customHeight="1" x14ac:dyDescent="0.25">
      <c r="B556" s="48" t="s">
        <v>74</v>
      </c>
      <c r="C556" s="4">
        <v>1</v>
      </c>
      <c r="D556" s="2">
        <v>277787</v>
      </c>
      <c r="E556" s="4">
        <v>1</v>
      </c>
      <c r="F556" s="2">
        <v>358839</v>
      </c>
      <c r="G556" s="4">
        <v>0</v>
      </c>
      <c r="H556" s="4">
        <v>0</v>
      </c>
      <c r="I556" s="3">
        <f>C556+E556-G556</f>
        <v>2</v>
      </c>
      <c r="J556" s="44">
        <f>D556+F556-H556</f>
        <v>636626</v>
      </c>
    </row>
    <row r="557" spans="2:10" ht="24.95" customHeight="1" x14ac:dyDescent="0.25">
      <c r="B557" s="48" t="s">
        <v>73</v>
      </c>
      <c r="C557" s="4">
        <v>1</v>
      </c>
      <c r="D557" s="2">
        <v>524708</v>
      </c>
      <c r="E557" s="4">
        <v>1</v>
      </c>
      <c r="F557" s="4">
        <v>667441</v>
      </c>
      <c r="G557" s="4">
        <v>0</v>
      </c>
      <c r="H557" s="4">
        <v>0</v>
      </c>
      <c r="I557" s="3">
        <f>C557+E557-G557</f>
        <v>2</v>
      </c>
      <c r="J557" s="44">
        <f>D557+F557-H557</f>
        <v>1192149</v>
      </c>
    </row>
    <row r="558" spans="2:10" ht="24.95" customHeight="1" x14ac:dyDescent="0.25">
      <c r="B558" s="48" t="s">
        <v>72</v>
      </c>
      <c r="C558" s="4">
        <v>1</v>
      </c>
      <c r="D558" s="2">
        <v>802495</v>
      </c>
      <c r="E558" s="4">
        <v>1</v>
      </c>
      <c r="F558" s="2">
        <v>1026280</v>
      </c>
      <c r="G558" s="4">
        <v>0</v>
      </c>
      <c r="H558" s="4">
        <v>0</v>
      </c>
      <c r="I558" s="3">
        <f>C558+E558-G558</f>
        <v>2</v>
      </c>
      <c r="J558" s="44">
        <f>D558+F558-H558</f>
        <v>1828775</v>
      </c>
    </row>
    <row r="559" spans="2:10" ht="24.95" customHeight="1" x14ac:dyDescent="0.25">
      <c r="B559" s="48" t="s">
        <v>71</v>
      </c>
      <c r="C559" s="4">
        <v>1</v>
      </c>
      <c r="D559" s="2">
        <v>802495</v>
      </c>
      <c r="E559" s="4">
        <v>1</v>
      </c>
      <c r="F559" s="2">
        <v>1026280</v>
      </c>
      <c r="G559" s="4">
        <v>0</v>
      </c>
      <c r="H559" s="4">
        <v>0</v>
      </c>
      <c r="I559" s="3">
        <f>C559+E559-G559</f>
        <v>2</v>
      </c>
      <c r="J559" s="44">
        <f>D559+F559-H559</f>
        <v>1828775</v>
      </c>
    </row>
    <row r="560" spans="2:10" ht="24.95" customHeight="1" x14ac:dyDescent="0.25">
      <c r="B560" s="48" t="s">
        <v>70</v>
      </c>
      <c r="C560" s="4">
        <v>0</v>
      </c>
      <c r="D560" s="5">
        <v>0</v>
      </c>
      <c r="E560" s="4">
        <v>1</v>
      </c>
      <c r="F560" s="2">
        <v>15200012</v>
      </c>
      <c r="G560" s="4">
        <v>1</v>
      </c>
      <c r="H560" s="2">
        <v>15200012</v>
      </c>
      <c r="I560" s="3">
        <f>C560+E560-G560</f>
        <v>0</v>
      </c>
      <c r="J560" s="46">
        <f>D560+F560-H560</f>
        <v>0</v>
      </c>
    </row>
    <row r="561" spans="2:10" ht="24.95" customHeight="1" x14ac:dyDescent="0.25">
      <c r="B561" s="48" t="s">
        <v>69</v>
      </c>
      <c r="C561" s="4">
        <v>0</v>
      </c>
      <c r="D561" s="5">
        <v>0</v>
      </c>
      <c r="E561" s="4">
        <v>1</v>
      </c>
      <c r="F561" s="2">
        <v>4140431</v>
      </c>
      <c r="G561" s="4">
        <v>1</v>
      </c>
      <c r="H561" s="2">
        <v>4140431</v>
      </c>
      <c r="I561" s="3">
        <f>C561+E561-G561</f>
        <v>0</v>
      </c>
      <c r="J561" s="46">
        <f>D561+F561-H561</f>
        <v>0</v>
      </c>
    </row>
    <row r="562" spans="2:10" ht="24.95" customHeight="1" x14ac:dyDescent="0.25">
      <c r="B562" s="45" t="s">
        <v>68</v>
      </c>
      <c r="C562" s="4">
        <v>2</v>
      </c>
      <c r="D562" s="5">
        <v>7000000</v>
      </c>
      <c r="E562" s="9">
        <v>0</v>
      </c>
      <c r="F562" s="9">
        <v>0</v>
      </c>
      <c r="G562" s="4">
        <v>2</v>
      </c>
      <c r="H562" s="4">
        <v>7000000</v>
      </c>
      <c r="I562" s="3">
        <f>C562+E562-G562</f>
        <v>0</v>
      </c>
      <c r="J562" s="46">
        <f>D562+F562-H562</f>
        <v>0</v>
      </c>
    </row>
    <row r="563" spans="2:10" ht="24.95" customHeight="1" x14ac:dyDescent="0.25">
      <c r="B563" s="45" t="s">
        <v>67</v>
      </c>
      <c r="C563" s="4">
        <v>1</v>
      </c>
      <c r="D563" s="2">
        <v>124294</v>
      </c>
      <c r="E563" s="9">
        <v>0</v>
      </c>
      <c r="F563" s="9">
        <v>0</v>
      </c>
      <c r="G563" s="9">
        <v>0</v>
      </c>
      <c r="H563" s="9">
        <v>0</v>
      </c>
      <c r="I563" s="3">
        <f>C563+E563-G563</f>
        <v>1</v>
      </c>
      <c r="J563" s="44">
        <f>D563+F563-H563</f>
        <v>124294</v>
      </c>
    </row>
    <row r="564" spans="2:10" ht="24.95" customHeight="1" x14ac:dyDescent="0.25">
      <c r="B564" s="48" t="s">
        <v>66</v>
      </c>
      <c r="C564" s="4">
        <v>9</v>
      </c>
      <c r="D564" s="2">
        <v>1782981</v>
      </c>
      <c r="E564" s="4">
        <v>50</v>
      </c>
      <c r="F564" s="4">
        <v>9894850</v>
      </c>
      <c r="G564" s="4">
        <v>28</v>
      </c>
      <c r="H564" s="4">
        <v>6723260</v>
      </c>
      <c r="I564" s="3">
        <f>C564+E564-G564</f>
        <v>31</v>
      </c>
      <c r="J564" s="44">
        <f>D564+F564-H564</f>
        <v>4954571</v>
      </c>
    </row>
    <row r="565" spans="2:10" ht="24.95" customHeight="1" x14ac:dyDescent="0.25">
      <c r="B565" s="48" t="s">
        <v>65</v>
      </c>
      <c r="C565" s="4">
        <v>0</v>
      </c>
      <c r="D565" s="5">
        <v>0</v>
      </c>
      <c r="E565" s="4">
        <v>20</v>
      </c>
      <c r="F565" s="4">
        <v>14086630</v>
      </c>
      <c r="G565" s="4">
        <v>17</v>
      </c>
      <c r="H565" s="4">
        <v>11986592</v>
      </c>
      <c r="I565" s="3">
        <v>3</v>
      </c>
      <c r="J565" s="44">
        <f>D565+F565-H565</f>
        <v>2100038</v>
      </c>
    </row>
    <row r="566" spans="2:10" ht="24.95" customHeight="1" x14ac:dyDescent="0.25">
      <c r="B566" s="48" t="s">
        <v>64</v>
      </c>
      <c r="C566" s="4">
        <v>2</v>
      </c>
      <c r="D566" s="5">
        <v>1027836</v>
      </c>
      <c r="E566" s="4">
        <v>8</v>
      </c>
      <c r="F566" s="4">
        <v>5186391</v>
      </c>
      <c r="G566" s="4">
        <v>9</v>
      </c>
      <c r="H566" s="4">
        <v>5730624</v>
      </c>
      <c r="I566" s="3">
        <f>C566+E566-G566</f>
        <v>1</v>
      </c>
      <c r="J566" s="44">
        <f>D566+F566-H566</f>
        <v>483603</v>
      </c>
    </row>
    <row r="567" spans="2:10" ht="24.95" customHeight="1" x14ac:dyDescent="0.25">
      <c r="B567" s="48" t="s">
        <v>63</v>
      </c>
      <c r="C567" s="4">
        <v>1</v>
      </c>
      <c r="D567" s="2">
        <v>71579</v>
      </c>
      <c r="E567" s="4">
        <v>10</v>
      </c>
      <c r="F567" s="4">
        <v>866350</v>
      </c>
      <c r="G567" s="4">
        <v>8</v>
      </c>
      <c r="H567" s="4">
        <v>693080</v>
      </c>
      <c r="I567" s="3">
        <f>C567+E567-G567</f>
        <v>3</v>
      </c>
      <c r="J567" s="44">
        <f>D567+F567-H567</f>
        <v>244849</v>
      </c>
    </row>
    <row r="568" spans="2:10" ht="24.95" customHeight="1" x14ac:dyDescent="0.25">
      <c r="B568" s="48" t="s">
        <v>62</v>
      </c>
      <c r="C568" s="4">
        <v>0</v>
      </c>
      <c r="D568" s="5">
        <v>0</v>
      </c>
      <c r="E568" s="4">
        <v>2</v>
      </c>
      <c r="F568" s="2">
        <v>345540</v>
      </c>
      <c r="G568" s="4">
        <v>2</v>
      </c>
      <c r="H568" s="2">
        <v>345540</v>
      </c>
      <c r="I568" s="3">
        <f>C568+E568-G568</f>
        <v>0</v>
      </c>
      <c r="J568" s="46">
        <f>D568+F568-H568</f>
        <v>0</v>
      </c>
    </row>
    <row r="569" spans="2:10" ht="24.95" customHeight="1" x14ac:dyDescent="0.25">
      <c r="B569" s="43" t="s">
        <v>61</v>
      </c>
      <c r="C569" s="4">
        <v>2</v>
      </c>
      <c r="D569" s="5">
        <v>6700000</v>
      </c>
      <c r="E569" s="11">
        <v>0</v>
      </c>
      <c r="F569" s="11">
        <v>0</v>
      </c>
      <c r="G569" s="4">
        <v>2</v>
      </c>
      <c r="H569" s="4">
        <v>6700000</v>
      </c>
      <c r="I569" s="3">
        <f>C569+E569-G569</f>
        <v>0</v>
      </c>
      <c r="J569" s="46">
        <f>D569+F569-H569</f>
        <v>0</v>
      </c>
    </row>
    <row r="570" spans="2:10" ht="24.95" customHeight="1" x14ac:dyDescent="0.25">
      <c r="B570" s="45" t="s">
        <v>60</v>
      </c>
      <c r="C570" s="4">
        <v>1</v>
      </c>
      <c r="D570" s="2">
        <v>6542265</v>
      </c>
      <c r="E570" s="9">
        <v>0</v>
      </c>
      <c r="F570" s="9">
        <v>0</v>
      </c>
      <c r="G570" s="9">
        <v>0</v>
      </c>
      <c r="H570" s="9">
        <v>0</v>
      </c>
      <c r="I570" s="3">
        <f>C570+E570-G570</f>
        <v>1</v>
      </c>
      <c r="J570" s="44">
        <f>D570+F570-H570</f>
        <v>6542265</v>
      </c>
    </row>
    <row r="571" spans="2:10" ht="24.95" customHeight="1" x14ac:dyDescent="0.25">
      <c r="B571" s="43" t="s">
        <v>59</v>
      </c>
      <c r="C571" s="4">
        <v>0</v>
      </c>
      <c r="D571" s="5">
        <v>0</v>
      </c>
      <c r="E571" s="3">
        <v>1</v>
      </c>
      <c r="F571" s="7">
        <v>660000</v>
      </c>
      <c r="G571" s="3">
        <v>1</v>
      </c>
      <c r="H571" s="7">
        <v>660000</v>
      </c>
      <c r="I571" s="3">
        <f>C571+E571-G571</f>
        <v>0</v>
      </c>
      <c r="J571" s="46">
        <f>D571+F571-H571</f>
        <v>0</v>
      </c>
    </row>
    <row r="572" spans="2:10" ht="24.95" customHeight="1" x14ac:dyDescent="0.25">
      <c r="B572" s="48" t="s">
        <v>58</v>
      </c>
      <c r="C572" s="4">
        <v>3</v>
      </c>
      <c r="D572" s="5">
        <v>40968897</v>
      </c>
      <c r="E572" s="4">
        <v>0</v>
      </c>
      <c r="F572" s="4">
        <v>0</v>
      </c>
      <c r="G572" s="4">
        <v>3</v>
      </c>
      <c r="H572" s="4">
        <v>40968897</v>
      </c>
      <c r="I572" s="3">
        <f>C572+E572-G572</f>
        <v>0</v>
      </c>
      <c r="J572" s="46">
        <f>D572+F572-H572</f>
        <v>0</v>
      </c>
    </row>
    <row r="573" spans="2:10" ht="24.95" customHeight="1" x14ac:dyDescent="0.25">
      <c r="B573" s="48" t="s">
        <v>57</v>
      </c>
      <c r="C573" s="4">
        <v>0</v>
      </c>
      <c r="D573" s="5">
        <v>0</v>
      </c>
      <c r="E573" s="4">
        <v>2</v>
      </c>
      <c r="F573" s="2">
        <v>5435144</v>
      </c>
      <c r="G573" s="4">
        <v>2</v>
      </c>
      <c r="H573" s="2">
        <v>5435144</v>
      </c>
      <c r="I573" s="3">
        <f>C573+E573-G573</f>
        <v>0</v>
      </c>
      <c r="J573" s="46">
        <f>D573+F573-H573</f>
        <v>0</v>
      </c>
    </row>
    <row r="574" spans="2:10" ht="24.95" customHeight="1" x14ac:dyDescent="0.25">
      <c r="B574" s="48" t="s">
        <v>56</v>
      </c>
      <c r="C574" s="4">
        <v>0</v>
      </c>
      <c r="D574" s="5">
        <v>0</v>
      </c>
      <c r="E574" s="4">
        <v>1</v>
      </c>
      <c r="F574" s="2">
        <v>4354866</v>
      </c>
      <c r="G574" s="4">
        <v>1</v>
      </c>
      <c r="H574" s="2">
        <v>4354866</v>
      </c>
      <c r="I574" s="3">
        <f>C574+E574-G574</f>
        <v>0</v>
      </c>
      <c r="J574" s="46">
        <f>D574+F574-H574</f>
        <v>0</v>
      </c>
    </row>
    <row r="575" spans="2:10" ht="24.95" customHeight="1" x14ac:dyDescent="0.25">
      <c r="B575" s="48" t="s">
        <v>55</v>
      </c>
      <c r="C575" s="4">
        <v>1</v>
      </c>
      <c r="D575" s="2">
        <v>3469084</v>
      </c>
      <c r="E575" s="4">
        <v>0</v>
      </c>
      <c r="F575" s="4">
        <v>0</v>
      </c>
      <c r="G575" s="4">
        <v>0</v>
      </c>
      <c r="H575" s="4">
        <v>0</v>
      </c>
      <c r="I575" s="3">
        <f>C575+E575-G575</f>
        <v>1</v>
      </c>
      <c r="J575" s="44">
        <f>D575+F575-H575</f>
        <v>3469084</v>
      </c>
    </row>
    <row r="576" spans="2:10" ht="24.95" customHeight="1" x14ac:dyDescent="0.25">
      <c r="B576" s="48" t="s">
        <v>54</v>
      </c>
      <c r="C576" s="4">
        <v>0</v>
      </c>
      <c r="D576" s="5">
        <v>0</v>
      </c>
      <c r="E576" s="4">
        <v>1</v>
      </c>
      <c r="F576" s="2">
        <v>37708761</v>
      </c>
      <c r="G576" s="4">
        <v>1</v>
      </c>
      <c r="H576" s="2">
        <v>37708761</v>
      </c>
      <c r="I576" s="3">
        <f>C576+E576-G576</f>
        <v>0</v>
      </c>
      <c r="J576" s="46">
        <f>D576+F576-H576</f>
        <v>0</v>
      </c>
    </row>
    <row r="577" spans="2:10" ht="24.95" customHeight="1" x14ac:dyDescent="0.25">
      <c r="B577" s="45" t="s">
        <v>53</v>
      </c>
      <c r="C577" s="4">
        <v>1</v>
      </c>
      <c r="D577" s="10">
        <v>13416761</v>
      </c>
      <c r="E577" s="4">
        <v>0</v>
      </c>
      <c r="F577" s="4">
        <v>0</v>
      </c>
      <c r="G577" s="4">
        <v>1</v>
      </c>
      <c r="H577" s="10">
        <v>13416761</v>
      </c>
      <c r="I577" s="3">
        <f>C577+E577-G577</f>
        <v>0</v>
      </c>
      <c r="J577" s="46">
        <f>D577+F577-H577</f>
        <v>0</v>
      </c>
    </row>
    <row r="578" spans="2:10" ht="24.95" customHeight="1" x14ac:dyDescent="0.25">
      <c r="B578" s="48" t="s">
        <v>52</v>
      </c>
      <c r="C578" s="4">
        <v>500</v>
      </c>
      <c r="D578" s="2">
        <v>4013527</v>
      </c>
      <c r="E578" s="4">
        <v>0</v>
      </c>
      <c r="F578" s="4">
        <v>0</v>
      </c>
      <c r="G578" s="4">
        <v>0</v>
      </c>
      <c r="H578" s="4">
        <v>0</v>
      </c>
      <c r="I578" s="3">
        <f>C578+E578-G578</f>
        <v>500</v>
      </c>
      <c r="J578" s="44">
        <f>D578+F578-H578</f>
        <v>4013527</v>
      </c>
    </row>
    <row r="579" spans="2:10" ht="24.95" customHeight="1" x14ac:dyDescent="0.25">
      <c r="B579" s="48" t="s">
        <v>51</v>
      </c>
      <c r="C579" s="4">
        <v>0</v>
      </c>
      <c r="D579" s="5">
        <v>0</v>
      </c>
      <c r="E579" s="4">
        <v>1</v>
      </c>
      <c r="F579" s="2">
        <v>131815338</v>
      </c>
      <c r="G579" s="4">
        <v>1</v>
      </c>
      <c r="H579" s="2">
        <v>131815338</v>
      </c>
      <c r="I579" s="3">
        <f>C579+E579-G579</f>
        <v>0</v>
      </c>
      <c r="J579" s="46">
        <f>D579+F579-H579</f>
        <v>0</v>
      </c>
    </row>
    <row r="580" spans="2:10" ht="24.95" customHeight="1" x14ac:dyDescent="0.25">
      <c r="B580" s="50" t="s">
        <v>50</v>
      </c>
      <c r="C580" s="4">
        <v>1</v>
      </c>
      <c r="D580" s="12">
        <v>1850000</v>
      </c>
      <c r="E580" s="4">
        <v>0</v>
      </c>
      <c r="F580" s="4">
        <v>0</v>
      </c>
      <c r="G580" s="4">
        <v>0</v>
      </c>
      <c r="H580" s="4">
        <v>0</v>
      </c>
      <c r="I580" s="3">
        <f>C580+E580-G580</f>
        <v>1</v>
      </c>
      <c r="J580" s="44">
        <f>D580+F580-H580</f>
        <v>1850000</v>
      </c>
    </row>
    <row r="581" spans="2:10" ht="24.95" customHeight="1" x14ac:dyDescent="0.25">
      <c r="B581" s="50" t="s">
        <v>49</v>
      </c>
      <c r="C581" s="4">
        <v>1</v>
      </c>
      <c r="D581" s="12">
        <v>1850000</v>
      </c>
      <c r="E581" s="4">
        <v>0</v>
      </c>
      <c r="F581" s="4">
        <v>0</v>
      </c>
      <c r="G581" s="4">
        <v>0</v>
      </c>
      <c r="H581" s="4">
        <v>0</v>
      </c>
      <c r="I581" s="3">
        <f>C581+E581-G581</f>
        <v>1</v>
      </c>
      <c r="J581" s="44">
        <f>D581+F581-H581</f>
        <v>1850000</v>
      </c>
    </row>
    <row r="582" spans="2:10" ht="24.95" customHeight="1" x14ac:dyDescent="0.25">
      <c r="B582" s="48" t="s">
        <v>48</v>
      </c>
      <c r="C582" s="4">
        <v>0</v>
      </c>
      <c r="D582" s="5">
        <v>0</v>
      </c>
      <c r="E582" s="4">
        <v>1</v>
      </c>
      <c r="F582" s="2">
        <v>10912289</v>
      </c>
      <c r="G582" s="4">
        <v>1</v>
      </c>
      <c r="H582" s="2">
        <v>10912289</v>
      </c>
      <c r="I582" s="3">
        <f>C582+E582-G582</f>
        <v>0</v>
      </c>
      <c r="J582" s="46">
        <f>D582+F582-H582</f>
        <v>0</v>
      </c>
    </row>
    <row r="583" spans="2:10" ht="24.95" customHeight="1" x14ac:dyDescent="0.25">
      <c r="B583" s="43" t="s">
        <v>47</v>
      </c>
      <c r="C583" s="4">
        <v>2</v>
      </c>
      <c r="D583" s="5">
        <v>22000000</v>
      </c>
      <c r="E583" s="11">
        <v>0</v>
      </c>
      <c r="F583" s="11">
        <v>0</v>
      </c>
      <c r="G583" s="11">
        <v>2</v>
      </c>
      <c r="H583" s="11">
        <v>22000000</v>
      </c>
      <c r="I583" s="3">
        <f>C583+E583-G583</f>
        <v>0</v>
      </c>
      <c r="J583" s="46">
        <f>D583+F583-H583</f>
        <v>0</v>
      </c>
    </row>
    <row r="584" spans="2:10" ht="24.95" customHeight="1" x14ac:dyDescent="0.25">
      <c r="B584" s="48" t="s">
        <v>46</v>
      </c>
      <c r="C584" s="4">
        <v>0</v>
      </c>
      <c r="D584" s="5">
        <v>0</v>
      </c>
      <c r="E584" s="4">
        <v>1</v>
      </c>
      <c r="F584" s="2">
        <v>1292273</v>
      </c>
      <c r="G584" s="4">
        <v>1</v>
      </c>
      <c r="H584" s="2">
        <v>1292273</v>
      </c>
      <c r="I584" s="3">
        <f>C584+E584-G584</f>
        <v>0</v>
      </c>
      <c r="J584" s="46">
        <f>D584+F584-H584</f>
        <v>0</v>
      </c>
    </row>
    <row r="585" spans="2:10" ht="24.95" customHeight="1" x14ac:dyDescent="0.25">
      <c r="B585" s="43" t="s">
        <v>45</v>
      </c>
      <c r="C585" s="4">
        <v>0</v>
      </c>
      <c r="D585" s="5">
        <v>0</v>
      </c>
      <c r="E585" s="3">
        <v>1</v>
      </c>
      <c r="F585" s="7">
        <v>1074545</v>
      </c>
      <c r="G585" s="3">
        <v>1</v>
      </c>
      <c r="H585" s="7">
        <v>1074545</v>
      </c>
      <c r="I585" s="3">
        <f>C585+E585-G585</f>
        <v>0</v>
      </c>
      <c r="J585" s="46">
        <f>D585+F585-H585</f>
        <v>0</v>
      </c>
    </row>
    <row r="586" spans="2:10" ht="24.95" customHeight="1" x14ac:dyDescent="0.25">
      <c r="B586" s="43" t="s">
        <v>44</v>
      </c>
      <c r="C586" s="4">
        <v>2</v>
      </c>
      <c r="D586" s="2">
        <v>213000</v>
      </c>
      <c r="E586" s="11">
        <v>0</v>
      </c>
      <c r="F586" s="11">
        <v>0</v>
      </c>
      <c r="G586" s="4">
        <v>2</v>
      </c>
      <c r="H586" s="2">
        <v>213000</v>
      </c>
      <c r="I586" s="3">
        <f>C586+E586-G586</f>
        <v>0</v>
      </c>
      <c r="J586" s="46">
        <f>D586+F586-H586</f>
        <v>0</v>
      </c>
    </row>
    <row r="587" spans="2:10" ht="24.95" customHeight="1" x14ac:dyDescent="0.25">
      <c r="B587" s="43" t="s">
        <v>43</v>
      </c>
      <c r="C587" s="4">
        <v>0</v>
      </c>
      <c r="D587" s="5">
        <v>0</v>
      </c>
      <c r="E587" s="3">
        <v>1</v>
      </c>
      <c r="F587" s="7">
        <v>90000</v>
      </c>
      <c r="G587" s="3">
        <v>1</v>
      </c>
      <c r="H587" s="7">
        <v>90000</v>
      </c>
      <c r="I587" s="3">
        <f>C587+E587-G587</f>
        <v>0</v>
      </c>
      <c r="J587" s="46">
        <f>D587+F587-H587</f>
        <v>0</v>
      </c>
    </row>
    <row r="588" spans="2:10" ht="24.95" customHeight="1" x14ac:dyDescent="0.25">
      <c r="B588" s="45" t="s">
        <v>42</v>
      </c>
      <c r="C588" s="4">
        <v>1</v>
      </c>
      <c r="D588" s="2">
        <v>718406</v>
      </c>
      <c r="E588" s="4">
        <v>0</v>
      </c>
      <c r="F588" s="4">
        <v>0</v>
      </c>
      <c r="G588" s="4">
        <v>0</v>
      </c>
      <c r="H588" s="4">
        <v>0</v>
      </c>
      <c r="I588" s="3">
        <f>C588+E588-G588</f>
        <v>1</v>
      </c>
      <c r="J588" s="44">
        <f>D588+F588-H588</f>
        <v>718406</v>
      </c>
    </row>
    <row r="589" spans="2:10" ht="24.95" customHeight="1" x14ac:dyDescent="0.25">
      <c r="B589" s="45" t="s">
        <v>41</v>
      </c>
      <c r="C589" s="4">
        <v>1</v>
      </c>
      <c r="D589" s="2">
        <v>718406</v>
      </c>
      <c r="E589" s="4">
        <v>0</v>
      </c>
      <c r="F589" s="4">
        <v>0</v>
      </c>
      <c r="G589" s="4">
        <v>1</v>
      </c>
      <c r="H589" s="2">
        <v>718406</v>
      </c>
      <c r="I589" s="3">
        <f>C589+E589-G589</f>
        <v>0</v>
      </c>
      <c r="J589" s="46">
        <f>D589+F589-H589</f>
        <v>0</v>
      </c>
    </row>
    <row r="590" spans="2:10" ht="24.95" customHeight="1" x14ac:dyDescent="0.25">
      <c r="B590" s="45" t="s">
        <v>40</v>
      </c>
      <c r="C590" s="4">
        <v>1</v>
      </c>
      <c r="D590" s="2">
        <v>245933</v>
      </c>
      <c r="E590" s="4">
        <v>0</v>
      </c>
      <c r="F590" s="4">
        <v>0</v>
      </c>
      <c r="G590" s="4">
        <v>0</v>
      </c>
      <c r="H590" s="4">
        <v>0</v>
      </c>
      <c r="I590" s="3">
        <f>C590+E590-G590</f>
        <v>1</v>
      </c>
      <c r="J590" s="44">
        <f>D590+F590-H590</f>
        <v>245933</v>
      </c>
    </row>
    <row r="591" spans="2:10" ht="24.95" customHeight="1" x14ac:dyDescent="0.25">
      <c r="B591" s="45" t="s">
        <v>39</v>
      </c>
      <c r="C591" s="4">
        <v>1</v>
      </c>
      <c r="D591" s="2">
        <v>410146</v>
      </c>
      <c r="E591" s="4">
        <v>0</v>
      </c>
      <c r="F591" s="4">
        <v>0</v>
      </c>
      <c r="G591" s="4">
        <v>0</v>
      </c>
      <c r="H591" s="4">
        <v>0</v>
      </c>
      <c r="I591" s="3">
        <f>C591+E591-G591</f>
        <v>1</v>
      </c>
      <c r="J591" s="44">
        <f>D591+F591-H591</f>
        <v>410146</v>
      </c>
    </row>
    <row r="592" spans="2:10" ht="24.95" customHeight="1" x14ac:dyDescent="0.25">
      <c r="B592" s="45" t="s">
        <v>38</v>
      </c>
      <c r="C592" s="4">
        <v>1</v>
      </c>
      <c r="D592" s="2">
        <v>1401201</v>
      </c>
      <c r="E592" s="4">
        <v>0</v>
      </c>
      <c r="F592" s="4">
        <v>0</v>
      </c>
      <c r="G592" s="4">
        <v>1</v>
      </c>
      <c r="H592" s="2">
        <v>1401201</v>
      </c>
      <c r="I592" s="3">
        <f>C592+E592-G592</f>
        <v>0</v>
      </c>
      <c r="J592" s="46">
        <f>D592+F592-H592</f>
        <v>0</v>
      </c>
    </row>
    <row r="593" spans="2:10" ht="24.95" customHeight="1" x14ac:dyDescent="0.25">
      <c r="B593" s="45" t="s">
        <v>37</v>
      </c>
      <c r="C593" s="4">
        <v>1</v>
      </c>
      <c r="D593" s="2">
        <v>999624</v>
      </c>
      <c r="E593" s="4">
        <v>0</v>
      </c>
      <c r="F593" s="4">
        <v>0</v>
      </c>
      <c r="G593" s="4">
        <v>0</v>
      </c>
      <c r="H593" s="4">
        <v>0</v>
      </c>
      <c r="I593" s="3">
        <f>C593+E593-G593</f>
        <v>1</v>
      </c>
      <c r="J593" s="44">
        <f>D593+F593-H593</f>
        <v>999624</v>
      </c>
    </row>
    <row r="594" spans="2:10" ht="24.95" customHeight="1" x14ac:dyDescent="0.25">
      <c r="B594" s="43" t="s">
        <v>36</v>
      </c>
      <c r="C594" s="4">
        <v>4</v>
      </c>
      <c r="D594" s="5">
        <v>8550000</v>
      </c>
      <c r="E594" s="3">
        <v>3</v>
      </c>
      <c r="F594" s="3">
        <v>7150000</v>
      </c>
      <c r="G594" s="3">
        <v>7</v>
      </c>
      <c r="H594" s="3">
        <v>15700000</v>
      </c>
      <c r="I594" s="3">
        <f>C594+E594-G594</f>
        <v>0</v>
      </c>
      <c r="J594" s="46">
        <f>D594+F594-H594</f>
        <v>0</v>
      </c>
    </row>
    <row r="595" spans="2:10" ht="24.95" customHeight="1" x14ac:dyDescent="0.25">
      <c r="B595" s="48" t="s">
        <v>35</v>
      </c>
      <c r="C595" s="4">
        <v>0</v>
      </c>
      <c r="D595" s="5">
        <v>0</v>
      </c>
      <c r="E595" s="4">
        <v>1</v>
      </c>
      <c r="F595" s="2">
        <v>697855</v>
      </c>
      <c r="G595" s="4">
        <v>1</v>
      </c>
      <c r="H595" s="2">
        <v>697855</v>
      </c>
      <c r="I595" s="3">
        <f>C595+E595-G595</f>
        <v>0</v>
      </c>
      <c r="J595" s="46">
        <f>D595+F595-H595</f>
        <v>0</v>
      </c>
    </row>
    <row r="596" spans="2:10" ht="24.95" customHeight="1" x14ac:dyDescent="0.25">
      <c r="B596" s="48" t="s">
        <v>34</v>
      </c>
      <c r="C596" s="4">
        <v>1</v>
      </c>
      <c r="D596" s="2">
        <v>15828878</v>
      </c>
      <c r="E596" s="4">
        <v>10</v>
      </c>
      <c r="F596" s="4">
        <v>182302993</v>
      </c>
      <c r="G596" s="4">
        <v>10</v>
      </c>
      <c r="H596" s="4">
        <v>180224378</v>
      </c>
      <c r="I596" s="3">
        <f>C596+E596-G596</f>
        <v>1</v>
      </c>
      <c r="J596" s="44">
        <f>D596+F596-H596</f>
        <v>17907493</v>
      </c>
    </row>
    <row r="597" spans="2:10" ht="24.95" customHeight="1" x14ac:dyDescent="0.25">
      <c r="B597" s="48" t="s">
        <v>33</v>
      </c>
      <c r="C597" s="4">
        <v>4</v>
      </c>
      <c r="D597" s="5">
        <v>28138928</v>
      </c>
      <c r="E597" s="4">
        <v>4</v>
      </c>
      <c r="F597" s="4">
        <v>31985296</v>
      </c>
      <c r="G597" s="4">
        <v>7</v>
      </c>
      <c r="H597" s="4">
        <v>52127900</v>
      </c>
      <c r="I597" s="3">
        <f>C597+E597-G597</f>
        <v>1</v>
      </c>
      <c r="J597" s="44">
        <f>D597+F597-H597</f>
        <v>7996324</v>
      </c>
    </row>
    <row r="598" spans="2:10" ht="24.95" customHeight="1" x14ac:dyDescent="0.25">
      <c r="B598" s="48" t="s">
        <v>32</v>
      </c>
      <c r="C598" s="4">
        <v>0</v>
      </c>
      <c r="D598" s="5">
        <v>0</v>
      </c>
      <c r="E598" s="4">
        <v>1</v>
      </c>
      <c r="F598" s="2">
        <v>24482472</v>
      </c>
      <c r="G598" s="4">
        <v>1</v>
      </c>
      <c r="H598" s="2">
        <v>24482472</v>
      </c>
      <c r="I598" s="3">
        <f>C598+E598-G598</f>
        <v>0</v>
      </c>
      <c r="J598" s="46">
        <f>D598+F598-H598</f>
        <v>0</v>
      </c>
    </row>
    <row r="599" spans="2:10" ht="24.95" customHeight="1" x14ac:dyDescent="0.25">
      <c r="B599" s="48" t="s">
        <v>31</v>
      </c>
      <c r="C599" s="4">
        <v>0</v>
      </c>
      <c r="D599" s="5">
        <v>0</v>
      </c>
      <c r="E599" s="4">
        <v>2</v>
      </c>
      <c r="F599" s="4">
        <v>861962</v>
      </c>
      <c r="G599" s="4">
        <v>2</v>
      </c>
      <c r="H599" s="4">
        <v>861962</v>
      </c>
      <c r="I599" s="3">
        <f>C599+E599-G599</f>
        <v>0</v>
      </c>
      <c r="J599" s="46">
        <f>D599+F599-H599</f>
        <v>0</v>
      </c>
    </row>
    <row r="600" spans="2:10" ht="24.95" customHeight="1" x14ac:dyDescent="0.25">
      <c r="B600" s="48" t="s">
        <v>30</v>
      </c>
      <c r="C600" s="4">
        <v>2</v>
      </c>
      <c r="D600" s="5">
        <v>3009347</v>
      </c>
      <c r="E600" s="4">
        <v>3</v>
      </c>
      <c r="F600" s="4">
        <v>4768665</v>
      </c>
      <c r="G600" s="4">
        <v>3</v>
      </c>
      <c r="H600" s="4">
        <v>4695014</v>
      </c>
      <c r="I600" s="3">
        <f>C600+E600-G600</f>
        <v>2</v>
      </c>
      <c r="J600" s="44">
        <f>D600+F600-H600</f>
        <v>3082998</v>
      </c>
    </row>
    <row r="601" spans="2:10" ht="24.95" customHeight="1" x14ac:dyDescent="0.25">
      <c r="B601" s="45" t="s">
        <v>29</v>
      </c>
      <c r="C601" s="4">
        <v>1</v>
      </c>
      <c r="D601" s="2">
        <v>320000</v>
      </c>
      <c r="E601" s="9">
        <v>0</v>
      </c>
      <c r="F601" s="9">
        <v>0</v>
      </c>
      <c r="G601" s="9">
        <v>0</v>
      </c>
      <c r="H601" s="9">
        <v>0</v>
      </c>
      <c r="I601" s="3">
        <f>C601+E601-G601</f>
        <v>1</v>
      </c>
      <c r="J601" s="44">
        <f>D601+F601-H601</f>
        <v>320000</v>
      </c>
    </row>
    <row r="602" spans="2:10" ht="24.95" customHeight="1" x14ac:dyDescent="0.25">
      <c r="B602" s="48" t="s">
        <v>28</v>
      </c>
      <c r="C602" s="4">
        <v>0</v>
      </c>
      <c r="D602" s="5">
        <v>0</v>
      </c>
      <c r="E602" s="4">
        <v>5</v>
      </c>
      <c r="F602" s="4">
        <v>5762260</v>
      </c>
      <c r="G602" s="4">
        <v>1</v>
      </c>
      <c r="H602" s="4">
        <v>1152452</v>
      </c>
      <c r="I602" s="3">
        <f>C602+E602-G602</f>
        <v>4</v>
      </c>
      <c r="J602" s="44">
        <f>D602+F602-H602</f>
        <v>4609808</v>
      </c>
    </row>
    <row r="603" spans="2:10" ht="24.95" customHeight="1" x14ac:dyDescent="0.25">
      <c r="B603" s="48" t="s">
        <v>27</v>
      </c>
      <c r="C603" s="4">
        <v>0</v>
      </c>
      <c r="D603" s="5">
        <v>0</v>
      </c>
      <c r="E603" s="4">
        <v>20</v>
      </c>
      <c r="F603" s="2">
        <v>1912220</v>
      </c>
      <c r="G603" s="4">
        <v>20</v>
      </c>
      <c r="H603" s="2">
        <v>1912220</v>
      </c>
      <c r="I603" s="3">
        <f>C603+E603-G603</f>
        <v>0</v>
      </c>
      <c r="J603" s="46">
        <f>D603+F603-H603</f>
        <v>0</v>
      </c>
    </row>
    <row r="604" spans="2:10" ht="24.95" customHeight="1" x14ac:dyDescent="0.25">
      <c r="B604" s="43" t="s">
        <v>26</v>
      </c>
      <c r="C604" s="4">
        <v>0</v>
      </c>
      <c r="D604" s="5">
        <v>0</v>
      </c>
      <c r="E604" s="3">
        <v>1</v>
      </c>
      <c r="F604" s="7">
        <v>4117273</v>
      </c>
      <c r="G604" s="3">
        <v>1</v>
      </c>
      <c r="H604" s="7">
        <v>4117273</v>
      </c>
      <c r="I604" s="3">
        <f>C604+E604-G604</f>
        <v>0</v>
      </c>
      <c r="J604" s="46">
        <f>D604+F604-H604</f>
        <v>0</v>
      </c>
    </row>
    <row r="605" spans="2:10" ht="24.95" customHeight="1" x14ac:dyDescent="0.25">
      <c r="B605" s="45" t="s">
        <v>25</v>
      </c>
      <c r="C605" s="4">
        <v>3</v>
      </c>
      <c r="D605" s="2">
        <v>416784</v>
      </c>
      <c r="E605" s="9">
        <v>0</v>
      </c>
      <c r="F605" s="9">
        <v>0</v>
      </c>
      <c r="G605" s="9">
        <v>0</v>
      </c>
      <c r="H605" s="9">
        <v>0</v>
      </c>
      <c r="I605" s="3">
        <f>C605+E605-G605</f>
        <v>3</v>
      </c>
      <c r="J605" s="44">
        <f>D605+F605-H605</f>
        <v>416784</v>
      </c>
    </row>
    <row r="606" spans="2:10" ht="24.95" customHeight="1" x14ac:dyDescent="0.25">
      <c r="B606" s="45" t="s">
        <v>24</v>
      </c>
      <c r="C606" s="4">
        <v>1</v>
      </c>
      <c r="D606" s="2">
        <v>78090</v>
      </c>
      <c r="E606" s="9">
        <v>0</v>
      </c>
      <c r="F606" s="9">
        <v>0</v>
      </c>
      <c r="G606" s="9">
        <v>0</v>
      </c>
      <c r="H606" s="9">
        <v>0</v>
      </c>
      <c r="I606" s="3">
        <f>C606+E606-G606</f>
        <v>1</v>
      </c>
      <c r="J606" s="44">
        <f>D606+F606-H606</f>
        <v>78090</v>
      </c>
    </row>
    <row r="607" spans="2:10" ht="24.95" customHeight="1" x14ac:dyDescent="0.25">
      <c r="B607" s="45" t="s">
        <v>23</v>
      </c>
      <c r="C607" s="4">
        <v>2</v>
      </c>
      <c r="D607" s="5">
        <v>9300000</v>
      </c>
      <c r="E607" s="9">
        <v>0</v>
      </c>
      <c r="F607" s="9">
        <v>0</v>
      </c>
      <c r="G607" s="4">
        <v>2</v>
      </c>
      <c r="H607" s="4">
        <v>9300000</v>
      </c>
      <c r="I607" s="3">
        <f>C607+E607-G607</f>
        <v>0</v>
      </c>
      <c r="J607" s="46">
        <f>D607+F607-H607</f>
        <v>0</v>
      </c>
    </row>
    <row r="608" spans="2:10" ht="24.95" customHeight="1" x14ac:dyDescent="0.25">
      <c r="B608" s="43" t="s">
        <v>22</v>
      </c>
      <c r="C608" s="4">
        <v>0</v>
      </c>
      <c r="D608" s="5">
        <v>0</v>
      </c>
      <c r="E608" s="3">
        <v>3</v>
      </c>
      <c r="F608" s="3">
        <v>7500000</v>
      </c>
      <c r="G608" s="3">
        <v>3</v>
      </c>
      <c r="H608" s="3">
        <v>7500000</v>
      </c>
      <c r="I608" s="3">
        <f>C608+E608-G608</f>
        <v>0</v>
      </c>
      <c r="J608" s="46">
        <f>D608+F608-H608</f>
        <v>0</v>
      </c>
    </row>
    <row r="609" spans="2:10" ht="24.95" customHeight="1" x14ac:dyDescent="0.25">
      <c r="B609" s="48" t="s">
        <v>21</v>
      </c>
      <c r="C609" s="4">
        <v>0</v>
      </c>
      <c r="D609" s="5">
        <v>0</v>
      </c>
      <c r="E609" s="4">
        <v>2</v>
      </c>
      <c r="F609" s="4">
        <v>1370644</v>
      </c>
      <c r="G609" s="4">
        <v>2</v>
      </c>
      <c r="H609" s="4">
        <v>1370644</v>
      </c>
      <c r="I609" s="3">
        <f>C609+E609-G609</f>
        <v>0</v>
      </c>
      <c r="J609" s="46">
        <f>D609+F609-H609</f>
        <v>0</v>
      </c>
    </row>
    <row r="610" spans="2:10" ht="24.95" customHeight="1" x14ac:dyDescent="0.25">
      <c r="B610" s="48" t="s">
        <v>20</v>
      </c>
      <c r="C610" s="4">
        <v>0</v>
      </c>
      <c r="D610" s="5">
        <v>0</v>
      </c>
      <c r="E610" s="4">
        <v>10</v>
      </c>
      <c r="F610" s="2">
        <v>2074010</v>
      </c>
      <c r="G610" s="4">
        <v>10</v>
      </c>
      <c r="H610" s="2">
        <v>2074010</v>
      </c>
      <c r="I610" s="3">
        <f>C610+E610-G610</f>
        <v>0</v>
      </c>
      <c r="J610" s="46">
        <f>D610+F610-H610</f>
        <v>0</v>
      </c>
    </row>
    <row r="611" spans="2:10" ht="24.95" customHeight="1" x14ac:dyDescent="0.25">
      <c r="B611" s="48" t="s">
        <v>19</v>
      </c>
      <c r="C611" s="4">
        <v>0</v>
      </c>
      <c r="D611" s="5">
        <v>0</v>
      </c>
      <c r="E611" s="4">
        <v>6</v>
      </c>
      <c r="F611" s="2">
        <v>2126808</v>
      </c>
      <c r="G611" s="4">
        <v>6</v>
      </c>
      <c r="H611" s="2">
        <v>2126808</v>
      </c>
      <c r="I611" s="3">
        <f>C611+E611-G611</f>
        <v>0</v>
      </c>
      <c r="J611" s="46">
        <f>D611+F611-H611</f>
        <v>0</v>
      </c>
    </row>
    <row r="612" spans="2:10" ht="24.95" customHeight="1" x14ac:dyDescent="0.25">
      <c r="B612" s="48" t="s">
        <v>18</v>
      </c>
      <c r="C612" s="4">
        <v>0</v>
      </c>
      <c r="D612" s="5">
        <v>0</v>
      </c>
      <c r="E612" s="4">
        <v>1</v>
      </c>
      <c r="F612" s="2">
        <v>12783174</v>
      </c>
      <c r="G612" s="4">
        <v>1</v>
      </c>
      <c r="H612" s="2">
        <v>12783174</v>
      </c>
      <c r="I612" s="3">
        <f>C612+E612-G612</f>
        <v>0</v>
      </c>
      <c r="J612" s="46">
        <f>D612+F612-H612</f>
        <v>0</v>
      </c>
    </row>
    <row r="613" spans="2:10" ht="24.95" customHeight="1" x14ac:dyDescent="0.25">
      <c r="B613" s="48" t="s">
        <v>17</v>
      </c>
      <c r="C613" s="4">
        <v>0</v>
      </c>
      <c r="D613" s="5">
        <v>0</v>
      </c>
      <c r="E613" s="4">
        <v>2</v>
      </c>
      <c r="F613" s="4">
        <v>2278040</v>
      </c>
      <c r="G613" s="4">
        <v>2</v>
      </c>
      <c r="H613" s="4">
        <v>2278040</v>
      </c>
      <c r="I613" s="3">
        <f>C613+E613-G613</f>
        <v>0</v>
      </c>
      <c r="J613" s="46">
        <f>D613+F613-H613</f>
        <v>0</v>
      </c>
    </row>
    <row r="614" spans="2:10" ht="24.95" customHeight="1" x14ac:dyDescent="0.25">
      <c r="B614" s="45" t="s">
        <v>16</v>
      </c>
      <c r="C614" s="4">
        <v>1</v>
      </c>
      <c r="D614" s="10">
        <v>61695094</v>
      </c>
      <c r="E614" s="4">
        <v>0</v>
      </c>
      <c r="F614" s="4">
        <v>0</v>
      </c>
      <c r="G614" s="4">
        <v>1</v>
      </c>
      <c r="H614" s="10">
        <v>61695094</v>
      </c>
      <c r="I614" s="3">
        <f>C614+E614-G614</f>
        <v>0</v>
      </c>
      <c r="J614" s="46">
        <f>D614+F614-H614</f>
        <v>0</v>
      </c>
    </row>
    <row r="615" spans="2:10" ht="24.95" customHeight="1" x14ac:dyDescent="0.25">
      <c r="B615" s="43" t="s">
        <v>15</v>
      </c>
      <c r="C615" s="4">
        <v>3</v>
      </c>
      <c r="D615" s="2">
        <v>727500</v>
      </c>
      <c r="E615" s="4">
        <v>0</v>
      </c>
      <c r="F615" s="4">
        <v>0</v>
      </c>
      <c r="G615" s="4">
        <v>3</v>
      </c>
      <c r="H615" s="2">
        <v>727500</v>
      </c>
      <c r="I615" s="3">
        <f>C615+E615-G615</f>
        <v>0</v>
      </c>
      <c r="J615" s="46">
        <f>D615+F615-H615</f>
        <v>0</v>
      </c>
    </row>
    <row r="616" spans="2:10" ht="24.95" customHeight="1" x14ac:dyDescent="0.25">
      <c r="B616" s="45" t="s">
        <v>14</v>
      </c>
      <c r="C616" s="4">
        <v>3</v>
      </c>
      <c r="D616" s="5">
        <v>1077540</v>
      </c>
      <c r="E616" s="9">
        <v>0</v>
      </c>
      <c r="F616" s="9">
        <v>0</v>
      </c>
      <c r="G616" s="9">
        <v>0</v>
      </c>
      <c r="H616" s="9">
        <v>0</v>
      </c>
      <c r="I616" s="3">
        <f>C616+E616-G616</f>
        <v>3</v>
      </c>
      <c r="J616" s="44">
        <f>D616+F616-H616</f>
        <v>1077540</v>
      </c>
    </row>
    <row r="617" spans="2:10" ht="24.95" customHeight="1" x14ac:dyDescent="0.25">
      <c r="B617" s="45" t="s">
        <v>13</v>
      </c>
      <c r="C617" s="4">
        <v>200</v>
      </c>
      <c r="D617" s="8">
        <v>3519400</v>
      </c>
      <c r="E617" s="9">
        <v>0</v>
      </c>
      <c r="F617" s="9">
        <v>0</v>
      </c>
      <c r="G617" s="9">
        <v>0</v>
      </c>
      <c r="H617" s="9">
        <v>0</v>
      </c>
      <c r="I617" s="3">
        <f>C617+E617-G617</f>
        <v>200</v>
      </c>
      <c r="J617" s="44">
        <f>D617+F617-H617</f>
        <v>3519400</v>
      </c>
    </row>
    <row r="618" spans="2:10" ht="24.95" customHeight="1" x14ac:dyDescent="0.25">
      <c r="B618" s="43" t="s">
        <v>12</v>
      </c>
      <c r="C618" s="4">
        <v>1</v>
      </c>
      <c r="D618" s="2">
        <v>520000</v>
      </c>
      <c r="E618" s="9">
        <v>0</v>
      </c>
      <c r="F618" s="9">
        <v>0</v>
      </c>
      <c r="G618" s="9">
        <v>0</v>
      </c>
      <c r="H618" s="9">
        <v>0</v>
      </c>
      <c r="I618" s="3">
        <f>C618+E618-G618</f>
        <v>1</v>
      </c>
      <c r="J618" s="44">
        <f>D618+F618-H618</f>
        <v>520000</v>
      </c>
    </row>
    <row r="619" spans="2:10" ht="24.95" customHeight="1" x14ac:dyDescent="0.25">
      <c r="B619" s="43" t="s">
        <v>11</v>
      </c>
      <c r="C619" s="4">
        <v>1</v>
      </c>
      <c r="D619" s="6">
        <v>5722350</v>
      </c>
      <c r="E619" s="9">
        <v>0</v>
      </c>
      <c r="F619" s="9">
        <v>0</v>
      </c>
      <c r="G619" s="4">
        <v>1</v>
      </c>
      <c r="H619" s="6">
        <v>5722350</v>
      </c>
      <c r="I619" s="3">
        <f>C619+E619-G619</f>
        <v>0</v>
      </c>
      <c r="J619" s="46">
        <f>D619+F619-H619</f>
        <v>0</v>
      </c>
    </row>
    <row r="620" spans="2:10" ht="24.95" customHeight="1" x14ac:dyDescent="0.25">
      <c r="B620" s="48" t="s">
        <v>10</v>
      </c>
      <c r="C620" s="4">
        <v>0</v>
      </c>
      <c r="D620" s="5">
        <v>0</v>
      </c>
      <c r="E620" s="4">
        <v>3</v>
      </c>
      <c r="F620" s="4">
        <v>5571377</v>
      </c>
      <c r="G620" s="4">
        <v>3</v>
      </c>
      <c r="H620" s="4">
        <v>5571377</v>
      </c>
      <c r="I620" s="3">
        <f>C620+E620-G620</f>
        <v>0</v>
      </c>
      <c r="J620" s="46">
        <f>D620+F620-H620</f>
        <v>0</v>
      </c>
    </row>
    <row r="621" spans="2:10" ht="24.95" customHeight="1" x14ac:dyDescent="0.25">
      <c r="B621" s="45" t="s">
        <v>9</v>
      </c>
      <c r="C621" s="4">
        <v>18</v>
      </c>
      <c r="D621" s="5">
        <v>2658348</v>
      </c>
      <c r="E621" s="9">
        <v>0</v>
      </c>
      <c r="F621" s="9">
        <v>0</v>
      </c>
      <c r="G621" s="9">
        <v>3</v>
      </c>
      <c r="H621" s="9">
        <v>443058</v>
      </c>
      <c r="I621" s="3">
        <f>C621+E621-G621</f>
        <v>15</v>
      </c>
      <c r="J621" s="44">
        <f>D621+F621-H621</f>
        <v>2215290</v>
      </c>
    </row>
    <row r="622" spans="2:10" ht="24.95" customHeight="1" x14ac:dyDescent="0.25">
      <c r="B622" s="45" t="s">
        <v>8</v>
      </c>
      <c r="C622" s="4">
        <v>1</v>
      </c>
      <c r="D622" s="2">
        <v>3102549</v>
      </c>
      <c r="E622" s="9">
        <v>0</v>
      </c>
      <c r="F622" s="9">
        <v>0</v>
      </c>
      <c r="G622" s="9">
        <v>0</v>
      </c>
      <c r="H622" s="9">
        <v>0</v>
      </c>
      <c r="I622" s="3">
        <f>C622+E622-G622</f>
        <v>1</v>
      </c>
      <c r="J622" s="44">
        <f>D622+F622-H622</f>
        <v>3102549</v>
      </c>
    </row>
    <row r="623" spans="2:10" ht="24.95" customHeight="1" x14ac:dyDescent="0.25">
      <c r="B623" s="45" t="s">
        <v>7</v>
      </c>
      <c r="C623" s="4">
        <v>1</v>
      </c>
      <c r="D623" s="2">
        <v>7756372</v>
      </c>
      <c r="E623" s="9">
        <v>0</v>
      </c>
      <c r="F623" s="9">
        <v>0</v>
      </c>
      <c r="G623" s="9">
        <v>0</v>
      </c>
      <c r="H623" s="9">
        <v>0</v>
      </c>
      <c r="I623" s="3">
        <f>C623+E623-G623</f>
        <v>1</v>
      </c>
      <c r="J623" s="44">
        <f>D623+F623-H623</f>
        <v>7756372</v>
      </c>
    </row>
    <row r="624" spans="2:10" ht="24.95" customHeight="1" x14ac:dyDescent="0.25">
      <c r="B624" s="48" t="s">
        <v>6</v>
      </c>
      <c r="C624" s="4">
        <v>0</v>
      </c>
      <c r="D624" s="5">
        <v>0</v>
      </c>
      <c r="E624" s="4">
        <v>4</v>
      </c>
      <c r="F624" s="2">
        <v>368300</v>
      </c>
      <c r="G624" s="4">
        <v>4</v>
      </c>
      <c r="H624" s="2">
        <v>368300</v>
      </c>
      <c r="I624" s="3">
        <f>C624+E624-G624</f>
        <v>0</v>
      </c>
      <c r="J624" s="46">
        <f>D624+F624-H624</f>
        <v>0</v>
      </c>
    </row>
    <row r="625" spans="2:10" ht="24.95" customHeight="1" x14ac:dyDescent="0.25">
      <c r="B625" s="48" t="s">
        <v>5</v>
      </c>
      <c r="C625" s="4">
        <v>43</v>
      </c>
      <c r="D625" s="8">
        <v>2491162</v>
      </c>
      <c r="E625" s="4">
        <v>12</v>
      </c>
      <c r="F625" s="2">
        <v>1240332</v>
      </c>
      <c r="G625" s="4">
        <v>30</v>
      </c>
      <c r="H625" s="4">
        <v>2283144</v>
      </c>
      <c r="I625" s="3">
        <f>C625+E625-G625</f>
        <v>25</v>
      </c>
      <c r="J625" s="44">
        <f>D625+F625-H625</f>
        <v>1448350</v>
      </c>
    </row>
    <row r="626" spans="2:10" ht="24.95" customHeight="1" x14ac:dyDescent="0.25">
      <c r="B626" s="48" t="s">
        <v>4</v>
      </c>
      <c r="C626" s="4">
        <v>0</v>
      </c>
      <c r="D626" s="5">
        <v>0</v>
      </c>
      <c r="E626" s="4">
        <v>4</v>
      </c>
      <c r="F626" s="2">
        <v>2205636</v>
      </c>
      <c r="G626" s="4">
        <v>4</v>
      </c>
      <c r="H626" s="2">
        <v>2205636</v>
      </c>
      <c r="I626" s="3">
        <f>C626+E626-G626</f>
        <v>0</v>
      </c>
      <c r="J626" s="46">
        <f>D626+F626-H626</f>
        <v>0</v>
      </c>
    </row>
    <row r="627" spans="2:10" ht="24.95" customHeight="1" x14ac:dyDescent="0.25">
      <c r="B627" s="48" t="s">
        <v>3</v>
      </c>
      <c r="C627" s="4">
        <v>19</v>
      </c>
      <c r="D627" s="5">
        <v>254790</v>
      </c>
      <c r="E627" s="4">
        <v>12</v>
      </c>
      <c r="F627" s="2">
        <v>230424</v>
      </c>
      <c r="G627" s="4">
        <v>20</v>
      </c>
      <c r="H627" s="4">
        <v>340520</v>
      </c>
      <c r="I627" s="3">
        <f>C627+E627-G627</f>
        <v>11</v>
      </c>
      <c r="J627" s="44">
        <f>D627+F627-H627</f>
        <v>144694</v>
      </c>
    </row>
    <row r="628" spans="2:10" ht="24.95" customHeight="1" x14ac:dyDescent="0.25">
      <c r="B628" s="48" t="s">
        <v>2</v>
      </c>
      <c r="C628" s="4">
        <v>0</v>
      </c>
      <c r="D628" s="5">
        <v>0</v>
      </c>
      <c r="E628" s="4">
        <v>4</v>
      </c>
      <c r="F628" s="2">
        <v>930608</v>
      </c>
      <c r="G628" s="4">
        <v>4</v>
      </c>
      <c r="H628" s="2">
        <v>930608</v>
      </c>
      <c r="I628" s="3">
        <f>C628+E628-G628</f>
        <v>0</v>
      </c>
      <c r="J628" s="46">
        <f>D628+F628-H628</f>
        <v>0</v>
      </c>
    </row>
    <row r="629" spans="2:10" ht="24.95" customHeight="1" thickBot="1" x14ac:dyDescent="0.3">
      <c r="B629" s="52" t="s">
        <v>1</v>
      </c>
      <c r="C629" s="27">
        <v>0</v>
      </c>
      <c r="D629" s="28">
        <v>0</v>
      </c>
      <c r="E629" s="29">
        <v>1</v>
      </c>
      <c r="F629" s="30">
        <v>2580000</v>
      </c>
      <c r="G629" s="29">
        <v>1</v>
      </c>
      <c r="H629" s="30">
        <v>2580000</v>
      </c>
      <c r="I629" s="29">
        <f>C629+E629-G629</f>
        <v>0</v>
      </c>
      <c r="J629" s="53">
        <f>D629+F629-H629</f>
        <v>0</v>
      </c>
    </row>
    <row r="630" spans="2:10" s="26" customFormat="1" ht="35.25" customHeight="1" thickTop="1" thickBot="1" x14ac:dyDescent="0.3">
      <c r="B630" s="54"/>
      <c r="C630" s="55"/>
      <c r="D630" s="55">
        <f>SUM(D5:D629)</f>
        <v>1976954770</v>
      </c>
      <c r="E630" s="55" t="s">
        <v>0</v>
      </c>
      <c r="F630" s="55">
        <f>SUM(F5:F629)</f>
        <v>6947737745</v>
      </c>
      <c r="G630" s="55" t="s">
        <v>0</v>
      </c>
      <c r="H630" s="55">
        <f>SUM(H5:H629)</f>
        <v>7396839128</v>
      </c>
      <c r="I630" s="55" t="s">
        <v>0</v>
      </c>
      <c r="J630" s="56">
        <f>SUM(J5:J629)</f>
        <v>1527853387</v>
      </c>
    </row>
    <row r="850" spans="2:10" s="25" customFormat="1" ht="24.95" customHeight="1" x14ac:dyDescent="0.25">
      <c r="B850" s="33"/>
      <c r="C850" s="24"/>
      <c r="D850" s="24"/>
      <c r="E850" s="24"/>
      <c r="F850" s="24"/>
      <c r="G850" s="24"/>
      <c r="H850" s="24"/>
      <c r="I850" s="24"/>
      <c r="J850" s="24"/>
    </row>
    <row r="851" spans="2:10" s="25" customFormat="1" ht="24.95" customHeight="1" x14ac:dyDescent="0.25">
      <c r="B851" s="33"/>
      <c r="C851" s="24"/>
      <c r="D851" s="24"/>
      <c r="E851" s="24"/>
      <c r="F851" s="24"/>
      <c r="G851" s="24"/>
      <c r="H851" s="24"/>
      <c r="I851" s="24"/>
      <c r="J851" s="24"/>
    </row>
    <row r="852" spans="2:10" s="25" customFormat="1" ht="24.95" customHeight="1" x14ac:dyDescent="0.25">
      <c r="B852" s="33"/>
      <c r="C852" s="24"/>
      <c r="D852" s="24"/>
      <c r="E852" s="24"/>
      <c r="F852" s="24"/>
      <c r="G852" s="24"/>
      <c r="H852" s="24"/>
      <c r="I852" s="24"/>
      <c r="J852" s="24"/>
    </row>
    <row r="853" spans="2:10" s="25" customFormat="1" ht="24.95" customHeight="1" x14ac:dyDescent="0.25">
      <c r="B853" s="33"/>
      <c r="C853" s="24"/>
      <c r="D853" s="24"/>
      <c r="E853" s="24"/>
      <c r="F853" s="24"/>
      <c r="G853" s="24"/>
      <c r="H853" s="24"/>
      <c r="I853" s="24"/>
      <c r="J853" s="24"/>
    </row>
    <row r="854" spans="2:10" s="25" customFormat="1" ht="24.95" customHeight="1" x14ac:dyDescent="0.25">
      <c r="B854" s="33"/>
      <c r="C854" s="24"/>
      <c r="D854" s="24"/>
      <c r="E854" s="24"/>
      <c r="F854" s="24"/>
      <c r="G854" s="24"/>
      <c r="H854" s="24"/>
      <c r="I854" s="24"/>
      <c r="J854" s="24"/>
    </row>
    <row r="855" spans="2:10" s="25" customFormat="1" ht="24.95" customHeight="1" x14ac:dyDescent="0.25">
      <c r="B855" s="33"/>
      <c r="C855" s="24"/>
      <c r="D855" s="24"/>
      <c r="E855" s="24"/>
      <c r="F855" s="24"/>
      <c r="G855" s="24"/>
      <c r="H855" s="24"/>
      <c r="I855" s="24"/>
      <c r="J855" s="24"/>
    </row>
    <row r="856" spans="2:10" s="25" customFormat="1" ht="24.95" customHeight="1" x14ac:dyDescent="0.25">
      <c r="B856" s="33"/>
      <c r="C856" s="24"/>
      <c r="D856" s="24"/>
      <c r="E856" s="24"/>
      <c r="F856" s="24"/>
      <c r="G856" s="24"/>
      <c r="H856" s="24"/>
      <c r="I856" s="24"/>
      <c r="J856" s="24"/>
    </row>
    <row r="857" spans="2:10" s="25" customFormat="1" ht="24.95" customHeight="1" x14ac:dyDescent="0.25">
      <c r="B857" s="33"/>
      <c r="C857" s="24"/>
      <c r="D857" s="24"/>
      <c r="E857" s="24"/>
      <c r="F857" s="24"/>
      <c r="G857" s="24"/>
      <c r="H857" s="24"/>
      <c r="I857" s="24"/>
      <c r="J857" s="24"/>
    </row>
    <row r="858" spans="2:10" s="25" customFormat="1" ht="24.95" customHeight="1" x14ac:dyDescent="0.25">
      <c r="B858" s="33"/>
      <c r="C858" s="24"/>
      <c r="D858" s="24"/>
      <c r="E858" s="24"/>
      <c r="F858" s="24"/>
      <c r="G858" s="24"/>
      <c r="H858" s="24"/>
      <c r="I858" s="24"/>
      <c r="J858" s="24"/>
    </row>
    <row r="859" spans="2:10" s="25" customFormat="1" ht="24.95" customHeight="1" x14ac:dyDescent="0.25">
      <c r="B859" s="33"/>
      <c r="C859" s="24"/>
      <c r="D859" s="24"/>
      <c r="E859" s="24"/>
      <c r="F859" s="24"/>
      <c r="G859" s="24"/>
      <c r="H859" s="24"/>
      <c r="I859" s="24"/>
      <c r="J859" s="24"/>
    </row>
  </sheetData>
  <mergeCells count="7">
    <mergeCell ref="C3:D3"/>
    <mergeCell ref="E3:F3"/>
    <mergeCell ref="G3:H3"/>
    <mergeCell ref="I3:J3"/>
    <mergeCell ref="B1:J1"/>
    <mergeCell ref="G2:J2"/>
    <mergeCell ref="B3:B4"/>
  </mergeCells>
  <phoneticPr fontId="3" type="noConversion"/>
  <pageMargins left="0.16" right="0.16" top="0.16" bottom="0.16" header="0.3" footer="0.3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재고수불부</vt:lpstr>
      <vt:lpstr>재고수불부!Print_Area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고은</dc:creator>
  <cp:lastModifiedBy>박 고은</cp:lastModifiedBy>
  <dcterms:created xsi:type="dcterms:W3CDTF">2026-03-23T05:00:19Z</dcterms:created>
  <dcterms:modified xsi:type="dcterms:W3CDTF">2026-03-23T05:14:10Z</dcterms:modified>
</cp:coreProperties>
</file>