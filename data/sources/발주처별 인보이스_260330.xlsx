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931AF3A5-BBAF-40F2-A192-C1E6007AF78D}" xr6:coauthVersionLast="47" xr6:coauthVersionMax="47" xr10:uidLastSave="{00000000-0000-0000-0000-000000000000}"/>
  <bookViews>
    <workbookView xWindow="1778" yWindow="383" windowWidth="34650" windowHeight="15450" tabRatio="602" activeTab="1" xr2:uid="{00000000-000D-0000-FFFF-FFFF00000000}"/>
  </bookViews>
  <sheets>
    <sheet name="총괄" sheetId="2" r:id="rId1"/>
    <sheet name="Sheet1" sheetId="21" r:id="rId2"/>
    <sheet name="무환통관" sheetId="20" r:id="rId3"/>
    <sheet name="송금완료 (2025-현재 )" sheetId="5" r:id="rId4"/>
  </sheets>
  <definedNames>
    <definedName name="_xlnm._FilterDatabase" localSheetId="2" hidden="1">무환통관!$C$1:$C$1958</definedName>
    <definedName name="_xlnm._FilterDatabase" localSheetId="3" hidden="1">'송금완료 (2025-현재 )'!$C$1:$C$774</definedName>
    <definedName name="_xlnm._FilterDatabase" localSheetId="0" hidden="1">총괄!$5:$64</definedName>
    <definedName name="_xlnm.Print_Area" localSheetId="0">총괄!$A$5:$O$63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1" l="1"/>
  <c r="H33" i="21" s="1"/>
  <c r="D32" i="21"/>
  <c r="H32" i="21" s="1"/>
  <c r="D31" i="21"/>
  <c r="H31" i="21" s="1"/>
  <c r="D30" i="21"/>
  <c r="H30" i="21" s="1"/>
  <c r="F26" i="21"/>
  <c r="F379" i="5"/>
  <c r="F347" i="5"/>
  <c r="F336" i="5" l="1"/>
  <c r="F305" i="5"/>
  <c r="F304" i="5"/>
  <c r="F267" i="5"/>
  <c r="F26" i="2"/>
  <c r="F245" i="5"/>
  <c r="F42" i="5"/>
  <c r="D63" i="2"/>
  <c r="H63" i="2" s="1"/>
  <c r="F179" i="5"/>
  <c r="D108" i="2"/>
  <c r="D107" i="2"/>
  <c r="D61" i="2"/>
  <c r="H61" i="2" s="1"/>
  <c r="F160" i="20"/>
  <c r="D60" i="2" l="1"/>
  <c r="H60" i="2" s="1"/>
  <c r="D774" i="5" l="1"/>
  <c r="D770" i="5"/>
  <c r="F769" i="5"/>
  <c r="D769" i="5"/>
  <c r="F768" i="5"/>
  <c r="F1955" i="20"/>
  <c r="F1954" i="20"/>
  <c r="F1830" i="2"/>
  <c r="F1829" i="2"/>
  <c r="D62" i="2"/>
  <c r="H6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EX-2512-D001</author>
    <author>영업 1</author>
    <author>2312-D001</author>
    <author>현 지윤</author>
    <author>ocean</author>
    <author>영업부PC</author>
  </authors>
  <commentList>
    <comment ref="F8" authorId="0" shapeId="0" xr:uid="{320E2222-36A6-4CD8-B254-C459B6DE2D28}">
      <text>
        <r>
          <rPr>
            <b/>
            <sz val="9"/>
            <color indexed="81"/>
            <rFont val="돋움"/>
            <family val="3"/>
            <charset val="129"/>
          </rPr>
          <t>발주총액</t>
        </r>
        <r>
          <rPr>
            <b/>
            <sz val="9"/>
            <color indexed="81"/>
            <rFont val="Tahoma"/>
            <family val="2"/>
          </rPr>
          <t xml:space="preserve"> EUR 77,499.00</t>
        </r>
        <r>
          <rPr>
            <b/>
            <sz val="9"/>
            <color indexed="81"/>
            <rFont val="돋움"/>
            <family val="3"/>
            <charset val="129"/>
          </rPr>
          <t xml:space="preserve">
선금</t>
        </r>
        <r>
          <rPr>
            <b/>
            <sz val="9"/>
            <color indexed="81"/>
            <rFont val="Tahoma"/>
            <family val="2"/>
          </rPr>
          <t xml:space="preserve"> 30% ; 23,249.70
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70% ; 54,249.30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" authorId="1" shapeId="0" xr:uid="{2A123811-9205-45D4-806C-E4B29297AD76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1/23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2/2
</t>
        </r>
      </text>
    </comment>
    <comment ref="N8" authorId="0" shapeId="0" xr:uid="{6C919DFE-079F-4E1C-BFAA-5052BEC0F581}">
      <text>
        <r>
          <rPr>
            <b/>
            <sz val="9"/>
            <color indexed="81"/>
            <rFont val="Tahoma"/>
            <family val="2"/>
          </rPr>
          <t xml:space="preserve">30% </t>
        </r>
        <r>
          <rPr>
            <b/>
            <sz val="9"/>
            <color indexed="81"/>
            <rFont val="돋움"/>
            <family val="3"/>
            <charset val="129"/>
          </rPr>
          <t>선금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인보이스</t>
        </r>
        <r>
          <rPr>
            <b/>
            <sz val="9"/>
            <color indexed="81"/>
            <rFont val="Tahoma"/>
            <family val="2"/>
          </rPr>
          <t xml:space="preserve"> #09968</t>
        </r>
      </text>
    </comment>
    <comment ref="H9" authorId="2" shapeId="0" xr:uid="{490B5F54-735C-4CFD-8BDD-51BBD1287311}">
      <text>
        <r>
          <rPr>
            <sz val="11"/>
            <rFont val="돋움"/>
            <family val="3"/>
            <charset val="129"/>
          </rPr>
          <t>영업 1:
기존 선적일 ; 4/2
변경 선적일 ; 3/27</t>
        </r>
      </text>
    </comment>
    <comment ref="F10" authorId="3" shapeId="0" xr:uid="{EAD58F0E-68F3-4808-B3D6-687E8FA2188A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총액</t>
        </r>
        <r>
          <rPr>
            <sz val="9"/>
            <color indexed="81"/>
            <rFont val="Tahoma"/>
            <family val="2"/>
          </rPr>
          <t xml:space="preserve"> 162,000.00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48,600.00
</t>
        </r>
        <r>
          <rPr>
            <sz val="9"/>
            <color indexed="81"/>
            <rFont val="돋움"/>
            <family val="3"/>
            <charset val="129"/>
          </rPr>
          <t>선적전</t>
        </r>
        <r>
          <rPr>
            <sz val="9"/>
            <color indexed="81"/>
            <rFont val="Tahoma"/>
            <family val="2"/>
          </rPr>
          <t xml:space="preserve"> 30% 48,600
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SAT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40% 64,800 </t>
        </r>
      </text>
    </comment>
    <comment ref="F18" authorId="4" shapeId="0" xr:uid="{6EB4203C-CD39-4399-AE2E-D92030B18827}">
      <text>
        <r>
          <rPr>
            <sz val="11"/>
            <rFont val="돋움"/>
            <family val="3"/>
            <charset val="129"/>
          </rPr>
          <t>현 지윤:
변경전 5780
변경후 5815.70
customs clearance fee 추가</t>
        </r>
      </text>
    </comment>
    <comment ref="F26" authorId="5" shapeId="0" xr:uid="{31C8EC77-6D9E-437A-8C66-219B124B9E14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67,500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; 20,250
</t>
        </r>
        <r>
          <rPr>
            <sz val="9"/>
            <color indexed="81"/>
            <rFont val="돋움"/>
            <family val="3"/>
            <charset val="129"/>
          </rPr>
          <t>선적전</t>
        </r>
        <r>
          <rPr>
            <sz val="9"/>
            <color indexed="81"/>
            <rFont val="Tahoma"/>
            <family val="2"/>
          </rPr>
          <t xml:space="preserve"> 60% ; 40,500
</t>
        </r>
        <r>
          <rPr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10% ; 6,750
</t>
        </r>
      </text>
    </comment>
    <comment ref="H26" authorId="1" shapeId="0" xr:uid="{A801F305-9573-436B-AD6C-2CF0594482AE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기존선적일</t>
        </r>
        <r>
          <rPr>
            <sz val="9"/>
            <color indexed="81"/>
            <rFont val="Tahoma"/>
            <family val="2"/>
          </rPr>
          <t xml:space="preserve"> ; 1/30
</t>
        </r>
        <r>
          <rPr>
            <sz val="9"/>
            <color indexed="81"/>
            <rFont val="돋움"/>
            <family val="3"/>
            <charset val="129"/>
          </rPr>
          <t>변경선적일</t>
        </r>
        <r>
          <rPr>
            <sz val="9"/>
            <color indexed="81"/>
            <rFont val="Tahoma"/>
            <family val="2"/>
          </rPr>
          <t xml:space="preserve"> ; </t>
        </r>
        <r>
          <rPr>
            <sz val="9"/>
            <color indexed="81"/>
            <rFont val="돋움"/>
            <family val="3"/>
            <charset val="129"/>
          </rPr>
          <t xml:space="preserve">미정
</t>
        </r>
      </text>
    </comment>
    <comment ref="H28" authorId="1" shapeId="0" xr:uid="{AEE86C7C-E802-4B0C-A6DF-9E51FF0383F3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기존선적일</t>
        </r>
        <r>
          <rPr>
            <sz val="9"/>
            <color indexed="81"/>
            <rFont val="Tahoma"/>
            <family val="2"/>
          </rPr>
          <t xml:space="preserve"> ; 1/30
</t>
        </r>
        <r>
          <rPr>
            <sz val="9"/>
            <color indexed="81"/>
            <rFont val="돋움"/>
            <family val="3"/>
            <charset val="129"/>
          </rPr>
          <t>변경선적일</t>
        </r>
        <r>
          <rPr>
            <sz val="9"/>
            <color indexed="81"/>
            <rFont val="Tahoma"/>
            <family val="2"/>
          </rPr>
          <t xml:space="preserve"> ; </t>
        </r>
        <r>
          <rPr>
            <sz val="9"/>
            <color indexed="81"/>
            <rFont val="돋움"/>
            <family val="3"/>
            <charset val="129"/>
          </rPr>
          <t xml:space="preserve">미정
</t>
        </r>
      </text>
    </comment>
    <comment ref="H29" authorId="2" shapeId="0" xr:uid="{12473B98-0FC7-4807-B24E-4466F97F79D9}">
      <text>
        <r>
          <rPr>
            <sz val="11"/>
            <rFont val="돋움"/>
            <family val="3"/>
            <charset val="129"/>
          </rPr>
          <t xml:space="preserve">영업 1:
기존 선적일 ; 3/25
변경 선적일 ; 3/30
</t>
        </r>
      </text>
    </comment>
    <comment ref="H30" authorId="1" shapeId="0" xr:uid="{82A31CB3-603D-476C-8936-40765F72EE9A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2/25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3/30
</t>
        </r>
      </text>
    </comment>
    <comment ref="H31" authorId="1" shapeId="0" xr:uid="{E9F2539D-14AC-4738-95F5-7597921B35A9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2/25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둘째주
</t>
        </r>
      </text>
    </comment>
    <comment ref="F33" authorId="6" shapeId="0" xr:uid="{D62AA134-4717-457C-BC03-A4C13B272CCB}">
      <text>
        <r>
          <rPr>
            <sz val="11"/>
            <rFont val="돋움"/>
            <family val="3"/>
            <charset val="129"/>
          </rPr>
          <t>현지윤:
변경전 11,012.00
변경후 8,827.00
CTD 검교정 제외
Suna 포함되면서 labor fee 상승
변경 후 10,712</t>
        </r>
      </text>
    </comment>
    <comment ref="F35" authorId="1" shapeId="0" xr:uid="{27880057-6211-4F82-ADAE-20A005B43F49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14,340.20
2025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Credit 2,039.77 </t>
        </r>
        <r>
          <rPr>
            <sz val="9"/>
            <color indexed="81"/>
            <rFont val="돋움"/>
            <family val="3"/>
            <charset val="129"/>
          </rPr>
          <t>적용
케이스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
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12,390.43</t>
        </r>
      </text>
    </comment>
    <comment ref="H35" authorId="1" shapeId="0" xr:uid="{B13AEE66-8352-4F29-A848-1C5A601F6227}">
      <text>
        <r>
          <rPr>
            <sz val="11"/>
            <rFont val="돋움"/>
            <family val="3"/>
            <charset val="129"/>
          </rPr>
          <t>EX-2512-D001:
기존 선적일 ; 2/6
변경 선적일 ; 2/20
변경 선적일 ; 3/6</t>
        </r>
      </text>
    </comment>
    <comment ref="F36" authorId="2" shapeId="0" xr:uid="{CCCCDC64-FDB2-4077-B41B-DD36698EE716}">
      <text>
        <r>
          <rPr>
            <sz val="11"/>
            <rFont val="돋움"/>
            <family val="3"/>
            <charset val="129"/>
          </rPr>
          <t>영업 1:
기존금액 ; 6,404
변경금액 ; 8,940</t>
        </r>
      </text>
    </comment>
    <comment ref="H37" authorId="2" shapeId="0" xr:uid="{77E52140-16F5-4EEC-A707-CF98C55C38FE}">
      <text>
        <r>
          <rPr>
            <sz val="11"/>
            <rFont val="돋움"/>
            <family val="3"/>
            <charset val="129"/>
          </rPr>
          <t>영업 1:
기존 선적일 ; 5/1
변경 선적일 ; 3/26</t>
        </r>
      </text>
    </comment>
    <comment ref="F41" authorId="2" shapeId="0" xr:uid="{14640DF8-2CC2-4187-A8C4-08A25B020268}">
      <text>
        <r>
          <rPr>
            <sz val="11"/>
            <rFont val="돋움"/>
            <family val="3"/>
            <charset val="129"/>
          </rPr>
          <t>영업 1:
기존금액 ; 6,321.45
변경금액 ; 9,418.85</t>
        </r>
      </text>
    </comment>
    <comment ref="F44" authorId="2" shapeId="0" xr:uid="{2F03479B-BCAC-478E-A7C8-1908532B2DA5}">
      <text>
        <r>
          <rPr>
            <sz val="11"/>
            <rFont val="돋움"/>
            <family val="3"/>
            <charset val="129"/>
          </rPr>
          <t>영업 1:
1,123 USD
현지윤 개인 카드결제</t>
        </r>
      </text>
    </comment>
    <comment ref="F50" authorId="3" shapeId="0" xr:uid="{5E2E0C37-49D8-4E9B-9ED2-9D9CA6001C63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$1,207.30</t>
        </r>
      </text>
    </comment>
    <comment ref="F57" authorId="5" shapeId="0" xr:uid="{EBC01A37-C29F-47B1-B122-03BE3DDC30D3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182,630.60
</t>
        </r>
        <r>
          <rPr>
            <sz val="9"/>
            <color indexed="81"/>
            <rFont val="돋움"/>
            <family val="3"/>
            <charset val="129"/>
          </rPr>
          <t>선송금</t>
        </r>
        <r>
          <rPr>
            <sz val="9"/>
            <color indexed="81"/>
            <rFont val="Tahoma"/>
            <family val="2"/>
          </rPr>
          <t xml:space="preserve"> 30% ; 54,789.18
</t>
        </r>
        <r>
          <rPr>
            <sz val="9"/>
            <color indexed="81"/>
            <rFont val="돋움"/>
            <family val="3"/>
            <charset val="129"/>
          </rPr>
          <t>선적시</t>
        </r>
        <r>
          <rPr>
            <sz val="9"/>
            <color indexed="81"/>
            <rFont val="Tahoma"/>
            <family val="2"/>
          </rPr>
          <t xml:space="preserve"> 40% ; 73,052.24
</t>
        </r>
        <r>
          <rPr>
            <sz val="9"/>
            <color indexed="81"/>
            <rFont val="돋움"/>
            <family val="3"/>
            <charset val="129"/>
          </rPr>
          <t>도착시</t>
        </r>
        <r>
          <rPr>
            <sz val="9"/>
            <color indexed="81"/>
            <rFont val="Tahoma"/>
            <family val="2"/>
          </rPr>
          <t xml:space="preserve"> 30% ; 54,789.18</t>
        </r>
      </text>
    </comment>
    <comment ref="H57" authorId="5" shapeId="0" xr:uid="{76FBE721-7AC3-4E1F-AF54-FDD3E5F7F43A}">
      <text>
        <r>
          <rPr>
            <sz val="11"/>
            <rFont val="돋움"/>
            <family val="3"/>
            <charset val="129"/>
          </rPr>
          <t>ocean:
기존선적일 ; 10/7
변경 선적일 ; 11월초
변경 선적일 ; 2026년 1-2월경
사장님 협의 완료
최종 테스트 중 - 26/02/25
선적일 ; 3/9
선적 지연됨 - 26/03/10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EX-2512-D001</author>
    <author>영업 1</author>
    <author>2312-D001</author>
    <author>현 지윤</author>
    <author>ocean</author>
  </authors>
  <commentList>
    <comment ref="F8" authorId="0" shapeId="0" xr:uid="{D97E36C8-27B9-43FA-96A6-0618606C6F5A}">
      <text>
        <r>
          <rPr>
            <b/>
            <sz val="9"/>
            <color indexed="81"/>
            <rFont val="돋움"/>
            <family val="3"/>
            <charset val="129"/>
          </rPr>
          <t>발주총액</t>
        </r>
        <r>
          <rPr>
            <b/>
            <sz val="9"/>
            <color indexed="81"/>
            <rFont val="Tahoma"/>
            <family val="2"/>
          </rPr>
          <t xml:space="preserve"> EUR 77,499.00</t>
        </r>
        <r>
          <rPr>
            <b/>
            <sz val="9"/>
            <color indexed="81"/>
            <rFont val="돋움"/>
            <family val="3"/>
            <charset val="129"/>
          </rPr>
          <t xml:space="preserve">
선금</t>
        </r>
        <r>
          <rPr>
            <b/>
            <sz val="9"/>
            <color indexed="81"/>
            <rFont val="Tahoma"/>
            <family val="2"/>
          </rPr>
          <t xml:space="preserve"> 30% ; 23,249.70
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70% ; 54,249.30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" authorId="1" shapeId="0" xr:uid="{BBA1CBA7-7DC1-4F77-82C6-5CFC0E41AA0F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1/23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2/2
</t>
        </r>
      </text>
    </comment>
    <comment ref="N8" authorId="0" shapeId="0" xr:uid="{8B2D37CB-A684-441E-BF7E-43148D2DDC47}">
      <text>
        <r>
          <rPr>
            <b/>
            <sz val="9"/>
            <color indexed="81"/>
            <rFont val="Tahoma"/>
            <family val="2"/>
          </rPr>
          <t xml:space="preserve">30% </t>
        </r>
        <r>
          <rPr>
            <b/>
            <sz val="9"/>
            <color indexed="81"/>
            <rFont val="돋움"/>
            <family val="3"/>
            <charset val="129"/>
          </rPr>
          <t>선금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인보이스</t>
        </r>
        <r>
          <rPr>
            <b/>
            <sz val="9"/>
            <color indexed="81"/>
            <rFont val="Tahoma"/>
            <family val="2"/>
          </rPr>
          <t xml:space="preserve"> #09968</t>
        </r>
      </text>
    </comment>
    <comment ref="H9" authorId="2" shapeId="0" xr:uid="{B452F201-063E-456E-995E-EA8A103CB5F5}">
      <text>
        <r>
          <rPr>
            <sz val="11"/>
            <rFont val="돋움"/>
            <family val="3"/>
            <charset val="129"/>
          </rPr>
          <t>영업 1:
기존 선적일 ; 4/2
변경 선적일 ; 3/27</t>
        </r>
      </text>
    </comment>
    <comment ref="F10" authorId="3" shapeId="0" xr:uid="{96056415-D8EB-44C0-BBC6-D9DB8A247642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총액</t>
        </r>
        <r>
          <rPr>
            <sz val="9"/>
            <color indexed="81"/>
            <rFont val="Tahoma"/>
            <family val="2"/>
          </rPr>
          <t xml:space="preserve"> 162,000.00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48,600.00
</t>
        </r>
        <r>
          <rPr>
            <sz val="9"/>
            <color indexed="81"/>
            <rFont val="돋움"/>
            <family val="3"/>
            <charset val="129"/>
          </rPr>
          <t>선적전</t>
        </r>
        <r>
          <rPr>
            <sz val="9"/>
            <color indexed="81"/>
            <rFont val="Tahoma"/>
            <family val="2"/>
          </rPr>
          <t xml:space="preserve"> 30% 48,600
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SAT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40% 64,800 </t>
        </r>
      </text>
    </comment>
    <comment ref="F18" authorId="4" shapeId="0" xr:uid="{E1FE159E-733B-4F9B-BD59-9E2F53977E0C}">
      <text>
        <r>
          <rPr>
            <sz val="11"/>
            <rFont val="돋움"/>
            <family val="3"/>
            <charset val="129"/>
          </rPr>
          <t>현 지윤:
변경전 5780
변경후 5815.70
customs clearance fee 추가</t>
        </r>
      </text>
    </comment>
    <comment ref="F26" authorId="5" shapeId="0" xr:uid="{D57F4F7A-B113-49BB-9AF9-EE54C3815471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67,500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; 20,250
</t>
        </r>
        <r>
          <rPr>
            <sz val="9"/>
            <color indexed="81"/>
            <rFont val="돋움"/>
            <family val="3"/>
            <charset val="129"/>
          </rPr>
          <t>선적전</t>
        </r>
        <r>
          <rPr>
            <sz val="9"/>
            <color indexed="81"/>
            <rFont val="Tahoma"/>
            <family val="2"/>
          </rPr>
          <t xml:space="preserve"> 60% ; 40,500
</t>
        </r>
        <r>
          <rPr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10% ; 6,750
</t>
        </r>
      </text>
    </comment>
    <comment ref="H26" authorId="1" shapeId="0" xr:uid="{FA6FAEB7-EB70-4B46-BF70-03DF086733BD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기존선적일</t>
        </r>
        <r>
          <rPr>
            <sz val="9"/>
            <color indexed="81"/>
            <rFont val="Tahoma"/>
            <family val="2"/>
          </rPr>
          <t xml:space="preserve"> ; 1/30
</t>
        </r>
        <r>
          <rPr>
            <sz val="9"/>
            <color indexed="81"/>
            <rFont val="돋움"/>
            <family val="3"/>
            <charset val="129"/>
          </rPr>
          <t>변경선적일</t>
        </r>
        <r>
          <rPr>
            <sz val="9"/>
            <color indexed="81"/>
            <rFont val="Tahoma"/>
            <family val="2"/>
          </rPr>
          <t xml:space="preserve"> ; </t>
        </r>
        <r>
          <rPr>
            <sz val="9"/>
            <color indexed="81"/>
            <rFont val="돋움"/>
            <family val="3"/>
            <charset val="129"/>
          </rPr>
          <t xml:space="preserve">미정
</t>
        </r>
      </text>
    </comment>
    <comment ref="C43" authorId="5" shapeId="0" xr:uid="{046CE955-746A-4C1E-AAAF-D6B73C1AD11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오스트리아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</t>
        </r>
        <r>
          <rPr>
            <sz val="9"/>
            <color indexed="81"/>
            <rFont val="Tahoma"/>
            <family val="2"/>
          </rPr>
          <t xml:space="preserve"> Sommer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데모장비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빌리는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건인데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말레이시아에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데모장비가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말레이시아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말레이시아에서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말레이시아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이름이</t>
        </r>
        <r>
          <rPr>
            <sz val="9"/>
            <color indexed="81"/>
            <rFont val="Tahoma"/>
            <family val="2"/>
          </rPr>
          <t xml:space="preserve"> Vanguard electronic SDN BHD 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G44" authorId="5" shapeId="0" xr:uid="{909A6E45-5934-4905-811C-69A7068322EA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심부장님께서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발주하신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..</t>
        </r>
      </text>
    </comment>
    <comment ref="H44" authorId="5" shapeId="0" xr:uid="{623A30FB-3AEA-4A06-AF58-0FF6F655D37C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목록통관으로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되었습니다</t>
        </r>
        <r>
          <rPr>
            <sz val="9"/>
            <color indexed="81"/>
            <rFont val="Tahoma"/>
            <family val="2"/>
          </rPr>
          <t>..</t>
        </r>
      </text>
    </comment>
    <comment ref="F47" authorId="5" shapeId="0" xr:uid="{DF81A28A-5282-402E-8CEA-7C158ABC39BE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50,360
</t>
        </r>
        <r>
          <rPr>
            <sz val="9"/>
            <color indexed="81"/>
            <rFont val="돋움"/>
            <family val="3"/>
            <charset val="129"/>
          </rPr>
          <t>픽업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지연비</t>
        </r>
        <r>
          <rPr>
            <sz val="9"/>
            <color indexed="81"/>
            <rFont val="Tahoma"/>
            <family val="2"/>
          </rPr>
          <t xml:space="preserve"> ; 300</t>
        </r>
      </text>
    </comment>
    <comment ref="H47" authorId="5" shapeId="0" xr:uid="{4815D738-5575-4755-BBAE-E66BC7B03123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기존선적일</t>
        </r>
        <r>
          <rPr>
            <sz val="9"/>
            <color indexed="81"/>
            <rFont val="Tahoma"/>
            <family val="2"/>
          </rPr>
          <t xml:space="preserve"> ; 12/15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12/23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ocean</author>
    <author>YJHwang</author>
  </authors>
  <commentList>
    <comment ref="C1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오스트리아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</t>
        </r>
        <r>
          <rPr>
            <sz val="9"/>
            <color indexed="81"/>
            <rFont val="Tahoma"/>
            <family val="2"/>
          </rPr>
          <t xml:space="preserve"> Sommer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데모장비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빌리는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건인데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말레이시아에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데모장비가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말레이시아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말레이시아에서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말레이시아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이름이</t>
        </r>
        <r>
          <rPr>
            <sz val="9"/>
            <color indexed="81"/>
            <rFont val="Tahoma"/>
            <family val="2"/>
          </rPr>
          <t xml:space="preserve"> Vanguard electronic SDN BHD 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G1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심부장님께서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발주하신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..</t>
        </r>
      </text>
    </comment>
    <comment ref="H1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목록통관으로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되었습니다</t>
        </r>
        <r>
          <rPr>
            <sz val="9"/>
            <color indexed="81"/>
            <rFont val="Tahoma"/>
            <family val="2"/>
          </rPr>
          <t>..</t>
        </r>
      </text>
    </comment>
    <comment ref="F2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75.99 EUR
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</text>
    </comment>
    <comment ref="D73" authorId="0" shapeId="0" xr:uid="{00000000-0006-0000-0100-000005000000}">
      <text>
        <r>
          <rPr>
            <b/>
            <sz val="9"/>
            <color indexed="81"/>
            <rFont val="돋움"/>
            <family val="3"/>
            <charset val="129"/>
          </rPr>
          <t>임시</t>
        </r>
        <r>
          <rPr>
            <b/>
            <sz val="9"/>
            <color indexed="81"/>
            <rFont val="Tahoma"/>
            <family val="2"/>
          </rPr>
          <t xml:space="preserve"> KHOA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수리건이랑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들어옴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94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YJHwang:</t>
        </r>
        <r>
          <rPr>
            <sz val="9"/>
            <color indexed="81"/>
            <rFont val="Tahoma"/>
            <family val="2"/>
          </rPr>
          <t xml:space="preserve">
\184,431
</t>
        </r>
        <r>
          <rPr>
            <sz val="9"/>
            <color indexed="81"/>
            <rFont val="돋움"/>
            <family val="3"/>
            <charset val="129"/>
          </rPr>
          <t>황유진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개인카드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ocean</author>
    <author>2206-D001</author>
    <author>영업부PC</author>
    <author>2312-D001</author>
    <author>EX-2512-D001</author>
    <author>2312-D002</author>
    <author>현 지윤</author>
  </authors>
  <commentList>
    <comment ref="F2" authorId="0" shapeId="0" xr:uid="{10AC8E53-CDE3-4F36-87F4-FBD67CAF658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50,360
</t>
        </r>
        <r>
          <rPr>
            <sz val="9"/>
            <color indexed="81"/>
            <rFont val="돋움"/>
            <family val="3"/>
            <charset val="129"/>
          </rPr>
          <t>픽업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지연비</t>
        </r>
        <r>
          <rPr>
            <sz val="9"/>
            <color indexed="81"/>
            <rFont val="Tahoma"/>
            <family val="2"/>
          </rPr>
          <t xml:space="preserve"> ; 300</t>
        </r>
      </text>
    </comment>
    <comment ref="H2" authorId="0" shapeId="0" xr:uid="{37BAA8B4-5C2A-4B04-9AC5-9D150277AC1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기존선적일</t>
        </r>
        <r>
          <rPr>
            <sz val="9"/>
            <color indexed="81"/>
            <rFont val="Tahoma"/>
            <family val="2"/>
          </rPr>
          <t xml:space="preserve"> ; 12/15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12/23
</t>
        </r>
      </text>
    </comment>
    <comment ref="F5" authorId="0" shapeId="0" xr:uid="{7E2011DC-9567-45BD-ADEB-F1853EEF9E81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513.40
Export customs clearance ; 36</t>
        </r>
      </text>
    </comment>
    <comment ref="F7" authorId="1" shapeId="0" xr:uid="{26822D08-97C9-4BD8-88B1-D087F9AC533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cable 4</t>
        </r>
        <r>
          <rPr>
            <sz val="9"/>
            <color indexed="81"/>
            <rFont val="돋움"/>
            <family val="3"/>
            <charset val="129"/>
          </rPr>
          <t>식에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반환대금</t>
        </r>
      </text>
    </comment>
    <comment ref="F8" authorId="0" shapeId="0" xr:uid="{320468B1-3C6B-464B-8815-3206F8D9D339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Capacitor 54 1</t>
        </r>
        <r>
          <rPr>
            <sz val="9"/>
            <color indexed="81"/>
            <rFont val="돋움"/>
            <family val="3"/>
            <charset val="129"/>
          </rPr>
          <t xml:space="preserve">식
</t>
        </r>
        <r>
          <rPr>
            <sz val="9"/>
            <color indexed="81"/>
            <rFont val="Tahoma"/>
            <family val="2"/>
          </rPr>
          <t>Capacitor 40 2</t>
        </r>
        <r>
          <rPr>
            <sz val="9"/>
            <color indexed="81"/>
            <rFont val="돋움"/>
            <family val="3"/>
            <charset val="129"/>
          </rPr>
          <t xml:space="preserve">식
</t>
        </r>
        <r>
          <rPr>
            <sz val="9"/>
            <color indexed="81"/>
            <rFont val="Tahoma"/>
            <family val="2"/>
          </rPr>
          <t xml:space="preserve">; 2,762.50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F10" authorId="0" shapeId="0" xr:uid="{15D800A8-AC05-4AAE-8131-0BD3C3F09DF5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620.16
Shipping administration ; 70</t>
        </r>
      </text>
    </comment>
    <comment ref="F13" authorId="2" shapeId="0" xr:uid="{13A927DA-6765-4EAC-9335-4B18EA3D179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1/15 CT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
변경전</t>
        </r>
        <r>
          <rPr>
            <sz val="9"/>
            <color indexed="81"/>
            <rFont val="Tahoma"/>
            <family val="2"/>
          </rPr>
          <t xml:space="preserve">: 12,833.30 EUR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: 13,617.00 EUR
Customs clearance fee ; 72
</t>
        </r>
        <r>
          <rPr>
            <sz val="9"/>
            <color indexed="81"/>
            <rFont val="돋움"/>
            <family val="3"/>
            <charset val="129"/>
          </rPr>
          <t>포함해서</t>
        </r>
        <r>
          <rPr>
            <sz val="9"/>
            <color indexed="81"/>
            <rFont val="Tahoma"/>
            <family val="2"/>
          </rPr>
          <t xml:space="preserve"> 15%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 
13,678.20 EUR</t>
        </r>
      </text>
    </comment>
    <comment ref="G13" authorId="2" shapeId="0" xr:uid="{75BCA91A-F259-455D-9AD2-8AD25A12606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1/13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: 1/15
</t>
        </r>
      </text>
    </comment>
    <comment ref="H13" authorId="0" shapeId="0" xr:uid="{2E66B020-4162-43C2-AA22-C0321755AD5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3/7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2/18</t>
        </r>
      </text>
    </comment>
    <comment ref="F14" authorId="0" shapeId="0" xr:uid="{322E85F7-C2B2-4A51-BAFA-00A8E1374F8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기존금액</t>
        </r>
        <r>
          <rPr>
            <sz val="9"/>
            <color indexed="81"/>
            <rFont val="Tahoma"/>
            <family val="2"/>
          </rPr>
          <t xml:space="preserve"> ; 2,720
</t>
        </r>
        <r>
          <rPr>
            <sz val="9"/>
            <color indexed="81"/>
            <rFont val="돋움"/>
            <family val="3"/>
            <charset val="129"/>
          </rPr>
          <t>변경금액</t>
        </r>
        <r>
          <rPr>
            <sz val="9"/>
            <color indexed="81"/>
            <rFont val="Tahoma"/>
            <family val="2"/>
          </rPr>
          <t xml:space="preserve"> ; 2,890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</t>
        </r>
      </text>
    </comment>
    <comment ref="F15" authorId="0" shapeId="0" xr:uid="{C94A3C42-23F6-43AB-8CAE-5E445091D2E4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;783.70
</t>
        </r>
        <r>
          <rPr>
            <sz val="9"/>
            <color indexed="81"/>
            <rFont val="돋움"/>
            <family val="3"/>
            <charset val="129"/>
          </rPr>
          <t>수출통관비용</t>
        </r>
        <r>
          <rPr>
            <sz val="9"/>
            <color indexed="81"/>
            <rFont val="Tahoma"/>
            <family val="2"/>
          </rPr>
          <t xml:space="preserve"> ; 30.6</t>
        </r>
      </text>
    </comment>
    <comment ref="F16" authorId="0" shapeId="0" xr:uid="{3B809313-0B69-435C-A40B-1911FD353FFA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13,432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13,362
Shipping administration ; 70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16" authorId="0" shapeId="0" xr:uid="{ED2D5BAA-6F21-4019-A5E1-3F30D8C4441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2/14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중순
</t>
        </r>
      </text>
    </comment>
    <comment ref="F18" authorId="0" shapeId="0" xr:uid="{B6A46B11-4E1B-4E21-A9EB-492B85A88371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customs clearance fee ; 36 </t>
        </r>
        <r>
          <rPr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H19" authorId="0" shapeId="0" xr:uid="{7E042A4B-F720-44B1-9211-731EA3748799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3/4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3/17</t>
        </r>
      </text>
    </comment>
    <comment ref="F22" authorId="0" shapeId="0" xr:uid="{FF9EA55E-6698-46C8-8D61-3430EBEF87C1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기존금액</t>
        </r>
        <r>
          <rPr>
            <sz val="9"/>
            <color indexed="81"/>
            <rFont val="Tahoma"/>
            <family val="2"/>
          </rPr>
          <t xml:space="preserve"> ; 4,414.05
</t>
        </r>
        <r>
          <rPr>
            <sz val="9"/>
            <color indexed="81"/>
            <rFont val="돋움"/>
            <family val="3"/>
            <charset val="129"/>
          </rPr>
          <t>변경금액</t>
        </r>
        <r>
          <rPr>
            <sz val="9"/>
            <color indexed="81"/>
            <rFont val="Tahoma"/>
            <family val="2"/>
          </rPr>
          <t xml:space="preserve"> ; 4,874.75
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  <comment ref="F24" authorId="2" shapeId="0" xr:uid="{ACF9358E-A8EE-432C-B95D-0F065DDCBBFC}">
      <text>
        <r>
          <rPr>
            <b/>
            <sz val="9"/>
            <color indexed="81"/>
            <rFont val="돋움"/>
            <family val="3"/>
            <charset val="129"/>
          </rPr>
          <t>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: 3,360.26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: 7,659.56
DCS4830+10m cable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</text>
    </comment>
    <comment ref="F25" authorId="0" shapeId="0" xr:uid="{FE36FC2A-1046-4736-A8E2-B1960FC556CA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7,185.90
</t>
        </r>
        <r>
          <rPr>
            <sz val="9"/>
            <color indexed="81"/>
            <rFont val="돋움"/>
            <family val="3"/>
            <charset val="129"/>
          </rPr>
          <t>수출통관비용</t>
        </r>
        <r>
          <rPr>
            <sz val="9"/>
            <color indexed="81"/>
            <rFont val="Tahoma"/>
            <family val="2"/>
          </rPr>
          <t xml:space="preserve"> ; 30.60</t>
        </r>
      </text>
    </comment>
    <comment ref="F26" authorId="0" shapeId="0" xr:uid="{165C9C48-3959-4503-AB2B-A832A1FD0B69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; 391.85
</t>
        </r>
        <r>
          <rPr>
            <sz val="9"/>
            <color indexed="81"/>
            <rFont val="돋움"/>
            <family val="3"/>
            <charset val="129"/>
          </rPr>
          <t>수출통관비</t>
        </r>
        <r>
          <rPr>
            <sz val="9"/>
            <color indexed="81"/>
            <rFont val="Tahoma"/>
            <family val="2"/>
          </rPr>
          <t xml:space="preserve"> ; 30.60</t>
        </r>
      </text>
    </comment>
    <comment ref="F35" authorId="3" shapeId="0" xr:uid="{C74E44A5-1778-40A6-8182-7665C7C32511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EUR 58,502.37</t>
        </r>
      </text>
    </comment>
    <comment ref="F43" authorId="0" shapeId="0" xr:uid="{45369947-BC6A-498D-8657-EE8FADB5910C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13,456
Shipping+handling ; 151</t>
        </r>
      </text>
    </comment>
    <comment ref="F46" authorId="0" shapeId="0" xr:uid="{9F06FD3C-0F23-4DFC-87F0-A0FDA629B693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150,000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40% ; 60,000
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60% ; 90,000</t>
        </r>
      </text>
    </comment>
    <comment ref="H48" authorId="0" shapeId="0" xr:uid="{345CD466-C2E9-47BF-8AA7-1BFAEB4406F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6/24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7/2
</t>
        </r>
      </text>
    </comment>
    <comment ref="F56" authorId="0" shapeId="0" xr:uid="{28F00CCD-EFFF-4E1C-8452-4911CFC3A83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6,267.90
</t>
        </r>
        <r>
          <rPr>
            <sz val="9"/>
            <color indexed="81"/>
            <rFont val="돋움"/>
            <family val="3"/>
            <charset val="129"/>
          </rPr>
          <t>수출통관비</t>
        </r>
        <r>
          <rPr>
            <sz val="9"/>
            <color indexed="81"/>
            <rFont val="Tahoma"/>
            <family val="2"/>
          </rPr>
          <t xml:space="preserve"> ; 30.6</t>
        </r>
      </text>
    </comment>
    <comment ref="F61" authorId="2" shapeId="0" xr:uid="{ACFA6957-DE79-4EE8-9D58-CA05E7F4DD37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카드결제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  <r>
          <rPr>
            <sz val="9"/>
            <color indexed="81"/>
            <rFont val="Tahoma"/>
            <family val="2"/>
          </rPr>
          <t>EUR 351.48</t>
        </r>
      </text>
    </comment>
    <comment ref="F65" authorId="0" shapeId="0" xr:uid="{31B9C1A6-DA7F-4EDF-89B8-90697B46C653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위의</t>
        </r>
        <r>
          <rPr>
            <sz val="9"/>
            <color indexed="81"/>
            <rFont val="Tahoma"/>
            <family val="2"/>
          </rPr>
          <t xml:space="preserve"> KIOST </t>
        </r>
        <r>
          <rPr>
            <sz val="9"/>
            <color indexed="81"/>
            <rFont val="돋움"/>
            <family val="3"/>
            <charset val="129"/>
          </rPr>
          <t>물품과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선적되면서</t>
        </r>
        <r>
          <rPr>
            <sz val="9"/>
            <color indexed="81"/>
            <rFont val="Tahoma"/>
            <family val="2"/>
          </rPr>
          <t xml:space="preserve"> packing </t>
        </r>
        <r>
          <rPr>
            <sz val="9"/>
            <color indexed="81"/>
            <rFont val="돋움"/>
            <family val="3"/>
            <charset val="129"/>
          </rPr>
          <t>비용이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절감됨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500.65
</t>
        </r>
      </text>
    </comment>
    <comment ref="F74" authorId="0" shapeId="0" xr:uid="{F258560E-A21D-4E47-B24B-B5F9FAA7E5FF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14,063.25
</t>
        </r>
        <r>
          <rPr>
            <sz val="9"/>
            <color indexed="81"/>
            <rFont val="돋움"/>
            <family val="3"/>
            <charset val="129"/>
          </rPr>
          <t>수출통관비용</t>
        </r>
        <r>
          <rPr>
            <sz val="9"/>
            <color indexed="81"/>
            <rFont val="Tahoma"/>
            <family val="2"/>
          </rPr>
          <t xml:space="preserve"> ; 34.85 * 2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분할선적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F75" authorId="0" shapeId="0" xr:uid="{550EC799-9108-41E1-B3F8-6090038494F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수출통관비용</t>
        </r>
        <r>
          <rPr>
            <sz val="9"/>
            <color indexed="81"/>
            <rFont val="Tahoma"/>
            <family val="2"/>
          </rPr>
          <t xml:space="preserve"> ; 34.85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F76" authorId="3" shapeId="0" xr:uid="{247BC9FE-34BC-41E5-B70C-5BCFE4A12BF0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21,928.00</t>
        </r>
      </text>
    </comment>
    <comment ref="F79" authorId="1" shapeId="0" xr:uid="{46B9C94A-1401-4345-B065-DE51CD25D3B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EUR 26,187</t>
        </r>
      </text>
    </comment>
    <comment ref="I79" authorId="2" shapeId="0" xr:uid="{C90AF32D-89B6-465C-936D-843CE6D08BE2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: 12/13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 : 12/10</t>
        </r>
      </text>
    </comment>
    <comment ref="F80" authorId="0" shapeId="0" xr:uid="{FBFB5CEB-47E0-4089-85B4-3FBCD6A1A45F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 1,844
</t>
        </r>
        <r>
          <rPr>
            <sz val="9"/>
            <color indexed="81"/>
            <rFont val="돋움"/>
            <family val="3"/>
            <charset val="129"/>
          </rPr>
          <t>운송비</t>
        </r>
        <r>
          <rPr>
            <sz val="9"/>
            <color indexed="81"/>
            <rFont val="Tahoma"/>
            <family val="2"/>
          </rPr>
          <t xml:space="preserve"> ; 206</t>
        </r>
      </text>
    </comment>
    <comment ref="I80" authorId="0" shapeId="0" xr:uid="{6EC38D2F-6A99-4032-918C-1FE44F5DA60F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선적했지만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제조사쪽에서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진행하지않아서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제조사로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반송됨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F81" authorId="0" shapeId="0" xr:uid="{E4AF78F6-6119-40B9-A8A6-1E347269FB29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기존금액</t>
        </r>
        <r>
          <rPr>
            <sz val="9"/>
            <color indexed="81"/>
            <rFont val="Tahoma"/>
            <family val="2"/>
          </rPr>
          <t xml:space="preserve"> ; 21,581.50
</t>
        </r>
        <r>
          <rPr>
            <sz val="9"/>
            <color indexed="81"/>
            <rFont val="돋움"/>
            <family val="3"/>
            <charset val="129"/>
          </rPr>
          <t>추가금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수출통관비</t>
        </r>
        <r>
          <rPr>
            <sz val="9"/>
            <color indexed="81"/>
            <rFont val="Tahoma"/>
            <family val="2"/>
          </rPr>
          <t xml:space="preserve"> ; 34.85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21,618.05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: 22,009.90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>: 23,053.70
CT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추가됨
</t>
        </r>
        <r>
          <rPr>
            <sz val="9"/>
            <color indexed="81"/>
            <rFont val="Tahoma"/>
            <family val="2"/>
          </rPr>
          <t>C-clamp 10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스탠다드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>, Ext 2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F82" authorId="2" shapeId="0" xr:uid="{6FE5B3EC-4144-449B-807C-2DD41703B248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 xml:space="preserve">PC: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2,399.55
+ </t>
        </r>
        <r>
          <rPr>
            <sz val="9"/>
            <color indexed="81"/>
            <rFont val="돋움"/>
            <family val="3"/>
            <charset val="129"/>
          </rPr>
          <t>수출통관비</t>
        </r>
        <r>
          <rPr>
            <sz val="9"/>
            <color indexed="81"/>
            <rFont val="Tahoma"/>
            <family val="2"/>
          </rPr>
          <t xml:space="preserve"> 34.85</t>
        </r>
      </text>
    </comment>
    <comment ref="H85" authorId="4" shapeId="0" xr:uid="{EA41726C-A671-45BA-8046-4192FB22BE46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12/19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</text>
    </comment>
    <comment ref="F91" authorId="3" shapeId="0" xr:uid="{D22D5A06-FCBA-409F-A226-810D3C4A417E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8,263.00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2,478.90
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70% 5,784.10
25/02/11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
총</t>
        </r>
        <r>
          <rPr>
            <sz val="9"/>
            <color indexed="81"/>
            <rFont val="Tahoma"/>
            <family val="2"/>
          </rPr>
          <t xml:space="preserve"> 8,292.60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; 2,478.90
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; 5,813.70</t>
        </r>
      </text>
    </comment>
    <comment ref="F93" authorId="2" shapeId="0" xr:uid="{6F649F41-3715-441C-BE75-2C0F1DC8F85A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7,471.90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: 6,374.06
</t>
        </r>
      </text>
    </comment>
    <comment ref="H93" authorId="2" shapeId="0" xr:uid="{5284E80E-00E9-40D0-B22D-DF2548FB50AB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2/16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월초</t>
        </r>
      </text>
    </comment>
    <comment ref="F95" authorId="2" shapeId="0" xr:uid="{CC4C0CEA-20FD-407F-88C0-71847DF9B6F2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: 29,195.80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 : 28,106.95</t>
        </r>
      </text>
    </comment>
    <comment ref="F97" authorId="2" shapeId="0" xr:uid="{591A69B4-0C14-46F2-A23A-2FCC92A7FFB7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 xml:space="preserve">PC: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6,001 EUR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>: 6,035.85 EUR
customs clearance fee 41EUR</t>
        </r>
      </text>
    </comment>
    <comment ref="H97" authorId="4" shapeId="0" xr:uid="{D2BAF1A2-6A21-4967-B95F-D7A804826A0C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2/12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2/20
</t>
        </r>
      </text>
    </comment>
    <comment ref="H98" authorId="4" shapeId="0" xr:uid="{2A308487-2116-4967-B82D-DB94AAE243D9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기존선적일</t>
        </r>
        <r>
          <rPr>
            <sz val="9"/>
            <color indexed="81"/>
            <rFont val="Tahoma"/>
            <family val="2"/>
          </rPr>
          <t xml:space="preserve"> ; 1/30
</t>
        </r>
        <r>
          <rPr>
            <sz val="9"/>
            <color indexed="81"/>
            <rFont val="돋움"/>
            <family val="3"/>
            <charset val="129"/>
          </rPr>
          <t>변경선적일</t>
        </r>
        <r>
          <rPr>
            <sz val="9"/>
            <color indexed="81"/>
            <rFont val="Tahoma"/>
            <family val="2"/>
          </rPr>
          <t xml:space="preserve"> ; </t>
        </r>
        <r>
          <rPr>
            <sz val="9"/>
            <color indexed="81"/>
            <rFont val="돋움"/>
            <family val="3"/>
            <charset val="129"/>
          </rPr>
          <t xml:space="preserve">미정
</t>
        </r>
      </text>
    </comment>
    <comment ref="H99" authorId="4" shapeId="0" xr:uid="{5367EAC5-3218-46BC-96F6-24BB60E97723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기존선적일</t>
        </r>
        <r>
          <rPr>
            <sz val="9"/>
            <color indexed="81"/>
            <rFont val="Tahoma"/>
            <family val="2"/>
          </rPr>
          <t xml:space="preserve"> ; 1/30
</t>
        </r>
        <r>
          <rPr>
            <sz val="9"/>
            <color indexed="81"/>
            <rFont val="돋움"/>
            <family val="3"/>
            <charset val="129"/>
          </rPr>
          <t>변경선적일</t>
        </r>
        <r>
          <rPr>
            <sz val="9"/>
            <color indexed="81"/>
            <rFont val="Tahoma"/>
            <family val="2"/>
          </rPr>
          <t xml:space="preserve"> ; </t>
        </r>
        <r>
          <rPr>
            <sz val="9"/>
            <color indexed="81"/>
            <rFont val="돋움"/>
            <family val="3"/>
            <charset val="129"/>
          </rPr>
          <t xml:space="preserve">미정
</t>
        </r>
      </text>
    </comment>
    <comment ref="D121" authorId="0" shapeId="0" xr:uid="{00000000-0006-0000-0200-00002A03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10/31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재고가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안들어옴</t>
        </r>
      </text>
    </comment>
    <comment ref="F121" authorId="0" shapeId="0" xr:uid="{00000000-0006-0000-0200-00002B03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1,760
Inland fee ; 25
Banking fee ; 40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1,825.40
</t>
        </r>
      </text>
    </comment>
    <comment ref="H121" authorId="0" shapeId="0" xr:uid="{00000000-0006-0000-0200-00002C03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예정일</t>
        </r>
        <r>
          <rPr>
            <sz val="9"/>
            <color indexed="81"/>
            <rFont val="Tahoma"/>
            <family val="2"/>
          </rPr>
          <t xml:space="preserve"> : 2023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9"/>
            <color indexed="81"/>
            <rFont val="돋움"/>
            <family val="3"/>
            <charset val="129"/>
          </rPr>
          <t>변경일</t>
        </r>
        <r>
          <rPr>
            <sz val="9"/>
            <color indexed="81"/>
            <rFont val="Tahoma"/>
            <family val="2"/>
          </rPr>
          <t xml:space="preserve"> : 12/29
</t>
        </r>
      </text>
    </comment>
    <comment ref="H122" authorId="0" shapeId="0" xr:uid="{64040347-3D7C-4B46-B454-4027EEBFB56F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</t>
        </r>
      </text>
    </comment>
    <comment ref="H123" authorId="2" shapeId="0" xr:uid="{AB62D981-064F-44D2-A474-272CF96019D9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11/28
</t>
        </r>
      </text>
    </comment>
    <comment ref="F125" authorId="0" shapeId="0" xr:uid="{0948C86E-FE19-40CC-BAC5-75789E8BFB2A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33,307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33,578.50
</t>
        </r>
        <r>
          <rPr>
            <sz val="9"/>
            <color indexed="81"/>
            <rFont val="돋움"/>
            <family val="3"/>
            <charset val="129"/>
          </rPr>
          <t>안테나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선적됨
</t>
        </r>
        <r>
          <rPr>
            <sz val="9"/>
            <color indexed="81"/>
            <rFont val="Tahoma"/>
            <family val="2"/>
          </rPr>
          <t>Stream+ 24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 ; 29,592
12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</t>
        </r>
        <r>
          <rPr>
            <sz val="9"/>
            <color indexed="81"/>
            <rFont val="Tahoma"/>
            <family val="2"/>
          </rPr>
          <t>(1/10) ; 14, 796</t>
        </r>
      </text>
    </comment>
    <comment ref="F126" authorId="0" shapeId="0" xr:uid="{886DBD49-04DC-4BC5-9BB3-293EFE24E0EC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33,307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33,578.50
</t>
        </r>
        <r>
          <rPr>
            <sz val="9"/>
            <color indexed="81"/>
            <rFont val="돋움"/>
            <family val="3"/>
            <charset val="129"/>
          </rPr>
          <t>안테나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선적됨
</t>
        </r>
        <r>
          <rPr>
            <sz val="9"/>
            <color indexed="81"/>
            <rFont val="Tahoma"/>
            <family val="2"/>
          </rPr>
          <t>Stream+ 24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 ; 29,592
12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</t>
        </r>
        <r>
          <rPr>
            <sz val="9"/>
            <color indexed="81"/>
            <rFont val="Tahoma"/>
            <family val="2"/>
          </rPr>
          <t>(1/10) ; 14, 796</t>
        </r>
      </text>
    </comment>
    <comment ref="F128" authorId="0" shapeId="0" xr:uid="{DB7193CE-46A1-4386-9F6F-E64595271CD1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820
Banking fee ; 40
</t>
        </r>
      </text>
    </comment>
    <comment ref="F129" authorId="0" shapeId="0" xr:uid="{50083FCD-60F7-4037-AE48-24B5611E7C38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415.65
</t>
        </r>
        <r>
          <rPr>
            <sz val="9"/>
            <color indexed="81"/>
            <rFont val="돋움"/>
            <family val="3"/>
            <charset val="129"/>
          </rPr>
          <t>지사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법인카드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  <comment ref="F137" authorId="0" shapeId="0" xr:uid="{6F1E1DBE-9A7D-47C8-9829-2088B7A5010D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280.70 USD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138" authorId="0" shapeId="0" xr:uid="{23E6FFFF-5F69-4C2B-911A-D0F47D9D18D8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23.66 USD
</t>
        </r>
        <r>
          <rPr>
            <sz val="9"/>
            <color indexed="81"/>
            <rFont val="돋움"/>
            <family val="3"/>
            <charset val="129"/>
          </rPr>
          <t>영업부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139" authorId="0" shapeId="0" xr:uid="{F70A799F-2BFA-432F-BFE8-76CC3BB97C4A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104.53 USD 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140" authorId="0" shapeId="0" xr:uid="{B47255FA-5110-4410-AAF7-1DA0059DE42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247,40 USD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141" authorId="2" shapeId="0" xr:uid="{42FC107A-5C8B-46EE-8D6B-0C26C82FB13B}">
      <text>
        <r>
          <rPr>
            <b/>
            <sz val="9"/>
            <color indexed="81"/>
            <rFont val="돋움"/>
            <family val="3"/>
            <charset val="129"/>
          </rPr>
          <t>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심윤송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결제
</t>
        </r>
        <r>
          <rPr>
            <sz val="9"/>
            <color indexed="81"/>
            <rFont val="Tahoma"/>
            <family val="2"/>
          </rPr>
          <t xml:space="preserve">$235.00
</t>
        </r>
      </text>
    </comment>
    <comment ref="H145" authorId="0" shapeId="0" xr:uid="{3C104D11-1EFB-4C54-8230-2FA515B29D9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2/28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3/14
</t>
        </r>
      </text>
    </comment>
    <comment ref="F146" authorId="2" shapeId="0" xr:uid="{D9E2D292-4339-4B98-9525-DB174D901B82}">
      <text>
        <r>
          <rPr>
            <b/>
            <sz val="9"/>
            <color indexed="81"/>
            <rFont val="돋움"/>
            <family val="3"/>
            <charset val="129"/>
          </rPr>
          <t>지윤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Tahoma"/>
            <family val="2"/>
          </rPr>
          <t>2,596.60
+ 75.00 Inland Freight
+ 40.00 Banking fee</t>
        </r>
      </text>
    </comment>
    <comment ref="F147" authorId="2" shapeId="0" xr:uid="{78F12194-F8EC-485D-ADBC-7EE4149208B1}">
      <text>
        <r>
          <rPr>
            <b/>
            <sz val="9"/>
            <color indexed="81"/>
            <rFont val="돋움"/>
            <family val="3"/>
            <charset val="129"/>
          </rPr>
          <t>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아시아조선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선적
</t>
        </r>
        <r>
          <rPr>
            <sz val="9"/>
            <color indexed="81"/>
            <rFont val="Tahoma"/>
            <family val="2"/>
          </rPr>
          <t xml:space="preserve">Banking fee $40
Inland Freight $30
</t>
        </r>
      </text>
    </comment>
    <comment ref="F151" authorId="2" shapeId="0" xr:uid="{052D6975-CD99-4F7D-AE4C-3961572C4D74}">
      <text>
        <r>
          <rPr>
            <b/>
            <sz val="9"/>
            <color indexed="81"/>
            <rFont val="돋움"/>
            <family val="3"/>
            <charset val="129"/>
          </rPr>
          <t>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제조사에서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무료로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보내줌</t>
        </r>
      </text>
    </comment>
    <comment ref="F156" authorId="0" shapeId="0" xr:uid="{94E3FE7D-A75B-4D99-8A48-E392E1473E8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128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; 47
</t>
        </r>
        <r>
          <rPr>
            <sz val="9"/>
            <color indexed="81"/>
            <rFont val="돋움"/>
            <family val="3"/>
            <charset val="129"/>
          </rPr>
          <t>무인실증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157" authorId="0" shapeId="0" xr:uid="{2562E0EC-D512-40A0-B4FC-51A952F134A4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35.49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; 28
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158" authorId="0" shapeId="0" xr:uid="{BACFCBB0-6B5C-477C-90F1-CBA798E6BFDF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2,205.78 USD
</t>
        </r>
        <r>
          <rPr>
            <sz val="9"/>
            <color indexed="81"/>
            <rFont val="돋움"/>
            <family val="3"/>
            <charset val="129"/>
          </rPr>
          <t>신용카드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160" authorId="2" shapeId="0" xr:uid="{1F97E744-2240-409B-B95B-8AF915BE3A84}">
      <text>
        <r>
          <rPr>
            <b/>
            <sz val="9"/>
            <color indexed="81"/>
            <rFont val="돋움"/>
            <family val="3"/>
            <charset val="129"/>
          </rPr>
          <t>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$395.00 + shipping UPS $57.87</t>
        </r>
      </text>
    </comment>
    <comment ref="F161" authorId="0" shapeId="0" xr:uid="{BCAF6B9C-C7C7-4A10-808F-45CA9494A473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4,460.00
Banking fee ; 40</t>
        </r>
      </text>
    </comment>
    <comment ref="F162" authorId="0" shapeId="0" xr:uid="{1C66495B-66BE-40D2-90E7-E85F6F9E0ABC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727 USD 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  <comment ref="F163" authorId="0" shapeId="0" xr:uid="{BA03F913-81AB-4142-9FA4-E2BE90E1AB2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545.60 USD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  <comment ref="F164" authorId="0" shapeId="0" xr:uid="{38D2E102-C4AF-4C0D-AE4C-0837ED0F41AD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900 USD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  <comment ref="F167" authorId="0" shapeId="0" xr:uid="{7851C53E-CDF3-4933-97B5-8F7024B45FEA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7,935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; 94.72</t>
        </r>
      </text>
    </comment>
    <comment ref="F168" authorId="0" shapeId="0" xr:uid="{5C3E5F56-9AD5-4917-A812-D0D2A51EE043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635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535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100 USD </t>
        </r>
        <r>
          <rPr>
            <sz val="9"/>
            <color indexed="81"/>
            <rFont val="돋움"/>
            <family val="3"/>
            <charset val="129"/>
          </rPr>
          <t>빠짐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오션테크</t>
        </r>
        <r>
          <rPr>
            <sz val="9"/>
            <color indexed="81"/>
            <rFont val="Tahoma"/>
            <family val="2"/>
          </rPr>
          <t xml:space="preserve"> DHL </t>
        </r>
        <r>
          <rPr>
            <sz val="9"/>
            <color indexed="81"/>
            <rFont val="돋움"/>
            <family val="3"/>
            <charset val="129"/>
          </rPr>
          <t>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</t>
        </r>
      </text>
    </comment>
    <comment ref="F171" authorId="3" shapeId="0" xr:uid="{8129A1BE-61FB-4F15-A91D-5646BBD1E3AD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$14,036.94
</t>
        </r>
      </text>
    </comment>
    <comment ref="F172" authorId="0" shapeId="0" xr:uid="{6E6A7AA5-FAA5-401E-AFC7-352F4ACAC70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2,087
Banking fee ; 40
Inland freight ; 35</t>
        </r>
      </text>
    </comment>
    <comment ref="F179" authorId="0" shapeId="0" xr:uid="{58C73F10-BA63-43D9-A80B-6D43B40A02AA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530
Banking fee ; 40
Inland Freight ; 30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; 36.12</t>
        </r>
      </text>
    </comment>
    <comment ref="F180" authorId="2" shapeId="0" xr:uid="{AA9E6448-60CC-446E-9EED-CF23FF33C49B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3,153.28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: 3,300.20
3,260.20 + 40(Banking fee) + 50(Inland Freight)
</t>
        </r>
      </text>
    </comment>
    <comment ref="F184" authorId="0" shapeId="0" xr:uid="{2CE042F5-4886-4076-87A3-4605B9F6C908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181.50 USD 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  <comment ref="F185" authorId="0" shapeId="0" xr:uid="{F5305187-C2A3-49CA-A7F1-4FD30024805B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12,250 USD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결제
</t>
        </r>
      </text>
    </comment>
    <comment ref="H186" authorId="0" shapeId="0" xr:uid="{2E051B13-194C-4BED-8D30-0276FD88F79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3/10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</text>
    </comment>
    <comment ref="F195" authorId="2" shapeId="0" xr:uid="{9538D59D-96EA-4971-84DD-7AFFF24DD076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7400.10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>: 7445.10
2025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F197" authorId="2" shapeId="0" xr:uid="{5C3217FB-9068-4660-AB6C-329C80B624F8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 xml:space="preserve">PC:
</t>
        </r>
        <r>
          <rPr>
            <sz val="9"/>
            <color indexed="81"/>
            <rFont val="Tahoma"/>
            <family val="2"/>
          </rPr>
          <t xml:space="preserve">Shipping and Handling fee $885.96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F200" authorId="3" shapeId="0" xr:uid="{6E527AD1-D64C-4305-BB51-7693EC367E08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459.36</t>
        </r>
      </text>
    </comment>
    <comment ref="F205" authorId="3" shapeId="0" xr:uid="{7005B1BA-D10D-4268-BF6B-8940E0A8AF53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06" authorId="0" shapeId="0" xr:uid="{125157E8-E6F0-47C6-90CA-D2996551C563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134,510
24/11/01 PO </t>
        </r>
        <r>
          <rPr>
            <sz val="9"/>
            <color indexed="81"/>
            <rFont val="돋움"/>
            <family val="3"/>
            <charset val="129"/>
          </rPr>
          <t>수정됨
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131,510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20% : 26,902.00
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: 104,608.00</t>
        </r>
      </text>
    </comment>
    <comment ref="H206" authorId="0" shapeId="0" xr:uid="{7E7D0639-B0DC-499A-BE50-2E48CE164AB9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25/02/01 </t>
        </r>
        <r>
          <rPr>
            <sz val="9"/>
            <color indexed="81"/>
            <rFont val="돋움"/>
            <family val="3"/>
            <charset val="129"/>
          </rPr>
          <t>메일</t>
        </r>
        <r>
          <rPr>
            <sz val="9"/>
            <color indexed="81"/>
            <rFont val="Tahoma"/>
            <family val="2"/>
          </rPr>
          <t xml:space="preserve"> ; 
2/22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알려주겠다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지금으로서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알려줄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선적일은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빠르면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중순을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</t>
        </r>
      </text>
    </comment>
    <comment ref="F207" authorId="0" shapeId="0" xr:uid="{0B084462-8A10-4ECD-A4E0-F9A4B8EB5F34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2,273.84
Banking fee ; 40
</t>
        </r>
      </text>
    </comment>
    <comment ref="F208" authorId="0" shapeId="0" xr:uid="{6A2FC610-9751-4381-910A-EE65C436461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194.28 USD 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  <comment ref="H209" authorId="2" shapeId="0" xr:uid="{A0E77A5C-778D-459B-8431-E280650C50D6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2/28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: 3/7
</t>
        </r>
      </text>
    </comment>
    <comment ref="F212" authorId="0" shapeId="0" xr:uid="{38E479C9-9E0D-49E0-82D8-F265C229EA1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2,381.84
banking fee ; 40</t>
        </r>
      </text>
    </comment>
    <comment ref="F215" authorId="0" shapeId="0" xr:uid="{278D2C66-0B59-42AD-847B-467EEB27076D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714.90
banking fee ; 40</t>
        </r>
      </text>
    </comment>
    <comment ref="F218" authorId="3" shapeId="0" xr:uid="{28F1B2B3-E2C4-40D5-BD35-ED99A753B929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$290.00</t>
        </r>
      </text>
    </comment>
    <comment ref="F219" authorId="0" shapeId="0" xr:uid="{BBACE36D-00F6-4F96-84A0-C0369A799BE3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74.58 USD 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220" authorId="0" shapeId="0" xr:uid="{A73C3D52-89E0-4AB4-8E7A-023801B62F75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319.97 USD
</t>
        </r>
        <r>
          <rPr>
            <sz val="9"/>
            <color indexed="81"/>
            <rFont val="돋움"/>
            <family val="3"/>
            <charset val="129"/>
          </rPr>
          <t>연구과제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221" authorId="0" shapeId="0" xr:uid="{2948532D-93BA-4D53-AAEA-0ACD79849F2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481.70 USD
</t>
        </r>
        <r>
          <rPr>
            <sz val="9"/>
            <color indexed="81"/>
            <rFont val="돋움"/>
            <family val="3"/>
            <charset val="129"/>
          </rPr>
          <t>연구과제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222" authorId="0" shapeId="0" xr:uid="{3AC3B90E-7D4D-43D9-B4B2-7786EFA39B0E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96.90 USD
</t>
        </r>
        <r>
          <rPr>
            <sz val="9"/>
            <color indexed="81"/>
            <rFont val="돋움"/>
            <family val="3"/>
            <charset val="129"/>
          </rPr>
          <t>연구과제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223" authorId="0" shapeId="0" xr:uid="{33C3C53F-6CB9-4F52-A03C-F9A6F2B323DD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568.46 USD
</t>
        </r>
        <r>
          <rPr>
            <sz val="9"/>
            <color indexed="81"/>
            <rFont val="돋움"/>
            <family val="3"/>
            <charset val="129"/>
          </rPr>
          <t>연구과제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224" authorId="0" shapeId="0" xr:uid="{8000420E-404E-465F-888F-970D1F591C25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131.60 USD
</t>
        </r>
        <r>
          <rPr>
            <sz val="9"/>
            <color indexed="81"/>
            <rFont val="돋움"/>
            <family val="3"/>
            <charset val="129"/>
          </rPr>
          <t>연구과제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225" authorId="0" shapeId="0" xr:uid="{2EBFF72E-034B-4EC1-A44B-735A3F2C432E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111,734.25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; 33,520.28
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70% ; 78,213.97
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작성비용</t>
        </r>
        <r>
          <rPr>
            <sz val="9"/>
            <color indexed="81"/>
            <rFont val="Tahoma"/>
            <family val="2"/>
          </rPr>
          <t xml:space="preserve"> ; 325 USD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112,059.25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남은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78,538.97</t>
        </r>
      </text>
    </comment>
    <comment ref="F226" authorId="0" shapeId="0" xr:uid="{02344961-8B14-47AA-B5E4-041E8C2761F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1,793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1,919.40
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개에서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관세와</t>
        </r>
        <r>
          <rPr>
            <sz val="9"/>
            <color indexed="81"/>
            <rFont val="Tahoma"/>
            <family val="2"/>
          </rPr>
          <t xml:space="preserve"> Banking fee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F227" authorId="2" shapeId="0" xr:uid="{546BD23D-E5D1-463C-AD10-24EFBB497918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501.00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: 1,742.00
</t>
        </r>
        <r>
          <rPr>
            <sz val="9"/>
            <color indexed="81"/>
            <rFont val="돋움"/>
            <family val="3"/>
            <charset val="129"/>
          </rPr>
          <t>오션재고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커넥터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발주
</t>
        </r>
      </text>
    </comment>
    <comment ref="G227" authorId="2" shapeId="0" xr:uid="{D90629B3-8D1D-4901-81F6-ACEE492E0725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5/23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: 5/27
</t>
        </r>
      </text>
    </comment>
    <comment ref="F229" authorId="2" shapeId="0" xr:uid="{AA4E54C6-D476-4987-BAF9-DCCE38E10522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127.50 + </t>
        </r>
        <r>
          <rPr>
            <sz val="9"/>
            <color indexed="81"/>
            <rFont val="돋움"/>
            <family val="3"/>
            <charset val="129"/>
          </rPr>
          <t>은행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30</t>
        </r>
      </text>
    </comment>
    <comment ref="F230" authorId="0" shapeId="0" xr:uid="{1F877732-D889-4028-8E5C-2DF11240CFB4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510
wire fee ; 30</t>
        </r>
      </text>
    </comment>
    <comment ref="J231" authorId="0" shapeId="0" xr:uid="{6A6CF075-4453-4115-9127-D6117F663DBA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도착한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박스만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통관</t>
        </r>
        <r>
          <rPr>
            <sz val="9"/>
            <color indexed="81"/>
            <rFont val="Tahoma"/>
            <family val="2"/>
          </rPr>
          <t xml:space="preserve"> - 2025/07/04</t>
        </r>
      </text>
    </comment>
    <comment ref="J232" authorId="0" shapeId="0" xr:uid="{9B915D81-8335-472D-BCB5-B13D1D15B35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도착한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박스만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통관</t>
        </r>
        <r>
          <rPr>
            <sz val="9"/>
            <color indexed="81"/>
            <rFont val="Tahoma"/>
            <family val="2"/>
          </rPr>
          <t xml:space="preserve"> - 2025/07/04</t>
        </r>
      </text>
    </comment>
    <comment ref="B233" authorId="3" shapeId="0" xr:uid="{36F4E5A8-2CBA-45FB-82DC-100D140C444E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히스토리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-
</t>
        </r>
        <r>
          <rPr>
            <sz val="9"/>
            <color indexed="81"/>
            <rFont val="돋움"/>
            <family val="3"/>
            <charset val="129"/>
          </rPr>
          <t>홍아름과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F237" authorId="2" shapeId="0" xr:uid="{5603F774-D9D6-4F2B-82AE-643F2923B0DF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1865.98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: 1866.65
</t>
        </r>
        <r>
          <rPr>
            <sz val="9"/>
            <color indexed="81"/>
            <rFont val="돋움"/>
            <family val="3"/>
            <charset val="129"/>
          </rPr>
          <t>운송비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F238" authorId="2" shapeId="0" xr:uid="{2F7A0A25-1B24-49C1-98DD-25494D4CBB12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: 1187.79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: 1349.76
</t>
        </r>
        <r>
          <rPr>
            <sz val="9"/>
            <color indexed="81"/>
            <rFont val="돋움"/>
            <family val="3"/>
            <charset val="129"/>
          </rPr>
          <t>단순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통신비에는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미적용</t>
        </r>
      </text>
    </comment>
    <comment ref="F239" authorId="0" shapeId="0" xr:uid="{9E21D7FD-3BEF-4CF5-BBB6-12D4CCFF359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1,006
banking fee ; 40</t>
        </r>
      </text>
    </comment>
    <comment ref="F240" authorId="0" shapeId="0" xr:uid="{BC9AAC2B-BC22-4AFB-A86D-77AC488641D8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1,603.18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  <comment ref="F246" authorId="2" shapeId="0" xr:uid="{C6E2C5B5-F0EC-4CEC-9846-0F42F67218CC}">
      <text>
        <r>
          <rPr>
            <b/>
            <sz val="9"/>
            <color indexed="81"/>
            <rFont val="돋움"/>
            <family val="3"/>
            <charset val="129"/>
          </rPr>
          <t>$3,906.00</t>
        </r>
      </text>
    </comment>
    <comment ref="F247" authorId="2" shapeId="0" xr:uid="{C16B999B-9147-4FC5-B0AD-1423D1B41FC9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  <r>
          <rPr>
            <sz val="9"/>
            <color indexed="81"/>
            <rFont val="Tahoma"/>
            <family val="2"/>
          </rPr>
          <t xml:space="preserve">USD 82.20
</t>
        </r>
      </text>
    </comment>
    <comment ref="F253" authorId="2" shapeId="0" xr:uid="{97FF66B2-968B-4A10-BC2F-170D0DAB8CFD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황원욱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개인카드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  <r>
          <rPr>
            <sz val="9"/>
            <color indexed="81"/>
            <rFont val="Tahoma"/>
            <family val="2"/>
          </rPr>
          <t>USD 445.39</t>
        </r>
      </text>
    </comment>
    <comment ref="F260" authorId="0" shapeId="0" xr:uid="{E005247E-AB2D-467C-A2CE-8406B15257B6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400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; 61.25</t>
        </r>
      </text>
    </comment>
    <comment ref="F261" authorId="0" shapeId="0" xr:uid="{2EA37B6E-BA62-4D08-A180-70706624CBC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16,308
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21,744</t>
        </r>
      </text>
    </comment>
    <comment ref="H261" authorId="0" shapeId="0" xr:uid="{C2DACF55-D48D-431C-A2CD-419C771DA226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7/15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7/18</t>
        </r>
      </text>
    </comment>
    <comment ref="H269" authorId="0" shapeId="0" xr:uid="{FDEB70EE-EF31-4960-9D6F-91292A4B500B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7/17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8/12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7/28</t>
        </r>
      </text>
    </comment>
    <comment ref="F271" authorId="0" shapeId="0" xr:uid="{64605974-FA2E-4819-A387-5D0F9E17351E}">
      <text>
        <r>
          <rPr>
            <b/>
            <sz val="9"/>
            <color indexed="81"/>
            <rFont val="Tahoma"/>
            <family val="2"/>
          </rPr>
          <t xml:space="preserve">ocean: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: 183.75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; 140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; 35
</t>
        </r>
        <r>
          <rPr>
            <sz val="9"/>
            <color indexed="81"/>
            <rFont val="돋움"/>
            <family val="3"/>
            <charset val="129"/>
          </rPr>
          <t>페이팔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; 8.75</t>
        </r>
      </text>
    </comment>
    <comment ref="F272" authorId="0" shapeId="0" xr:uid="{FC678164-B85C-438D-BC2A-A53F2D5E9A74}">
      <text>
        <r>
          <rPr>
            <b/>
            <sz val="9"/>
            <color indexed="81"/>
            <rFont val="Tahoma"/>
            <family val="2"/>
          </rPr>
          <t xml:space="preserve">ocean: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; 208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169
</t>
        </r>
        <r>
          <rPr>
            <sz val="9"/>
            <color indexed="81"/>
            <rFont val="돋움"/>
            <family val="3"/>
            <charset val="129"/>
          </rPr>
          <t>페이팔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; 10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; 29</t>
        </r>
      </text>
    </comment>
    <comment ref="F276" authorId="0" shapeId="0" xr:uid="{EE04F844-FEBE-4C9D-8F4B-AD5DD98593E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139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; 43.92</t>
        </r>
      </text>
    </comment>
    <comment ref="F277" authorId="0" shapeId="0" xr:uid="{85B3A862-A870-4D5E-A320-6AE9FB02A069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180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; 48.20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; 228.20</t>
        </r>
      </text>
    </comment>
    <comment ref="H279" authorId="0" shapeId="0" xr:uid="{BBACB242-2284-47B7-982F-55F4BB8D3B2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7/30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8/30
</t>
        </r>
      </text>
    </comment>
    <comment ref="F284" authorId="2" shapeId="0" xr:uid="{D7932E07-9AF1-4370-995C-FE0A7E1FC7F7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$51.20
</t>
        </r>
        <r>
          <rPr>
            <sz val="9"/>
            <color indexed="81"/>
            <rFont val="돋움"/>
            <family val="3"/>
            <charset val="129"/>
          </rPr>
          <t>심윤송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결제완료</t>
        </r>
      </text>
    </comment>
    <comment ref="F290" authorId="0" shapeId="0" xr:uid="{2D39425A-F001-4DC6-83A4-1ED40F92B498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351.84USD 
</t>
        </r>
        <r>
          <rPr>
            <sz val="9"/>
            <color indexed="81"/>
            <rFont val="돋움"/>
            <family val="3"/>
            <charset val="129"/>
          </rPr>
          <t>심부장님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294" authorId="0" shapeId="0" xr:uid="{90C3C399-13AC-4E07-A99B-02D8EC694D1B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; 501 USD
</t>
        </r>
        <r>
          <rPr>
            <sz val="9"/>
            <color indexed="81"/>
            <rFont val="돋움"/>
            <family val="3"/>
            <charset val="129"/>
          </rPr>
          <t xml:space="preserve">카드결제
</t>
        </r>
      </text>
    </comment>
    <comment ref="F295" authorId="0" shapeId="0" xr:uid="{0851CA14-87C0-462D-95A0-ED237E22DF33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1,111
Banking fee ; 40</t>
        </r>
      </text>
    </comment>
    <comment ref="H297" authorId="0" shapeId="0" xr:uid="{59FC63F2-0EC9-4B28-B641-3536A39666BD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9/5 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</t>
        </r>
        <r>
          <rPr>
            <sz val="9"/>
            <color indexed="81"/>
            <rFont val="돋움"/>
            <family val="3"/>
            <charset val="129"/>
          </rPr>
          <t>대략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말쯤
</t>
        </r>
      </text>
    </comment>
    <comment ref="F298" authorId="3" shapeId="0" xr:uid="{97A818E7-E8F9-45C7-8CD7-C23A4F3B5A7A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6,601.00</t>
        </r>
      </text>
    </comment>
    <comment ref="F299" authorId="0" shapeId="0" xr:uid="{4258E802-FFAF-422E-8F68-4FABAF4C6325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53.76 USD
</t>
        </r>
      </text>
    </comment>
    <comment ref="F300" authorId="0" shapeId="0" xr:uid="{362D4B8A-19C9-4166-B336-116905E42A9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61.04 USD</t>
        </r>
      </text>
    </comment>
    <comment ref="F310" authorId="3" shapeId="0" xr:uid="{54453769-02A9-4438-9E10-F81F599663DF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1,395.00
</t>
        </r>
      </text>
    </comment>
    <comment ref="F311" authorId="0" shapeId="0" xr:uid="{D93F253A-C9A7-450E-B968-A633413F58D8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92,168.05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92,198.05
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; 30 </t>
        </r>
        <r>
          <rPr>
            <sz val="9"/>
            <color indexed="81"/>
            <rFont val="돋움"/>
            <family val="3"/>
            <charset val="129"/>
          </rPr>
          <t>포함됨</t>
        </r>
      </text>
    </comment>
    <comment ref="F320" authorId="3" shapeId="0" xr:uid="{FAAC9C7F-53EC-4B90-9A24-5129341708E2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발주총액</t>
        </r>
        <r>
          <rPr>
            <sz val="9"/>
            <color indexed="81"/>
            <rFont val="Tahoma"/>
            <family val="2"/>
          </rPr>
          <t xml:space="preserve"> : $110,000.08
*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총액</t>
        </r>
        <r>
          <rPr>
            <sz val="9"/>
            <color indexed="81"/>
            <rFont val="Tahoma"/>
            <family val="2"/>
          </rPr>
          <t xml:space="preserve"> : $110,332.58
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잔액</t>
        </r>
        <r>
          <rPr>
            <sz val="9"/>
            <color indexed="81"/>
            <rFont val="Tahoma"/>
            <family val="2"/>
          </rPr>
          <t xml:space="preserve"> : $88,000.08
</t>
        </r>
        <r>
          <rPr>
            <sz val="9"/>
            <color indexed="81"/>
            <rFont val="돋움"/>
            <family val="3"/>
            <charset val="129"/>
          </rPr>
          <t>변경후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잔액</t>
        </r>
        <r>
          <rPr>
            <sz val="9"/>
            <color indexed="81"/>
            <rFont val="Tahoma"/>
            <family val="2"/>
          </rPr>
          <t xml:space="preserve"> : $88,332.58
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변경으로</t>
        </r>
        <r>
          <rPr>
            <sz val="9"/>
            <color indexed="81"/>
            <rFont val="Tahoma"/>
            <family val="2"/>
          </rPr>
          <t xml:space="preserve"> $332.5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되었음</t>
        </r>
      </text>
    </comment>
    <comment ref="H320" authorId="0" shapeId="0" xr:uid="{F380F010-14DC-436F-AD95-4AEF0B6DC13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9/30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중순</t>
        </r>
        <r>
          <rPr>
            <sz val="9"/>
            <color indexed="81"/>
            <rFont val="Tahoma"/>
            <family val="2"/>
          </rPr>
          <t xml:space="preserve">,,?
</t>
        </r>
      </text>
    </comment>
    <comment ref="F325" authorId="0" shapeId="0" xr:uid="{4E3F9FA1-AD50-4456-BA08-D683F6541D8A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7,339.27</t>
        </r>
      </text>
    </comment>
    <comment ref="F326" authorId="2" shapeId="0" xr:uid="{6AF16A29-7DF5-42EA-BBEE-2175391B43A0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$880.86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F327" authorId="5" shapeId="0" xr:uid="{8C90855D-BE37-4D6D-B786-BDFB1C50CBF3}">
      <text>
        <r>
          <rPr>
            <b/>
            <sz val="9"/>
            <color indexed="81"/>
            <rFont val="Tahoma"/>
            <family val="2"/>
          </rPr>
          <t>2312-D002:</t>
        </r>
        <r>
          <rPr>
            <sz val="9"/>
            <color indexed="81"/>
            <rFont val="Tahoma"/>
            <family val="2"/>
          </rPr>
          <t xml:space="preserve">
399.95
1811</t>
        </r>
        <r>
          <rPr>
            <sz val="9"/>
            <color indexed="81"/>
            <rFont val="돋움"/>
            <family val="3"/>
            <charset val="129"/>
          </rPr>
          <t xml:space="preserve">카드결제
</t>
        </r>
        <r>
          <rPr>
            <sz val="9"/>
            <color indexed="81"/>
            <rFont val="Tahoma"/>
            <family val="2"/>
          </rPr>
          <t>886,800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F330" authorId="0" shapeId="0" xr:uid="{E43F5284-86F0-4305-BA57-C691ED33C634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기존금액</t>
        </r>
        <r>
          <rPr>
            <sz val="9"/>
            <color indexed="81"/>
            <rFont val="Tahoma"/>
            <family val="2"/>
          </rPr>
          <t xml:space="preserve"> ; 17,618
</t>
        </r>
        <r>
          <rPr>
            <sz val="9"/>
            <color indexed="81"/>
            <rFont val="돋움"/>
            <family val="3"/>
            <charset val="129"/>
          </rPr>
          <t>변경금액</t>
        </r>
        <r>
          <rPr>
            <sz val="9"/>
            <color indexed="81"/>
            <rFont val="Tahoma"/>
            <family val="2"/>
          </rPr>
          <t xml:space="preserve"> ; 17,124</t>
        </r>
      </text>
    </comment>
    <comment ref="F332" authorId="4" shapeId="0" xr:uid="{EEB8316A-C620-49B7-B948-E06485538F60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395 USD </t>
        </r>
      </text>
    </comment>
    <comment ref="F339" authorId="4" shapeId="0" xr:uid="{204C8188-19AB-4DA5-B929-2CF529187547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Banking fee ; 40
Inland freight ; 146.74</t>
        </r>
      </text>
    </comment>
    <comment ref="F341" authorId="4" shapeId="0" xr:uid="{089C49B7-1017-4B20-9F33-7917F324C858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' 141.61</t>
        </r>
      </text>
    </comment>
    <comment ref="F345" authorId="0" shapeId="0" xr:uid="{B9DB503B-7112-40CF-A529-651FD2EDE299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List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커미션으로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F348" authorId="0" shapeId="0" xr:uid="{ABA6F092-EA91-4512-B0D2-D66153327FBD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251,992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40% ; 100,796.80
</t>
        </r>
        <r>
          <rPr>
            <sz val="9"/>
            <color indexed="81"/>
            <rFont val="돋움"/>
            <family val="3"/>
            <charset val="129"/>
          </rPr>
          <t>선적전</t>
        </r>
        <r>
          <rPr>
            <sz val="9"/>
            <color indexed="81"/>
            <rFont val="Tahoma"/>
            <family val="2"/>
          </rPr>
          <t xml:space="preserve"> 45% ; 113,396.40
SAT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15% ; 37,798.80</t>
        </r>
      </text>
    </comment>
    <comment ref="H348" authorId="0" shapeId="0" xr:uid="{81E49353-7180-4A49-91D2-A675643904B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SAT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
모팀장님이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방문시</t>
        </r>
        <r>
          <rPr>
            <sz val="9"/>
            <color indexed="81"/>
            <rFont val="Tahoma"/>
            <family val="2"/>
          </rPr>
          <t xml:space="preserve">  SAT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</text>
    </comment>
    <comment ref="H349" authorId="4" shapeId="0" xr:uid="{AAA4A9AF-259C-4C26-BB6E-565423302F91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12/11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12/19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1/9
</t>
        </r>
      </text>
    </comment>
    <comment ref="D352" authorId="2" shapeId="0" xr:uid="{D69B125F-D868-4647-8424-9A4C6AE5DB29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지오뷰</t>
        </r>
        <r>
          <rPr>
            <sz val="9"/>
            <color indexed="81"/>
            <rFont val="Tahoma"/>
            <family val="2"/>
          </rPr>
          <t xml:space="preserve"> EMA 4</t>
        </r>
        <r>
          <rPr>
            <sz val="9"/>
            <color indexed="81"/>
            <rFont val="돋움"/>
            <family val="3"/>
            <charset val="129"/>
          </rPr>
          <t xml:space="preserve">건
</t>
        </r>
        <r>
          <rPr>
            <sz val="9"/>
            <color indexed="81"/>
            <rFont val="Tahoma"/>
            <family val="2"/>
          </rPr>
          <t xml:space="preserve">+ </t>
        </r>
        <r>
          <rPr>
            <sz val="9"/>
            <color indexed="81"/>
            <rFont val="돋움"/>
            <family val="3"/>
            <charset val="129"/>
          </rPr>
          <t>조사원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온바다호</t>
        </r>
        <r>
          <rPr>
            <sz val="9"/>
            <color indexed="81"/>
            <rFont val="Tahoma"/>
            <family val="2"/>
          </rPr>
          <t xml:space="preserve"> EMA 1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서비스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F353" authorId="3" shapeId="0" xr:uid="{5D323F46-3C58-4C84-931F-960AABF4D790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$3,699.80</t>
        </r>
      </text>
    </comment>
    <comment ref="F354" authorId="3" shapeId="0" xr:uid="{633F28C5-9ABB-4795-B975-08B9EF84FC2A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574.90</t>
        </r>
      </text>
    </comment>
    <comment ref="F355" authorId="4" shapeId="0" xr:uid="{D24AAD48-942A-48DD-9E71-7ABEE984AB89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12,057.26</t>
        </r>
      </text>
    </comment>
    <comment ref="F357" authorId="4" shapeId="0" xr:uid="{53955AC1-A79D-4684-AB42-23575E3D511A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895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; 20.8
</t>
        </r>
      </text>
    </comment>
    <comment ref="F364" authorId="0" shapeId="0" xr:uid="{3FCB4577-71F0-4E27-851B-3D4EF8B0B57F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448,808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; 224,404
</t>
        </r>
        <r>
          <rPr>
            <sz val="9"/>
            <color indexed="81"/>
            <rFont val="돋움"/>
            <family val="3"/>
            <charset val="129"/>
          </rPr>
          <t>선적전</t>
        </r>
        <r>
          <rPr>
            <sz val="9"/>
            <color indexed="81"/>
            <rFont val="Tahoma"/>
            <family val="2"/>
          </rPr>
          <t xml:space="preserve"> 30% ; 134,642.00
SAT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20% ; 89,762
5/19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송금하기로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10% ; 44,881</t>
        </r>
      </text>
    </comment>
    <comment ref="F365" authorId="3" shapeId="0" xr:uid="{9A919AC2-19BB-43AF-AFB4-5CD8BE6B3BA7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$3,789.90</t>
        </r>
      </text>
    </comment>
    <comment ref="F366" authorId="4" shapeId="0" xr:uid="{15895E7F-509F-4934-9AA3-34A7DBCF1CE2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; 114.43
</t>
        </r>
      </text>
    </comment>
    <comment ref="F367" authorId="4" shapeId="0" xr:uid="{3D85080B-2BE5-4003-B411-4FB8CF57A388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352.80 USD</t>
        </r>
      </text>
    </comment>
    <comment ref="F368" authorId="4" shapeId="0" xr:uid="{46EE5277-FB2C-4150-A2DE-579FB3A839D4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banking fee ; 40</t>
        </r>
      </text>
    </comment>
    <comment ref="F370" authorId="3" shapeId="0" xr:uid="{70A644A1-8DB0-4769-A1F9-AC54EC2D5FD9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$320.00
</t>
        </r>
        <r>
          <rPr>
            <sz val="9"/>
            <color indexed="81"/>
            <rFont val="돋움"/>
            <family val="3"/>
            <charset val="129"/>
          </rPr>
          <t>관리부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결제
</t>
        </r>
      </text>
    </comment>
    <comment ref="H372" authorId="4" shapeId="0" xr:uid="{F7D13540-21D8-427D-9F0C-7C24AD173D28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선저일</t>
        </r>
        <r>
          <rPr>
            <sz val="9"/>
            <color indexed="81"/>
            <rFont val="Tahoma"/>
            <family val="2"/>
          </rPr>
          <t xml:space="preserve"> ; 1/29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2/10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2/20
</t>
        </r>
      </text>
    </comment>
    <comment ref="F377" authorId="6" shapeId="0" xr:uid="{6C158F28-6BAB-42DF-8BBC-4F5C07BA43DC}">
      <text>
        <r>
          <rPr>
            <sz val="11"/>
            <rFont val="돋움"/>
            <family val="3"/>
            <charset val="129"/>
          </rPr>
          <t>현 지윤:
변경 전: 2308.50
변경 후: 1154.25</t>
        </r>
      </text>
    </comment>
    <comment ref="F408" authorId="0" shapeId="0" xr:uid="{074AD34A-1EF7-4013-97B4-A4D8728B39F6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992,628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연구비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카드결제
</t>
        </r>
      </text>
    </comment>
    <comment ref="F409" authorId="0" shapeId="0" xr:uid="{9DFAF271-0AC1-4DE9-BCB4-81CCB542C4EB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62,672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410" authorId="0" shapeId="0" xr:uid="{A5596D0A-924C-4103-97FE-ADF6233056D8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85,445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F412" authorId="2" shapeId="0" xr:uid="{9DAD9641-60FA-41D6-987D-DF48DEAB276C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카드결제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>(2808)
\506,399</t>
        </r>
      </text>
    </comment>
    <comment ref="F413" authorId="4" shapeId="0" xr:uid="{45B3A2BB-8D7D-4A9C-AFB7-667DE3A299D7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70,962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</text>
    </comment>
    <comment ref="D417" authorId="0" shapeId="0" xr:uid="{65BF61E6-4865-40E2-98DF-311DEAE34C3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조사원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F418" authorId="3" shapeId="0" xr:uid="{2522D4EF-57AE-4F53-A0E4-0CB055330F93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GBP 2,822.00</t>
        </r>
      </text>
    </comment>
    <comment ref="F420" authorId="3" shapeId="0" xr:uid="{E406DF39-6154-4E74-A2A5-586E18AAF7CB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5,680.00</t>
        </r>
      </text>
    </comment>
    <comment ref="F426" authorId="0" shapeId="0" xr:uid="{E0F3489C-50E3-4297-9721-B8E9860DA349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17,496
</t>
        </r>
        <r>
          <rPr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 ; 542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; 18,038</t>
        </r>
      </text>
    </comment>
    <comment ref="F427" authorId="3" shapeId="0" xr:uid="{F989D269-BB7E-4C44-9C1A-52037012EF73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9,867.00
</t>
        </r>
      </text>
    </comment>
    <comment ref="H427" authorId="4" shapeId="0" xr:uid="{CA7783EC-4D95-450E-A590-E9D119CBA174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12/18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2026-01-26</t>
        </r>
      </text>
    </comment>
    <comment ref="F450" authorId="0" shapeId="0" xr:uid="{F1672230-296B-4033-A73D-710BB09D0264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물품금액</t>
        </r>
        <r>
          <rPr>
            <sz val="9"/>
            <color indexed="81"/>
            <rFont val="Tahoma"/>
            <family val="2"/>
          </rPr>
          <t xml:space="preserve"> ; 15,443.58
</t>
        </r>
        <r>
          <rPr>
            <sz val="9"/>
            <color indexed="81"/>
            <rFont val="돋움"/>
            <family val="3"/>
            <charset val="129"/>
          </rPr>
          <t xml:space="preserve">법인카드결제
</t>
        </r>
      </text>
    </comment>
    <comment ref="F451" authorId="0" shapeId="0" xr:uid="{763891C8-A9A2-421C-AF14-0CF3F5E59049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539.40 HKD
</t>
        </r>
      </text>
    </comment>
    <comment ref="F460" authorId="0" shapeId="0" xr:uid="{67970A91-706C-444A-BE54-02E0FEE1B9AE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51,930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지사에서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</text>
    </comment>
    <comment ref="F462" authorId="2" shapeId="0" xr:uid="{DC6C1ADA-2B7F-4D5E-8B5E-51FA6D62C704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119,841</t>
        </r>
        <r>
          <rPr>
            <sz val="9"/>
            <color indexed="81"/>
            <rFont val="돋움"/>
            <family val="3"/>
            <charset val="129"/>
          </rPr>
          <t>원
개인카드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  <comment ref="F463" authorId="0" shapeId="0" xr:uid="{1ED5AC26-D730-487C-9D50-33550B3582A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86,616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  <comment ref="F464" authorId="0" shapeId="0" xr:uid="{B4C02002-0A82-433C-AF1A-6145F8C51404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71,346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</t>
        </r>
      </text>
    </comment>
  </commentList>
</comments>
</file>

<file path=xl/sharedStrings.xml><?xml version="1.0" encoding="utf-8"?>
<sst xmlns="http://schemas.openxmlformats.org/spreadsheetml/2006/main" count="5433" uniqueCount="2258">
  <si>
    <t xml:space="preserve"> </t>
    <phoneticPr fontId="0" type="Hiragana"/>
  </si>
  <si>
    <t>선적예정</t>
    <phoneticPr fontId="0" type="Hiragana"/>
  </si>
  <si>
    <t>통관</t>
    <phoneticPr fontId="0" type="Hiragana"/>
  </si>
  <si>
    <t>입고</t>
    <phoneticPr fontId="0" type="Hiragana"/>
  </si>
  <si>
    <t>입고위치</t>
    <phoneticPr fontId="0" type="Hiragana"/>
  </si>
  <si>
    <t>연구비계정에서 지출</t>
    <phoneticPr fontId="0" type="Hiragana"/>
  </si>
  <si>
    <t>s</t>
    <phoneticPr fontId="0" type="Hiragana"/>
  </si>
  <si>
    <t>차주 송금예정</t>
    <phoneticPr fontId="0" type="Hiragana"/>
  </si>
  <si>
    <t>선적일 체크요청</t>
    <phoneticPr fontId="0" type="Hiragana"/>
  </si>
  <si>
    <t>선적일 지남/확인필요</t>
    <phoneticPr fontId="0" type="Hiragana"/>
  </si>
  <si>
    <t>선적일 다가옴</t>
    <phoneticPr fontId="0" type="Hiragana"/>
  </si>
  <si>
    <t>금주 송금예정</t>
    <phoneticPr fontId="0" type="Hiragana"/>
  </si>
  <si>
    <t>차주 선적예정</t>
    <phoneticPr fontId="0" type="Hiragana"/>
  </si>
  <si>
    <t>금주선적예정</t>
    <phoneticPr fontId="0" type="Hiragana"/>
  </si>
  <si>
    <t>정보입력요망</t>
    <phoneticPr fontId="0" type="Hiragana"/>
  </si>
  <si>
    <t>담당자</t>
    <phoneticPr fontId="0" type="Hiragana"/>
  </si>
  <si>
    <t>체크요망!!</t>
    <phoneticPr fontId="0" type="Hiragana"/>
  </si>
  <si>
    <t>송금대기중</t>
    <phoneticPr fontId="0" type="Hiragana"/>
  </si>
  <si>
    <t>계약#</t>
    <phoneticPr fontId="0" type="Hiragana"/>
  </si>
  <si>
    <t>거래처</t>
    <phoneticPr fontId="0" type="Hiragana"/>
  </si>
  <si>
    <t>제작사</t>
    <phoneticPr fontId="0" type="Hiragana"/>
  </si>
  <si>
    <t>품목</t>
    <phoneticPr fontId="0" type="Hiragana"/>
  </si>
  <si>
    <t>통화</t>
    <phoneticPr fontId="0" type="Hiragana"/>
  </si>
  <si>
    <t>발주금액</t>
    <phoneticPr fontId="0" type="Hiragana"/>
  </si>
  <si>
    <t>발주일</t>
    <phoneticPr fontId="0" type="Hiragana"/>
  </si>
  <si>
    <t>선적일</t>
    <phoneticPr fontId="0" type="Hiragana"/>
  </si>
  <si>
    <t>발주담당자</t>
    <phoneticPr fontId="0" type="Hiragana"/>
  </si>
  <si>
    <t>invoice #</t>
    <phoneticPr fontId="0" type="Hiragana"/>
  </si>
  <si>
    <t>due date</t>
    <phoneticPr fontId="0" type="Hiragana"/>
  </si>
  <si>
    <t>OA#</t>
    <phoneticPr fontId="0" type="Hiragana"/>
  </si>
  <si>
    <t>통관담당</t>
    <phoneticPr fontId="0" type="Hiragana"/>
  </si>
  <si>
    <t>비고</t>
    <phoneticPr fontId="0" type="Hiragana"/>
  </si>
  <si>
    <t>EUR</t>
    <phoneticPr fontId="0" type="Hiragana"/>
  </si>
  <si>
    <t>EU</t>
    <phoneticPr fontId="0" type="Hiragana"/>
  </si>
  <si>
    <t>#24-257</t>
    <phoneticPr fontId="0" type="Hiragana"/>
  </si>
  <si>
    <t>엔이비</t>
    <phoneticPr fontId="0" type="Hiragana"/>
  </si>
  <si>
    <t>Idronaut</t>
    <phoneticPr fontId="0" type="Hiragana"/>
  </si>
  <si>
    <t>OS OEM Modules</t>
    <phoneticPr fontId="0" type="Hiragana"/>
  </si>
  <si>
    <t>본사</t>
    <phoneticPr fontId="0" type="Hiragana"/>
  </si>
  <si>
    <t>현지윤</t>
    <phoneticPr fontId="0" type="Hiragana"/>
  </si>
  <si>
    <t>fatt-185-24</t>
    <phoneticPr fontId="0" type="Hiragana"/>
  </si>
  <si>
    <t>2024-11-22
송금불가</t>
    <phoneticPr fontId="0" type="Hiragana"/>
  </si>
  <si>
    <t>#25-274</t>
    <phoneticPr fontId="0" type="Hiragana"/>
  </si>
  <si>
    <t>KIOST</t>
    <phoneticPr fontId="0" type="Hiragana"/>
  </si>
  <si>
    <t>DeRegt</t>
    <phoneticPr fontId="0" type="Hiragana"/>
  </si>
  <si>
    <t>Umbilical cable</t>
    <phoneticPr fontId="0" type="Hiragana"/>
  </si>
  <si>
    <t>4/5 
입고 예상</t>
  </si>
  <si>
    <t>오원진</t>
    <phoneticPr fontId="0" type="Hiragana"/>
  </si>
  <si>
    <t>09968 (선금 30%),
10121 (잔금 70%)</t>
    <phoneticPr fontId="0" type="Hiragana"/>
  </si>
  <si>
    <t>선금30% 완료
잔금70% 완료</t>
    <phoneticPr fontId="0" type="Hiragana"/>
  </si>
  <si>
    <r>
      <rPr>
        <b/>
        <sz val="10"/>
        <rFont val="맑은 고딕"/>
        <family val="3"/>
        <charset val="129"/>
      </rPr>
      <t xml:space="preserve">레누스, 삼정 해상 진행
</t>
    </r>
    <r>
      <rPr>
        <sz val="10"/>
        <rFont val="맑은 고딕"/>
        <family val="3"/>
        <charset val="129"/>
      </rPr>
      <t>25/10/13 30%선송금 완료(EUR23,349.70)
26/3/10 잔금송금완료(EUR54,249.30)</t>
    </r>
    <phoneticPr fontId="0" type="Hiragana"/>
  </si>
  <si>
    <t>#25-431</t>
    <phoneticPr fontId="0" type="Hiragana"/>
  </si>
  <si>
    <t>고려조선</t>
    <phoneticPr fontId="0" type="Hiragana"/>
  </si>
  <si>
    <t>Reson</t>
    <phoneticPr fontId="0" type="Hiragana"/>
  </si>
  <si>
    <t>T51-R</t>
    <phoneticPr fontId="0" type="Hiragana"/>
  </si>
  <si>
    <t>현지윤2</t>
    <phoneticPr fontId="0" type="Hiragana"/>
  </si>
  <si>
    <t>CD2670100335</t>
  </si>
  <si>
    <t>협의중</t>
  </si>
  <si>
    <t>OPP-37971</t>
    <phoneticPr fontId="0" type="Hiragana"/>
  </si>
  <si>
    <t>#25-426</t>
    <phoneticPr fontId="0" type="Hiragana"/>
  </si>
  <si>
    <t>Exail</t>
    <phoneticPr fontId="0" type="Hiragana"/>
  </si>
  <si>
    <t>R7 ROV</t>
    <phoneticPr fontId="0" type="Hiragana"/>
  </si>
  <si>
    <t>FFA002148 (선금 30%)</t>
    <phoneticPr fontId="0" type="Hiragana"/>
  </si>
  <si>
    <t>30%선송금완료</t>
    <phoneticPr fontId="0" type="Hiragana"/>
  </si>
  <si>
    <t>OV00017026-1</t>
    <phoneticPr fontId="0" type="Hiragana"/>
  </si>
  <si>
    <t>26/1/14 선송금30%완료(EUR46,800.00)</t>
    <phoneticPr fontId="0" type="Hiragana"/>
  </si>
  <si>
    <t>#26-52</t>
    <phoneticPr fontId="0" type="Hiragana"/>
  </si>
  <si>
    <t>SIG</t>
    <phoneticPr fontId="0" type="Hiragana"/>
  </si>
  <si>
    <t>Reverspark 2000</t>
    <phoneticPr fontId="0" type="Hiragana"/>
  </si>
  <si>
    <t>본사</t>
  </si>
  <si>
    <t>13MA26</t>
  </si>
  <si>
    <t>한성, 삼정 진행</t>
  </si>
  <si>
    <t>오션테크 재고</t>
    <phoneticPr fontId="0" type="Hiragana"/>
  </si>
  <si>
    <t>Nautilus</t>
    <phoneticPr fontId="0" type="Hiragana"/>
  </si>
  <si>
    <t>VITROVEX floatation sphere 48식</t>
    <phoneticPr fontId="0" type="Hiragana"/>
  </si>
  <si>
    <t>4월 중순</t>
    <phoneticPr fontId="0" type="Hiragana"/>
  </si>
  <si>
    <t>#26-66</t>
  </si>
  <si>
    <t>경원산업</t>
  </si>
  <si>
    <t>Reson</t>
  </si>
  <si>
    <t>TC4034-1</t>
  </si>
  <si>
    <t>EUR</t>
  </si>
  <si>
    <t>최소주문 금액 미달로 홀딩중</t>
  </si>
  <si>
    <t>오원진</t>
  </si>
  <si>
    <t>#26-49</t>
  </si>
  <si>
    <t>KHOA</t>
  </si>
  <si>
    <t>T50-R</t>
    <phoneticPr fontId="0" type="Hiragana"/>
  </si>
  <si>
    <t>현지윤2</t>
  </si>
  <si>
    <t>CD2670100281</t>
  </si>
  <si>
    <t>OPP-39656</t>
  </si>
  <si>
    <t>#26-71</t>
  </si>
  <si>
    <t>KIOST</t>
  </si>
  <si>
    <t>EIVA</t>
  </si>
  <si>
    <t>QuickStitch</t>
  </si>
  <si>
    <t>현지윤</t>
    <phoneticPr fontId="33" type="Hiragana"/>
  </si>
  <si>
    <t>#26-79</t>
  </si>
  <si>
    <t>Oktopus</t>
  </si>
  <si>
    <t>TV-Grab 배터리</t>
  </si>
  <si>
    <t>이학용</t>
  </si>
  <si>
    <t>#25-410</t>
  </si>
  <si>
    <t>볼시스</t>
  </si>
  <si>
    <t>AADI</t>
  </si>
  <si>
    <t>Turbidity sensor</t>
    <phoneticPr fontId="0" type="Hiragana"/>
  </si>
  <si>
    <t>N2611024</t>
  </si>
  <si>
    <t>#26-47</t>
  </si>
  <si>
    <t>KHOA, 오재</t>
  </si>
  <si>
    <t>CT5819 2식, CT 1m 케이블 6식</t>
  </si>
  <si>
    <t>현지윤</t>
  </si>
  <si>
    <t>N2612015</t>
  </si>
  <si>
    <t>#26-</t>
  </si>
  <si>
    <t>KIGAM</t>
  </si>
  <si>
    <t>Kley</t>
  </si>
  <si>
    <t>Piston wire rope socket</t>
  </si>
  <si>
    <t>15113(30%),
15114(70%)</t>
  </si>
  <si>
    <t>3/30,
4/24</t>
  </si>
  <si>
    <t>한국수자원공사</t>
  </si>
  <si>
    <t>Calibration for DCS4830 SN310</t>
  </si>
  <si>
    <t>#26-10</t>
  </si>
  <si>
    <t>KOPRI(제2쇄빙선)</t>
  </si>
  <si>
    <t>50meters Calypso piston corer</t>
  </si>
  <si>
    <t>강성화</t>
  </si>
  <si>
    <t>#26-106</t>
  </si>
  <si>
    <t>MIT</t>
  </si>
  <si>
    <t>SIG</t>
  </si>
  <si>
    <t>ELP790 2식</t>
  </si>
  <si>
    <t>GBP</t>
    <phoneticPr fontId="0" type="Hiragana"/>
  </si>
  <si>
    <t>GB</t>
    <phoneticPr fontId="0" type="Hiragana"/>
  </si>
  <si>
    <t>W</t>
    <phoneticPr fontId="0" type="Hiragana"/>
  </si>
  <si>
    <t>#26-4</t>
  </si>
  <si>
    <t>고려조선</t>
  </si>
  <si>
    <t>Gill</t>
  </si>
  <si>
    <t>GMX501</t>
  </si>
  <si>
    <t>GBP</t>
  </si>
  <si>
    <t>USD</t>
    <phoneticPr fontId="0" type="Hiragana"/>
  </si>
  <si>
    <t>US</t>
    <phoneticPr fontId="0" type="Hiragana"/>
  </si>
  <si>
    <t>오션데모</t>
    <phoneticPr fontId="0" type="Hiragana"/>
  </si>
  <si>
    <t>Lanhe</t>
    <phoneticPr fontId="0" type="Hiragana"/>
  </si>
  <si>
    <t>Depth test system</t>
    <phoneticPr fontId="0" type="Hiragana"/>
  </si>
  <si>
    <t>4월초</t>
  </si>
  <si>
    <t>M25-911</t>
    <phoneticPr fontId="0" type="Hiragana"/>
  </si>
  <si>
    <t>선금 30% 완료</t>
    <phoneticPr fontId="0" type="Hiragana"/>
  </si>
  <si>
    <r>
      <t xml:space="preserve">유니코 진행 예정
 </t>
    </r>
    <r>
      <rPr>
        <sz val="10"/>
        <rFont val="맑은 고딕"/>
        <family val="3"/>
        <charset val="129"/>
      </rPr>
      <t>25/08/05 30% 선송금완료($20,250.00)</t>
    </r>
    <phoneticPr fontId="0" type="Hiragana"/>
  </si>
  <si>
    <t>#25-309</t>
    <phoneticPr fontId="0" type="Hiragana"/>
  </si>
  <si>
    <t>아이오테크</t>
    <phoneticPr fontId="0" type="Hiragana"/>
  </si>
  <si>
    <t>Caris</t>
    <phoneticPr fontId="0" type="Hiragana"/>
  </si>
  <si>
    <t>HIPS and SIPS Upgrade</t>
    <phoneticPr fontId="0" type="Hiragana"/>
  </si>
  <si>
    <t>4월 출시 예정</t>
  </si>
  <si>
    <t>이학용</t>
    <phoneticPr fontId="0" type="Hiragana"/>
  </si>
  <si>
    <t>Depth test system에 포함된 Control system</t>
    <phoneticPr fontId="0" type="Hiragana"/>
  </si>
  <si>
    <t>M25-924</t>
    <phoneticPr fontId="0" type="Hiragana"/>
  </si>
  <si>
    <t>#25-395</t>
    <phoneticPr fontId="0" type="Hiragana"/>
  </si>
  <si>
    <t>대양전기공업</t>
    <phoneticPr fontId="0" type="Hiragana"/>
  </si>
  <si>
    <t>Benthos</t>
    <phoneticPr fontId="0" type="Hiragana"/>
  </si>
  <si>
    <t>ATM916 8식, ATM903 2식, DAT-916 1식</t>
    <phoneticPr fontId="0" type="Hiragana"/>
  </si>
  <si>
    <t>CD2623100527</t>
  </si>
  <si>
    <t>R175222</t>
    <phoneticPr fontId="0" type="Hiragana"/>
  </si>
  <si>
    <t>키멕스, 삼정 진행</t>
  </si>
  <si>
    <t>#25-387</t>
    <phoneticPr fontId="0" type="Hiragana"/>
  </si>
  <si>
    <t>KMT</t>
    <phoneticPr fontId="0" type="Hiragana"/>
  </si>
  <si>
    <t>RJE</t>
    <phoneticPr fontId="0" type="Hiragana"/>
  </si>
  <si>
    <t>ULB-362C/37 12식</t>
    <phoneticPr fontId="0" type="Hiragana"/>
  </si>
  <si>
    <t>21694</t>
  </si>
  <si>
    <t>ULB-350/27 9식, ULB-350/PRG 1식, PRS-275 1식</t>
    <phoneticPr fontId="0" type="Hiragana"/>
  </si>
  <si>
    <t>지사</t>
  </si>
  <si>
    <t>21697</t>
  </si>
  <si>
    <t>#25-388</t>
    <phoneticPr fontId="0" type="Hiragana"/>
  </si>
  <si>
    <t>KIGAM</t>
    <phoneticPr fontId="0" type="Hiragana"/>
  </si>
  <si>
    <t>ZLS</t>
    <phoneticPr fontId="0" type="Hiragana"/>
  </si>
  <si>
    <t>Dynamic Meter Standard Cleaning and Service</t>
    <phoneticPr fontId="0" type="Hiragana"/>
  </si>
  <si>
    <t>I26030201</t>
  </si>
  <si>
    <t>#26-78</t>
  </si>
  <si>
    <t>Webb Research</t>
    <phoneticPr fontId="0" type="Hiragana"/>
  </si>
  <si>
    <t>Repair for APEX float #9988</t>
    <phoneticPr fontId="0" type="Hiragana"/>
  </si>
  <si>
    <t>CD2623100425</t>
  </si>
  <si>
    <t>R176407</t>
  </si>
  <si>
    <t>#26-12</t>
    <phoneticPr fontId="0" type="Hiragana"/>
  </si>
  <si>
    <t>KOPRI(제2쇄빙선)</t>
    <phoneticPr fontId="0" type="Hiragana"/>
  </si>
  <si>
    <t>해상중력계 1식</t>
    <phoneticPr fontId="0" type="Hiragana"/>
  </si>
  <si>
    <t>2027-05-31</t>
    <phoneticPr fontId="0" type="Hiragana"/>
  </si>
  <si>
    <t>CI26031901</t>
  </si>
  <si>
    <t>선금 30%</t>
  </si>
  <si>
    <t>오션재고</t>
    <phoneticPr fontId="0" type="Hiragana"/>
  </si>
  <si>
    <t>JW Fishers</t>
    <phoneticPr fontId="0" type="Hiragana"/>
  </si>
  <si>
    <t>다이버건 2식</t>
    <phoneticPr fontId="0" type="Hiragana"/>
  </si>
  <si>
    <t>29485</t>
  </si>
  <si>
    <t>Repair for APEX float #10001</t>
    <phoneticPr fontId="0" type="Hiragana"/>
  </si>
  <si>
    <t>CD2623100422</t>
  </si>
  <si>
    <t>R177808</t>
  </si>
  <si>
    <t>#26-41</t>
    <phoneticPr fontId="0" type="Hiragana"/>
  </si>
  <si>
    <t>퓨어넥스</t>
    <phoneticPr fontId="0" type="Hiragana"/>
  </si>
  <si>
    <t>Deepsea</t>
    <phoneticPr fontId="0" type="Hiragana"/>
  </si>
  <si>
    <t>LSL-2000 2 식</t>
    <phoneticPr fontId="0" type="Hiragana"/>
  </si>
  <si>
    <t>황유진</t>
    <phoneticPr fontId="0" type="Hiragana"/>
  </si>
  <si>
    <t>SI374134</t>
  </si>
  <si>
    <t>SO357774</t>
    <phoneticPr fontId="0" type="Hiragana"/>
  </si>
  <si>
    <t>#26-56</t>
    <phoneticPr fontId="0" type="Hiragana"/>
  </si>
  <si>
    <t>Metocean</t>
    <phoneticPr fontId="0" type="Hiragana"/>
  </si>
  <si>
    <t>ST-400B 2식</t>
    <phoneticPr fontId="0" type="Hiragana"/>
  </si>
  <si>
    <t>ORD0021389</t>
    <phoneticPr fontId="0" type="Hiragana"/>
  </si>
  <si>
    <t>조사협회</t>
  </si>
  <si>
    <t>CT5819 6식</t>
  </si>
  <si>
    <t>USD</t>
  </si>
  <si>
    <t>S2609004</t>
  </si>
  <si>
    <t>#26-53</t>
  </si>
  <si>
    <t>Miros</t>
  </si>
  <si>
    <t>SM-050 1식</t>
  </si>
  <si>
    <t>000164</t>
  </si>
  <si>
    <t>#26-74</t>
  </si>
  <si>
    <t>UST21</t>
  </si>
  <si>
    <t>Caris</t>
  </si>
  <si>
    <t>Base Editor Desktop upgrade</t>
    <phoneticPr fontId="0" type="Hiragana"/>
  </si>
  <si>
    <t>90239313</t>
  </si>
  <si>
    <t>100710</t>
  </si>
  <si>
    <t xml:space="preserve">#26-85, </t>
  </si>
  <si>
    <t>Sercel</t>
  </si>
  <si>
    <t>GI Gun/GI-Source spare parts</t>
    <phoneticPr fontId="0" type="Hiragana"/>
  </si>
  <si>
    <t>김재엽</t>
  </si>
  <si>
    <t>90049376</t>
  </si>
  <si>
    <t>45542</t>
  </si>
  <si>
    <t>Klein</t>
  </si>
  <si>
    <t>5900 System Configuration Upgrade</t>
  </si>
  <si>
    <t>APEX shipping box</t>
    <phoneticPr fontId="0" type="Hiragana"/>
  </si>
  <si>
    <t>오션재고</t>
  </si>
  <si>
    <t>JW Fishers</t>
  </si>
  <si>
    <t>MFT-1 20식</t>
  </si>
  <si>
    <t>#26-88</t>
  </si>
  <si>
    <t>HIPS and SIPS Professional</t>
    <phoneticPr fontId="0" type="Hiragana"/>
  </si>
  <si>
    <t>90240739</t>
  </si>
  <si>
    <t>101092</t>
  </si>
  <si>
    <t>#26-91</t>
  </si>
  <si>
    <t>KIOST, 오재</t>
  </si>
  <si>
    <t>Benthos</t>
  </si>
  <si>
    <t>R500 2식</t>
  </si>
  <si>
    <t>R178205</t>
  </si>
  <si>
    <t>#26-77</t>
  </si>
  <si>
    <t>지오뷰</t>
  </si>
  <si>
    <t>Oceaneering</t>
  </si>
  <si>
    <t>Atlas H10 보정신호 서비스 R330</t>
  </si>
  <si>
    <t>선적없음</t>
  </si>
  <si>
    <t>R0041-00000145</t>
  </si>
  <si>
    <t>Mooring Systems</t>
  </si>
  <si>
    <t>Pop-up buoy for R500</t>
  </si>
  <si>
    <t>#26-65</t>
  </si>
  <si>
    <t>Ismart</t>
  </si>
  <si>
    <t>DGNSS 12식</t>
  </si>
  <si>
    <t>한종민</t>
  </si>
  <si>
    <t>JKR2608292003</t>
  </si>
  <si>
    <t>선송금완료</t>
    <phoneticPr fontId="0" type="Hiragana"/>
  </si>
  <si>
    <t>26/3/24 선송금완료</t>
    <phoneticPr fontId="0" type="Hiragana"/>
  </si>
  <si>
    <t>Gavia</t>
  </si>
  <si>
    <t>Tower tall</t>
    <phoneticPr fontId="0" type="Hiragana"/>
  </si>
  <si>
    <t>CD2680100028</t>
  </si>
  <si>
    <t>#26-97</t>
  </si>
  <si>
    <t>KRISO</t>
  </si>
  <si>
    <t>Sofar Ocean</t>
  </si>
  <si>
    <t>Smart Mooring DCS + Spotter</t>
  </si>
  <si>
    <t>#26-96</t>
  </si>
  <si>
    <t>Atlas H10 보정신호 서비스 R330 076</t>
  </si>
  <si>
    <t>R0041-00000146</t>
  </si>
  <si>
    <t xml:space="preserve">C-Nav 보정신호 2건 </t>
  </si>
  <si>
    <t>#26-104</t>
  </si>
  <si>
    <t>Zebra</t>
  </si>
  <si>
    <t>Hydro wiper 4식</t>
  </si>
  <si>
    <t>10578</t>
  </si>
  <si>
    <t>CAD</t>
    <phoneticPr fontId="0" type="Hiragana"/>
  </si>
  <si>
    <t>Open Ocean Robotics</t>
    <phoneticPr fontId="0" type="Hiragana"/>
  </si>
  <si>
    <t>DataXplorer</t>
    <phoneticPr fontId="0" type="Hiragana"/>
  </si>
  <si>
    <t>1059-01(30%),
1059-02(40%)</t>
  </si>
  <si>
    <t>유니코, 삼정 해상 진행 
2025/05/16 30%선송금 완료(CAD54,789.18)
2026/03/25 40%선송금 완료(CAD73,052.24)</t>
    <phoneticPr fontId="0" type="Hiragana"/>
  </si>
  <si>
    <t>종합</t>
    <phoneticPr fontId="0" type="Hiragana"/>
  </si>
  <si>
    <t>** 발주금액 **</t>
    <phoneticPr fontId="0" type="Hiragana"/>
  </si>
  <si>
    <t>통장잔고</t>
    <phoneticPr fontId="0" type="Hiragana"/>
  </si>
  <si>
    <t>추가필요금액</t>
    <phoneticPr fontId="0" type="Hiragana"/>
  </si>
  <si>
    <t>HN</t>
    <phoneticPr fontId="0" type="Hiragana"/>
  </si>
  <si>
    <t>없음</t>
    <phoneticPr fontId="0" type="Hiragana"/>
  </si>
  <si>
    <t>통화종류</t>
    <phoneticPr fontId="0" type="Hiragana"/>
  </si>
  <si>
    <t xml:space="preserve">                                                                                                                                                                                       </t>
    <phoneticPr fontId="0" type="Hiragana"/>
  </si>
  <si>
    <t>AUD</t>
    <phoneticPr fontId="0" type="Hiragana"/>
  </si>
  <si>
    <t>SGD</t>
    <phoneticPr fontId="0" type="Hiragana"/>
  </si>
  <si>
    <t>NOK</t>
    <phoneticPr fontId="0" type="Hiragana"/>
  </si>
  <si>
    <t>CNY</t>
    <phoneticPr fontId="0" type="Hiragana"/>
  </si>
  <si>
    <t>WON</t>
    <phoneticPr fontId="0" type="Hiragana"/>
  </si>
  <si>
    <t>NZD</t>
    <phoneticPr fontId="0" type="Hiragana"/>
  </si>
  <si>
    <t>CA</t>
    <phoneticPr fontId="0" type="Hiragana"/>
  </si>
  <si>
    <t>AU</t>
    <phoneticPr fontId="0" type="Hiragana"/>
  </si>
  <si>
    <t>CN</t>
    <phoneticPr fontId="0" type="Hiragana"/>
  </si>
  <si>
    <t>SG</t>
    <phoneticPr fontId="0" type="Hiragana"/>
  </si>
  <si>
    <t>NO</t>
    <phoneticPr fontId="0" type="Hiragana"/>
  </si>
  <si>
    <t>KRW</t>
    <phoneticPr fontId="0" type="Hiragana"/>
  </si>
  <si>
    <t>KR</t>
    <phoneticPr fontId="0" type="Hiragana"/>
  </si>
  <si>
    <t xml:space="preserve">                   </t>
    <phoneticPr fontId="0" type="Hiragana"/>
  </si>
  <si>
    <t>6/08 (월)</t>
    <phoneticPr fontId="0" type="Hiragana"/>
  </si>
  <si>
    <t xml:space="preserve"> 품목</t>
    <phoneticPr fontId="0" type="Hiragana"/>
  </si>
  <si>
    <t>통관금액</t>
    <phoneticPr fontId="0" type="Hiragana"/>
  </si>
  <si>
    <t>한국해양조사협회</t>
    <phoneticPr fontId="1" type="noConversion"/>
  </si>
  <si>
    <t>VISALA</t>
    <phoneticPr fontId="1" type="noConversion"/>
  </si>
  <si>
    <t xml:space="preserve"> HMP155 s/n G3040009 </t>
    <phoneticPr fontId="1" type="noConversion"/>
  </si>
  <si>
    <t>EUR</t>
    <phoneticPr fontId="1" type="noConversion"/>
  </si>
  <si>
    <t>본사</t>
    <phoneticPr fontId="1" type="noConversion"/>
  </si>
  <si>
    <t>이학용</t>
    <phoneticPr fontId="1" type="noConversion"/>
  </si>
  <si>
    <t>오원진</t>
    <phoneticPr fontId="1" type="noConversion"/>
  </si>
  <si>
    <t>수리불가로 수리 없이 반입</t>
    <phoneticPr fontId="1" type="noConversion"/>
  </si>
  <si>
    <t>국토해양환경기술단</t>
    <phoneticPr fontId="1" type="noConversion"/>
  </si>
  <si>
    <t>IDRONAUT</t>
    <phoneticPr fontId="1" type="noConversion"/>
  </si>
  <si>
    <t>CTD (sn. 0420783)</t>
    <phoneticPr fontId="1" type="noConversion"/>
  </si>
  <si>
    <t>무상 수리 후 재반입</t>
    <phoneticPr fontId="1" type="noConversion"/>
  </si>
  <si>
    <t>서울대</t>
    <phoneticPr fontId="1" type="noConversion"/>
  </si>
  <si>
    <t>SARL Technicap</t>
    <phoneticPr fontId="1" type="noConversion"/>
  </si>
  <si>
    <t>Alcaline Battery</t>
    <phoneticPr fontId="1" type="noConversion"/>
  </si>
  <si>
    <t>무상 샘플</t>
    <phoneticPr fontId="1" type="noConversion"/>
  </si>
  <si>
    <t>KIOST(이사부호)</t>
    <phoneticPr fontId="1" type="noConversion"/>
  </si>
  <si>
    <t>Cox</t>
    <phoneticPr fontId="1" type="noConversion"/>
  </si>
  <si>
    <t>stainless steel Fitting for Itrax</t>
    <phoneticPr fontId="1" type="noConversion"/>
  </si>
  <si>
    <t>군산대</t>
    <phoneticPr fontId="1" type="noConversion"/>
  </si>
  <si>
    <t>Trilux</t>
    <phoneticPr fontId="1" type="noConversion"/>
  </si>
  <si>
    <t>12월에 새로 산 Trilux 값이 안좋아서 제조사에서 무상으로 보냄</t>
    <phoneticPr fontId="1" type="noConversion"/>
  </si>
  <si>
    <t>오션데모</t>
    <phoneticPr fontId="1" type="noConversion"/>
  </si>
  <si>
    <t>Sommer(Vanguard)</t>
    <phoneticPr fontId="1" type="noConversion"/>
  </si>
  <si>
    <t>RQ-30</t>
    <phoneticPr fontId="1" type="noConversion"/>
  </si>
  <si>
    <t>2달간 데모로 대여 - 2달 뒤 다시 반출할 예정 (샘플통관)</t>
    <phoneticPr fontId="1" type="noConversion"/>
  </si>
  <si>
    <t>KIOST(이사부)</t>
    <phoneticPr fontId="0" type="Hiragana"/>
  </si>
  <si>
    <t>Cox</t>
    <phoneticPr fontId="0" type="Hiragana"/>
  </si>
  <si>
    <t>Stainless steel Fitting for Itrax</t>
    <phoneticPr fontId="0" type="Hiragana"/>
  </si>
  <si>
    <t>목록 통관, 제조사에서 무상으로 제공해줌(송금하라는 알림이 없었음)</t>
    <phoneticPr fontId="1" type="noConversion"/>
  </si>
  <si>
    <t>2043</t>
    <phoneticPr fontId="0" type="Hiragana"/>
  </si>
  <si>
    <t>제조사에서 따로 송금 하라고 연락오진 않았습니다..</t>
    <phoneticPr fontId="0" type="Hiragana"/>
  </si>
  <si>
    <t>오션재고</t>
    <phoneticPr fontId="1" type="noConversion"/>
  </si>
  <si>
    <t>Optical oxygen caps 5개</t>
    <phoneticPr fontId="1" type="noConversion"/>
  </si>
  <si>
    <t>이기욱</t>
    <phoneticPr fontId="1" type="noConversion"/>
  </si>
  <si>
    <t>무상 샘플이지만 일반 수입건으로 통관함.(금액이 작아서)</t>
    <phoneticPr fontId="1" type="noConversion"/>
  </si>
  <si>
    <t>무상 샘플로 통관</t>
    <phoneticPr fontId="1" type="noConversion"/>
  </si>
  <si>
    <t>지오뷰</t>
    <phoneticPr fontId="1" type="noConversion"/>
  </si>
  <si>
    <t>T.Reson</t>
    <phoneticPr fontId="1" type="noConversion"/>
  </si>
  <si>
    <t>Hydrophone(TC1026) 수리</t>
    <phoneticPr fontId="1" type="noConversion"/>
  </si>
  <si>
    <t>하선종</t>
    <phoneticPr fontId="1" type="noConversion"/>
  </si>
  <si>
    <t>워런티로 무상수리, 워런티 통관</t>
    <phoneticPr fontId="1" type="noConversion"/>
  </si>
  <si>
    <t>KIOST</t>
    <phoneticPr fontId="1" type="noConversion"/>
  </si>
  <si>
    <t>Oktopus</t>
    <phoneticPr fontId="1" type="noConversion"/>
  </si>
  <si>
    <t>TV grab</t>
    <phoneticPr fontId="1" type="noConversion"/>
  </si>
  <si>
    <t>녹산</t>
    <phoneticPr fontId="1" type="noConversion"/>
  </si>
  <si>
    <t>심윤송</t>
    <phoneticPr fontId="1" type="noConversion"/>
  </si>
  <si>
    <t>워런티로 무상수리, 수리비 100로 통관</t>
    <phoneticPr fontId="1" type="noConversion"/>
  </si>
  <si>
    <t>Underwater camera</t>
    <phoneticPr fontId="1" type="noConversion"/>
  </si>
  <si>
    <t>재수출담보조건으로 통관 / 다시 반출할 물품</t>
    <phoneticPr fontId="1" type="noConversion"/>
  </si>
  <si>
    <t>KIGAM</t>
    <phoneticPr fontId="1" type="noConversion"/>
  </si>
  <si>
    <t>Ixblue</t>
    <phoneticPr fontId="1" type="noConversion"/>
  </si>
  <si>
    <t>외자건 케이블 다시 들어옴(입고x)</t>
    <phoneticPr fontId="1" type="noConversion"/>
  </si>
  <si>
    <t>오션테크 연구팀</t>
    <phoneticPr fontId="0" type="Hiragana"/>
  </si>
  <si>
    <t>Electroware</t>
    <phoneticPr fontId="0" type="Hiragana"/>
  </si>
  <si>
    <t>Rslogger 1식</t>
    <phoneticPr fontId="0" type="Hiragana"/>
  </si>
  <si>
    <t>최승표</t>
    <phoneticPr fontId="1" type="noConversion"/>
  </si>
  <si>
    <t>목록 통관 됨</t>
    <phoneticPr fontId="1" type="noConversion"/>
  </si>
  <si>
    <t>cox</t>
    <phoneticPr fontId="1" type="noConversion"/>
  </si>
  <si>
    <t xml:space="preserve">ITRAX 이설 관련하여 필요한 공구 </t>
    <phoneticPr fontId="1" type="noConversion"/>
  </si>
  <si>
    <t>재수출 조건으로 통관 / 다시 반출</t>
    <phoneticPr fontId="1" type="noConversion"/>
  </si>
  <si>
    <t>AAT</t>
    <phoneticPr fontId="1" type="noConversion"/>
  </si>
  <si>
    <t>TC4059 워런티 수리 (SN변경됨)</t>
    <phoneticPr fontId="1" type="noConversion"/>
  </si>
  <si>
    <t>워런티로 무상수리, 수리비 505로 통관</t>
    <phoneticPr fontId="1" type="noConversion"/>
  </si>
  <si>
    <t>한진중공업</t>
    <phoneticPr fontId="1" type="noConversion"/>
  </si>
  <si>
    <t>Sercel</t>
    <phoneticPr fontId="1" type="noConversion"/>
  </si>
  <si>
    <t xml:space="preserve"> Spare cable</t>
    <phoneticPr fontId="1" type="noConversion"/>
  </si>
  <si>
    <t>지사</t>
    <phoneticPr fontId="1" type="noConversion"/>
  </si>
  <si>
    <t>문홍배</t>
    <phoneticPr fontId="1" type="noConversion"/>
  </si>
  <si>
    <t>한진중공업 외자 물품, 무환 통관, 한진에 전달 예정</t>
    <phoneticPr fontId="1" type="noConversion"/>
  </si>
  <si>
    <t>switch box</t>
    <phoneticPr fontId="1" type="noConversion"/>
  </si>
  <si>
    <t xml:space="preserve">무환 통관 </t>
    <phoneticPr fontId="1" type="noConversion"/>
  </si>
  <si>
    <t>RTSYS</t>
    <phoneticPr fontId="1" type="noConversion"/>
  </si>
  <si>
    <t>INSEA 2식</t>
    <phoneticPr fontId="1" type="noConversion"/>
  </si>
  <si>
    <t>수리 후 재반입으로 통관</t>
    <phoneticPr fontId="1" type="noConversion"/>
  </si>
  <si>
    <t>이앤씨기술</t>
    <phoneticPr fontId="1" type="noConversion"/>
  </si>
  <si>
    <t>305CTD (수리 불가)</t>
    <phoneticPr fontId="1" type="noConversion"/>
  </si>
  <si>
    <t>수리 불가로 통관</t>
    <phoneticPr fontId="1" type="noConversion"/>
  </si>
  <si>
    <t>오션테크</t>
    <phoneticPr fontId="0" type="Hiragana"/>
  </si>
  <si>
    <t>Reson</t>
    <phoneticPr fontId="1" type="noConversion"/>
  </si>
  <si>
    <t xml:space="preserve">T50-P 수리 </t>
    <phoneticPr fontId="1" type="noConversion"/>
  </si>
  <si>
    <t>황유진</t>
    <phoneticPr fontId="1" type="noConversion"/>
  </si>
  <si>
    <t>수리 후 재반입으로 통관(워런티 수리)</t>
    <phoneticPr fontId="1" type="noConversion"/>
  </si>
  <si>
    <t>오션테크</t>
    <phoneticPr fontId="1" type="noConversion"/>
  </si>
  <si>
    <t>SIG</t>
    <phoneticPr fontId="1" type="noConversion"/>
  </si>
  <si>
    <t xml:space="preserve">Sparker 400-2000 joules </t>
    <phoneticPr fontId="1" type="noConversion"/>
  </si>
  <si>
    <t>무환 대체품 통관</t>
    <phoneticPr fontId="1" type="noConversion"/>
  </si>
  <si>
    <t>Xilinx Digilent Program Flasher(작업 tool)</t>
    <phoneticPr fontId="1" type="noConversion"/>
  </si>
  <si>
    <t>무환 샘플 통관</t>
    <phoneticPr fontId="1" type="noConversion"/>
  </si>
  <si>
    <t>ELC1050L</t>
    <phoneticPr fontId="1" type="noConversion"/>
  </si>
  <si>
    <t>홍다운</t>
    <phoneticPr fontId="1" type="noConversion"/>
  </si>
  <si>
    <t>하자보수품으로 무환 통관</t>
    <phoneticPr fontId="1" type="noConversion"/>
  </si>
  <si>
    <t>브라켓</t>
    <phoneticPr fontId="1" type="noConversion"/>
  </si>
  <si>
    <t>오션그래픽</t>
    <phoneticPr fontId="1" type="noConversion"/>
  </si>
  <si>
    <t>T50-P projector</t>
    <phoneticPr fontId="1" type="noConversion"/>
  </si>
  <si>
    <t>박정은</t>
    <phoneticPr fontId="1" type="noConversion"/>
  </si>
  <si>
    <t>ADD</t>
    <phoneticPr fontId="1" type="noConversion"/>
  </si>
  <si>
    <t>TC4040 (워런티 대체품)</t>
    <phoneticPr fontId="1" type="noConversion"/>
  </si>
  <si>
    <t>Sylence 보드</t>
    <phoneticPr fontId="1" type="noConversion"/>
  </si>
  <si>
    <t>현지윤</t>
    <phoneticPr fontId="1" type="noConversion"/>
  </si>
  <si>
    <t>#23-359</t>
    <phoneticPr fontId="1" type="noConversion"/>
  </si>
  <si>
    <t>KHOA</t>
    <phoneticPr fontId="1" type="noConversion"/>
  </si>
  <si>
    <t>T50 P 수리</t>
    <phoneticPr fontId="1" type="noConversion"/>
  </si>
  <si>
    <t>신용은</t>
    <phoneticPr fontId="1" type="noConversion"/>
  </si>
  <si>
    <t>실제 워런티, 수리 후 재반입으로 통관</t>
    <phoneticPr fontId="1" type="noConversion"/>
  </si>
  <si>
    <t>#23-352</t>
    <phoneticPr fontId="1" type="noConversion"/>
  </si>
  <si>
    <t>exail</t>
    <phoneticPr fontId="1" type="noConversion"/>
  </si>
  <si>
    <t>Phins 무상 대여</t>
    <phoneticPr fontId="1" type="noConversion"/>
  </si>
  <si>
    <t>이동헌</t>
    <phoneticPr fontId="1" type="noConversion"/>
  </si>
  <si>
    <t>무환 통관</t>
    <phoneticPr fontId="1" type="noConversion"/>
  </si>
  <si>
    <t xml:space="preserve">EDL1020 2식 워런티 수리 </t>
    <phoneticPr fontId="1" type="noConversion"/>
  </si>
  <si>
    <t>RESEA 보드 수리 7식</t>
    <phoneticPr fontId="1" type="noConversion"/>
  </si>
  <si>
    <t>지오시스템리서치</t>
    <phoneticPr fontId="1" type="noConversion"/>
  </si>
  <si>
    <t>MT932S-R(sn. 1120) 수리</t>
    <phoneticPr fontId="1" type="noConversion"/>
  </si>
  <si>
    <t>MIT</t>
    <phoneticPr fontId="1" type="noConversion"/>
  </si>
  <si>
    <t>케이블 50m 2식</t>
    <phoneticPr fontId="1" type="noConversion"/>
  </si>
  <si>
    <t>로마스</t>
    <phoneticPr fontId="1" type="noConversion"/>
  </si>
  <si>
    <t>Franatech</t>
    <phoneticPr fontId="1" type="noConversion"/>
  </si>
  <si>
    <t>Mets sensor sn.2813</t>
    <phoneticPr fontId="1" type="noConversion"/>
  </si>
  <si>
    <t>exail</t>
    <phoneticPr fontId="0" type="Hiragana"/>
  </si>
  <si>
    <t>Seapix 더미 (전시회용)</t>
    <phoneticPr fontId="0" type="Hiragana"/>
  </si>
  <si>
    <t>무환 샘플로 통관</t>
    <phoneticPr fontId="1" type="noConversion"/>
  </si>
  <si>
    <t>HJ중공업</t>
    <phoneticPr fontId="1" type="noConversion"/>
  </si>
  <si>
    <t>대체품</t>
    <phoneticPr fontId="1" type="noConversion"/>
  </si>
  <si>
    <t>로마스인더스트리즈</t>
    <phoneticPr fontId="1" type="noConversion"/>
  </si>
  <si>
    <t>Phins PH-1091 점검 및 수리</t>
    <phoneticPr fontId="1" type="noConversion"/>
  </si>
  <si>
    <t>STX</t>
    <phoneticPr fontId="1" type="noConversion"/>
  </si>
  <si>
    <t>EC6076 1식, TC4032(수리 불가)</t>
    <phoneticPr fontId="1" type="noConversion"/>
  </si>
  <si>
    <t xml:space="preserve"> </t>
    <phoneticPr fontId="1" type="noConversion"/>
  </si>
  <si>
    <t>EC6076은 워런티 교체여서 무환(대체품)으로 통관 / TC4032는 수리불가지만 수리 후 재반입으로 통관</t>
    <phoneticPr fontId="1" type="noConversion"/>
  </si>
  <si>
    <t>대선조선(탐구8호)</t>
    <phoneticPr fontId="1" type="noConversion"/>
  </si>
  <si>
    <t>Seapix (신품 교체)</t>
    <phoneticPr fontId="1" type="noConversion"/>
  </si>
  <si>
    <t>신품 납품했는데 망가져서 워런티 교체</t>
    <phoneticPr fontId="1" type="noConversion"/>
  </si>
  <si>
    <t>Board 3식</t>
    <phoneticPr fontId="1" type="noConversion"/>
  </si>
  <si>
    <t>#24-281</t>
    <phoneticPr fontId="1" type="noConversion"/>
  </si>
  <si>
    <t>UST21</t>
    <phoneticPr fontId="1" type="noConversion"/>
  </si>
  <si>
    <t>T51용 Tx cable 50m</t>
    <phoneticPr fontId="1" type="noConversion"/>
  </si>
  <si>
    <t>누락품이라 무환 통관</t>
    <phoneticPr fontId="1" type="noConversion"/>
  </si>
  <si>
    <t>미래해양</t>
    <phoneticPr fontId="1" type="noConversion"/>
  </si>
  <si>
    <t>T50 수리</t>
    <phoneticPr fontId="1" type="noConversion"/>
  </si>
  <si>
    <t>경원산업</t>
    <phoneticPr fontId="1" type="noConversion"/>
  </si>
  <si>
    <t>EC6081</t>
    <phoneticPr fontId="1" type="noConversion"/>
  </si>
  <si>
    <t>실제 워런티 무환통관</t>
    <phoneticPr fontId="1" type="noConversion"/>
  </si>
  <si>
    <t>사업부</t>
    <phoneticPr fontId="1" type="noConversion"/>
  </si>
  <si>
    <t>Exail</t>
    <phoneticPr fontId="1" type="noConversion"/>
  </si>
  <si>
    <t>Delph subsea positioning software</t>
    <phoneticPr fontId="1" type="noConversion"/>
  </si>
  <si>
    <t>김주연</t>
    <phoneticPr fontId="1" type="noConversion"/>
  </si>
  <si>
    <t>무상 샘플 통관</t>
    <phoneticPr fontId="1" type="noConversion"/>
  </si>
  <si>
    <t>세광종합기술단</t>
    <phoneticPr fontId="1" type="noConversion"/>
  </si>
  <si>
    <t>Sylence(수리), TC4013(대체품)</t>
    <phoneticPr fontId="1" type="noConversion"/>
  </si>
  <si>
    <t>RESEA Board 2식</t>
    <phoneticPr fontId="1" type="noConversion"/>
  </si>
  <si>
    <t>Kley France</t>
    <phoneticPr fontId="1" type="noConversion"/>
  </si>
  <si>
    <t>Sensors PACOME 2식 수리</t>
    <phoneticPr fontId="1" type="noConversion"/>
  </si>
  <si>
    <t xml:space="preserve">전시회 더미 </t>
    <phoneticPr fontId="1" type="noConversion"/>
  </si>
  <si>
    <t>재수출담보 조건으로 통관</t>
    <phoneticPr fontId="1" type="noConversion"/>
  </si>
  <si>
    <t>SSD</t>
    <phoneticPr fontId="1" type="noConversion"/>
  </si>
  <si>
    <t>무환 하자보수품으로 통관</t>
    <phoneticPr fontId="1" type="noConversion"/>
  </si>
  <si>
    <t>Replacement of PSP to RSP</t>
    <phoneticPr fontId="1" type="noConversion"/>
  </si>
  <si>
    <t>워런티, 무환(대체품) 통관</t>
    <phoneticPr fontId="1" type="noConversion"/>
  </si>
  <si>
    <t>Geospectrum hydrophone 3종</t>
    <phoneticPr fontId="1" type="noConversion"/>
  </si>
  <si>
    <t>수리 후 재반입으로 통관 / 점검 갔다옴</t>
    <phoneticPr fontId="1" type="noConversion"/>
  </si>
  <si>
    <t>#25-307</t>
    <phoneticPr fontId="1" type="noConversion"/>
  </si>
  <si>
    <t>T51-R</t>
    <phoneticPr fontId="1" type="noConversion"/>
  </si>
  <si>
    <t>실제 워런티, 수리 후 재반입으로 통관(9월에 수리 후 들어왔지만 문제가 있어 다시 제조사로 재송부 후 받은 건)</t>
    <phoneticPr fontId="1" type="noConversion"/>
  </si>
  <si>
    <t>Protective guard for MT9x2 transponder</t>
    <phoneticPr fontId="1" type="noConversion"/>
  </si>
  <si>
    <t>무환(대체품) 통관</t>
    <phoneticPr fontId="1" type="noConversion"/>
  </si>
  <si>
    <t>#25-338</t>
    <phoneticPr fontId="1" type="noConversion"/>
  </si>
  <si>
    <t>Interface board (수리 없이 제조사 다녀옴)</t>
    <phoneticPr fontId="1" type="noConversion"/>
  </si>
  <si>
    <t>실제 무상 / 수리 후 재반입 통관</t>
    <phoneticPr fontId="1" type="noConversion"/>
  </si>
  <si>
    <t>TC4033-4 대체품(워런티)</t>
    <phoneticPr fontId="1" type="noConversion"/>
  </si>
  <si>
    <t>exail</t>
  </si>
  <si>
    <t>Octan 수리</t>
  </si>
  <si>
    <t>AADI</t>
    <phoneticPr fontId="1" type="noConversion"/>
  </si>
  <si>
    <t>Data logger (S/N 498)</t>
    <phoneticPr fontId="1" type="noConversion"/>
  </si>
  <si>
    <t>NOK</t>
    <phoneticPr fontId="1" type="noConversion"/>
  </si>
  <si>
    <t>CT Sensor (S/N 1377)</t>
    <phoneticPr fontId="1" type="noConversion"/>
  </si>
  <si>
    <t>CT Sensor (S/N 738)</t>
    <phoneticPr fontId="1" type="noConversion"/>
  </si>
  <si>
    <t>MOTUS (S/N 22)</t>
    <phoneticPr fontId="1" type="noConversion"/>
  </si>
  <si>
    <t>소프트웨어 업그레이드 Warranty 로 반입</t>
    <phoneticPr fontId="1" type="noConversion"/>
  </si>
  <si>
    <t>오션위탁재고</t>
    <phoneticPr fontId="1" type="noConversion"/>
  </si>
  <si>
    <t>Optode (S/N 1779)</t>
    <phoneticPr fontId="1" type="noConversion"/>
  </si>
  <si>
    <t>MIROS</t>
    <phoneticPr fontId="1" type="noConversion"/>
  </si>
  <si>
    <t>SM-140</t>
    <phoneticPr fontId="1" type="noConversion"/>
  </si>
  <si>
    <t>호환성 테스트위해 입고 - 다시 반출할 물품</t>
  </si>
  <si>
    <t>GEOTEK</t>
    <phoneticPr fontId="1" type="noConversion"/>
  </si>
  <si>
    <t>Spare parts for Core splitter 누락품</t>
    <phoneticPr fontId="1" type="noConversion"/>
  </si>
  <si>
    <t>GBP</t>
    <phoneticPr fontId="1" type="noConversion"/>
  </si>
  <si>
    <t>Marine Electronics</t>
    <phoneticPr fontId="1" type="noConversion"/>
  </si>
  <si>
    <t>3D Profiling sonar 수리품</t>
    <phoneticPr fontId="1" type="noConversion"/>
  </si>
  <si>
    <t>LRI</t>
    <phoneticPr fontId="1" type="noConversion"/>
  </si>
  <si>
    <t>Umblical cable (sn. 008651, 008494)</t>
    <phoneticPr fontId="1" type="noConversion"/>
  </si>
  <si>
    <t>USD</t>
    <phoneticPr fontId="1" type="noConversion"/>
  </si>
  <si>
    <t>수리불가로 수리없이 반입 (sn. 8651) , 무상샘플 (sn. 8494)</t>
    <phoneticPr fontId="1" type="noConversion"/>
  </si>
  <si>
    <t>JW Fishers</t>
    <phoneticPr fontId="1" type="noConversion"/>
  </si>
  <si>
    <t>MFT-1(S/N 147)</t>
    <phoneticPr fontId="1" type="noConversion"/>
  </si>
  <si>
    <t>워런티로 무상 수리 했는데 통관은 무상 테스트 후 재반입</t>
    <phoneticPr fontId="1" type="noConversion"/>
  </si>
  <si>
    <t>RJE</t>
    <phoneticPr fontId="1" type="noConversion"/>
  </si>
  <si>
    <t>DTI300A</t>
    <phoneticPr fontId="1" type="noConversion"/>
  </si>
  <si>
    <t>이상 없어서 수리 없이 반입(누.1027)</t>
    <phoneticPr fontId="1" type="noConversion"/>
  </si>
  <si>
    <t>Wind Direction Sensor(sn.1864)</t>
    <phoneticPr fontId="1" type="noConversion"/>
  </si>
  <si>
    <t>수리 불가로 수리 없이 반입</t>
    <phoneticPr fontId="1" type="noConversion"/>
  </si>
  <si>
    <t>KIGAM(공기수)</t>
    <phoneticPr fontId="1" type="noConversion"/>
  </si>
  <si>
    <t>GNM</t>
    <phoneticPr fontId="1" type="noConversion"/>
  </si>
  <si>
    <t>Cable Grip Termination 2식</t>
    <phoneticPr fontId="1" type="noConversion"/>
  </si>
  <si>
    <t>송금 안하고, Deposit에서 금액 차감(목록통관으로 반입)</t>
    <phoneticPr fontId="1" type="noConversion"/>
  </si>
  <si>
    <t>ATT-400(sn.1019)</t>
    <phoneticPr fontId="1" type="noConversion"/>
  </si>
  <si>
    <t>오션프론티어</t>
    <phoneticPr fontId="1" type="noConversion"/>
  </si>
  <si>
    <t>DTI300A(sn.1036)</t>
    <phoneticPr fontId="1" type="noConversion"/>
  </si>
  <si>
    <t>Y connector 3개</t>
    <phoneticPr fontId="1" type="noConversion"/>
  </si>
  <si>
    <t>기존 입고된 물품인데, 제조사에서 잘못 보내줘서 다시 받음(샘플 통관)</t>
    <phoneticPr fontId="1" type="noConversion"/>
  </si>
  <si>
    <t>Allmaritim AS</t>
    <phoneticPr fontId="1" type="noConversion"/>
  </si>
  <si>
    <t>브로슈어</t>
    <phoneticPr fontId="1" type="noConversion"/>
  </si>
  <si>
    <t>목록통관으로 입고</t>
    <phoneticPr fontId="1" type="noConversion"/>
  </si>
  <si>
    <t>SIREHNA</t>
    <phoneticPr fontId="1" type="noConversion"/>
  </si>
  <si>
    <t>ZLS</t>
    <phoneticPr fontId="1" type="noConversion"/>
  </si>
  <si>
    <t>Burris Screw Gravity Meter</t>
    <phoneticPr fontId="1" type="noConversion"/>
  </si>
  <si>
    <t>Bridge Board(sn.21181041&gt;46190061)</t>
    <phoneticPr fontId="1" type="noConversion"/>
  </si>
  <si>
    <t>워런티로 무상수리되었는데, FedEx에서 sn 바뀌면 인정안된다고 하여 일반 수입으로 통관</t>
    <phoneticPr fontId="1" type="noConversion"/>
  </si>
  <si>
    <t>KAIST</t>
    <phoneticPr fontId="1" type="noConversion"/>
  </si>
  <si>
    <t>T.Seabotix</t>
    <phoneticPr fontId="1" type="noConversion"/>
  </si>
  <si>
    <t>Connector 3개</t>
    <phoneticPr fontId="1" type="noConversion"/>
  </si>
  <si>
    <t>20년 12월에 구매한 Power cable이 잘못들어와서 제조사에서 무상으로 다시 보냄</t>
    <phoneticPr fontId="1" type="noConversion"/>
  </si>
  <si>
    <t>Umblical cable (sn. 9202&gt;9988)</t>
    <phoneticPr fontId="1" type="noConversion"/>
  </si>
  <si>
    <t>무인팀</t>
    <phoneticPr fontId="1" type="noConversion"/>
  </si>
  <si>
    <t>한국종합환경</t>
    <phoneticPr fontId="1" type="noConversion"/>
  </si>
  <si>
    <t>DHI-1(sn.015) 수리</t>
    <phoneticPr fontId="1" type="noConversion"/>
  </si>
  <si>
    <t>워런티로 무상수리, 통관은 수리 후 재반입</t>
    <phoneticPr fontId="1" type="noConversion"/>
  </si>
  <si>
    <t>베트남ODA</t>
    <phoneticPr fontId="1" type="noConversion"/>
  </si>
  <si>
    <t>Data logger 수리 요청</t>
    <phoneticPr fontId="1" type="noConversion"/>
  </si>
  <si>
    <t xml:space="preserve">무상으로 통관 </t>
    <phoneticPr fontId="1" type="noConversion"/>
  </si>
  <si>
    <t>Umblical cable</t>
    <phoneticPr fontId="1" type="noConversion"/>
  </si>
  <si>
    <t>워런티로 무상, 통관은 수리 후 재반입</t>
    <phoneticPr fontId="1" type="noConversion"/>
  </si>
  <si>
    <t>3-MPU Payload(sn.5950)</t>
    <phoneticPr fontId="1" type="noConversion"/>
  </si>
  <si>
    <t>수리없이 입고</t>
    <phoneticPr fontId="1" type="noConversion"/>
  </si>
  <si>
    <t xml:space="preserve">DTI-300A(sn.1027) </t>
    <phoneticPr fontId="1" type="noConversion"/>
  </si>
  <si>
    <t>KTL</t>
    <phoneticPr fontId="1" type="noConversion"/>
  </si>
  <si>
    <t>Repair for Motus(sn.90)</t>
    <phoneticPr fontId="1" type="noConversion"/>
  </si>
  <si>
    <t>워런티로 무상, 통관은 수리 후 재반입 (부가세 대납?)</t>
    <phoneticPr fontId="1" type="noConversion"/>
  </si>
  <si>
    <t>MarineMagnetics</t>
    <phoneticPr fontId="1" type="noConversion"/>
  </si>
  <si>
    <t>Repair for Explorer(sn.2101470)</t>
    <phoneticPr fontId="1" type="noConversion"/>
  </si>
  <si>
    <t>워런티로 무상수리</t>
    <phoneticPr fontId="1" type="noConversion"/>
  </si>
  <si>
    <t>오션데모</t>
  </si>
  <si>
    <t>Seismic</t>
  </si>
  <si>
    <t>ADCP(8/12에 입고된 SV3 구성품 중 누락되어 DHL로 따로 선적됨)</t>
    <phoneticPr fontId="1" type="noConversion"/>
  </si>
  <si>
    <t>무환 대체품으로 통관 / 송금 x</t>
    <phoneticPr fontId="1" type="noConversion"/>
  </si>
  <si>
    <t>Repair for Explorer(sn.21273)</t>
    <phoneticPr fontId="1" type="noConversion"/>
  </si>
  <si>
    <t>무상수리</t>
    <phoneticPr fontId="1" type="noConversion"/>
  </si>
  <si>
    <t>JHS Co Ltd</t>
    <phoneticPr fontId="1" type="noConversion"/>
  </si>
  <si>
    <t>Watertight connector</t>
    <phoneticPr fontId="1" type="noConversion"/>
  </si>
  <si>
    <t>샘플 통관</t>
    <phoneticPr fontId="1" type="noConversion"/>
  </si>
  <si>
    <t>Umbilical (새제품에 하자 있어서 제조사에서 다시 보내줌)</t>
    <phoneticPr fontId="1" type="noConversion"/>
  </si>
  <si>
    <t>샘플 통관(세금까지 다 LRI에서 내는 조건)</t>
    <phoneticPr fontId="1" type="noConversion"/>
  </si>
  <si>
    <t>T.Benthos</t>
    <phoneticPr fontId="1" type="noConversion"/>
  </si>
  <si>
    <t>카탈로그</t>
    <phoneticPr fontId="1" type="noConversion"/>
  </si>
  <si>
    <t>Umbilical 3식 (무상으로 임대해줌)</t>
    <phoneticPr fontId="1" type="noConversion"/>
  </si>
  <si>
    <t>Data logger, 기상센서들 수리 요청</t>
    <phoneticPr fontId="1" type="noConversion"/>
  </si>
  <si>
    <t>문성주</t>
    <phoneticPr fontId="1" type="noConversion"/>
  </si>
  <si>
    <t>재수출담보조건으로 통관</t>
    <phoneticPr fontId="1" type="noConversion"/>
  </si>
  <si>
    <t>워런티로 무상 수리, 통관은 수리 후 재반입</t>
    <phoneticPr fontId="1" type="noConversion"/>
  </si>
  <si>
    <t>Seaspy 2 수리</t>
    <phoneticPr fontId="1" type="noConversion"/>
  </si>
  <si>
    <t>UTS-9500 워런티 수리</t>
    <phoneticPr fontId="1" type="noConversion"/>
  </si>
  <si>
    <t>Dynamic Gravity Meter</t>
    <phoneticPr fontId="1" type="noConversion"/>
  </si>
  <si>
    <t>T.Webb</t>
    <phoneticPr fontId="1" type="noConversion"/>
  </si>
  <si>
    <t>G3 액세서리</t>
    <phoneticPr fontId="1" type="noConversion"/>
  </si>
  <si>
    <t>무환 통관 (작년 납품의 누락품)</t>
    <phoneticPr fontId="1" type="noConversion"/>
  </si>
  <si>
    <t>대양전기</t>
    <phoneticPr fontId="1" type="noConversion"/>
  </si>
  <si>
    <t>Metocean</t>
    <phoneticPr fontId="1" type="noConversion"/>
  </si>
  <si>
    <t>ST-400B 대체품 입고</t>
    <phoneticPr fontId="1" type="noConversion"/>
  </si>
  <si>
    <t>Replacement parts</t>
    <phoneticPr fontId="1" type="noConversion"/>
  </si>
  <si>
    <t>무환 통관(대체품)</t>
    <phoneticPr fontId="1" type="noConversion"/>
  </si>
  <si>
    <t>R500 배터리 2식 (불량품에 대한 대체품)</t>
    <phoneticPr fontId="1" type="noConversion"/>
  </si>
  <si>
    <t>Main Board G3, glider</t>
    <phoneticPr fontId="1" type="noConversion"/>
  </si>
  <si>
    <t>Klein</t>
    <phoneticPr fontId="1" type="noConversion"/>
  </si>
  <si>
    <t>Towfish 4000 (sn.046)</t>
    <phoneticPr fontId="1" type="noConversion"/>
  </si>
  <si>
    <t>LEYCONN ELECTRONICS</t>
    <phoneticPr fontId="1" type="noConversion"/>
  </si>
  <si>
    <t>샘플 커넥터</t>
    <phoneticPr fontId="1" type="noConversion"/>
  </si>
  <si>
    <t>사업팀</t>
    <phoneticPr fontId="1" type="noConversion"/>
  </si>
  <si>
    <t>R2K용 볼트</t>
    <phoneticPr fontId="1" type="noConversion"/>
  </si>
  <si>
    <t>국토,오션재고</t>
    <phoneticPr fontId="1" type="noConversion"/>
  </si>
  <si>
    <t>DHI-1(sn.017), MFT-1(sn.284,225,332,335) 수리</t>
    <phoneticPr fontId="1" type="noConversion"/>
  </si>
  <si>
    <t>AR 수리 (sn. 81854)</t>
    <phoneticPr fontId="1" type="noConversion"/>
  </si>
  <si>
    <t>Usd</t>
    <phoneticPr fontId="1" type="noConversion"/>
  </si>
  <si>
    <t>DHI-1(sn.026), MFT-1(sn.248, 249, 270) 수리</t>
    <phoneticPr fontId="1" type="noConversion"/>
  </si>
  <si>
    <t>NIFS(동해)</t>
    <phoneticPr fontId="1" type="noConversion"/>
  </si>
  <si>
    <t>Apollo</t>
    <phoneticPr fontId="1" type="noConversion"/>
  </si>
  <si>
    <t>Li-7815 워런티 수리</t>
    <phoneticPr fontId="1" type="noConversion"/>
  </si>
  <si>
    <t>#22-264</t>
    <phoneticPr fontId="1" type="noConversion"/>
  </si>
  <si>
    <t>R500 documentation USB 5개</t>
    <phoneticPr fontId="1" type="noConversion"/>
  </si>
  <si>
    <t>DHI-1 (sn.028)</t>
    <phoneticPr fontId="1" type="noConversion"/>
  </si>
  <si>
    <t>Dynamic Gravity Meter System, Platform control module 수리</t>
    <phoneticPr fontId="1" type="noConversion"/>
  </si>
  <si>
    <t>#22-50</t>
    <phoneticPr fontId="1" type="noConversion"/>
  </si>
  <si>
    <t>지엠티엔지니어링(탐구7호)</t>
    <phoneticPr fontId="1" type="noConversion"/>
  </si>
  <si>
    <t>Li-cor (외자 누락품)</t>
    <phoneticPr fontId="1" type="noConversion"/>
  </si>
  <si>
    <t>샘플 무환 통관</t>
    <phoneticPr fontId="1" type="noConversion"/>
  </si>
  <si>
    <t>#22-77</t>
    <phoneticPr fontId="1" type="noConversion"/>
  </si>
  <si>
    <t>대선조선</t>
    <phoneticPr fontId="1" type="noConversion"/>
  </si>
  <si>
    <t>CTD.O2.pH, Temp2+15m cable 수리</t>
    <phoneticPr fontId="1" type="noConversion"/>
  </si>
  <si>
    <t>DHI-1 (sn.021) 수리</t>
    <phoneticPr fontId="1" type="noConversion"/>
  </si>
  <si>
    <t>DTI-300A (s/n 1045)</t>
    <phoneticPr fontId="1" type="noConversion"/>
  </si>
  <si>
    <t>오재</t>
    <phoneticPr fontId="1" type="noConversion"/>
  </si>
  <si>
    <t>DHI-1 board 교체품</t>
    <phoneticPr fontId="1" type="noConversion"/>
  </si>
  <si>
    <t>오션, Kwater</t>
    <phoneticPr fontId="1" type="noConversion"/>
  </si>
  <si>
    <t>Miros</t>
    <phoneticPr fontId="1" type="noConversion"/>
  </si>
  <si>
    <t>SM-140(sn. 130489, 150542, 160094)</t>
    <phoneticPr fontId="1" type="noConversion"/>
  </si>
  <si>
    <t>수리 불가품</t>
    <phoneticPr fontId="1" type="noConversion"/>
  </si>
  <si>
    <t>Explorer(sn. 21146)</t>
    <phoneticPr fontId="1" type="noConversion"/>
  </si>
  <si>
    <t>워런티 수리, 통관은 수리 후 재반입</t>
    <phoneticPr fontId="1" type="noConversion"/>
  </si>
  <si>
    <t>DHI-1 (sn. 026, 028)</t>
    <phoneticPr fontId="1" type="noConversion"/>
  </si>
  <si>
    <t>수리 없이 입고, 통관은 수리 후 재반입</t>
    <phoneticPr fontId="1" type="noConversion"/>
  </si>
  <si>
    <t>파랑해양기술</t>
    <phoneticPr fontId="1" type="noConversion"/>
  </si>
  <si>
    <t>DTI-300A (s/n 1036)</t>
    <phoneticPr fontId="1" type="noConversion"/>
  </si>
  <si>
    <t>Mooring system</t>
    <phoneticPr fontId="1" type="noConversion"/>
  </si>
  <si>
    <t>Core liner 10식</t>
    <phoneticPr fontId="1" type="noConversion"/>
  </si>
  <si>
    <t>처음에 물건 잘못보내줘서, 대체품 수입, 무환 통관</t>
    <phoneticPr fontId="1" type="noConversion"/>
  </si>
  <si>
    <t>Benthos</t>
    <phoneticPr fontId="1" type="noConversion"/>
  </si>
  <si>
    <t>UCM 보드 수리</t>
    <phoneticPr fontId="1" type="noConversion"/>
  </si>
  <si>
    <t>DHI-1 대체품(수리보낼 때 sn.026 /  들어올 때 035)</t>
    <phoneticPr fontId="1" type="noConversion"/>
  </si>
  <si>
    <t>대체품으로 무환 통관</t>
    <phoneticPr fontId="1" type="noConversion"/>
  </si>
  <si>
    <t>고려대</t>
    <phoneticPr fontId="1" type="noConversion"/>
  </si>
  <si>
    <t>부품(switch)</t>
    <phoneticPr fontId="1" type="noConversion"/>
  </si>
  <si>
    <t>Webb research</t>
    <phoneticPr fontId="1" type="noConversion"/>
  </si>
  <si>
    <t>Recovery mount for G3</t>
    <phoneticPr fontId="1" type="noConversion"/>
  </si>
  <si>
    <t>동일조선</t>
    <phoneticPr fontId="1" type="noConversion"/>
  </si>
  <si>
    <t>ATT-400(sn.1027)</t>
    <phoneticPr fontId="1" type="noConversion"/>
  </si>
  <si>
    <t>Releaseit 케이블</t>
    <phoneticPr fontId="1" type="noConversion"/>
  </si>
  <si>
    <t>MYIR electronics</t>
    <phoneticPr fontId="1" type="noConversion"/>
  </si>
  <si>
    <t>single board 2식 수리</t>
    <phoneticPr fontId="1" type="noConversion"/>
  </si>
  <si>
    <t>DTI300A (sn.1045)</t>
    <phoneticPr fontId="1" type="noConversion"/>
  </si>
  <si>
    <t xml:space="preserve">박정은 </t>
    <phoneticPr fontId="1" type="noConversion"/>
  </si>
  <si>
    <t>#23-468</t>
    <phoneticPr fontId="1" type="noConversion"/>
  </si>
  <si>
    <t>Gavia</t>
    <phoneticPr fontId="1" type="noConversion"/>
  </si>
  <si>
    <t>Phone antenna connector</t>
    <phoneticPr fontId="1" type="noConversion"/>
  </si>
  <si>
    <t>모태준</t>
    <phoneticPr fontId="1" type="noConversion"/>
  </si>
  <si>
    <t>KOPRI</t>
    <phoneticPr fontId="1" type="noConversion"/>
  </si>
  <si>
    <t>Deck cable</t>
    <phoneticPr fontId="1" type="noConversion"/>
  </si>
  <si>
    <t>#23-467</t>
    <phoneticPr fontId="1" type="noConversion"/>
  </si>
  <si>
    <t>150m cable</t>
    <phoneticPr fontId="1" type="noConversion"/>
  </si>
  <si>
    <t>영해문화재연구소</t>
    <phoneticPr fontId="1" type="noConversion"/>
  </si>
  <si>
    <t>Isolation Transceiver (sn. 6687) 워런티 수리</t>
    <phoneticPr fontId="1" type="noConversion"/>
  </si>
  <si>
    <t>R500 (sn. 85537) 워런티 수리</t>
    <phoneticPr fontId="1" type="noConversion"/>
  </si>
  <si>
    <t>Seafloor</t>
    <phoneticPr fontId="1" type="noConversion"/>
  </si>
  <si>
    <t>Echoboat 브라켓 툴</t>
    <phoneticPr fontId="1" type="noConversion"/>
  </si>
  <si>
    <t>고무 마개</t>
    <phoneticPr fontId="1" type="noConversion"/>
  </si>
  <si>
    <t xml:space="preserve">TRBM </t>
    <phoneticPr fontId="1" type="noConversion"/>
  </si>
  <si>
    <t>S5900 system 수리</t>
    <phoneticPr fontId="1" type="noConversion"/>
  </si>
  <si>
    <t>Stremer 18식</t>
    <phoneticPr fontId="1" type="noConversion"/>
  </si>
  <si>
    <t>대전</t>
    <phoneticPr fontId="1" type="noConversion"/>
  </si>
  <si>
    <t>수리불가, 통관은 수리 후 재반입</t>
    <phoneticPr fontId="1" type="noConversion"/>
  </si>
  <si>
    <t>APEX-B-021</t>
    <phoneticPr fontId="1" type="noConversion"/>
  </si>
  <si>
    <t xml:space="preserve">대체품으로 무환 통관 , 카맥스 삼정 진행 </t>
    <phoneticPr fontId="1" type="noConversion"/>
  </si>
  <si>
    <t>Lanhe</t>
    <phoneticPr fontId="1" type="noConversion"/>
  </si>
  <si>
    <t>Cable</t>
    <phoneticPr fontId="1" type="noConversion"/>
  </si>
  <si>
    <t>무상샘플 통관</t>
    <phoneticPr fontId="1" type="noConversion"/>
  </si>
  <si>
    <t>R500 수리</t>
    <phoneticPr fontId="1" type="noConversion"/>
  </si>
  <si>
    <t>KIGAM(HJ중공업)</t>
    <phoneticPr fontId="1" type="noConversion"/>
  </si>
  <si>
    <t>Cap, Nautilus NGN, NSN70 module</t>
    <phoneticPr fontId="1" type="noConversion"/>
  </si>
  <si>
    <t>워런티 수리, 통관은 대체품 무환 통관</t>
    <phoneticPr fontId="1" type="noConversion"/>
  </si>
  <si>
    <t>DTI-300A</t>
    <phoneticPr fontId="1" type="noConversion"/>
  </si>
  <si>
    <t>Responder Cable</t>
    <phoneticPr fontId="1" type="noConversion"/>
  </si>
  <si>
    <t xml:space="preserve">Binder </t>
    <phoneticPr fontId="1" type="noConversion"/>
  </si>
  <si>
    <t>샘플 통관(실제로 Dan이 공짜로 보내주는 건)</t>
    <phoneticPr fontId="1" type="noConversion"/>
  </si>
  <si>
    <t>#24-189</t>
    <phoneticPr fontId="1" type="noConversion"/>
  </si>
  <si>
    <t>삼원중공업</t>
    <phoneticPr fontId="1" type="noConversion"/>
  </si>
  <si>
    <t>pCO2부품</t>
    <phoneticPr fontId="1" type="noConversion"/>
  </si>
  <si>
    <t>Teledyne Marine</t>
    <phoneticPr fontId="1" type="noConversion"/>
  </si>
  <si>
    <t>Gavia mockup</t>
    <phoneticPr fontId="1" type="noConversion"/>
  </si>
  <si>
    <t>NSN70 module 2식</t>
    <phoneticPr fontId="1" type="noConversion"/>
  </si>
  <si>
    <t>수자원공사</t>
    <phoneticPr fontId="1" type="noConversion"/>
  </si>
  <si>
    <t>SM-140 워런티 수리</t>
    <phoneticPr fontId="1" type="noConversion"/>
  </si>
  <si>
    <t>부경대</t>
    <phoneticPr fontId="1" type="noConversion"/>
  </si>
  <si>
    <t>Parts for Niskin(Bracket, Leg, Lanyard)</t>
    <phoneticPr fontId="1" type="noConversion"/>
  </si>
  <si>
    <t>무환(샘플) 통관</t>
    <phoneticPr fontId="1" type="noConversion"/>
  </si>
  <si>
    <t>무환(샘플) 통관 (같은 부품으로 한 번 더 받음)</t>
    <phoneticPr fontId="1" type="noConversion"/>
  </si>
  <si>
    <t>Biospherical</t>
    <phoneticPr fontId="1" type="noConversion"/>
  </si>
  <si>
    <t>무게 추</t>
    <phoneticPr fontId="1" type="noConversion"/>
  </si>
  <si>
    <t xml:space="preserve">공짜로 제공 </t>
    <phoneticPr fontId="1" type="noConversion"/>
  </si>
  <si>
    <t>Lid seal</t>
    <phoneticPr fontId="1" type="noConversion"/>
  </si>
  <si>
    <t>865 배터리</t>
    <phoneticPr fontId="1" type="noConversion"/>
  </si>
  <si>
    <t>부품들</t>
    <phoneticPr fontId="1" type="noConversion"/>
  </si>
  <si>
    <t>Sofar ocean</t>
    <phoneticPr fontId="1" type="noConversion"/>
  </si>
  <si>
    <t>Oring 대체품</t>
    <phoneticPr fontId="1" type="noConversion"/>
  </si>
  <si>
    <t>ATM-916 하우징, 보드</t>
    <phoneticPr fontId="1" type="noConversion"/>
  </si>
  <si>
    <t>Argo Float (sn. 10964) 수리</t>
    <phoneticPr fontId="1" type="noConversion"/>
  </si>
  <si>
    <t>대동</t>
    <phoneticPr fontId="1" type="noConversion"/>
  </si>
  <si>
    <t>Seatrac</t>
    <phoneticPr fontId="1" type="noConversion"/>
  </si>
  <si>
    <t>Circuit board</t>
    <phoneticPr fontId="1" type="noConversion"/>
  </si>
  <si>
    <t>Nose Recovery (누락품)</t>
    <phoneticPr fontId="1" type="noConversion"/>
  </si>
  <si>
    <t>무환 누락품 통관</t>
    <phoneticPr fontId="1" type="noConversion"/>
  </si>
  <si>
    <t>Argo Float Test kit</t>
    <phoneticPr fontId="1" type="noConversion"/>
  </si>
  <si>
    <t>전략해양</t>
    <phoneticPr fontId="1" type="noConversion"/>
  </si>
  <si>
    <t>Release it 커넥터</t>
    <phoneticPr fontId="1" type="noConversion"/>
  </si>
  <si>
    <t xml:space="preserve">Nose Module 외 </t>
    <phoneticPr fontId="1" type="noConversion"/>
  </si>
  <si>
    <t>O-ring</t>
  </si>
  <si>
    <t>황유진</t>
  </si>
  <si>
    <t>AR 스티커</t>
  </si>
  <si>
    <t>서류로 통관</t>
  </si>
  <si>
    <t>무인팀</t>
  </si>
  <si>
    <t>Seatrac</t>
  </si>
  <si>
    <t>Gasket tape</t>
  </si>
  <si>
    <t>손형석</t>
  </si>
  <si>
    <t>무환 샘플로 통관</t>
  </si>
  <si>
    <t>ITRES Research Limited</t>
    <phoneticPr fontId="1" type="noConversion"/>
  </si>
  <si>
    <t>CAD</t>
    <phoneticPr fontId="1" type="noConversion"/>
  </si>
  <si>
    <t>Repair for Explorer(sn.21146)</t>
    <phoneticPr fontId="1" type="noConversion"/>
  </si>
  <si>
    <t>워런티로 무상수리, 통관은 수리 후 재반입 / 한성</t>
    <phoneticPr fontId="1" type="noConversion"/>
  </si>
  <si>
    <t>Repair for SeaSPY2(sn.14235)</t>
    <phoneticPr fontId="1" type="noConversion"/>
  </si>
  <si>
    <t>오션재고, 지오시스템리서치</t>
    <phoneticPr fontId="1" type="noConversion"/>
  </si>
  <si>
    <t>Explorer 2식 수리(sn. 21275, 21100)</t>
    <phoneticPr fontId="1" type="noConversion"/>
  </si>
  <si>
    <t>해원문화재연구원</t>
    <phoneticPr fontId="1" type="noConversion"/>
  </si>
  <si>
    <t>Explorer 수리(sn.21255)</t>
    <phoneticPr fontId="1" type="noConversion"/>
  </si>
  <si>
    <t>마린리서치</t>
  </si>
  <si>
    <t>Microsec</t>
  </si>
  <si>
    <t>Sting(sn.038) 수리</t>
  </si>
  <si>
    <t>CAD</t>
  </si>
  <si>
    <t>워런티로 무상 수리, 통관은 수리 후 재반입</t>
  </si>
  <si>
    <t>Openocean Robotics</t>
    <phoneticPr fontId="1" type="noConversion"/>
  </si>
  <si>
    <t>Modem</t>
    <phoneticPr fontId="1" type="noConversion"/>
  </si>
  <si>
    <t>무환 샘플 통관 / 국내에서 테스트 후 다시 제조사로 돌려보낼 예정</t>
    <phoneticPr fontId="1" type="noConversion"/>
  </si>
  <si>
    <t>Mouser</t>
    <phoneticPr fontId="0" type="Hiragana"/>
  </si>
  <si>
    <r>
      <t>regulator, optomos relay</t>
    </r>
    <r>
      <rPr>
        <sz val="8"/>
        <color theme="1"/>
        <rFont val="맑은 고딕"/>
        <family val="3"/>
        <charset val="129"/>
      </rPr>
      <t>(BD450M5WFP2, BD433M5WFP2, LCA715)</t>
    </r>
    <phoneticPr fontId="0" type="Hiragana"/>
  </si>
  <si>
    <t xml:space="preserve">목록통관으로 입고 </t>
    <phoneticPr fontId="1" type="noConversion"/>
  </si>
  <si>
    <t>ㄷ</t>
    <phoneticPr fontId="0" type="Hiragana"/>
  </si>
  <si>
    <t>#24-307</t>
    <phoneticPr fontId="0" type="Hiragana"/>
  </si>
  <si>
    <t>오션사이언스</t>
    <phoneticPr fontId="0" type="Hiragana"/>
  </si>
  <si>
    <t>Marianda</t>
    <phoneticPr fontId="0" type="Hiragana"/>
  </si>
  <si>
    <t>Vindta 3C</t>
    <phoneticPr fontId="0" type="Hiragana"/>
  </si>
  <si>
    <t>하선종</t>
    <phoneticPr fontId="0" type="Hiragana"/>
  </si>
  <si>
    <t>12413/24</t>
    <phoneticPr fontId="0" type="Hiragana"/>
  </si>
  <si>
    <t>#24-342</t>
    <phoneticPr fontId="0" type="Hiragana"/>
  </si>
  <si>
    <t>지오뷰</t>
    <phoneticPr fontId="0" type="Hiragana"/>
  </si>
  <si>
    <t>Repair for TOGS1</t>
    <phoneticPr fontId="0" type="Hiragana"/>
  </si>
  <si>
    <t>지사</t>
    <phoneticPr fontId="0" type="Hiragana"/>
  </si>
  <si>
    <t>CD2570100008</t>
    <phoneticPr fontId="0" type="Hiragana"/>
  </si>
  <si>
    <t>ESH-656461</t>
    <phoneticPr fontId="0" type="Hiragana"/>
  </si>
  <si>
    <t>25/02/5 송금완료(EUR 3,290.35)</t>
    <phoneticPr fontId="0" type="Hiragana"/>
  </si>
  <si>
    <t>#25-004</t>
    <phoneticPr fontId="0" type="Hiragana"/>
  </si>
  <si>
    <t>경원산업</t>
    <phoneticPr fontId="0" type="Hiragana"/>
  </si>
  <si>
    <t>TC4033-4 1식, EC6081mk2 1식</t>
    <phoneticPr fontId="0" type="Hiragana"/>
  </si>
  <si>
    <t>CD2570100043</t>
    <phoneticPr fontId="0" type="Hiragana"/>
  </si>
  <si>
    <t>OPP-32975</t>
    <phoneticPr fontId="0" type="Hiragana"/>
  </si>
  <si>
    <t>25/02/5 송금완료(EUR 5,695.00)</t>
    <phoneticPr fontId="0" type="Hiragana"/>
  </si>
  <si>
    <t>#25-7</t>
    <phoneticPr fontId="0" type="Hiragana"/>
  </si>
  <si>
    <t>KHOA</t>
    <phoneticPr fontId="0" type="Hiragana"/>
  </si>
  <si>
    <t>AADI</t>
    <phoneticPr fontId="0" type="Hiragana"/>
  </si>
  <si>
    <t>Touchscreen for Seaguard RCM</t>
    <phoneticPr fontId="0" type="Hiragana"/>
  </si>
  <si>
    <t>132281</t>
    <phoneticPr fontId="0" type="Hiragana"/>
  </si>
  <si>
    <t>N2501009</t>
    <phoneticPr fontId="0" type="Hiragana"/>
  </si>
  <si>
    <t>25/02/5 송금완료(EUR 549.40)</t>
    <phoneticPr fontId="0" type="Hiragana"/>
  </si>
  <si>
    <t>#25-19</t>
    <phoneticPr fontId="0" type="Hiragana"/>
  </si>
  <si>
    <t>Eiva</t>
    <phoneticPr fontId="0" type="Hiragana"/>
  </si>
  <si>
    <t xml:space="preserve">NaviPac Pro </t>
    <phoneticPr fontId="0" type="Hiragana"/>
  </si>
  <si>
    <t>64639</t>
    <phoneticPr fontId="0" type="Hiragana"/>
  </si>
  <si>
    <t>25/2/26 송금완료(EUR 2,220.08) -credit note 7,120.00 적용</t>
    <phoneticPr fontId="0" type="Hiragana"/>
  </si>
  <si>
    <t>EIVA</t>
    <phoneticPr fontId="0" type="Hiragana"/>
  </si>
  <si>
    <t xml:space="preserve">Credit note </t>
    <phoneticPr fontId="0" type="Hiragana"/>
  </si>
  <si>
    <t>25/2/26 송금 시 반영완료</t>
    <phoneticPr fontId="0" type="Hiragana"/>
  </si>
  <si>
    <t>#24-334</t>
    <phoneticPr fontId="0" type="Hiragana"/>
  </si>
  <si>
    <t>Capacitor 3식</t>
    <phoneticPr fontId="0" type="Hiragana"/>
  </si>
  <si>
    <t>25년 2월경</t>
    <phoneticPr fontId="0" type="Hiragana"/>
  </si>
  <si>
    <t>93MA24</t>
    <phoneticPr fontId="0" type="Hiragana"/>
  </si>
  <si>
    <t>송금완료</t>
    <phoneticPr fontId="0" type="Hiragana"/>
  </si>
  <si>
    <t>24/12/05 송금완료(EUR 2,762.50)</t>
    <phoneticPr fontId="0" type="Hiragana"/>
  </si>
  <si>
    <t>#24-337</t>
    <phoneticPr fontId="0" type="Hiragana"/>
  </si>
  <si>
    <t>해양대학교</t>
    <phoneticPr fontId="0" type="Hiragana"/>
  </si>
  <si>
    <t>4H Jena</t>
    <phoneticPr fontId="0" type="Hiragana"/>
  </si>
  <si>
    <t>Methane Sensor CONTROS HydroC CH4 with SBE-5M</t>
    <phoneticPr fontId="0" type="Hiragana"/>
  </si>
  <si>
    <t>2025-03-</t>
    <phoneticPr fontId="0" type="Hiragana"/>
  </si>
  <si>
    <t>R250029</t>
    <phoneticPr fontId="0" type="Hiragana"/>
  </si>
  <si>
    <t>A240295</t>
    <phoneticPr fontId="0" type="Hiragana"/>
  </si>
  <si>
    <t>25/3/5 송금완료(EUR 28,140.00)</t>
    <phoneticPr fontId="0" type="Hiragana"/>
  </si>
  <si>
    <t>#24-320</t>
    <phoneticPr fontId="0" type="Hiragana"/>
  </si>
  <si>
    <t>VITROVEX custom shell 2식 (주황색 커버)</t>
    <phoneticPr fontId="0" type="Hiragana"/>
  </si>
  <si>
    <t>603695</t>
    <phoneticPr fontId="0" type="Hiragana"/>
  </si>
  <si>
    <t>25/3/5 송금완료(EUR 690.15)</t>
    <phoneticPr fontId="0" type="Hiragana"/>
  </si>
  <si>
    <t>RTSYS</t>
    <phoneticPr fontId="0" type="Hiragana"/>
  </si>
  <si>
    <t>Repair for Sylence</t>
    <phoneticPr fontId="0" type="Hiragana"/>
  </si>
  <si>
    <t>FAC/2025/0021</t>
    <phoneticPr fontId="0" type="Hiragana"/>
  </si>
  <si>
    <t>#25-예정</t>
    <phoneticPr fontId="0" type="Hiragana"/>
  </si>
  <si>
    <t>Capacitor 1식</t>
    <phoneticPr fontId="0" type="Hiragana"/>
  </si>
  <si>
    <t>11MA25</t>
    <phoneticPr fontId="0" type="Hiragana"/>
  </si>
  <si>
    <t>25/3/14 송금완료(EUR 1,045.50)</t>
    <phoneticPr fontId="0" type="Hiragana"/>
  </si>
  <si>
    <t>#25-014, 25-39</t>
    <phoneticPr fontId="0" type="Hiragana"/>
  </si>
  <si>
    <t>우리해양, KHOA</t>
    <phoneticPr fontId="0" type="Hiragana"/>
  </si>
  <si>
    <t>DCS4830+10m cable 1식, DCS 10m cable 1식, CT케이블 20m 2식</t>
    <phoneticPr fontId="0" type="Hiragana"/>
  </si>
  <si>
    <t>132468</t>
    <phoneticPr fontId="0" type="Hiragana"/>
  </si>
  <si>
    <t>N2503007</t>
    <phoneticPr fontId="0" type="Hiragana"/>
  </si>
  <si>
    <t>25/3/11 송금완료(EUR 5,847.15)</t>
    <phoneticPr fontId="0" type="Hiragana"/>
  </si>
  <si>
    <t>TC4013-1 with 6m cable 2식</t>
    <phoneticPr fontId="0" type="Hiragana"/>
  </si>
  <si>
    <t>CD2570100183</t>
    <phoneticPr fontId="0" type="Hiragana"/>
  </si>
  <si>
    <t>OPP-33549</t>
    <phoneticPr fontId="0" type="Hiragana"/>
  </si>
  <si>
    <t>25/3/11 송금완료(EUR 2,890.00)</t>
    <phoneticPr fontId="0" type="Hiragana"/>
  </si>
  <si>
    <t>#25-</t>
    <phoneticPr fontId="0" type="Hiragana"/>
  </si>
  <si>
    <t>KHOA(동해)</t>
    <phoneticPr fontId="0" type="Hiragana"/>
  </si>
  <si>
    <t>CT케이블 20m 2식</t>
    <phoneticPr fontId="0" type="Hiragana"/>
  </si>
  <si>
    <t>132480</t>
    <phoneticPr fontId="0" type="Hiragana"/>
  </si>
  <si>
    <t>N2504013</t>
    <phoneticPr fontId="0" type="Hiragana"/>
  </si>
  <si>
    <t>25/3/11 송금완료(EUR 814.30)</t>
    <phoneticPr fontId="0" type="Hiragana"/>
  </si>
  <si>
    <t>VITROVEX flotation sphere 24식</t>
    <phoneticPr fontId="0" type="Hiragana"/>
  </si>
  <si>
    <t>해상운송중</t>
    <phoneticPr fontId="0" type="Hiragana"/>
  </si>
  <si>
    <t>녹산</t>
    <phoneticPr fontId="0" type="Hiragana"/>
  </si>
  <si>
    <t>603633</t>
    <phoneticPr fontId="0" type="Hiragana"/>
  </si>
  <si>
    <t>유니코, 삼정 해상 진행 
25/2/5 송금완료(EUR13,432.00)</t>
    <phoneticPr fontId="0" type="Hiragana"/>
  </si>
  <si>
    <t>#25-34</t>
    <phoneticPr fontId="0" type="Hiragana"/>
  </si>
  <si>
    <t>MIT</t>
    <phoneticPr fontId="0" type="Hiragana"/>
  </si>
  <si>
    <t>Repair kit for Electrode cable</t>
    <phoneticPr fontId="0" type="Hiragana"/>
  </si>
  <si>
    <t>선적지연</t>
    <phoneticPr fontId="0" type="Hiragana"/>
  </si>
  <si>
    <t>22MA25</t>
    <phoneticPr fontId="0" type="Hiragana"/>
  </si>
  <si>
    <t>25/04/10 송금완료(EUR 1,287.75)</t>
    <phoneticPr fontId="0" type="Hiragana"/>
  </si>
  <si>
    <t>KOPRI</t>
    <phoneticPr fontId="0" type="Hiragana"/>
  </si>
  <si>
    <t>Foil Kit, fast sensing 2식</t>
    <phoneticPr fontId="0" type="Hiragana"/>
  </si>
  <si>
    <t>132583</t>
    <phoneticPr fontId="0" type="Hiragana"/>
  </si>
  <si>
    <t>N2509002</t>
    <phoneticPr fontId="0" type="Hiragana"/>
  </si>
  <si>
    <t>25/04/11 송금완료(EUR 630.70)</t>
    <phoneticPr fontId="0" type="Hiragana"/>
  </si>
  <si>
    <t>RESEA 550 + Atomic</t>
    <phoneticPr fontId="0" type="Hiragana"/>
  </si>
  <si>
    <t>FAC/2025/0052</t>
    <phoneticPr fontId="0" type="Hiragana"/>
  </si>
  <si>
    <t>S02087</t>
    <phoneticPr fontId="0" type="Hiragana"/>
  </si>
  <si>
    <t>25/04/16 송금완료(EUR 20,289.90)</t>
    <phoneticPr fontId="0" type="Hiragana"/>
  </si>
  <si>
    <t>#25-30</t>
    <phoneticPr fontId="0" type="Hiragana"/>
  </si>
  <si>
    <t>UST21</t>
    <phoneticPr fontId="0" type="Hiragana"/>
  </si>
  <si>
    <t>GAPS M5, ZTA02C 수리</t>
    <phoneticPr fontId="0" type="Hiragana"/>
  </si>
  <si>
    <t>FA325_00156</t>
    <phoneticPr fontId="0" type="Hiragana"/>
  </si>
  <si>
    <t>AR3250082</t>
    <phoneticPr fontId="0" type="Hiragana"/>
  </si>
  <si>
    <t>25/04/16 송금완료(EUR 9,750.08)</t>
    <phoneticPr fontId="0" type="Hiragana"/>
  </si>
  <si>
    <t>DCS4830 1식, CT5819A 2식</t>
    <phoneticPr fontId="0" type="Hiragana"/>
  </si>
  <si>
    <t>132784</t>
    <phoneticPr fontId="0" type="Hiragana"/>
  </si>
  <si>
    <t>25/05/09 송금완료(EUR 9,750.08)</t>
    <phoneticPr fontId="1" type="noConversion"/>
  </si>
  <si>
    <t>#25-23</t>
    <phoneticPr fontId="0" type="Hiragana"/>
  </si>
  <si>
    <t xml:space="preserve">DCS cables 5개 and CT cables 9개(2개는 재고) </t>
    <phoneticPr fontId="0" type="Hiragana"/>
  </si>
  <si>
    <t>132788</t>
    <phoneticPr fontId="0" type="Hiragana"/>
  </si>
  <si>
    <t>N2511009</t>
    <phoneticPr fontId="0" type="Hiragana"/>
  </si>
  <si>
    <t>25/05/09 송금완료(EUR 4,874.25)</t>
    <phoneticPr fontId="1" type="noConversion"/>
  </si>
  <si>
    <t>#25-47</t>
    <phoneticPr fontId="0" type="Hiragana"/>
  </si>
  <si>
    <t>DCS 1식 케이블 2식 and CT resistors 5식</t>
    <phoneticPr fontId="0" type="Hiragana"/>
  </si>
  <si>
    <t>132744</t>
    <phoneticPr fontId="0" type="Hiragana"/>
  </si>
  <si>
    <t>N2511018</t>
    <phoneticPr fontId="0" type="Hiragana"/>
  </si>
  <si>
    <t>중복송금!!
25/04/11 송금완료(EUR 5,278.50) 
25/05/09 송금완료(EUR 5,278.50)</t>
    <phoneticPr fontId="0" type="Hiragana"/>
  </si>
  <si>
    <t>DCS Blue 5430, DCS4830+10m cable</t>
    <phoneticPr fontId="0" type="Hiragana"/>
  </si>
  <si>
    <t>132809</t>
    <phoneticPr fontId="0" type="Hiragana"/>
  </si>
  <si>
    <t>N2509016</t>
    <phoneticPr fontId="0" type="Hiragana"/>
  </si>
  <si>
    <t>25/05/20 송금완료(EUR 7,659.56)</t>
    <phoneticPr fontId="0" type="Hiragana"/>
  </si>
  <si>
    <t>#24-189</t>
    <phoneticPr fontId="0" type="Hiragana"/>
  </si>
  <si>
    <t>삼원중공업</t>
    <phoneticPr fontId="0" type="Hiragana"/>
  </si>
  <si>
    <t>Temperature sensor, Pressure sensor, Optode, CT 케이블 5식</t>
    <phoneticPr fontId="0" type="Hiragana"/>
  </si>
  <si>
    <t>132862</t>
    <phoneticPr fontId="0" type="Hiragana"/>
  </si>
  <si>
    <t>N2514007</t>
    <phoneticPr fontId="0" type="Hiragana"/>
  </si>
  <si>
    <t>25/05/20 송금완료(EUR 7,216.50)</t>
    <phoneticPr fontId="0" type="Hiragana"/>
  </si>
  <si>
    <t>#25-106</t>
    <phoneticPr fontId="0" type="Hiragana"/>
  </si>
  <si>
    <t>조사협회</t>
    <phoneticPr fontId="0" type="Hiragana"/>
  </si>
  <si>
    <t>20m CT cable</t>
    <phoneticPr fontId="0" type="Hiragana"/>
  </si>
  <si>
    <t>132886</t>
    <phoneticPr fontId="0" type="Hiragana"/>
  </si>
  <si>
    <t>N2517010</t>
    <phoneticPr fontId="0" type="Hiragana"/>
  </si>
  <si>
    <t>25/05/20 송금완료(EUR 422.45)</t>
    <phoneticPr fontId="0" type="Hiragana"/>
  </si>
  <si>
    <t>#25-124</t>
    <phoneticPr fontId="0" type="Hiragana"/>
  </si>
  <si>
    <t>서울대학교</t>
    <phoneticPr fontId="0" type="Hiragana"/>
  </si>
  <si>
    <t>Technicap</t>
    <phoneticPr fontId="0" type="Hiragana"/>
  </si>
  <si>
    <t>Spare parts for Sediment trap</t>
    <phoneticPr fontId="0" type="Hiragana"/>
  </si>
  <si>
    <t>2025021</t>
    <phoneticPr fontId="0" type="Hiragana"/>
  </si>
  <si>
    <t>2025/05/28 송금완료(EUR 340)</t>
    <phoneticPr fontId="0" type="Hiragana"/>
  </si>
  <si>
    <t>#25-110</t>
    <phoneticPr fontId="0" type="Hiragana"/>
  </si>
  <si>
    <t>T50-P</t>
    <phoneticPr fontId="0" type="Hiragana"/>
  </si>
  <si>
    <t>CD2570100529</t>
    <phoneticPr fontId="0" type="Hiragana"/>
  </si>
  <si>
    <t>OPP-34156</t>
    <phoneticPr fontId="0" type="Hiragana"/>
  </si>
  <si>
    <t>2025/05/28 송금완료(EUR 127,345)</t>
    <phoneticPr fontId="0" type="Hiragana"/>
  </si>
  <si>
    <t>EC6076</t>
    <phoneticPr fontId="0" type="Hiragana"/>
  </si>
  <si>
    <t>CD2570100544</t>
    <phoneticPr fontId="0" type="Hiragana"/>
  </si>
  <si>
    <t>R169098</t>
    <phoneticPr fontId="0" type="Hiragana"/>
  </si>
  <si>
    <t>2025/05/28 송금완료(EUR 3,400)</t>
    <phoneticPr fontId="0" type="Hiragana"/>
  </si>
  <si>
    <t>#25-18, 141</t>
    <phoneticPr fontId="0" type="Hiragana"/>
  </si>
  <si>
    <t>FAC/2025/0099</t>
    <phoneticPr fontId="0" type="Hiragana"/>
  </si>
  <si>
    <t>S02293</t>
    <phoneticPr fontId="0" type="Hiragana"/>
  </si>
  <si>
    <t>한성, 삼정 진행 25/06/02 송금완료(EUR 20,289.90)</t>
    <phoneticPr fontId="0" type="Hiragana"/>
  </si>
  <si>
    <t>#25-72</t>
    <phoneticPr fontId="0" type="Hiragana"/>
  </si>
  <si>
    <t>KHOA(서해)</t>
    <phoneticPr fontId="0" type="Hiragana"/>
  </si>
  <si>
    <t>Calibration for vented tide 4447r</t>
    <phoneticPr fontId="0" type="Hiragana"/>
  </si>
  <si>
    <t>132898</t>
    <phoneticPr fontId="0" type="Hiragana"/>
  </si>
  <si>
    <t>S2514006</t>
    <phoneticPr fontId="0" type="Hiragana"/>
  </si>
  <si>
    <t>25/06/02 송금완료(EUR 986.00)</t>
    <phoneticPr fontId="0" type="Hiragana"/>
  </si>
  <si>
    <t>계약예정</t>
    <phoneticPr fontId="0" type="Hiragana"/>
  </si>
  <si>
    <t>Upgrade for RESEA 2식</t>
    <phoneticPr fontId="0" type="Hiragana"/>
  </si>
  <si>
    <t>FAC/2025/0096</t>
    <phoneticPr fontId="0" type="Hiragana"/>
  </si>
  <si>
    <t>S02418</t>
    <phoneticPr fontId="0" type="Hiragana"/>
  </si>
  <si>
    <t>한성, 삼정 진행 25/06/02 송금완료(EUR 6,077.80)</t>
    <phoneticPr fontId="0" type="Hiragana"/>
  </si>
  <si>
    <t>워런티제공</t>
    <phoneticPr fontId="0" type="Hiragana"/>
  </si>
  <si>
    <t>세광종합기술단</t>
    <phoneticPr fontId="0" type="Hiragana"/>
  </si>
  <si>
    <t>Preamplifier for Hydrophone</t>
    <phoneticPr fontId="0" type="Hiragana"/>
  </si>
  <si>
    <t>FAC/2025/0098</t>
    <phoneticPr fontId="0" type="Hiragana"/>
  </si>
  <si>
    <t>S02434</t>
    <phoneticPr fontId="0" type="Hiragana"/>
  </si>
  <si>
    <t>한성, 삼정 진행 25/06/02 송금완료(EUR 425.00)</t>
    <phoneticPr fontId="0" type="Hiragana"/>
  </si>
  <si>
    <t>#25-111</t>
    <phoneticPr fontId="0" type="Hiragana"/>
  </si>
  <si>
    <t>NaviPac Pro</t>
    <phoneticPr fontId="0" type="Hiragana"/>
  </si>
  <si>
    <t>현지윤1</t>
    <phoneticPr fontId="0" type="Hiragana"/>
  </si>
  <si>
    <t>65178</t>
    <phoneticPr fontId="0" type="Hiragana"/>
  </si>
  <si>
    <t>25/06/02 송금완료(EUR 5,443.51)</t>
    <phoneticPr fontId="0" type="Hiragana"/>
  </si>
  <si>
    <t>#25-128, 예정</t>
    <phoneticPr fontId="0" type="Hiragana"/>
  </si>
  <si>
    <t>KOPRI, 오재(군산대)</t>
    <phoneticPr fontId="0" type="Hiragana"/>
  </si>
  <si>
    <t>UIC</t>
    <phoneticPr fontId="0" type="Hiragana"/>
  </si>
  <si>
    <t>CM5017 Coulometer 2식</t>
    <phoneticPr fontId="0" type="Hiragana"/>
  </si>
  <si>
    <t>FT 2025/3</t>
    <phoneticPr fontId="0" type="Hiragana"/>
  </si>
  <si>
    <t>FP2025/2</t>
    <phoneticPr fontId="0" type="Hiragana"/>
  </si>
  <si>
    <t>한국종합물류, 삼정 진행
25/05/23 선송금완료(EUR58,502.37)</t>
    <phoneticPr fontId="0" type="Hiragana"/>
  </si>
  <si>
    <t>#24-381</t>
    <phoneticPr fontId="0" type="Hiragana"/>
  </si>
  <si>
    <t>Multi-beacon tracking</t>
    <phoneticPr fontId="0" type="Hiragana"/>
  </si>
  <si>
    <t>FA325_00271</t>
    <phoneticPr fontId="0" type="Hiragana"/>
  </si>
  <si>
    <t>AR3240696</t>
    <phoneticPr fontId="0" type="Hiragana"/>
  </si>
  <si>
    <t>한성, 삼정 진행 25/06/18 송금완료(EUR 154,101.00)</t>
    <phoneticPr fontId="0" type="Hiragana"/>
  </si>
  <si>
    <t>#25-52</t>
    <phoneticPr fontId="0" type="Hiragana"/>
  </si>
  <si>
    <t>Delph box</t>
    <phoneticPr fontId="0" type="Hiragana"/>
  </si>
  <si>
    <t>FA325_00270</t>
    <phoneticPr fontId="0" type="Hiragana"/>
  </si>
  <si>
    <t>AR3250128</t>
    <phoneticPr fontId="0" type="Hiragana"/>
  </si>
  <si>
    <t>한성, 삼정 진행 25/06/18 송금완료(EUR 5,065.00)</t>
    <phoneticPr fontId="0" type="Hiragana"/>
  </si>
  <si>
    <t>#25-152</t>
    <phoneticPr fontId="0" type="Hiragana"/>
  </si>
  <si>
    <t>ELP790 2식</t>
    <phoneticPr fontId="0" type="Hiragana"/>
  </si>
  <si>
    <t>40MA25</t>
    <phoneticPr fontId="0" type="Hiragana"/>
  </si>
  <si>
    <t>25/06/23 송금완료(EUR1,190.00)</t>
    <phoneticPr fontId="0" type="Hiragana"/>
  </si>
  <si>
    <t>Credit</t>
    <phoneticPr fontId="0" type="Hiragana"/>
  </si>
  <si>
    <t>25/06/23 송금 시 반영 완료</t>
    <phoneticPr fontId="0" type="Hiragana"/>
  </si>
  <si>
    <t>데모 Motus 점검비</t>
    <phoneticPr fontId="0" type="Hiragana"/>
  </si>
  <si>
    <t>132991</t>
    <phoneticPr fontId="0" type="Hiragana"/>
  </si>
  <si>
    <t>S2520012</t>
    <phoneticPr fontId="0" type="Hiragana"/>
  </si>
  <si>
    <t>25/07/02 송금완료(€795.86)</t>
    <phoneticPr fontId="0" type="Hiragana"/>
  </si>
  <si>
    <t>오재</t>
    <phoneticPr fontId="0" type="Hiragana"/>
  </si>
  <si>
    <t>COX</t>
    <phoneticPr fontId="0" type="Hiragana"/>
  </si>
  <si>
    <t>Technical Support(연간 원격 유지보수 계약)</t>
    <phoneticPr fontId="0" type="Hiragana"/>
  </si>
  <si>
    <t>선적 없음</t>
    <phoneticPr fontId="0" type="Hiragana"/>
  </si>
  <si>
    <t>4335</t>
    <phoneticPr fontId="0" type="Hiragana"/>
  </si>
  <si>
    <t>25/07/02 송금완료(€9,000.00)</t>
    <phoneticPr fontId="0" type="Hiragana"/>
  </si>
  <si>
    <t>#25-197, 203</t>
    <phoneticPr fontId="0" type="Hiragana"/>
  </si>
  <si>
    <t>KRISO, KHOA</t>
    <phoneticPr fontId="0" type="Hiragana"/>
  </si>
  <si>
    <t>CT5819A 3식</t>
    <phoneticPr fontId="0" type="Hiragana"/>
  </si>
  <si>
    <t>133099</t>
    <phoneticPr fontId="0" type="Hiragana"/>
  </si>
  <si>
    <t>N2525016</t>
    <phoneticPr fontId="0" type="Hiragana"/>
  </si>
  <si>
    <t>25/07/02 송금완료(€6,386.90)</t>
    <phoneticPr fontId="0" type="Hiragana"/>
  </si>
  <si>
    <t>#25-098</t>
    <phoneticPr fontId="0" type="Hiragana"/>
  </si>
  <si>
    <t>NaviSuite Kuda core</t>
    <phoneticPr fontId="0" type="Hiragana"/>
  </si>
  <si>
    <t>65360</t>
    <phoneticPr fontId="0" type="Hiragana"/>
  </si>
  <si>
    <t>25/07/16 송금완료(EUR 13,607.00)</t>
    <phoneticPr fontId="0" type="Hiragana"/>
  </si>
  <si>
    <t>#25-145</t>
    <phoneticPr fontId="0" type="Hiragana"/>
  </si>
  <si>
    <t xml:space="preserve">UST21, 오션재고 </t>
    <phoneticPr fontId="0" type="Hiragana"/>
  </si>
  <si>
    <t>Teledyne RESON</t>
    <phoneticPr fontId="0" type="Hiragana"/>
  </si>
  <si>
    <t>TC4013-1 3식(UST21꺼), TC4032-1 1식, 4032 cable</t>
    <phoneticPr fontId="0" type="Hiragana"/>
  </si>
  <si>
    <t>CD2570100732</t>
    <phoneticPr fontId="0" type="Hiragana"/>
  </si>
  <si>
    <t>OPP-33761</t>
    <phoneticPr fontId="0" type="Hiragana"/>
  </si>
  <si>
    <t>25/07/16 송금완료(EUR 13,770.00)</t>
    <phoneticPr fontId="0" type="Hiragana"/>
  </si>
  <si>
    <t>#25-186</t>
    <phoneticPr fontId="0" type="Hiragana"/>
  </si>
  <si>
    <t xml:space="preserve">대우ENC </t>
    <phoneticPr fontId="0" type="Hiragana"/>
  </si>
  <si>
    <t>SVP cable 10m</t>
    <phoneticPr fontId="0" type="Hiragana"/>
  </si>
  <si>
    <t>CD2570100810</t>
    <phoneticPr fontId="0" type="Hiragana"/>
  </si>
  <si>
    <t>ESH-667791</t>
    <phoneticPr fontId="0" type="Hiragana"/>
  </si>
  <si>
    <t>25/07/16 송금완료(EUR 1,062.50)</t>
    <phoneticPr fontId="0" type="Hiragana"/>
  </si>
  <si>
    <t>#25-40</t>
    <phoneticPr fontId="0" type="Hiragana"/>
  </si>
  <si>
    <t>소나테크</t>
    <phoneticPr fontId="0" type="Hiragana"/>
  </si>
  <si>
    <t>Pack Octans 5 Surface 3식</t>
    <phoneticPr fontId="0" type="Hiragana"/>
  </si>
  <si>
    <t>FF_01303,
FA325_00384(잔금)</t>
    <phoneticPr fontId="0" type="Hiragana"/>
  </si>
  <si>
    <t>선금40%완료,
7/26</t>
    <phoneticPr fontId="0" type="Hiragana"/>
  </si>
  <si>
    <t>한성, 삼정 진행 25/03/1840%선송금완료(EUR60,000)
25/07/22 송금완료 (EUR 90,000)</t>
    <phoneticPr fontId="0" type="Hiragana"/>
  </si>
  <si>
    <t>#25-212</t>
    <phoneticPr fontId="0" type="Hiragana"/>
  </si>
  <si>
    <t>Teledyne RESON B.V.</t>
    <phoneticPr fontId="0" type="Hiragana"/>
  </si>
  <si>
    <t>PDS 2000</t>
    <phoneticPr fontId="0" type="Hiragana"/>
  </si>
  <si>
    <t>CD2590100366</t>
    <phoneticPr fontId="0" type="Hiragana"/>
  </si>
  <si>
    <t>25/07/22 송금완료 (EUR 14,140.60)</t>
    <phoneticPr fontId="0" type="Hiragana"/>
  </si>
  <si>
    <t>#25-145,146</t>
    <phoneticPr fontId="0" type="Hiragana"/>
  </si>
  <si>
    <t>UST21, KIOST</t>
    <phoneticPr fontId="0" type="Hiragana"/>
  </si>
  <si>
    <t>Sylence LP 5식, Preamplifier 3식</t>
    <phoneticPr fontId="0" type="Hiragana"/>
  </si>
  <si>
    <t>FAC/2025/0143</t>
    <phoneticPr fontId="0" type="Hiragana"/>
  </si>
  <si>
    <t>S02280</t>
    <phoneticPr fontId="0" type="Hiragana"/>
  </si>
  <si>
    <t>25/08/05 송금완료(EUR 23,550.00)</t>
    <phoneticPr fontId="0" type="Hiragana"/>
  </si>
  <si>
    <t>RESON</t>
    <phoneticPr fontId="0" type="Hiragana"/>
  </si>
  <si>
    <t>Repair for T50 ER</t>
    <phoneticPr fontId="0" type="Hiragana"/>
  </si>
  <si>
    <t>CD2570100966</t>
    <phoneticPr fontId="0" type="Hiragana"/>
  </si>
  <si>
    <t>ESH-666501</t>
    <phoneticPr fontId="0" type="Hiragana"/>
  </si>
  <si>
    <t>Multi-beacon tracking - SAT 4일</t>
    <phoneticPr fontId="0" type="Hiragana"/>
  </si>
  <si>
    <t>선적없음</t>
    <phoneticPr fontId="0" type="Hiragana"/>
  </si>
  <si>
    <t>용역완료</t>
    <phoneticPr fontId="0" type="Hiragana"/>
  </si>
  <si>
    <t>FA325_00529</t>
    <phoneticPr fontId="0" type="Hiragana"/>
  </si>
  <si>
    <t>25/09/02 송금완료(EUR4,800.00)</t>
    <phoneticPr fontId="0" type="Hiragana"/>
  </si>
  <si>
    <t>#25-210</t>
    <phoneticPr fontId="0" type="Hiragana"/>
  </si>
  <si>
    <t>올포랜드</t>
    <phoneticPr fontId="0" type="Hiragana"/>
  </si>
  <si>
    <t>Delph Geo Interpretation 1 sensor seismic SW</t>
    <phoneticPr fontId="0" type="Hiragana"/>
  </si>
  <si>
    <t>FA325_00495</t>
    <phoneticPr fontId="0" type="Hiragana"/>
  </si>
  <si>
    <t>AR3250323</t>
    <phoneticPr fontId="0" type="Hiragana"/>
  </si>
  <si>
    <t>25/09/02 송금완료(EUR9,00.00)</t>
    <phoneticPr fontId="0" type="Hiragana"/>
  </si>
  <si>
    <t>#25-226</t>
    <phoneticPr fontId="0" type="Hiragana"/>
  </si>
  <si>
    <t>Nausinoos</t>
    <phoneticPr fontId="0" type="Hiragana"/>
  </si>
  <si>
    <t>Offshore calypso coring experise</t>
    <phoneticPr fontId="0" type="Hiragana"/>
  </si>
  <si>
    <t>선적없음-용역</t>
    <phoneticPr fontId="0" type="Hiragana"/>
  </si>
  <si>
    <t>2025-1</t>
    <phoneticPr fontId="0" type="Hiragana"/>
  </si>
  <si>
    <t>25/09/03 송금완료(EUR27,150.00)</t>
    <phoneticPr fontId="0" type="Hiragana"/>
  </si>
  <si>
    <t>#25-249, 250</t>
    <phoneticPr fontId="0" type="Hiragana"/>
  </si>
  <si>
    <t>대우이앤씨</t>
    <phoneticPr fontId="0" type="Hiragana"/>
  </si>
  <si>
    <t>PDS V090 1식, PDS 업그레이드 2식</t>
    <phoneticPr fontId="0" type="Hiragana"/>
  </si>
  <si>
    <t>CD2590100421</t>
    <phoneticPr fontId="0" type="Hiragana"/>
  </si>
  <si>
    <t>OPP-35996</t>
    <phoneticPr fontId="0" type="Hiragana"/>
  </si>
  <si>
    <t>25/09/10 송금완료(EUR18,845.35)</t>
    <phoneticPr fontId="0" type="Hiragana"/>
  </si>
  <si>
    <t>#25-259</t>
    <phoneticPr fontId="0" type="Hiragana"/>
  </si>
  <si>
    <t>엠디시스템</t>
    <phoneticPr fontId="0" type="Hiragana"/>
  </si>
  <si>
    <t>PDS V90</t>
    <phoneticPr fontId="0" type="Hiragana"/>
  </si>
  <si>
    <t>CD2590100450</t>
  </si>
  <si>
    <t>OPP-36391</t>
    <phoneticPr fontId="0" type="Hiragana"/>
  </si>
  <si>
    <t>25/09/10 송금완료(EUR14,140.60)</t>
    <phoneticPr fontId="0" type="Hiragana"/>
  </si>
  <si>
    <t>#25-206</t>
    <phoneticPr fontId="0" type="Hiragana"/>
  </si>
  <si>
    <t>부산대</t>
    <phoneticPr fontId="0" type="Hiragana"/>
  </si>
  <si>
    <t>DCS 4930, 50m cable</t>
    <phoneticPr fontId="0" type="Hiragana"/>
  </si>
  <si>
    <t>133323</t>
    <phoneticPr fontId="0" type="Hiragana"/>
  </si>
  <si>
    <t>N2521008</t>
    <phoneticPr fontId="0" type="Hiragana"/>
  </si>
  <si>
    <t>25/09/18 송금완료(EUR 7,219.90)</t>
    <phoneticPr fontId="0" type="Hiragana"/>
  </si>
  <si>
    <t>DCS4830+1m cable, CT5819A</t>
    <phoneticPr fontId="0" type="Hiragana"/>
  </si>
  <si>
    <t>133322</t>
    <phoneticPr fontId="0" type="Hiragana"/>
  </si>
  <si>
    <t>N2522007</t>
    <phoneticPr fontId="0" type="Hiragana"/>
  </si>
  <si>
    <t>25/09/18 송금완료(EUR 6,298.50)</t>
    <phoneticPr fontId="0" type="Hiragana"/>
  </si>
  <si>
    <t>#25-234</t>
    <phoneticPr fontId="0" type="Hiragana"/>
  </si>
  <si>
    <t>Contros HydroC CH4</t>
    <phoneticPr fontId="0" type="Hiragana"/>
  </si>
  <si>
    <t>R250207</t>
    <phoneticPr fontId="0" type="Hiragana"/>
  </si>
  <si>
    <t>A250160</t>
    <phoneticPr fontId="0" type="Hiragana"/>
  </si>
  <si>
    <t>25/09/18 송금완료(EUR 30,496.30)</t>
    <phoneticPr fontId="0" type="Hiragana"/>
  </si>
  <si>
    <t>#25-245</t>
    <phoneticPr fontId="0" type="Hiragana"/>
  </si>
  <si>
    <t>KOPRI, 오재</t>
    <phoneticPr fontId="0" type="Hiragana"/>
  </si>
  <si>
    <t>CT5819A 3 식, 배터리케이스 10식</t>
    <phoneticPr fontId="0" type="Hiragana"/>
  </si>
  <si>
    <t>133408</t>
    <phoneticPr fontId="0" type="Hiragana"/>
  </si>
  <si>
    <t>N2532004</t>
    <phoneticPr fontId="0" type="Hiragana"/>
  </si>
  <si>
    <t>25/09/18 송금완료(EUR 6,905.40)</t>
    <phoneticPr fontId="0" type="Hiragana"/>
  </si>
  <si>
    <t>#25-225</t>
    <phoneticPr fontId="0" type="Hiragana"/>
  </si>
  <si>
    <t>Repair for Multibeam</t>
    <phoneticPr fontId="0" type="Hiragana"/>
  </si>
  <si>
    <t>CD2570101070</t>
    <phoneticPr fontId="0" type="Hiragana"/>
  </si>
  <si>
    <t>ESH-664643</t>
    <phoneticPr fontId="0" type="Hiragana"/>
  </si>
  <si>
    <t>25/09/23 송금완료(EUR 26,976.45)</t>
    <phoneticPr fontId="0" type="Hiragana"/>
  </si>
  <si>
    <t>#25-277</t>
    <phoneticPr fontId="0" type="Hiragana"/>
  </si>
  <si>
    <t>해양정보기술</t>
    <phoneticPr fontId="0" type="Hiragana"/>
  </si>
  <si>
    <t>EDL1020 2식</t>
    <phoneticPr fontId="0" type="Hiragana"/>
  </si>
  <si>
    <t>62MA25</t>
    <phoneticPr fontId="0" type="Hiragana"/>
  </si>
  <si>
    <t>25/09/23 송금완료(EUR 2,142.00)</t>
    <phoneticPr fontId="0" type="Hiragana"/>
  </si>
  <si>
    <t>#25-120(무인실증)</t>
    <phoneticPr fontId="0" type="Hiragana"/>
  </si>
  <si>
    <t>gnss oem</t>
    <phoneticPr fontId="0" type="Hiragana"/>
  </si>
  <si>
    <t>ELT0213 UM982 Dual Channel RTK GNSS receiver board</t>
    <phoneticPr fontId="0" type="Hiragana"/>
  </si>
  <si>
    <t>사업부</t>
    <phoneticPr fontId="0" type="Hiragana"/>
  </si>
  <si>
    <t>#ELT2025004438</t>
    <phoneticPr fontId="0" type="Hiragana"/>
  </si>
  <si>
    <t>T50 수리 (ESH-666943)</t>
    <phoneticPr fontId="0" type="Hiragana"/>
  </si>
  <si>
    <t>CD2570101203</t>
    <phoneticPr fontId="0" type="Hiragana"/>
  </si>
  <si>
    <t>ESH-666943</t>
    <phoneticPr fontId="0" type="Hiragana"/>
  </si>
  <si>
    <t>25/10/22 송금완료(EUR9,897.00)</t>
    <phoneticPr fontId="0" type="Hiragana"/>
  </si>
  <si>
    <t>#25-306</t>
    <phoneticPr fontId="0" type="Hiragana"/>
  </si>
  <si>
    <t>PSP 수리</t>
    <phoneticPr fontId="0" type="Hiragana"/>
  </si>
  <si>
    <t>CD2570101244</t>
    <phoneticPr fontId="0" type="Hiragana"/>
  </si>
  <si>
    <t>ESH-668468</t>
    <phoneticPr fontId="0" type="Hiragana"/>
  </si>
  <si>
    <t>25/10/22 송금완료(EUR1,921.00)</t>
    <phoneticPr fontId="0" type="Hiragana"/>
  </si>
  <si>
    <t>#25-304,313</t>
    <phoneticPr fontId="0" type="Hiragana"/>
  </si>
  <si>
    <t>ELC1200L, ELP790, ELP1250</t>
    <phoneticPr fontId="0" type="Hiragana"/>
  </si>
  <si>
    <t>67MA25</t>
    <phoneticPr fontId="0" type="Hiragana"/>
  </si>
  <si>
    <t>25/10/29 송금완료(€8,453.25)</t>
    <phoneticPr fontId="0" type="Hiragana"/>
  </si>
  <si>
    <t>Interface board for MCsps, Oil refill</t>
    <phoneticPr fontId="0" type="Hiragana"/>
  </si>
  <si>
    <t>25/10/29 송금완료(€482.80)</t>
    <phoneticPr fontId="0" type="Hiragana"/>
  </si>
  <si>
    <t>#25-338</t>
    <phoneticPr fontId="0" type="Hiragana"/>
  </si>
  <si>
    <t>PULSE L5 수리</t>
    <phoneticPr fontId="0" type="Hiragana"/>
  </si>
  <si>
    <t>70MA25</t>
    <phoneticPr fontId="0" type="Hiragana"/>
  </si>
  <si>
    <t>25/10/29 송금완료(€3,660.00)</t>
    <phoneticPr fontId="0" type="Hiragana"/>
  </si>
  <si>
    <t>#25-297~299</t>
    <phoneticPr fontId="0" type="Hiragana"/>
  </si>
  <si>
    <t>지디엘</t>
    <phoneticPr fontId="0" type="Hiragana"/>
  </si>
  <si>
    <t>Hydrins ethernet cable</t>
    <phoneticPr fontId="0" type="Hiragana"/>
  </si>
  <si>
    <t>FA325_00652</t>
    <phoneticPr fontId="0" type="Hiragana"/>
  </si>
  <si>
    <t>25/11/11 송금완료(EUR 300.00)</t>
    <phoneticPr fontId="0" type="Hiragana"/>
  </si>
  <si>
    <t>#25-266</t>
    <phoneticPr fontId="0" type="Hiragana"/>
  </si>
  <si>
    <t>Delph SP Software</t>
    <phoneticPr fontId="0" type="Hiragana"/>
  </si>
  <si>
    <t>FA325_00683</t>
    <phoneticPr fontId="0" type="Hiragana"/>
  </si>
  <si>
    <t>AR3250443</t>
    <phoneticPr fontId="0" type="Hiragana"/>
  </si>
  <si>
    <t>25/11/11 송금완료(EUR 10,537.00)</t>
    <phoneticPr fontId="0" type="Hiragana"/>
  </si>
  <si>
    <t>Repair for Hydrins</t>
    <phoneticPr fontId="0" type="Hiragana"/>
  </si>
  <si>
    <t>FA325_00651</t>
    <phoneticPr fontId="0" type="Hiragana"/>
  </si>
  <si>
    <t>AR3250510</t>
    <phoneticPr fontId="0" type="Hiragana"/>
  </si>
  <si>
    <t>25/11/11 송금완료(EUR 9,751.07)</t>
    <phoneticPr fontId="0" type="Hiragana"/>
  </si>
  <si>
    <t>#25-289</t>
    <phoneticPr fontId="0" type="Hiragana"/>
  </si>
  <si>
    <t>Mo Tube</t>
    <phoneticPr fontId="0" type="Hiragana"/>
  </si>
  <si>
    <t>4358</t>
    <phoneticPr fontId="0" type="Hiragana"/>
  </si>
  <si>
    <t>25/11/11 송금완료(EUR 6,816.00)</t>
    <phoneticPr fontId="0" type="Hiragana"/>
  </si>
  <si>
    <t>#25-322</t>
    <phoneticPr fontId="0" type="Hiragana"/>
  </si>
  <si>
    <t>오션그래픽</t>
    <phoneticPr fontId="0" type="Hiragana"/>
  </si>
  <si>
    <t>T50 수리</t>
    <phoneticPr fontId="0" type="Hiragana"/>
  </si>
  <si>
    <t>CD2570101297</t>
    <phoneticPr fontId="0" type="Hiragana"/>
  </si>
  <si>
    <t>ESH-668698</t>
    <phoneticPr fontId="0" type="Hiragana"/>
  </si>
  <si>
    <t>25/11/11 송금완료(EUR 2,210.00)</t>
    <phoneticPr fontId="0" type="Hiragana"/>
  </si>
  <si>
    <t>#25-335</t>
    <phoneticPr fontId="0" type="Hiragana"/>
  </si>
  <si>
    <t>KIST</t>
    <phoneticPr fontId="0" type="Hiragana"/>
  </si>
  <si>
    <t>TC4034-1, EC6081MK2</t>
    <phoneticPr fontId="0" type="Hiragana"/>
  </si>
  <si>
    <t>CD2570101292</t>
    <phoneticPr fontId="0" type="Hiragana"/>
  </si>
  <si>
    <t>OPP-37196</t>
    <phoneticPr fontId="0" type="Hiragana"/>
  </si>
  <si>
    <t>25/11/11 송금완료(EUR 5,015.00)</t>
    <phoneticPr fontId="0" type="Hiragana"/>
  </si>
  <si>
    <t>Protective guard of MT932S 4식</t>
    <phoneticPr fontId="0" type="Hiragana"/>
  </si>
  <si>
    <t>FA325_00653</t>
    <phoneticPr fontId="0" type="Hiragana"/>
  </si>
  <si>
    <t>25/11/11 송금완료(EUR 720.00)</t>
    <phoneticPr fontId="0" type="Hiragana"/>
  </si>
  <si>
    <t>DCS4830 2식</t>
    <phoneticPr fontId="0" type="Hiragana"/>
  </si>
  <si>
    <t>133562</t>
    <phoneticPr fontId="0" type="Hiragana"/>
  </si>
  <si>
    <t>2025/11/18 송금완료(EUR7,227.55)</t>
    <phoneticPr fontId="0" type="Hiragana"/>
  </si>
  <si>
    <t>#25-263, 예정</t>
    <phoneticPr fontId="0" type="Hiragana"/>
  </si>
  <si>
    <t>지오시스템리서치, 태안화력(예정), 오재</t>
    <phoneticPr fontId="0" type="Hiragana"/>
  </si>
  <si>
    <t>4060 Temperature sensor 3식, 10m 케이블 2식, 1m 케이블 5식</t>
    <phoneticPr fontId="0" type="Hiragana"/>
  </si>
  <si>
    <t>133608</t>
    <phoneticPr fontId="0" type="Hiragana"/>
  </si>
  <si>
    <t>N2537008</t>
    <phoneticPr fontId="0" type="Hiragana"/>
  </si>
  <si>
    <t>2025/11/18 송금완료(EUR5,295.50)</t>
    <phoneticPr fontId="0" type="Hiragana"/>
  </si>
  <si>
    <t>#25-352</t>
    <phoneticPr fontId="0" type="Hiragana"/>
  </si>
  <si>
    <t>이엔에스</t>
    <phoneticPr fontId="0" type="Hiragana"/>
  </si>
  <si>
    <t>Septentrio</t>
    <phoneticPr fontId="0" type="Hiragana"/>
  </si>
  <si>
    <t>GNSS</t>
    <phoneticPr fontId="0" type="Hiragana"/>
  </si>
  <si>
    <t>25752505</t>
    <phoneticPr fontId="0" type="Hiragana"/>
  </si>
  <si>
    <t>25/11/03 선송금완료(EUR21,928)-11/10 송금반환
25/11/13 선송금완료(EUR21,928)</t>
    <phoneticPr fontId="0" type="Hiragana"/>
  </si>
  <si>
    <t>#25-307</t>
    <phoneticPr fontId="0" type="Hiragana"/>
  </si>
  <si>
    <t>T51 수리</t>
    <phoneticPr fontId="0" type="Hiragana"/>
  </si>
  <si>
    <t>CD2570101202</t>
    <phoneticPr fontId="0" type="Hiragana"/>
  </si>
  <si>
    <t>송금요청</t>
    <phoneticPr fontId="0" type="Hiragana"/>
  </si>
  <si>
    <t>ESH-667925</t>
    <phoneticPr fontId="0" type="Hiragana"/>
  </si>
  <si>
    <t>25/12/09 송금완료(EUR1,615.00)</t>
    <phoneticPr fontId="0" type="Hiragana"/>
  </si>
  <si>
    <t xml:space="preserve">이엔에스 </t>
    <phoneticPr fontId="0" type="Hiragana"/>
  </si>
  <si>
    <t>USB Host cable 2식</t>
    <phoneticPr fontId="0" type="Hiragana"/>
  </si>
  <si>
    <t>25752793(선송금100%)</t>
    <phoneticPr fontId="0" type="Hiragana"/>
  </si>
  <si>
    <t>VITROVEX Flotation sphere 48식</t>
    <phoneticPr fontId="0" type="Hiragana"/>
  </si>
  <si>
    <t>12월 12일 도착 예정</t>
    <phoneticPr fontId="0" type="Hiragana"/>
  </si>
  <si>
    <t>대동</t>
    <phoneticPr fontId="0" type="Hiragana"/>
  </si>
  <si>
    <t>604209</t>
    <phoneticPr fontId="0" type="Hiragana"/>
  </si>
  <si>
    <t>레누스, 삼정 해상 진행
25/09/25 송금완료(EUR26,187.00)</t>
    <phoneticPr fontId="0" type="Hiragana"/>
  </si>
  <si>
    <t>#25-218</t>
    <phoneticPr fontId="0" type="Hiragana"/>
  </si>
  <si>
    <t>Oktopus</t>
    <phoneticPr fontId="0" type="Hiragana"/>
  </si>
  <si>
    <t>Parts for TV Grab</t>
    <phoneticPr fontId="0" type="Hiragana"/>
  </si>
  <si>
    <t>OKTO-2025-30</t>
    <phoneticPr fontId="0" type="Hiragana"/>
  </si>
  <si>
    <t>25/12/23 송금완료(EUR2,050.00)</t>
    <phoneticPr fontId="0" type="Hiragana"/>
  </si>
  <si>
    <t>#25-365,386,</t>
    <phoneticPr fontId="0" type="Hiragana"/>
  </si>
  <si>
    <t>KOINS, KHOA(서해, 남해), 오재</t>
    <phoneticPr fontId="0" type="Hiragana"/>
  </si>
  <si>
    <t>DCPS5400 1식, DCS4830 1식, CT5819A 5식, CT케이블 20m 1식, C-clamp 10식</t>
    <phoneticPr fontId="0" type="Hiragana"/>
  </si>
  <si>
    <t>133803</t>
    <phoneticPr fontId="0" type="Hiragana"/>
  </si>
  <si>
    <t>N2545022</t>
    <phoneticPr fontId="0" type="Hiragana"/>
  </si>
  <si>
    <t>25/12/23 송금완료(EUR23,053.70)</t>
    <phoneticPr fontId="0" type="Hiragana"/>
  </si>
  <si>
    <t>#25-410</t>
    <phoneticPr fontId="0" type="Hiragana"/>
  </si>
  <si>
    <t>볼시스</t>
    <phoneticPr fontId="0" type="Hiragana"/>
  </si>
  <si>
    <t>4296A turbidity sensor 1식 + 10m 케이블</t>
    <phoneticPr fontId="0" type="Hiragana"/>
  </si>
  <si>
    <t>133823</t>
    <phoneticPr fontId="0" type="Hiragana"/>
  </si>
  <si>
    <t>N2549010</t>
    <phoneticPr fontId="0" type="Hiragana"/>
  </si>
  <si>
    <t>25/12/23 송금완료(EUR2,434.40)</t>
    <phoneticPr fontId="0" type="Hiragana"/>
  </si>
  <si>
    <t>#25-423</t>
    <phoneticPr fontId="0" type="Hiragana"/>
  </si>
  <si>
    <t>4h-Jena</t>
    <phoneticPr fontId="0" type="Hiragana"/>
  </si>
  <si>
    <t>Contros SBE copper pump head 2식</t>
    <phoneticPr fontId="0" type="Hiragana"/>
  </si>
  <si>
    <t>R250338</t>
    <phoneticPr fontId="0" type="Hiragana"/>
  </si>
  <si>
    <t>A250284</t>
    <phoneticPr fontId="0" type="Hiragana"/>
  </si>
  <si>
    <t>25/12/23 송금완료(EUR583.10)</t>
    <phoneticPr fontId="0" type="Hiragana"/>
  </si>
  <si>
    <t>#25-271</t>
    <phoneticPr fontId="0" type="Hiragana"/>
  </si>
  <si>
    <t>한일뉴즈</t>
    <phoneticPr fontId="0" type="Hiragana"/>
  </si>
  <si>
    <t>PHINS 4 Surface 2식</t>
    <phoneticPr fontId="0" type="Hiragana"/>
  </si>
  <si>
    <t>FA325_00855</t>
    <phoneticPr fontId="0" type="Hiragana"/>
  </si>
  <si>
    <t>AR3250447</t>
    <phoneticPr fontId="0" type="Hiragana"/>
  </si>
  <si>
    <t>26/1/14 송금완료(EUR156,400.00)</t>
    <phoneticPr fontId="0" type="Hiragana"/>
  </si>
  <si>
    <t>Phins PH-1952 수리</t>
    <phoneticPr fontId="0" type="Hiragana"/>
  </si>
  <si>
    <t>26년 1월</t>
    <phoneticPr fontId="0" type="Hiragana"/>
  </si>
  <si>
    <t>FA325_00879</t>
    <phoneticPr fontId="0" type="Hiragana"/>
  </si>
  <si>
    <t>26/1/14 송금완료(EUR9,588.02)</t>
    <phoneticPr fontId="0" type="Hiragana"/>
  </si>
  <si>
    <t>#25-383</t>
    <phoneticPr fontId="0" type="Hiragana"/>
  </si>
  <si>
    <t>T50 수리 ESH-671830</t>
    <phoneticPr fontId="0" type="Hiragana"/>
  </si>
  <si>
    <t>CD2570101618</t>
    <phoneticPr fontId="0" type="Hiragana"/>
  </si>
  <si>
    <t>ESH-671830</t>
    <phoneticPr fontId="0" type="Hiragana"/>
  </si>
  <si>
    <t>26/1/13 송금완료(EUR7,833.60)</t>
    <phoneticPr fontId="0" type="Hiragana"/>
  </si>
  <si>
    <t>#25-394</t>
    <phoneticPr fontId="0" type="Hiragana"/>
  </si>
  <si>
    <t>미래해양</t>
    <phoneticPr fontId="0" type="Hiragana"/>
  </si>
  <si>
    <t>T50-R INS20</t>
    <phoneticPr fontId="0" type="Hiragana"/>
  </si>
  <si>
    <t>CD2570101591</t>
    <phoneticPr fontId="0" type="Hiragana"/>
  </si>
  <si>
    <t>OPP-31724</t>
    <phoneticPr fontId="0" type="Hiragana"/>
  </si>
  <si>
    <t>26/1/13 송금완료(EUR183,704.75)</t>
    <phoneticPr fontId="0" type="Hiragana"/>
  </si>
  <si>
    <t>#25-379</t>
    <phoneticPr fontId="0" type="Hiragana"/>
  </si>
  <si>
    <t>Hydrophone and Preamlifier(TC4037-3)</t>
    <phoneticPr fontId="0" type="Hiragana"/>
  </si>
  <si>
    <t>CD2670100054</t>
    <phoneticPr fontId="0" type="Hiragana"/>
  </si>
  <si>
    <t>OPP-37943</t>
    <phoneticPr fontId="0" type="Hiragana"/>
  </si>
  <si>
    <t>26/2/11 송금완료(EUR4,254.25)</t>
    <phoneticPr fontId="0" type="Hiragana"/>
  </si>
  <si>
    <t>#26-38</t>
    <phoneticPr fontId="0" type="Hiragana"/>
  </si>
  <si>
    <t>지오시스템리서치</t>
    <phoneticPr fontId="0" type="Hiragana"/>
  </si>
  <si>
    <t>Repair for M2</t>
    <phoneticPr fontId="0" type="Hiragana"/>
  </si>
  <si>
    <t>09MA26</t>
    <phoneticPr fontId="0" type="Hiragana"/>
  </si>
  <si>
    <t>26/02/26 송금완료(EUR2,928.00)</t>
    <phoneticPr fontId="0" type="Hiragana"/>
  </si>
  <si>
    <t>#26-40</t>
    <phoneticPr fontId="0" type="Hiragana"/>
  </si>
  <si>
    <t>Repair for Power supply</t>
    <phoneticPr fontId="0" type="Hiragana"/>
  </si>
  <si>
    <t>10MA26</t>
    <phoneticPr fontId="0" type="Hiragana"/>
  </si>
  <si>
    <t>26/02/26 송금완료(EUR1,386.00)</t>
    <phoneticPr fontId="0" type="Hiragana"/>
  </si>
  <si>
    <t>예정</t>
    <phoneticPr fontId="0" type="Hiragana"/>
  </si>
  <si>
    <t>Kleyfrance</t>
    <phoneticPr fontId="0" type="Hiragana"/>
  </si>
  <si>
    <t>Core sampler Spare parts</t>
    <phoneticPr fontId="0" type="Hiragana"/>
  </si>
  <si>
    <t>부산</t>
    <phoneticPr fontId="0" type="Hiragana"/>
  </si>
  <si>
    <t>15066 (선송금30%) 완료,
15096 (잔금 70%)</t>
    <phoneticPr fontId="0" type="Hiragana"/>
  </si>
  <si>
    <t>25/12/08 선송금30%완료(EUR2,478.90)
26/03/05 잔금송금완료(EUR5,813.70)</t>
    <phoneticPr fontId="0" type="Hiragana"/>
  </si>
  <si>
    <t>#26-34</t>
    <phoneticPr fontId="0" type="Hiragana"/>
  </si>
  <si>
    <t>TC4014-5, EC6076, Cable 100m</t>
    <phoneticPr fontId="0" type="Hiragana"/>
  </si>
  <si>
    <t>CD2670100147</t>
    <phoneticPr fontId="0" type="Hiragana"/>
  </si>
  <si>
    <t>OPP-39347</t>
    <phoneticPr fontId="0" type="Hiragana"/>
  </si>
  <si>
    <t>26/03/05 송금완료(EUR11,942.50)</t>
    <phoneticPr fontId="0" type="Hiragana"/>
  </si>
  <si>
    <t>KIOST, 오재</t>
    <phoneticPr fontId="0" type="Hiragana"/>
  </si>
  <si>
    <t>Airmar-EMEA</t>
    <phoneticPr fontId="0" type="Hiragana"/>
  </si>
  <si>
    <t>WS-200WX 5식 + 케이블 2식</t>
    <phoneticPr fontId="0" type="Hiragana"/>
  </si>
  <si>
    <t>3월초</t>
    <phoneticPr fontId="0" type="Hiragana"/>
  </si>
  <si>
    <t>AD40000546</t>
    <phoneticPr fontId="0" type="Hiragana"/>
  </si>
  <si>
    <t>26/1/27 선송금완료(EUR6,374.06)</t>
    <phoneticPr fontId="0" type="Hiragana"/>
  </si>
  <si>
    <t>#26-30</t>
    <phoneticPr fontId="0" type="Hiragana"/>
  </si>
  <si>
    <t>Repair for T50-R ESH-672185</t>
    <phoneticPr fontId="0" type="Hiragana"/>
  </si>
  <si>
    <t>CD2670100235</t>
    <phoneticPr fontId="0" type="Hiragana"/>
  </si>
  <si>
    <t>ESH-672185</t>
    <phoneticPr fontId="0" type="Hiragana"/>
  </si>
  <si>
    <t>26/3/18 송금완료(EUR48,702.45)</t>
    <phoneticPr fontId="0" type="Hiragana"/>
  </si>
  <si>
    <t>#26-25, 27, 31</t>
    <phoneticPr fontId="0" type="Hiragana"/>
  </si>
  <si>
    <t>KOINS, KHOA</t>
    <phoneticPr fontId="0" type="Hiragana"/>
  </si>
  <si>
    <t>SeaGuard II, DCS, Cable, Battery case 등</t>
    <phoneticPr fontId="0" type="Hiragana"/>
  </si>
  <si>
    <t>134080</t>
    <phoneticPr fontId="0" type="Hiragana"/>
  </si>
  <si>
    <t>N2605008</t>
    <phoneticPr fontId="0" type="Hiragana"/>
  </si>
  <si>
    <t>26/3/18 송금완료(EUR28,106.95)</t>
    <phoneticPr fontId="0" type="Hiragana"/>
  </si>
  <si>
    <t>#26-33</t>
    <phoneticPr fontId="0" type="Hiragana"/>
  </si>
  <si>
    <t>Repair for T50 ESH-672606</t>
    <phoneticPr fontId="0" type="Hiragana"/>
  </si>
  <si>
    <t>CD2670100216</t>
    <phoneticPr fontId="0" type="Hiragana"/>
  </si>
  <si>
    <t>ESH-672606</t>
    <phoneticPr fontId="0" type="Hiragana"/>
  </si>
  <si>
    <t>26/3/18 송금완료(EUR28,445.25)</t>
    <phoneticPr fontId="0" type="Hiragana"/>
  </si>
  <si>
    <t>#26-예정</t>
    <phoneticPr fontId="0" type="Hiragana"/>
  </si>
  <si>
    <t>국립수산과학원</t>
    <phoneticPr fontId="0" type="Hiragana"/>
  </si>
  <si>
    <t>Aqua Optode 4식 + 5m cable</t>
  </si>
  <si>
    <t>134078</t>
    <phoneticPr fontId="0" type="Hiragana"/>
  </si>
  <si>
    <t>N2552002</t>
    <phoneticPr fontId="0" type="Hiragana"/>
  </si>
  <si>
    <t>26/3/18 송금완료(EUR6,035.85)</t>
    <phoneticPr fontId="0" type="Hiragana"/>
  </si>
  <si>
    <t>#25-407</t>
    <phoneticPr fontId="0" type="Hiragana"/>
  </si>
  <si>
    <t>Scanfish 2D repair + 3D upgrade</t>
    <phoneticPr fontId="0" type="Hiragana"/>
  </si>
  <si>
    <t>66532</t>
  </si>
  <si>
    <t>한성, 삼정 진행 26/3/24 송금완료</t>
    <phoneticPr fontId="0" type="Hiragana"/>
  </si>
  <si>
    <t>#25-408</t>
    <phoneticPr fontId="0" type="Hiragana"/>
  </si>
  <si>
    <t>Scanfish 3D repair</t>
    <phoneticPr fontId="0" type="Hiragana"/>
  </si>
  <si>
    <t>66531</t>
  </si>
  <si>
    <t>GNM</t>
    <phoneticPr fontId="0" type="Hiragana"/>
  </si>
  <si>
    <t>모크니스용 부품(AWQ-S012)</t>
    <phoneticPr fontId="0" type="Hiragana"/>
  </si>
  <si>
    <t>이재윤</t>
    <phoneticPr fontId="0" type="Hiragana"/>
  </si>
  <si>
    <t>CCI-22-056</t>
    <phoneticPr fontId="0" type="Hiragana"/>
  </si>
  <si>
    <t>COD</t>
    <phoneticPr fontId="0" type="Hiragana"/>
  </si>
  <si>
    <t>홍다운</t>
    <phoneticPr fontId="0" type="Hiragana"/>
  </si>
  <si>
    <t>2023/01/05 송금완료($1,825.40)</t>
    <phoneticPr fontId="0" type="Hiragana"/>
  </si>
  <si>
    <t>#24-281</t>
    <phoneticPr fontId="0" type="Hiragana"/>
  </si>
  <si>
    <t>Oceaneering</t>
    <phoneticPr fontId="0" type="Hiragana"/>
  </si>
  <si>
    <t>A43 Antenna</t>
    <phoneticPr fontId="0" type="Hiragana"/>
  </si>
  <si>
    <t>SOR0025700-2</t>
    <phoneticPr fontId="0" type="Hiragana"/>
  </si>
  <si>
    <t>25/02/04 송금완료($1,089.00)</t>
    <phoneticPr fontId="0" type="Hiragana"/>
  </si>
  <si>
    <t>#23-83</t>
    <phoneticPr fontId="0" type="Hiragana"/>
  </si>
  <si>
    <t>LIG넥스원</t>
    <phoneticPr fontId="0" type="Hiragana"/>
  </si>
  <si>
    <t>Hemisphere R632 System</t>
    <phoneticPr fontId="0" type="Hiragana"/>
  </si>
  <si>
    <t>E0041-00000361</t>
    <phoneticPr fontId="0" type="Hiragana"/>
  </si>
  <si>
    <t>SOR0025775</t>
    <phoneticPr fontId="0" type="Hiragana"/>
  </si>
  <si>
    <t>25/02/04 송금완료($4,900.00)</t>
    <phoneticPr fontId="0" type="Hiragana"/>
  </si>
  <si>
    <t>#24-323</t>
    <phoneticPr fontId="0" type="Hiragana"/>
  </si>
  <si>
    <t>IR-7300</t>
    <phoneticPr fontId="0" type="Hiragana"/>
  </si>
  <si>
    <t>INV010108</t>
    <phoneticPr fontId="0" type="Hiragana"/>
  </si>
  <si>
    <t>ORD0019529</t>
    <phoneticPr fontId="0" type="Hiragana"/>
  </si>
  <si>
    <t>25/02/05 송금완료($3,825.00)</t>
    <phoneticPr fontId="0" type="Hiragana"/>
  </si>
  <si>
    <t>#24-335</t>
    <phoneticPr fontId="0" type="Hiragana"/>
  </si>
  <si>
    <t>에이셋</t>
    <phoneticPr fontId="0" type="Hiragana"/>
  </si>
  <si>
    <t>Stream+ 12식</t>
    <phoneticPr fontId="0" type="Hiragana"/>
  </si>
  <si>
    <t>강성화</t>
    <phoneticPr fontId="0" type="Hiragana"/>
  </si>
  <si>
    <t>INV010133</t>
    <phoneticPr fontId="0" type="Hiragana"/>
  </si>
  <si>
    <t>ORD0019533</t>
    <phoneticPr fontId="0" type="Hiragana"/>
  </si>
  <si>
    <t>25/02/05 송금완료($14,796.00)</t>
    <phoneticPr fontId="0" type="Hiragana"/>
  </si>
  <si>
    <t>INV010107</t>
    <phoneticPr fontId="0" type="Hiragana"/>
  </si>
  <si>
    <t>#24-351</t>
    <phoneticPr fontId="0" type="Hiragana"/>
  </si>
  <si>
    <t>KRISO</t>
    <phoneticPr fontId="0" type="Hiragana"/>
  </si>
  <si>
    <t>Servern Marine Technologies</t>
    <phoneticPr fontId="0" type="Hiragana"/>
  </si>
  <si>
    <t>Coating for DCS</t>
    <phoneticPr fontId="0" type="Hiragana"/>
  </si>
  <si>
    <t>김주연</t>
    <phoneticPr fontId="0" type="Hiragana"/>
  </si>
  <si>
    <t>번호 없음</t>
    <phoneticPr fontId="0" type="Hiragana"/>
  </si>
  <si>
    <t>25/2/11 송금완료($1,200.00)</t>
    <phoneticPr fontId="0" type="Hiragana"/>
  </si>
  <si>
    <t>Flowmeter 2030R 2식</t>
    <phoneticPr fontId="0" type="Hiragana"/>
  </si>
  <si>
    <t>CCI-25-003</t>
    <phoneticPr fontId="0" type="Hiragana"/>
  </si>
  <si>
    <t>25/2/14 송금완료($850.00)</t>
    <phoneticPr fontId="0" type="Hiragana"/>
  </si>
  <si>
    <t>#25-006</t>
    <phoneticPr fontId="0" type="Hiragana"/>
  </si>
  <si>
    <t>BRC Engineering</t>
    <phoneticPr fontId="0" type="Hiragana"/>
  </si>
  <si>
    <t>Hydrophone coupler</t>
    <phoneticPr fontId="0" type="Hiragana"/>
  </si>
  <si>
    <t>011725-12</t>
    <phoneticPr fontId="0" type="Hiragana"/>
  </si>
  <si>
    <t>카드결제</t>
    <phoneticPr fontId="0" type="Hiragana"/>
  </si>
  <si>
    <t>Release it</t>
    <phoneticPr fontId="0" type="Hiragana"/>
  </si>
  <si>
    <t>CD2523100182</t>
    <phoneticPr fontId="0" type="Hiragana"/>
  </si>
  <si>
    <t>R163560</t>
    <phoneticPr fontId="0" type="Hiragana"/>
  </si>
  <si>
    <t>25/02/20 송금완료($8,757.90)</t>
    <phoneticPr fontId="0" type="Hiragana"/>
  </si>
  <si>
    <t>#25-13</t>
    <phoneticPr fontId="0" type="Hiragana"/>
  </si>
  <si>
    <t>UTS-9400 수리</t>
    <phoneticPr fontId="0" type="Hiragana"/>
  </si>
  <si>
    <t>CD2523100162</t>
    <phoneticPr fontId="0" type="Hiragana"/>
  </si>
  <si>
    <t>R165854</t>
    <phoneticPr fontId="0" type="Hiragana"/>
  </si>
  <si>
    <t>25/02/20 송금완료($1,608.00)</t>
    <phoneticPr fontId="0" type="Hiragana"/>
  </si>
  <si>
    <t>ATT-400ST 점검비용 (수리불가)</t>
    <phoneticPr fontId="0" type="Hiragana"/>
  </si>
  <si>
    <t>25/02/20 송금완료($250.00)</t>
    <phoneticPr fontId="0" type="Hiragana"/>
  </si>
  <si>
    <t>#25-28</t>
    <phoneticPr fontId="0" type="Hiragana"/>
  </si>
  <si>
    <t>1월 통신비(미착품)</t>
    <phoneticPr fontId="0" type="Hiragana"/>
  </si>
  <si>
    <t>202501_160</t>
    <phoneticPr fontId="0" type="Hiragana"/>
  </si>
  <si>
    <t>25/2/26 송금완료($2,636.34)</t>
    <phoneticPr fontId="0" type="Hiragana"/>
  </si>
  <si>
    <t>#24-367</t>
    <phoneticPr fontId="0" type="Hiragana"/>
  </si>
  <si>
    <t>비엘프로세스</t>
    <phoneticPr fontId="0" type="Hiragana"/>
  </si>
  <si>
    <t>Zebratech</t>
    <phoneticPr fontId="0" type="Hiragana"/>
  </si>
  <si>
    <t>DL30 Hydrowiper + 6m cable</t>
    <phoneticPr fontId="0" type="Hiragana"/>
  </si>
  <si>
    <t>25/2/26 송금완료($1,079.04)</t>
    <phoneticPr fontId="0" type="Hiragana"/>
  </si>
  <si>
    <t>R12K</t>
    <phoneticPr fontId="0" type="Hiragana"/>
  </si>
  <si>
    <t>CD2523100251</t>
    <phoneticPr fontId="0" type="Hiragana"/>
  </si>
  <si>
    <t>R165327</t>
    <phoneticPr fontId="0" type="Hiragana"/>
  </si>
  <si>
    <t>25/3/7  송금완료($16,429.50)</t>
    <phoneticPr fontId="0" type="Hiragana"/>
  </si>
  <si>
    <t>KOPRI, 오션재고</t>
    <phoneticPr fontId="0" type="Hiragana"/>
  </si>
  <si>
    <t>R2K Battery packs 10식</t>
    <phoneticPr fontId="0" type="Hiragana"/>
  </si>
  <si>
    <t>CD2523100376</t>
  </si>
  <si>
    <t>R166701</t>
    <phoneticPr fontId="0" type="Hiragana"/>
  </si>
  <si>
    <t>25/3/7  송금완료($4,608.00)</t>
    <phoneticPr fontId="0" type="Hiragana"/>
  </si>
  <si>
    <t>HONGKONG PROFIT</t>
    <phoneticPr fontId="0" type="Hiragana"/>
  </si>
  <si>
    <t>DC module 외</t>
    <phoneticPr fontId="0" type="Hiragana"/>
  </si>
  <si>
    <t>심윤송</t>
    <phoneticPr fontId="0" type="Hiragana"/>
  </si>
  <si>
    <t>RS AMERICAS</t>
    <phoneticPr fontId="0" type="Hiragana"/>
  </si>
  <si>
    <t>소모품 (Power Supply AC)</t>
    <phoneticPr fontId="0" type="Hiragana"/>
  </si>
  <si>
    <t>기술부</t>
    <phoneticPr fontId="0" type="Hiragana"/>
  </si>
  <si>
    <t>소모품</t>
    <phoneticPr fontId="0" type="Hiragana"/>
  </si>
  <si>
    <t>Blue star</t>
    <phoneticPr fontId="0" type="Hiragana"/>
  </si>
  <si>
    <t>Metal case 등</t>
    <phoneticPr fontId="0" type="Hiragana"/>
  </si>
  <si>
    <t>SHENZHEN ISMART ELECTRONIC CO., LTD</t>
    <phoneticPr fontId="0" type="Hiragana"/>
  </si>
  <si>
    <t>Waterproof Junction Box -need top, bottom, waterproof ring 10식</t>
    <phoneticPr fontId="0" type="Hiragana"/>
  </si>
  <si>
    <t>#25-16</t>
    <phoneticPr fontId="0" type="Hiragana"/>
  </si>
  <si>
    <t>C-Nav X1 Annual activation SN0240</t>
    <phoneticPr fontId="0" type="Hiragana"/>
  </si>
  <si>
    <t>R0041-00000102</t>
    <phoneticPr fontId="0" type="Hiragana"/>
  </si>
  <si>
    <t>25/3/11 송금완료($9,535.63)</t>
    <phoneticPr fontId="0" type="Hiragana"/>
  </si>
  <si>
    <t>무인팀</t>
    <phoneticPr fontId="0" type="Hiragana"/>
  </si>
  <si>
    <t>Seafloor</t>
    <phoneticPr fontId="0" type="Hiragana"/>
  </si>
  <si>
    <t>Echoboat spare part</t>
    <phoneticPr fontId="0" type="Hiragana"/>
  </si>
  <si>
    <t>다음 주문건과 함께 송금</t>
    <phoneticPr fontId="0" type="Hiragana"/>
  </si>
  <si>
    <t>25/03/11 송금완료($123.14)</t>
    <phoneticPr fontId="0" type="Hiragana"/>
  </si>
  <si>
    <t>#25-25</t>
    <phoneticPr fontId="0" type="Hiragana"/>
  </si>
  <si>
    <t>고리원전</t>
    <phoneticPr fontId="0" type="Hiragana"/>
  </si>
  <si>
    <t>Miros</t>
    <phoneticPr fontId="0" type="Hiragana"/>
  </si>
  <si>
    <t>SM-140</t>
    <phoneticPr fontId="0" type="Hiragana"/>
  </si>
  <si>
    <t>25/03/18 송금완료($14,875.00)</t>
    <phoneticPr fontId="0" type="Hiragana"/>
  </si>
  <si>
    <t>#24-365</t>
    <phoneticPr fontId="0" type="Hiragana"/>
  </si>
  <si>
    <t>Stream+OEM-F 25식 먼저 선적</t>
    <phoneticPr fontId="0" type="Hiragana"/>
  </si>
  <si>
    <t>INV010394</t>
    <phoneticPr fontId="0" type="Hiragana"/>
  </si>
  <si>
    <t>ORD0019676</t>
    <phoneticPr fontId="0" type="Hiragana"/>
  </si>
  <si>
    <t>25/03/26 송금완료($32.825.00)</t>
    <phoneticPr fontId="0" type="Hiragana"/>
  </si>
  <si>
    <t>RM Young 92500 Weather Transmitter</t>
    <phoneticPr fontId="0" type="Hiragana"/>
  </si>
  <si>
    <t>CC-25-011</t>
    <phoneticPr fontId="0" type="Hiragana"/>
  </si>
  <si>
    <t>25/03/26 송금완료($2,711.60)</t>
    <phoneticPr fontId="0" type="Hiragana"/>
  </si>
  <si>
    <t>#25-37</t>
  </si>
  <si>
    <t>KOPRI, 아시아조선</t>
    <phoneticPr fontId="0" type="Hiragana"/>
  </si>
  <si>
    <t>GNM</t>
  </si>
  <si>
    <t>Parts for pCO2 system(분할선적)</t>
    <phoneticPr fontId="0" type="Hiragana"/>
  </si>
  <si>
    <t>CCI-25-009</t>
    <phoneticPr fontId="0" type="Hiragana"/>
  </si>
  <si>
    <t>25/03/26 송금완료($330.90)</t>
    <phoneticPr fontId="0" type="Hiragana"/>
  </si>
  <si>
    <t>#25-31</t>
    <phoneticPr fontId="0" type="Hiragana"/>
  </si>
  <si>
    <t>Cway7</t>
    <phoneticPr fontId="0" type="Hiragana"/>
  </si>
  <si>
    <t>HIPS and SIPS Professional Upgrade</t>
    <phoneticPr fontId="0" type="Hiragana"/>
  </si>
  <si>
    <t>25/03/26 송금완료($4,491.31)</t>
    <phoneticPr fontId="0" type="Hiragana"/>
  </si>
  <si>
    <t>에이샛</t>
    <phoneticPr fontId="0" type="Hiragana"/>
  </si>
  <si>
    <t>metocean</t>
    <phoneticPr fontId="0" type="Hiragana"/>
  </si>
  <si>
    <t>2월사용통신비</t>
    <phoneticPr fontId="0" type="Hiragana"/>
  </si>
  <si>
    <t>25/03/26 송금완료($1,735.00)</t>
    <phoneticPr fontId="0" type="Hiragana"/>
  </si>
  <si>
    <t>#25-61</t>
    <phoneticPr fontId="0" type="Hiragana"/>
  </si>
  <si>
    <t>HIPS and SIPS Professional subscription</t>
    <phoneticPr fontId="0" type="Hiragana"/>
  </si>
  <si>
    <t>25/03/26 송금완료($3,485.00)</t>
    <phoneticPr fontId="0" type="Hiragana"/>
  </si>
  <si>
    <t>Release it 커넥터</t>
    <phoneticPr fontId="0" type="Hiragana"/>
  </si>
  <si>
    <t>통관은 유환 통관</t>
    <phoneticPr fontId="0" type="Hiragana"/>
  </si>
  <si>
    <t>#25-51</t>
    <phoneticPr fontId="0" type="Hiragana"/>
  </si>
  <si>
    <t>한국에너지기술연구원</t>
    <phoneticPr fontId="0" type="Hiragana"/>
  </si>
  <si>
    <t>MCIL8F 50m</t>
    <phoneticPr fontId="0" type="Hiragana"/>
  </si>
  <si>
    <t>20250312LH502</t>
    <phoneticPr fontId="0" type="Hiragana"/>
  </si>
  <si>
    <t>X25-502</t>
    <phoneticPr fontId="0" type="Hiragana"/>
  </si>
  <si>
    <t>25/04/01 송금완료($290)</t>
    <phoneticPr fontId="0" type="Hiragana"/>
  </si>
  <si>
    <t>#24-337, 예정</t>
    <phoneticPr fontId="0" type="Hiragana"/>
  </si>
  <si>
    <t>해양대, KIOST</t>
    <phoneticPr fontId="0" type="Hiragana"/>
  </si>
  <si>
    <t>12pin 400m, 6pin 120m, 8pin 120m</t>
    <phoneticPr fontId="0" type="Hiragana"/>
  </si>
  <si>
    <t>20250303LH051</t>
    <phoneticPr fontId="0" type="Hiragana"/>
  </si>
  <si>
    <t>X25-501</t>
    <phoneticPr fontId="0" type="Hiragana"/>
  </si>
  <si>
    <t>25/04/01 송금완료($4,126.00)</t>
    <phoneticPr fontId="0" type="Hiragana"/>
  </si>
  <si>
    <t xml:space="preserve">MFT-1 20식 </t>
    <phoneticPr fontId="0" type="Hiragana"/>
  </si>
  <si>
    <t>25/04/01 송금완료($34,062.87)</t>
    <phoneticPr fontId="0" type="Hiragana"/>
  </si>
  <si>
    <t>Programmed Micro-controller for a DHI-1(부품)</t>
    <phoneticPr fontId="0" type="Hiragana"/>
  </si>
  <si>
    <t>25/04/01 송금완료($95)</t>
    <phoneticPr fontId="0" type="Hiragana"/>
  </si>
  <si>
    <t>#24-116</t>
    <phoneticPr fontId="0" type="Hiragana"/>
  </si>
  <si>
    <t>Astro Flight</t>
    <phoneticPr fontId="0" type="Hiragana"/>
  </si>
  <si>
    <t>RC PWM to Voltage converter(연구과제)</t>
    <phoneticPr fontId="0" type="Hiragana"/>
  </si>
  <si>
    <t>RS America</t>
    <phoneticPr fontId="0" type="Hiragana"/>
  </si>
  <si>
    <t>Hydrophone calibrator and adapter</t>
    <phoneticPr fontId="0" type="Hiragana"/>
  </si>
  <si>
    <t>#25-65</t>
    <phoneticPr fontId="0" type="Hiragana"/>
  </si>
  <si>
    <t>Chesapeake</t>
    <phoneticPr fontId="0" type="Hiragana"/>
  </si>
  <si>
    <t>EMA for SonarWiz</t>
    <phoneticPr fontId="0" type="Hiragana"/>
  </si>
  <si>
    <t>25/04/11 송금완료($1,046.25)</t>
    <phoneticPr fontId="0" type="Hiragana"/>
  </si>
  <si>
    <t>#24-28</t>
    <phoneticPr fontId="0" type="Hiragana"/>
  </si>
  <si>
    <t>대선조선</t>
    <phoneticPr fontId="0" type="Hiragana"/>
  </si>
  <si>
    <t>중력계 케이블 10m</t>
    <phoneticPr fontId="0" type="Hiragana"/>
  </si>
  <si>
    <t>I25031801</t>
    <phoneticPr fontId="0" type="Hiragana"/>
  </si>
  <si>
    <t>#25-37</t>
    <phoneticPr fontId="0" type="Hiragana"/>
  </si>
  <si>
    <t>5월 중순</t>
    <phoneticPr fontId="0" type="Hiragana"/>
  </si>
  <si>
    <t>CCI-25-012</t>
    <phoneticPr fontId="0" type="Hiragana"/>
  </si>
  <si>
    <t>CCI-25-004</t>
    <phoneticPr fontId="0" type="Hiragana"/>
  </si>
  <si>
    <t>25/04/18 송금완료($4,500)</t>
    <phoneticPr fontId="0" type="Hiragana"/>
  </si>
  <si>
    <t>Texas instrument</t>
    <phoneticPr fontId="0" type="Hiragana"/>
  </si>
  <si>
    <t>#25-85</t>
    <phoneticPr fontId="0" type="Hiragana"/>
  </si>
  <si>
    <t>Weiya Electronic</t>
    <phoneticPr fontId="0" type="Hiragana"/>
  </si>
  <si>
    <t>차세대 데이터로거 커넥터 (소모품)</t>
    <phoneticPr fontId="0" type="Hiragana"/>
  </si>
  <si>
    <t xml:space="preserve">Foshan Nanhai </t>
    <phoneticPr fontId="0" type="Hiragana"/>
  </si>
  <si>
    <t xml:space="preserve">차세대 데이터로거 알루미늄 케이스 </t>
    <phoneticPr fontId="0" type="Hiragana"/>
  </si>
  <si>
    <t>삼정관세사</t>
    <phoneticPr fontId="0" type="Hiragana"/>
  </si>
  <si>
    <t>3월 요금</t>
    <phoneticPr fontId="0" type="Hiragana"/>
  </si>
  <si>
    <t>통신요금</t>
    <phoneticPr fontId="0" type="Hiragana"/>
  </si>
  <si>
    <t>2025-04-24 송금완료 ($3,664.50)</t>
    <phoneticPr fontId="0" type="Hiragana"/>
  </si>
  <si>
    <t>Stream+OEM-F 72식</t>
    <phoneticPr fontId="0" type="Hiragana"/>
  </si>
  <si>
    <t>INV010437</t>
    <phoneticPr fontId="0" type="Hiragana"/>
  </si>
  <si>
    <t>2025-04-24 송금완료 ($94,536.00)</t>
    <phoneticPr fontId="0" type="Hiragana"/>
  </si>
  <si>
    <t>#25-22, 75</t>
    <phoneticPr fontId="0" type="Hiragana"/>
  </si>
  <si>
    <t>LRI</t>
    <phoneticPr fontId="0" type="Hiragana"/>
  </si>
  <si>
    <t>Parts for Wave Glider</t>
    <phoneticPr fontId="0" type="Hiragana"/>
  </si>
  <si>
    <t>SO5085</t>
    <phoneticPr fontId="0" type="Hiragana"/>
  </si>
  <si>
    <t>2025-04-24 송금완료 ($8,029.72)</t>
    <phoneticPr fontId="0" type="Hiragana"/>
  </si>
  <si>
    <t>Xeos Technologies</t>
    <phoneticPr fontId="0" type="Hiragana"/>
  </si>
  <si>
    <t>Repair for Resilient Trackers sn.0146, 0185</t>
    <phoneticPr fontId="0" type="Hiragana"/>
  </si>
  <si>
    <t>2025-04-23 송금완료 ($535.00)</t>
    <phoneticPr fontId="0" type="Hiragana"/>
  </si>
  <si>
    <t>#25-58</t>
    <phoneticPr fontId="0" type="Hiragana"/>
  </si>
  <si>
    <t>Teledyne Optech</t>
    <phoneticPr fontId="0" type="Hiragana"/>
  </si>
  <si>
    <t>3 Targets Package for Polaris</t>
    <phoneticPr fontId="0" type="Hiragana"/>
  </si>
  <si>
    <t>2025-04-24 송금완료 ($837.25)</t>
    <phoneticPr fontId="0" type="Hiragana"/>
  </si>
  <si>
    <t>미래해양, 오재</t>
    <phoneticPr fontId="0" type="Hiragana"/>
  </si>
  <si>
    <t>PS-200M-2 비콘 수리 키트</t>
    <phoneticPr fontId="0" type="Hiragana"/>
  </si>
  <si>
    <t>INV010476</t>
    <phoneticPr fontId="0" type="Hiragana"/>
  </si>
  <si>
    <t>ORD0020117</t>
    <phoneticPr fontId="0" type="Hiragana"/>
  </si>
  <si>
    <t>2025-04-24 송금완료 ($85.00)</t>
    <phoneticPr fontId="0" type="Hiragana"/>
  </si>
  <si>
    <t>#25-82</t>
    <phoneticPr fontId="0" type="Hiragana"/>
  </si>
  <si>
    <t>Digi Key</t>
    <phoneticPr fontId="0" type="Hiragana"/>
  </si>
  <si>
    <t>차세대 데이터로거 소모자재</t>
    <phoneticPr fontId="0" type="Hiragana"/>
  </si>
  <si>
    <t>선송금 완료</t>
    <phoneticPr fontId="0" type="Hiragana"/>
  </si>
  <si>
    <t>SO#92044820</t>
    <phoneticPr fontId="0" type="Hiragana"/>
  </si>
  <si>
    <t>25/04/14 선송금완료 ($14,036.94)</t>
    <phoneticPr fontId="0" type="Hiragana"/>
  </si>
  <si>
    <t>풍향풍속계 부품, 니스킨 5L</t>
    <phoneticPr fontId="0" type="Hiragana"/>
  </si>
  <si>
    <t>CCI-25-014</t>
    <phoneticPr fontId="0" type="Hiragana"/>
  </si>
  <si>
    <t>CCI-25-006</t>
    <phoneticPr fontId="0" type="Hiragana"/>
  </si>
  <si>
    <t>25/04/18 송금완료($2,032)
25/04/21 송금완료($940)</t>
    <phoneticPr fontId="0" type="Hiragana"/>
  </si>
  <si>
    <t>#25-62</t>
    <phoneticPr fontId="0" type="Hiragana"/>
  </si>
  <si>
    <t>R500 Battery 10식 (오션재고)</t>
    <phoneticPr fontId="0" type="Hiragana"/>
  </si>
  <si>
    <t>CD2523100657</t>
    <phoneticPr fontId="0" type="Hiragana"/>
  </si>
  <si>
    <t>R167667</t>
    <phoneticPr fontId="0" type="Hiragana"/>
  </si>
  <si>
    <t>25/04/29  송금완료($1,377.00)</t>
    <phoneticPr fontId="0" type="Hiragana"/>
  </si>
  <si>
    <t>#25-66</t>
    <phoneticPr fontId="0" type="Hiragana"/>
  </si>
  <si>
    <t>디에스컴퍼니</t>
    <phoneticPr fontId="0" type="Hiragana"/>
  </si>
  <si>
    <t>TAC100 Board 5식</t>
    <phoneticPr fontId="0" type="Hiragana"/>
  </si>
  <si>
    <t>25/04/29  송금완료($2,545.00)</t>
    <phoneticPr fontId="0" type="Hiragana"/>
  </si>
  <si>
    <t>케이블류</t>
    <phoneticPr fontId="0" type="Hiragana"/>
  </si>
  <si>
    <t>20250407LH504</t>
    <phoneticPr fontId="0" type="Hiragana"/>
  </si>
  <si>
    <t>X25-504</t>
    <phoneticPr fontId="0" type="Hiragana"/>
  </si>
  <si>
    <t>25/04/29  송금완료($1,186.00)</t>
    <phoneticPr fontId="0" type="Hiragana"/>
  </si>
  <si>
    <t>#25-89</t>
    <phoneticPr fontId="0" type="Hiragana"/>
  </si>
  <si>
    <t>Frame for R500</t>
    <phoneticPr fontId="0" type="Hiragana"/>
  </si>
  <si>
    <t>CD2523100701</t>
    <phoneticPr fontId="0" type="Hiragana"/>
  </si>
  <si>
    <t>R168217</t>
    <phoneticPr fontId="0" type="Hiragana"/>
  </si>
  <si>
    <t>25/04/29  송금완료($2,169.90)</t>
    <phoneticPr fontId="0" type="Hiragana"/>
  </si>
  <si>
    <t>R2K battery 10식(1식은 극지)</t>
    <phoneticPr fontId="0" type="Hiragana"/>
  </si>
  <si>
    <t>CD2523100699</t>
    <phoneticPr fontId="0" type="Hiragana"/>
  </si>
  <si>
    <t>R168286</t>
    <phoneticPr fontId="0" type="Hiragana"/>
  </si>
  <si>
    <t>25/04/29  송금완료($4,608.00)</t>
    <phoneticPr fontId="0" type="Hiragana"/>
  </si>
  <si>
    <t>#25-104</t>
    <phoneticPr fontId="0" type="Hiragana"/>
  </si>
  <si>
    <t>해연기술</t>
    <phoneticPr fontId="0" type="Hiragana"/>
  </si>
  <si>
    <t>HIPS and SIPS Subscription</t>
    <phoneticPr fontId="0" type="Hiragana"/>
  </si>
  <si>
    <t>25/05/09 송금완료($3,485.00)</t>
    <phoneticPr fontId="1" type="noConversion"/>
  </si>
  <si>
    <t>Spare parts for MOCNESS(59F2F-3, RMG-3-FS)</t>
    <phoneticPr fontId="0" type="Hiragana"/>
  </si>
  <si>
    <t>CCI-25-018</t>
    <phoneticPr fontId="0" type="Hiragana"/>
  </si>
  <si>
    <t>CCI-25-007</t>
    <phoneticPr fontId="0" type="Hiragana"/>
  </si>
  <si>
    <t>25/05/09 송금완료($596.12)</t>
    <phoneticPr fontId="1" type="noConversion"/>
  </si>
  <si>
    <t>#25-131</t>
    <phoneticPr fontId="0" type="Hiragana"/>
  </si>
  <si>
    <t>코니아이앤씨(과학기지)</t>
    <phoneticPr fontId="0" type="Hiragana"/>
  </si>
  <si>
    <t>Parts for 05106</t>
    <phoneticPr fontId="0" type="Hiragana"/>
  </si>
  <si>
    <t>CCI-25-019</t>
    <phoneticPr fontId="0" type="Hiragana"/>
  </si>
  <si>
    <t>CCI-25-008</t>
    <phoneticPr fontId="0" type="Hiragana"/>
  </si>
  <si>
    <t>25/05/09 송금완료($3,350.20)</t>
    <phoneticPr fontId="1" type="noConversion"/>
  </si>
  <si>
    <t>#25-77</t>
    <phoneticPr fontId="0" type="Hiragana"/>
  </si>
  <si>
    <t>Sercel</t>
    <phoneticPr fontId="0" type="Hiragana"/>
  </si>
  <si>
    <t>Tail Swivel 2식</t>
    <phoneticPr fontId="0" type="Hiragana"/>
  </si>
  <si>
    <t>25/05/12 송금완료($30,100.00)</t>
    <phoneticPr fontId="0" type="Hiragana"/>
  </si>
  <si>
    <t>#25-96</t>
    <phoneticPr fontId="0" type="Hiragana"/>
  </si>
  <si>
    <t>#25-76 외(예정)</t>
    <phoneticPr fontId="0" type="Hiragana"/>
  </si>
  <si>
    <t>K-Water(시화/신성산업), KHOA, 전남해상풍력</t>
    <phoneticPr fontId="0" type="Hiragana"/>
  </si>
  <si>
    <t>SM-140 4식(수자원 2식, 조사원 1식, 전남해상 1식)</t>
    <phoneticPr fontId="0" type="Hiragana"/>
  </si>
  <si>
    <t>Guangzhou Yawei</t>
    <phoneticPr fontId="0" type="Hiragana"/>
  </si>
  <si>
    <t>Digi-key</t>
    <phoneticPr fontId="0" type="Hiragana"/>
  </si>
  <si>
    <t>#25-26</t>
    <phoneticPr fontId="0" type="Hiragana"/>
  </si>
  <si>
    <t>지오스토리</t>
    <phoneticPr fontId="0" type="Hiragana"/>
  </si>
  <si>
    <t>R632 system</t>
    <phoneticPr fontId="0" type="Hiragana"/>
  </si>
  <si>
    <t xml:space="preserve"> E0041-00000367</t>
    <phoneticPr fontId="0" type="Hiragana"/>
  </si>
  <si>
    <t>SOR0026258</t>
    <phoneticPr fontId="0" type="Hiragana"/>
  </si>
  <si>
    <t>25/05/20 송금완료($4,900.00)</t>
    <phoneticPr fontId="0" type="Hiragana"/>
  </si>
  <si>
    <t>#25-105</t>
    <phoneticPr fontId="0" type="Hiragana"/>
  </si>
  <si>
    <t>엠알씨</t>
    <phoneticPr fontId="0" type="Hiragana"/>
  </si>
  <si>
    <t>C-nav correction service 1 month</t>
    <phoneticPr fontId="0" type="Hiragana"/>
  </si>
  <si>
    <t>R0041-00000112</t>
    <phoneticPr fontId="0" type="Hiragana"/>
  </si>
  <si>
    <t>25/05/20 송금완료($1,795.50)</t>
    <phoneticPr fontId="0" type="Hiragana"/>
  </si>
  <si>
    <t>H10 3month subscription</t>
    <phoneticPr fontId="0" type="Hiragana"/>
  </si>
  <si>
    <t>R0041-00000111</t>
    <phoneticPr fontId="0" type="Hiragana"/>
  </si>
  <si>
    <t>25/05/20 송금완료($2,612.50)</t>
    <phoneticPr fontId="0" type="Hiragana"/>
  </si>
  <si>
    <t>#25-63</t>
    <phoneticPr fontId="0" type="Hiragana"/>
  </si>
  <si>
    <t>Iridium Edge Antenna</t>
    <phoneticPr fontId="0" type="Hiragana"/>
  </si>
  <si>
    <t>E0041-00000371</t>
    <phoneticPr fontId="0" type="Hiragana"/>
  </si>
  <si>
    <t>25/05/20 송금완료($715.00)</t>
    <phoneticPr fontId="0" type="Hiragana"/>
  </si>
  <si>
    <t>C-nav correction service 3 months (sn.0010, 0086)</t>
    <phoneticPr fontId="0" type="Hiragana"/>
  </si>
  <si>
    <t>R0041-00000114</t>
    <phoneticPr fontId="0" type="Hiragana"/>
  </si>
  <si>
    <t>25/05/20 송금완료($6,925.50)</t>
    <phoneticPr fontId="0" type="Hiragana"/>
  </si>
  <si>
    <t>Sofar Ocean</t>
    <phoneticPr fontId="0" type="Hiragana"/>
  </si>
  <si>
    <t>Spotter 데모 1식</t>
    <phoneticPr fontId="0" type="Hiragana"/>
  </si>
  <si>
    <t>E3715</t>
    <phoneticPr fontId="0" type="Hiragana"/>
  </si>
  <si>
    <t>25/05/20 송금완료($5,808.00)</t>
    <phoneticPr fontId="0" type="Hiragana"/>
  </si>
  <si>
    <t>#25-84</t>
    <phoneticPr fontId="0" type="Hiragana"/>
  </si>
  <si>
    <t>스타컴퍼니(세정기업)(KHOA)</t>
    <phoneticPr fontId="0" type="Hiragana"/>
  </si>
  <si>
    <t>Underwater cables and connectors(해양관측부이)</t>
    <phoneticPr fontId="0" type="Hiragana"/>
  </si>
  <si>
    <t>20250428LH505506507</t>
    <phoneticPr fontId="0" type="Hiragana"/>
  </si>
  <si>
    <t>X25-505</t>
    <phoneticPr fontId="0" type="Hiragana"/>
  </si>
  <si>
    <t>25/05/20 송금완료($5,232.00)</t>
    <phoneticPr fontId="0" type="Hiragana"/>
  </si>
  <si>
    <t>12 core cable 500m</t>
    <phoneticPr fontId="0" type="Hiragana"/>
  </si>
  <si>
    <t>X25-506</t>
    <phoneticPr fontId="0" type="Hiragana"/>
  </si>
  <si>
    <t>25/05/20 송금완료($4,000.00)</t>
    <phoneticPr fontId="0" type="Hiragana"/>
  </si>
  <si>
    <t>MCIL-4M, MCIL-4F 12식 씩</t>
    <phoneticPr fontId="0" type="Hiragana"/>
  </si>
  <si>
    <t>X25-507</t>
    <phoneticPr fontId="0" type="Hiragana"/>
  </si>
  <si>
    <t>25/05/20 송금완료($564.00)</t>
    <phoneticPr fontId="0" type="Hiragana"/>
  </si>
  <si>
    <t>Jwfishers</t>
    <phoneticPr fontId="0" type="Hiragana"/>
  </si>
  <si>
    <t>DHI-1</t>
    <phoneticPr fontId="0" type="Hiragana"/>
  </si>
  <si>
    <t>25/05/20 송금완료($7,445.10)</t>
    <phoneticPr fontId="0" type="Hiragana"/>
  </si>
  <si>
    <t>오션테크(KIOST)</t>
    <phoneticPr fontId="0" type="Hiragana"/>
  </si>
  <si>
    <t>Collision Avoidance Assist</t>
    <phoneticPr fontId="0" type="Hiragana"/>
  </si>
  <si>
    <t>INV3092</t>
    <phoneticPr fontId="0" type="Hiragana"/>
  </si>
  <si>
    <t>2025/05/27 송금완료($33,250)</t>
    <phoneticPr fontId="0" type="Hiragana"/>
  </si>
  <si>
    <t>#25-92</t>
    <phoneticPr fontId="0" type="Hiragana"/>
  </si>
  <si>
    <t>NIFS</t>
    <phoneticPr fontId="0" type="Hiragana"/>
  </si>
  <si>
    <t>UCSD</t>
    <phoneticPr fontId="0" type="Hiragana"/>
  </si>
  <si>
    <t>CRM 용액 40식</t>
    <phoneticPr fontId="0" type="Hiragana"/>
  </si>
  <si>
    <t>수과원</t>
    <phoneticPr fontId="0" type="Hiragana"/>
  </si>
  <si>
    <t>2025/05/27 송금완료($3,485.96)</t>
    <phoneticPr fontId="0" type="Hiragana"/>
  </si>
  <si>
    <t>오션재고(무인팀)</t>
    <phoneticPr fontId="0" type="Hiragana"/>
  </si>
  <si>
    <t>Parts for EB240</t>
    <phoneticPr fontId="0" type="Hiragana"/>
  </si>
  <si>
    <t>INV3088</t>
    <phoneticPr fontId="0" type="Hiragana"/>
  </si>
  <si>
    <t>SO3347</t>
    <phoneticPr fontId="0" type="Hiragana"/>
  </si>
  <si>
    <t>2025/05/27 송금완료($528.00)</t>
    <phoneticPr fontId="0" type="Hiragana"/>
  </si>
  <si>
    <t>4월 IBIS 통신비+이리듐</t>
    <phoneticPr fontId="0" type="Hiragana"/>
  </si>
  <si>
    <t>2025/05/27 송금완료($4,455.75)</t>
    <phoneticPr fontId="0" type="Hiragana"/>
  </si>
  <si>
    <t>#25-118</t>
    <phoneticPr fontId="0" type="Hiragana"/>
  </si>
  <si>
    <t>Holybro</t>
    <phoneticPr fontId="0" type="Hiragana"/>
  </si>
  <si>
    <t>High precision RTK GNSS Antenna 4식</t>
    <phoneticPr fontId="0" type="Hiragana"/>
  </si>
  <si>
    <t>2025/05/16 100%선송금 완료$459.36)</t>
    <phoneticPr fontId="0" type="Hiragana"/>
  </si>
  <si>
    <t>Geospectrum</t>
    <phoneticPr fontId="0" type="Hiragana"/>
  </si>
  <si>
    <t>M36-900</t>
    <phoneticPr fontId="0" type="Hiragana"/>
  </si>
  <si>
    <t>IN00003192</t>
    <phoneticPr fontId="0" type="Hiragana"/>
  </si>
  <si>
    <t>QMF-15-03</t>
    <phoneticPr fontId="0" type="Hiragana"/>
  </si>
  <si>
    <t>25/06/02 송금완료(USD 2,200)</t>
    <phoneticPr fontId="0" type="Hiragana"/>
  </si>
  <si>
    <t>WGMS Annual Subscription 6 month 3식</t>
    <phoneticPr fontId="0" type="Hiragana"/>
  </si>
  <si>
    <t>25/06/02 송금완료(USD 24,000)</t>
    <phoneticPr fontId="0" type="Hiragana"/>
  </si>
  <si>
    <t>#25-142</t>
    <phoneticPr fontId="0" type="Hiragana"/>
  </si>
  <si>
    <t>선영종합엔지니어링</t>
    <phoneticPr fontId="0" type="Hiragana"/>
  </si>
  <si>
    <t>25/06/02 송금완료(USD 7,727.70)</t>
    <phoneticPr fontId="0" type="Hiragana"/>
  </si>
  <si>
    <t>#25-149</t>
    <phoneticPr fontId="0" type="Hiragana"/>
  </si>
  <si>
    <t>유비텍(KIGAM)</t>
    <phoneticPr fontId="0" type="Hiragana"/>
  </si>
  <si>
    <t>HIPS and SIPS Subscription 2식</t>
    <phoneticPr fontId="0" type="Hiragana"/>
  </si>
  <si>
    <t>25/06/02 송금완료(USD 6,621.50)</t>
    <phoneticPr fontId="0" type="Hiragana"/>
  </si>
  <si>
    <t>#25-120</t>
    <phoneticPr fontId="0" type="Hiragana"/>
  </si>
  <si>
    <t>KIOST(연구과제)</t>
    <phoneticPr fontId="0" type="Hiragana"/>
  </si>
  <si>
    <t>Bluerobotics</t>
    <phoneticPr fontId="0" type="Hiragana"/>
  </si>
  <si>
    <t>Fathom spool, Binder 등</t>
    <phoneticPr fontId="0" type="Hiragana"/>
  </si>
  <si>
    <t>25/06/04 송금완료($2,862.15)</t>
    <phoneticPr fontId="0" type="Hiragana"/>
  </si>
  <si>
    <t>#24-282</t>
    <phoneticPr fontId="0" type="Hiragana"/>
  </si>
  <si>
    <t>Biospherical</t>
    <phoneticPr fontId="0" type="Hiragana"/>
  </si>
  <si>
    <t>C-OPS system</t>
    <phoneticPr fontId="0" type="Hiragana"/>
  </si>
  <si>
    <t>2025-06</t>
    <phoneticPr fontId="0" type="Hiragana"/>
  </si>
  <si>
    <t>SI 13301 (Final)</t>
    <phoneticPr fontId="0" type="Hiragana"/>
  </si>
  <si>
    <t>선금20%완료
 6/21</t>
    <phoneticPr fontId="0" type="Hiragana"/>
  </si>
  <si>
    <t>SO41019</t>
    <phoneticPr fontId="0" type="Hiragana"/>
  </si>
  <si>
    <t>한성, 삼정 진행 24/10/14 20% 선송금완료($26,902.00)
25/06/19 송금완료($104,608.00)</t>
    <phoneticPr fontId="0" type="Hiragana"/>
  </si>
  <si>
    <t>Spare parts for MOCNESS(AWQ4-24SBC)</t>
    <phoneticPr fontId="0" type="Hiragana"/>
  </si>
  <si>
    <t>김진수</t>
    <phoneticPr fontId="0" type="Hiragana"/>
  </si>
  <si>
    <t>CCI-25-023</t>
    <phoneticPr fontId="0" type="Hiragana"/>
  </si>
  <si>
    <t>25/06/19 송금완료($2,313.84)</t>
    <phoneticPr fontId="0" type="Hiragana"/>
  </si>
  <si>
    <t>기술팀</t>
    <phoneticPr fontId="0" type="Hiragana"/>
  </si>
  <si>
    <t>DOT</t>
    <phoneticPr fontId="0" type="Hiragana"/>
  </si>
  <si>
    <t>V-Wing 914</t>
    <phoneticPr fontId="0" type="Hiragana"/>
  </si>
  <si>
    <t>I56063</t>
    <phoneticPr fontId="0" type="Hiragana"/>
  </si>
  <si>
    <t>J56063</t>
    <phoneticPr fontId="0" type="Hiragana"/>
  </si>
  <si>
    <t>한성, 삼정 해상진행
25/06/23 송금완료($21,250.00)</t>
    <phoneticPr fontId="0" type="Hiragana"/>
  </si>
  <si>
    <t>#25-159</t>
    <phoneticPr fontId="0" type="Hiragana"/>
  </si>
  <si>
    <t>EMA for SonarWiz 2식</t>
    <phoneticPr fontId="0" type="Hiragana"/>
  </si>
  <si>
    <t>25/06/23 송금완료($2,017.50)</t>
    <phoneticPr fontId="0" type="Hiragana"/>
  </si>
  <si>
    <t>#25-175</t>
    <phoneticPr fontId="0" type="Hiragana"/>
  </si>
  <si>
    <t>5월 통신 사용료</t>
    <phoneticPr fontId="0" type="Hiragana"/>
  </si>
  <si>
    <t>202505_160</t>
    <phoneticPr fontId="0" type="Hiragana"/>
  </si>
  <si>
    <t>AWQ4-24SBC SEACON connector</t>
    <phoneticPr fontId="0" type="Hiragana"/>
  </si>
  <si>
    <t>CCI-25-024</t>
    <phoneticPr fontId="0" type="Hiragana"/>
  </si>
  <si>
    <t>CCI-25-005</t>
    <phoneticPr fontId="0" type="Hiragana"/>
  </si>
  <si>
    <t>25/07/02 송금완료($2,421.84)</t>
    <phoneticPr fontId="0" type="Hiragana"/>
  </si>
  <si>
    <t>MM</t>
    <phoneticPr fontId="0" type="Hiragana"/>
  </si>
  <si>
    <t>SeaSPY2 termination kit 2식, connector 1식(바다로 1호)</t>
    <phoneticPr fontId="0" type="Hiragana"/>
  </si>
  <si>
    <t>25/07/02 송금완료($2,919.75)</t>
    <phoneticPr fontId="0" type="Hiragana"/>
  </si>
  <si>
    <t>#25-171</t>
    <phoneticPr fontId="0" type="Hiragana"/>
  </si>
  <si>
    <t>25/07/02 송금완료($17,510.00)</t>
    <phoneticPr fontId="0" type="Hiragana"/>
  </si>
  <si>
    <t>#25-173</t>
    <phoneticPr fontId="0" type="Hiragana"/>
  </si>
  <si>
    <t>서우에스앤티(NIFS동해)</t>
    <phoneticPr fontId="0" type="Hiragana"/>
  </si>
  <si>
    <t>Parts for Niskin</t>
    <phoneticPr fontId="0" type="Hiragana"/>
  </si>
  <si>
    <t>CCI-25-025</t>
    <phoneticPr fontId="0" type="Hiragana"/>
  </si>
  <si>
    <t>25/07/02 송금완료($754.90)</t>
    <phoneticPr fontId="0" type="Hiragana"/>
  </si>
  <si>
    <t>KIOST(무인실증)</t>
    <phoneticPr fontId="0" type="Hiragana"/>
  </si>
  <si>
    <t>Outland power supply for the BlueROV2</t>
    <phoneticPr fontId="0" type="Hiragana"/>
  </si>
  <si>
    <t>25/07/02 송금완료($13,282.00)</t>
    <phoneticPr fontId="0" type="Hiragana"/>
  </si>
  <si>
    <t>#25-179</t>
    <phoneticPr fontId="0" type="Hiragana"/>
  </si>
  <si>
    <t>그린블루</t>
    <phoneticPr fontId="0" type="Hiragana"/>
  </si>
  <si>
    <t>Hips and Sips Professional + Subscription</t>
    <phoneticPr fontId="0" type="Hiragana"/>
  </si>
  <si>
    <t>25/07/02 송금완료($20,995.00)</t>
    <phoneticPr fontId="0" type="Hiragana"/>
  </si>
  <si>
    <t>#25-174</t>
    <phoneticPr fontId="0" type="Hiragana"/>
  </si>
  <si>
    <t>Caplugs</t>
    <phoneticPr fontId="0" type="Hiragana"/>
  </si>
  <si>
    <t>T-45A Cap (Coreliner 뚜껑) * 1000ea</t>
    <phoneticPr fontId="0" type="Hiragana"/>
  </si>
  <si>
    <t>SO-2506-00771</t>
    <phoneticPr fontId="0" type="Hiragana"/>
  </si>
  <si>
    <t>25/06/19 선송금완료($290.00)</t>
    <phoneticPr fontId="0" type="Hiragana"/>
  </si>
  <si>
    <t>Parts for ROV</t>
    <phoneticPr fontId="0" type="Hiragana"/>
  </si>
  <si>
    <t>최지수</t>
    <phoneticPr fontId="0" type="Hiragana"/>
  </si>
  <si>
    <t>카드결제완료</t>
    <phoneticPr fontId="0" type="Hiragana"/>
  </si>
  <si>
    <t>#25-55</t>
    <phoneticPr fontId="0" type="Hiragana"/>
  </si>
  <si>
    <t>EB240</t>
    <phoneticPr fontId="0" type="Hiragana"/>
  </si>
  <si>
    <t>SO3244,
3091</t>
    <phoneticPr fontId="0" type="Hiragana"/>
  </si>
  <si>
    <t xml:space="preserve">선금30%완료
</t>
    <phoneticPr fontId="0" type="Hiragana"/>
  </si>
  <si>
    <t>유니코, 삼정 해상진행 
25/03/11 30%선송금완료($33,520.28)
25/07/10 70%잔금완료($78,213.97)</t>
    <phoneticPr fontId="0" type="Hiragana"/>
  </si>
  <si>
    <t>Spare parts for MOCNESS(AWQ4-24-mp)</t>
    <phoneticPr fontId="0" type="Hiragana"/>
  </si>
  <si>
    <t>CCI-25-026</t>
    <phoneticPr fontId="0" type="Hiragana"/>
  </si>
  <si>
    <t>2025/07/08 송금완료($1,919.40)</t>
    <phoneticPr fontId="0" type="Hiragana"/>
  </si>
  <si>
    <t>Coax-MCIL8M, 8F 각 3식, 오션재고 케이블 및 커넥터</t>
    <phoneticPr fontId="0" type="Hiragana"/>
  </si>
  <si>
    <t>X25-510</t>
    <phoneticPr fontId="0" type="Hiragana"/>
  </si>
  <si>
    <t>2025/07/08 송금완료($1,742.00)</t>
    <phoneticPr fontId="0" type="Hiragana"/>
  </si>
  <si>
    <t>BlueBoat USV</t>
    <phoneticPr fontId="0" type="Hiragana"/>
  </si>
  <si>
    <t>2025/07/08 송금완료($5,597.82)</t>
    <phoneticPr fontId="0" type="Hiragana"/>
  </si>
  <si>
    <t>#부품 24</t>
    <phoneticPr fontId="0" type="Hiragana"/>
  </si>
  <si>
    <t>OMI</t>
    <phoneticPr fontId="0" type="Hiragana"/>
  </si>
  <si>
    <t>Lens fluid 60ml, DIDSON</t>
    <phoneticPr fontId="0" type="Hiragana"/>
  </si>
  <si>
    <t>S5641/OMI6832-01</t>
    <phoneticPr fontId="0" type="Hiragana"/>
  </si>
  <si>
    <t>2025/07/08 송금완료($157.50)</t>
    <phoneticPr fontId="0" type="Hiragana"/>
  </si>
  <si>
    <t>2025/07/08 송금완료($540.00)</t>
    <phoneticPr fontId="0" type="Hiragana"/>
  </si>
  <si>
    <t>#25-176</t>
    <phoneticPr fontId="0" type="Hiragana"/>
  </si>
  <si>
    <t>SeaSPY2 SN14302 수리</t>
    <phoneticPr fontId="0" type="Hiragana"/>
  </si>
  <si>
    <t>25/07/16 송금완료($1,930.00)</t>
    <phoneticPr fontId="0" type="Hiragana"/>
  </si>
  <si>
    <t>Explorer Pro SN21228 수리</t>
    <phoneticPr fontId="0" type="Hiragana"/>
  </si>
  <si>
    <t>25/07/16 송금완료($1,510.00)</t>
    <phoneticPr fontId="0" type="Hiragana"/>
  </si>
  <si>
    <t>오션재고, 어비스테크</t>
    <phoneticPr fontId="0" type="Hiragana"/>
  </si>
  <si>
    <t>Nal Research</t>
    <phoneticPr fontId="0" type="Hiragana"/>
  </si>
  <si>
    <t>9602-A Satellite Tracker 5식(4식 오션재고, 1식 어비스테크)</t>
    <phoneticPr fontId="0" type="Hiragana"/>
  </si>
  <si>
    <t>OA 요청</t>
    <phoneticPr fontId="0" type="Hiragana"/>
  </si>
  <si>
    <t>25/07/16 송금완료($4,080.00)</t>
    <phoneticPr fontId="0" type="Hiragana"/>
  </si>
  <si>
    <t>BlueBoat 부품</t>
    <phoneticPr fontId="0" type="Hiragana"/>
  </si>
  <si>
    <t>25/07/16 송금완료($1,612.47)</t>
    <phoneticPr fontId="0" type="Hiragana"/>
  </si>
  <si>
    <t>#25-190</t>
    <phoneticPr fontId="0" type="Hiragana"/>
  </si>
  <si>
    <t xml:space="preserve">SeaSPY2 수리 </t>
    <phoneticPr fontId="0" type="Hiragana"/>
  </si>
  <si>
    <t xml:space="preserve"> 7/7</t>
    <phoneticPr fontId="0" type="Hiragana"/>
  </si>
  <si>
    <t>25/07/16 송금완료($1,645.00)</t>
    <phoneticPr fontId="0" type="Hiragana"/>
  </si>
  <si>
    <t>#25-196</t>
    <phoneticPr fontId="0" type="Hiragana"/>
  </si>
  <si>
    <t>Spotter 1식 + 이리듐 통신비 1년</t>
    <phoneticPr fontId="0" type="Hiragana"/>
  </si>
  <si>
    <t>E3802</t>
    <phoneticPr fontId="0" type="Hiragana"/>
  </si>
  <si>
    <t>25/07/16 송금완료($7,101.39)</t>
    <phoneticPr fontId="0" type="Hiragana"/>
  </si>
  <si>
    <t>KIOST(무인실증 부이)</t>
    <phoneticPr fontId="0" type="Hiragana"/>
  </si>
  <si>
    <t>Bristlemouth Development kit</t>
    <phoneticPr fontId="0" type="Hiragana"/>
  </si>
  <si>
    <t>E3810</t>
    <phoneticPr fontId="0" type="Hiragana"/>
  </si>
  <si>
    <t>25/07/16 송금완료($1,866.65)</t>
    <phoneticPr fontId="0" type="Hiragana"/>
  </si>
  <si>
    <t>#25-217</t>
    <phoneticPr fontId="0" type="Hiragana"/>
  </si>
  <si>
    <t>Iridium plan 6 months</t>
    <phoneticPr fontId="0" type="Hiragana"/>
  </si>
  <si>
    <t>E3834</t>
    <phoneticPr fontId="0" type="Hiragana"/>
  </si>
  <si>
    <t>25/07/16 송금완료($1,349.76)</t>
    <phoneticPr fontId="0" type="Hiragana"/>
  </si>
  <si>
    <t>#25-214</t>
    <phoneticPr fontId="0" type="Hiragana"/>
  </si>
  <si>
    <t>바담엔지니어링</t>
    <phoneticPr fontId="0" type="Hiragana"/>
  </si>
  <si>
    <t>Niskin 10L</t>
    <phoneticPr fontId="0" type="Hiragana"/>
  </si>
  <si>
    <t>CCI-25-028</t>
    <phoneticPr fontId="0" type="Hiragana"/>
  </si>
  <si>
    <t>25/07/16 송금완료($1,046.00)</t>
    <phoneticPr fontId="0" type="Hiragana"/>
  </si>
  <si>
    <t>부품들</t>
    <phoneticPr fontId="0" type="Hiragana"/>
  </si>
  <si>
    <t>#25-103</t>
    <phoneticPr fontId="0" type="Hiragana"/>
  </si>
  <si>
    <t>Geospace</t>
    <phoneticPr fontId="0" type="Hiragana"/>
  </si>
  <si>
    <t>Navigator Bird</t>
    <phoneticPr fontId="0" type="Hiragana"/>
  </si>
  <si>
    <t>25/07/22 송금완료($15,000.00)</t>
    <phoneticPr fontId="0" type="Hiragana"/>
  </si>
  <si>
    <t>#25-163, 158</t>
    <phoneticPr fontId="0" type="Hiragana"/>
  </si>
  <si>
    <t>KRISO, NIFS, 오재</t>
    <phoneticPr fontId="0" type="Hiragana"/>
  </si>
  <si>
    <t>Teledyne Benthos</t>
    <phoneticPr fontId="0" type="Hiragana"/>
  </si>
  <si>
    <t>R500 4식, R2K 7식, UTS 1식, Rls it 1식, R500 배터리 40식</t>
    <phoneticPr fontId="0" type="Hiragana"/>
  </si>
  <si>
    <t>CD2523101224</t>
    <phoneticPr fontId="0" type="Hiragana"/>
  </si>
  <si>
    <t>R169296</t>
    <phoneticPr fontId="0" type="Hiragana"/>
  </si>
  <si>
    <t>한성, 삼정 진행 /25/07/22 송금완료($143,737.20)</t>
    <phoneticPr fontId="0" type="Hiragana"/>
  </si>
  <si>
    <t>25/07/22 송금완료($2,239.00)</t>
    <phoneticPr fontId="0" type="Hiragana"/>
  </si>
  <si>
    <t>explorerHD USB camera 2식</t>
    <phoneticPr fontId="0" type="Hiragana"/>
  </si>
  <si>
    <t>25/07/22 송금완료($688.84)</t>
    <phoneticPr fontId="0" type="Hiragana"/>
  </si>
  <si>
    <t>에이샛, 오션이리듐 외</t>
    <phoneticPr fontId="0" type="Hiragana"/>
  </si>
  <si>
    <t>6월 통신사용료</t>
    <phoneticPr fontId="0" type="Hiragana"/>
  </si>
  <si>
    <t>25/07/22 송금완료($4,793.34)</t>
    <phoneticPr fontId="0" type="Hiragana"/>
  </si>
  <si>
    <t>MYIR</t>
    <phoneticPr fontId="0" type="Hiragana"/>
  </si>
  <si>
    <t>MYS-6ULX Single Board Computer 외</t>
    <phoneticPr fontId="0" type="Hiragana"/>
  </si>
  <si>
    <t>MY2025052702PG</t>
    <phoneticPr fontId="0" type="Hiragana"/>
  </si>
  <si>
    <t>25/06/24 송금완료($3,906.00)</t>
    <phoneticPr fontId="0" type="Hiragana"/>
  </si>
  <si>
    <t>Digi-Key</t>
    <phoneticPr fontId="0" type="Hiragana"/>
  </si>
  <si>
    <t>#25-102</t>
    <phoneticPr fontId="0" type="Hiragana"/>
  </si>
  <si>
    <t>HD Multi Seacam</t>
    <phoneticPr fontId="0" type="Hiragana"/>
  </si>
  <si>
    <t>SI368324</t>
    <phoneticPr fontId="0" type="Hiragana"/>
  </si>
  <si>
    <t>S0351763-3</t>
    <phoneticPr fontId="0" type="Hiragana"/>
  </si>
  <si>
    <t>2025/07/29 송금완료($5,699.25)</t>
    <phoneticPr fontId="0" type="Hiragana"/>
  </si>
  <si>
    <t>#25-209</t>
    <phoneticPr fontId="0" type="Hiragana"/>
  </si>
  <si>
    <t>HDMSC-4070-IP and cable</t>
    <phoneticPr fontId="0" type="Hiragana"/>
  </si>
  <si>
    <t>SI368323</t>
    <phoneticPr fontId="0" type="Hiragana"/>
  </si>
  <si>
    <t>SO353232-1</t>
    <phoneticPr fontId="0" type="Hiragana"/>
  </si>
  <si>
    <t>2025/07/29 송금완료($8,925.00)</t>
    <phoneticPr fontId="0" type="Hiragana"/>
  </si>
  <si>
    <t>#25-183</t>
    <phoneticPr fontId="0" type="Hiragana"/>
  </si>
  <si>
    <t>MRC</t>
    <phoneticPr fontId="0" type="Hiragana"/>
  </si>
  <si>
    <t>CCS 1 month</t>
    <phoneticPr fontId="0" type="Hiragana"/>
  </si>
  <si>
    <t>R0041-00000120</t>
    <phoneticPr fontId="0" type="Hiragana"/>
  </si>
  <si>
    <t>2025/07/29 송금완료($1,795.50)</t>
    <phoneticPr fontId="0" type="Hiragana"/>
  </si>
  <si>
    <t>#25-216</t>
    <phoneticPr fontId="0" type="Hiragana"/>
  </si>
  <si>
    <t>지앤아이티(KIGAM)</t>
    <phoneticPr fontId="0" type="Hiragana"/>
  </si>
  <si>
    <t>SonarWiz EMA SN3142</t>
    <phoneticPr fontId="0" type="Hiragana"/>
  </si>
  <si>
    <t>2025/07/29 송금완료($1,046.25)</t>
    <phoneticPr fontId="0" type="Hiragana"/>
  </si>
  <si>
    <t>KIER</t>
    <phoneticPr fontId="0" type="Hiragana"/>
  </si>
  <si>
    <t>M36-900 Hydrophone</t>
    <phoneticPr fontId="0" type="Hiragana"/>
  </si>
  <si>
    <t>IN00003257</t>
    <phoneticPr fontId="0" type="Hiragana"/>
  </si>
  <si>
    <t>25/08/05 송금완료($2,350.00)</t>
    <phoneticPr fontId="0" type="Hiragana"/>
  </si>
  <si>
    <t>#25-11</t>
    <phoneticPr fontId="0" type="Hiragana"/>
  </si>
  <si>
    <t>KHOA(무인팀)</t>
    <phoneticPr fontId="0" type="Hiragana"/>
  </si>
  <si>
    <t>Mouser Electronics</t>
    <phoneticPr fontId="0" type="Hiragana"/>
  </si>
  <si>
    <t>KHOA 2호기 유지보수 부품</t>
    <phoneticPr fontId="0" type="Hiragana"/>
  </si>
  <si>
    <t>황원욱(무인팀)</t>
    <phoneticPr fontId="0" type="Hiragana"/>
  </si>
  <si>
    <t>LHC350, LHL401</t>
    <phoneticPr fontId="0" type="Hiragana"/>
  </si>
  <si>
    <t>OT-250610_YJ01/OT-250624-JY01</t>
    <phoneticPr fontId="0" type="Hiragana"/>
  </si>
  <si>
    <t>M25-903</t>
    <phoneticPr fontId="0" type="Hiragana"/>
  </si>
  <si>
    <t>25/08/12 송금완료($551.25)</t>
    <phoneticPr fontId="0" type="Hiragana"/>
  </si>
  <si>
    <t>#25-189</t>
    <phoneticPr fontId="0" type="Hiragana"/>
  </si>
  <si>
    <t>Release it 1식</t>
    <phoneticPr fontId="0" type="Hiragana"/>
  </si>
  <si>
    <t>CD2523101490</t>
    <phoneticPr fontId="0" type="Hiragana"/>
  </si>
  <si>
    <t>R170629</t>
    <phoneticPr fontId="0" type="Hiragana"/>
  </si>
  <si>
    <t>25/08/12 송금완료($9,108.00)</t>
    <phoneticPr fontId="0" type="Hiragana"/>
  </si>
  <si>
    <t>#25-211, 오재</t>
    <phoneticPr fontId="0" type="Hiragana"/>
  </si>
  <si>
    <t>오션웨이브</t>
    <phoneticPr fontId="0" type="Hiragana"/>
  </si>
  <si>
    <t>MCIL6F+100m 케이블 외</t>
    <phoneticPr fontId="0" type="Hiragana"/>
  </si>
  <si>
    <t>OT-250610_YJ01/OT-250624-JY01</t>
  </si>
  <si>
    <t>M25-904</t>
    <phoneticPr fontId="0" type="Hiragana"/>
  </si>
  <si>
    <t>25/08/12 송금완료($2,075.93)</t>
    <phoneticPr fontId="0" type="Hiragana"/>
  </si>
  <si>
    <t>#25-215</t>
    <phoneticPr fontId="0" type="Hiragana"/>
  </si>
  <si>
    <t>Repair for UTS9500 SN84644</t>
    <phoneticPr fontId="0" type="Hiragana"/>
  </si>
  <si>
    <t>CD2523101377</t>
    <phoneticPr fontId="0" type="Hiragana"/>
  </si>
  <si>
    <t>25/08/12 송금완료($1,118.00)</t>
    <phoneticPr fontId="0" type="Hiragana"/>
  </si>
  <si>
    <t>#25-220</t>
    <phoneticPr fontId="0" type="Hiragana"/>
  </si>
  <si>
    <t>Mooring System</t>
    <phoneticPr fontId="0" type="Hiragana"/>
  </si>
  <si>
    <t>Pop-up Buoy</t>
    <phoneticPr fontId="0" type="Hiragana"/>
  </si>
  <si>
    <t>25/08/12 송금완료($2,437.50)</t>
    <phoneticPr fontId="0" type="Hiragana"/>
  </si>
  <si>
    <t>#25-222</t>
    <phoneticPr fontId="0" type="Hiragana"/>
  </si>
  <si>
    <t>KHOA(에스지에스)</t>
    <phoneticPr fontId="0" type="Hiragana"/>
  </si>
  <si>
    <t>Teledyne CARIS</t>
    <phoneticPr fontId="0" type="Hiragana"/>
  </si>
  <si>
    <t>CARIS Software for Hydrography</t>
    <phoneticPr fontId="0" type="Hiragana"/>
  </si>
  <si>
    <t>25/08/12 송금완료($22,010.00)</t>
    <phoneticPr fontId="0" type="Hiragana"/>
  </si>
  <si>
    <t>Blue Robotics</t>
    <phoneticPr fontId="0" type="Hiragana"/>
  </si>
  <si>
    <t>Modem 2식</t>
    <phoneticPr fontId="0" type="Hiragana"/>
  </si>
  <si>
    <t>#25-144, 160</t>
    <phoneticPr fontId="0" type="Hiragana"/>
  </si>
  <si>
    <t>케이엠티</t>
    <phoneticPr fontId="0" type="Hiragana"/>
  </si>
  <si>
    <t>ULB-362C/37 12식, 4식(추가발주)</t>
    <phoneticPr fontId="0" type="Hiragana"/>
  </si>
  <si>
    <t>25/08/18 송금완료 ($21,744.00)</t>
    <phoneticPr fontId="0" type="Hiragana"/>
  </si>
  <si>
    <t>#25-208</t>
    <phoneticPr fontId="0" type="Hiragana"/>
  </si>
  <si>
    <t>일우인터내셔날</t>
    <phoneticPr fontId="0" type="Hiragana"/>
  </si>
  <si>
    <t>Hemisphere V500 + Cable + Mounting kit</t>
    <phoneticPr fontId="0" type="Hiragana"/>
  </si>
  <si>
    <t>E0041-00000373</t>
    <phoneticPr fontId="0" type="Hiragana"/>
  </si>
  <si>
    <t>SOR0026918</t>
    <phoneticPr fontId="0" type="Hiragana"/>
  </si>
  <si>
    <t>25/08/18 송금완료 ($5,867.50)</t>
    <phoneticPr fontId="0" type="Hiragana"/>
  </si>
  <si>
    <t>#25-240</t>
    <phoneticPr fontId="0" type="Hiragana"/>
  </si>
  <si>
    <t>C-Nav 보정신호 1개월</t>
    <phoneticPr fontId="0" type="Hiragana"/>
  </si>
  <si>
    <t>R0041-00000122</t>
    <phoneticPr fontId="0" type="Hiragana"/>
  </si>
  <si>
    <t>25/08/18 송금완료 ($1,795.50)</t>
    <phoneticPr fontId="0" type="Hiragana"/>
  </si>
  <si>
    <t xml:space="preserve"> AST</t>
    <phoneticPr fontId="0" type="Hiragana"/>
  </si>
  <si>
    <t>6~7월 사용분</t>
    <phoneticPr fontId="0" type="Hiragana"/>
  </si>
  <si>
    <t>홍아름</t>
    <phoneticPr fontId="0" type="Hiragana"/>
  </si>
  <si>
    <t>25/08/18 송금완료 ($5,715.88)</t>
    <phoneticPr fontId="0" type="Hiragana"/>
  </si>
  <si>
    <t>#25-154</t>
    <phoneticPr fontId="0" type="Hiragana"/>
  </si>
  <si>
    <t>IR-7300 2식</t>
    <phoneticPr fontId="0" type="Hiragana"/>
  </si>
  <si>
    <t>INV011055</t>
    <phoneticPr fontId="0" type="Hiragana"/>
  </si>
  <si>
    <t>ORD0020369</t>
    <phoneticPr fontId="0" type="Hiragana"/>
  </si>
  <si>
    <t>#25-158</t>
    <phoneticPr fontId="0" type="Hiragana"/>
  </si>
  <si>
    <t>IR-7300 2식, MMF-7500 2식</t>
    <phoneticPr fontId="0" type="Hiragana"/>
  </si>
  <si>
    <t>INV011027</t>
    <phoneticPr fontId="0" type="Hiragana"/>
  </si>
  <si>
    <t>ORD0020444</t>
    <phoneticPr fontId="0" type="Hiragana"/>
  </si>
  <si>
    <t>에이셋,오션테크</t>
    <phoneticPr fontId="0" type="Hiragana"/>
  </si>
  <si>
    <t>7월 이리듐 사용료</t>
    <phoneticPr fontId="0" type="Hiragana"/>
  </si>
  <si>
    <t>#25-213</t>
    <phoneticPr fontId="0" type="Hiragana"/>
  </si>
  <si>
    <t>남해조사사무소</t>
    <phoneticPr fontId="0" type="Hiragana"/>
  </si>
  <si>
    <t>SeaSPY 2 &amp; Tow cable 300m</t>
    <phoneticPr fontId="0" type="Hiragana"/>
  </si>
  <si>
    <t>한성, 삼정 진행</t>
    <phoneticPr fontId="0" type="Hiragana"/>
  </si>
  <si>
    <t>#25-228</t>
    <phoneticPr fontId="0" type="Hiragana"/>
  </si>
  <si>
    <t>Klein</t>
    <phoneticPr fontId="0" type="Hiragana"/>
  </si>
  <si>
    <t>Termination Kit for S5900 Tow cable</t>
    <phoneticPr fontId="0" type="Hiragana"/>
  </si>
  <si>
    <t>INV-00229</t>
    <phoneticPr fontId="0" type="Hiragana"/>
  </si>
  <si>
    <t>S25-0062</t>
    <phoneticPr fontId="0" type="Hiragana"/>
  </si>
  <si>
    <t>#25-238</t>
    <phoneticPr fontId="0" type="Hiragana"/>
  </si>
  <si>
    <t>Spotter + 이리듐 1년 3식</t>
    <phoneticPr fontId="0" type="Hiragana"/>
  </si>
  <si>
    <t>E3861</t>
    <phoneticPr fontId="0" type="Hiragana"/>
  </si>
  <si>
    <t>GIGAIOT</t>
    <phoneticPr fontId="0" type="Hiragana"/>
  </si>
  <si>
    <t>Solar Powered Asset Tracker 2식</t>
    <phoneticPr fontId="0" type="Hiragana"/>
  </si>
  <si>
    <t>GOSPI2025080801</t>
    <phoneticPr fontId="0" type="Hiragana"/>
  </si>
  <si>
    <t>jimiiot</t>
    <phoneticPr fontId="0" type="Hiragana"/>
  </si>
  <si>
    <t>LL303Pro Asset Tracker</t>
    <phoneticPr fontId="0" type="Hiragana"/>
  </si>
  <si>
    <t>J250807K01</t>
    <phoneticPr fontId="0" type="Hiragana"/>
  </si>
  <si>
    <t>#25-094</t>
    <phoneticPr fontId="0" type="Hiragana"/>
  </si>
  <si>
    <t>S5900용 Armored cable 300m</t>
    <phoneticPr fontId="0" type="Hiragana"/>
  </si>
  <si>
    <t>INV-00231</t>
    <phoneticPr fontId="0" type="Hiragana"/>
  </si>
  <si>
    <t>S25-0038</t>
    <phoneticPr fontId="0" type="Hiragana"/>
  </si>
  <si>
    <t>한성, 삼정 진행 / 25/09/02 송금완료($25,000)</t>
    <phoneticPr fontId="0" type="Hiragana"/>
  </si>
  <si>
    <t>#25-231</t>
    <phoneticPr fontId="0" type="Hiragana"/>
  </si>
  <si>
    <t>비에네스소프트(KIOST)</t>
    <phoneticPr fontId="0" type="Hiragana"/>
  </si>
  <si>
    <t>SDK</t>
    <phoneticPr fontId="0" type="Hiragana"/>
  </si>
  <si>
    <t>INV-00230</t>
    <phoneticPr fontId="0" type="Hiragana"/>
  </si>
  <si>
    <t>S25-0063</t>
    <phoneticPr fontId="0" type="Hiragana"/>
  </si>
  <si>
    <t xml:space="preserve"> 25/09/02 송금완료($3,395.75)</t>
    <phoneticPr fontId="0" type="Hiragana"/>
  </si>
  <si>
    <t>Sound Metrics</t>
    <phoneticPr fontId="0" type="Hiragana"/>
  </si>
  <si>
    <t>Spare parts for Didson</t>
    <phoneticPr fontId="0" type="Hiragana"/>
  </si>
  <si>
    <t>SQ5712</t>
    <phoneticPr fontId="0" type="Hiragana"/>
  </si>
  <si>
    <t xml:space="preserve"> 25/09/02 송금완료($138.30)</t>
    <phoneticPr fontId="0" type="Hiragana"/>
  </si>
  <si>
    <t>light, Antenna</t>
    <phoneticPr fontId="0" type="Hiragana"/>
  </si>
  <si>
    <t>Foam, board</t>
    <phoneticPr fontId="0" type="Hiragana"/>
  </si>
  <si>
    <t>865-A Battery 2식</t>
    <phoneticPr fontId="0" type="Hiragana"/>
  </si>
  <si>
    <t>CD2523101544</t>
    <phoneticPr fontId="0" type="Hiragana"/>
  </si>
  <si>
    <t>R171828</t>
    <phoneticPr fontId="0" type="Hiragana"/>
  </si>
  <si>
    <t>2025/09/10 송금완료($815.40)</t>
    <phoneticPr fontId="0" type="Hiragana"/>
  </si>
  <si>
    <t>#25-136</t>
    <phoneticPr fontId="0" type="Hiragana"/>
  </si>
  <si>
    <t>LSL-2000, SL-100 각 2식</t>
    <phoneticPr fontId="0" type="Hiragana"/>
  </si>
  <si>
    <t>SI369532</t>
    <phoneticPr fontId="0" type="Hiragana"/>
  </si>
  <si>
    <t>SO352275-1</t>
    <phoneticPr fontId="0" type="Hiragana"/>
  </si>
  <si>
    <t>25/09/18 송금완료($9,545.50)</t>
    <phoneticPr fontId="0" type="Hiragana"/>
  </si>
  <si>
    <t>#25-161, 165</t>
    <phoneticPr fontId="0" type="Hiragana"/>
  </si>
  <si>
    <t>지오테크시스템, 퓨어넥스</t>
    <phoneticPr fontId="0" type="Hiragana"/>
  </si>
  <si>
    <t>LSL-2000 5식, 커넥터 1식</t>
    <phoneticPr fontId="0" type="Hiragana"/>
  </si>
  <si>
    <t>SI369438</t>
    <phoneticPr fontId="0" type="Hiragana"/>
  </si>
  <si>
    <t>SO352714-1</t>
    <phoneticPr fontId="0" type="Hiragana"/>
  </si>
  <si>
    <t>25/09/18 송금완료($9,073.75)</t>
    <phoneticPr fontId="0" type="Hiragana"/>
  </si>
  <si>
    <t>#25-261</t>
    <phoneticPr fontId="0" type="Hiragana"/>
  </si>
  <si>
    <t>인하대학교</t>
    <phoneticPr fontId="0" type="Hiragana"/>
  </si>
  <si>
    <t>Mira AI</t>
    <phoneticPr fontId="0" type="Hiragana"/>
  </si>
  <si>
    <t>25/09/18 송금완료($1,500.00)</t>
    <phoneticPr fontId="0" type="Hiragana"/>
  </si>
  <si>
    <t>#25-264</t>
    <phoneticPr fontId="0" type="Hiragana"/>
  </si>
  <si>
    <t>R0041-00000124</t>
    <phoneticPr fontId="0" type="Hiragana"/>
  </si>
  <si>
    <t>25/09/18 송금완료($1,795.50)</t>
    <phoneticPr fontId="0" type="Hiragana"/>
  </si>
  <si>
    <t>Academic Program for HIPS and SIPS 2식</t>
    <phoneticPr fontId="0" type="Hiragana"/>
  </si>
  <si>
    <t>25/09/18 송금완료($2,000.00)</t>
    <phoneticPr fontId="0" type="Hiragana"/>
  </si>
  <si>
    <t>부품</t>
    <phoneticPr fontId="0" type="Hiragana"/>
  </si>
  <si>
    <t>ACI-475888714071</t>
    <phoneticPr fontId="0" type="Hiragana"/>
  </si>
  <si>
    <t>Pop-up Buoy for R500</t>
    <phoneticPr fontId="0" type="Hiragana"/>
  </si>
  <si>
    <t>25/09/23 송금완료($2,947.50)</t>
    <phoneticPr fontId="0" type="Hiragana"/>
  </si>
  <si>
    <t>Underwater cables and connectors</t>
    <phoneticPr fontId="0" type="Hiragana"/>
  </si>
  <si>
    <t>M25-914</t>
    <phoneticPr fontId="0" type="Hiragana"/>
  </si>
  <si>
    <t>25/09/23 송금완료($249.00)</t>
    <phoneticPr fontId="0" type="Hiragana"/>
  </si>
  <si>
    <t>#25-281, 282</t>
    <phoneticPr fontId="0" type="Hiragana"/>
  </si>
  <si>
    <t>EMA for Sonarwiz 1식, Add for Sonawiz 1식</t>
    <phoneticPr fontId="0" type="Hiragana"/>
  </si>
  <si>
    <t>25/09/25 송금완료($3,592.50)</t>
    <phoneticPr fontId="0" type="Hiragana"/>
  </si>
  <si>
    <t>AST</t>
    <phoneticPr fontId="0" type="Hiragana"/>
  </si>
  <si>
    <t>8월 사용료</t>
    <phoneticPr fontId="0" type="Hiragana"/>
  </si>
  <si>
    <t>25/09/25 송금완료($2,072.93)</t>
    <phoneticPr fontId="0" type="Hiragana"/>
  </si>
  <si>
    <t>에이샛, 오션재고</t>
    <phoneticPr fontId="0" type="Hiragana"/>
  </si>
  <si>
    <t>25/09/25 송금완료($6,285.57)</t>
    <phoneticPr fontId="0" type="Hiragana"/>
  </si>
  <si>
    <t>#25-276</t>
    <phoneticPr fontId="0" type="Hiragana"/>
  </si>
  <si>
    <t>계약취소 오션재고</t>
    <phoneticPr fontId="1" type="noConversion"/>
  </si>
  <si>
    <t>GNM(Rochester)</t>
    <phoneticPr fontId="0" type="Hiragana"/>
  </si>
  <si>
    <t>A302799 1000m SSS cable</t>
    <phoneticPr fontId="0" type="Hiragana"/>
  </si>
  <si>
    <t>CCI-25-033</t>
    <phoneticPr fontId="0" type="Hiragana"/>
  </si>
  <si>
    <t>2025/09/29 송금완료($16,862) 한성, 삼정 진행</t>
    <phoneticPr fontId="0" type="Hiragana"/>
  </si>
  <si>
    <t>A303613 1000m SSS cable</t>
    <phoneticPr fontId="0" type="Hiragana"/>
  </si>
  <si>
    <t>CCI-25-034</t>
    <phoneticPr fontId="0" type="Hiragana"/>
  </si>
  <si>
    <t>2025/09/29 송금완료($16,752) 한성, 삼정 진행</t>
    <phoneticPr fontId="0" type="Hiragana"/>
  </si>
  <si>
    <t>#25-279</t>
    <phoneticPr fontId="0" type="Hiragana"/>
  </si>
  <si>
    <t>삼성중공업</t>
    <phoneticPr fontId="0" type="Hiragana"/>
  </si>
  <si>
    <t>Spotter 2식</t>
    <phoneticPr fontId="0" type="Hiragana"/>
  </si>
  <si>
    <t>E3912, E3913</t>
    <phoneticPr fontId="0" type="Hiragana"/>
  </si>
  <si>
    <t xml:space="preserve"> E3912, E3913</t>
    <phoneticPr fontId="0" type="Hiragana"/>
  </si>
  <si>
    <t>25/10/13 송금완료($16,507.70)</t>
    <phoneticPr fontId="0" type="Hiragana"/>
  </si>
  <si>
    <t>Ardusimple</t>
    <phoneticPr fontId="0" type="Hiragana"/>
  </si>
  <si>
    <t>GPS/GNSS Antenna splitter</t>
    <phoneticPr fontId="0" type="Hiragana"/>
  </si>
  <si>
    <t>#25-330</t>
    <phoneticPr fontId="0" type="Hiragana"/>
  </si>
  <si>
    <t>대현환경</t>
    <phoneticPr fontId="0" type="Hiragana"/>
  </si>
  <si>
    <t>Niskin-X 5L</t>
    <phoneticPr fontId="0" type="Hiragana"/>
  </si>
  <si>
    <t>CCI-25-035</t>
    <phoneticPr fontId="0" type="Hiragana"/>
  </si>
  <si>
    <t>25/10/16 송금완료($1.151.00)</t>
    <phoneticPr fontId="1" type="noConversion"/>
  </si>
  <si>
    <t>#25-194</t>
    <phoneticPr fontId="0" type="Hiragana"/>
  </si>
  <si>
    <t>Optim Seacam</t>
    <phoneticPr fontId="0" type="Hiragana"/>
  </si>
  <si>
    <t>SI370231</t>
    <phoneticPr fontId="0" type="Hiragana"/>
  </si>
  <si>
    <t>SO353204</t>
    <phoneticPr fontId="0" type="Hiragana"/>
  </si>
  <si>
    <t>25/10/22 송금완료($24,395.00)</t>
    <phoneticPr fontId="0" type="Hiragana"/>
  </si>
  <si>
    <t>JW fishers</t>
    <phoneticPr fontId="0" type="Hiragana"/>
  </si>
  <si>
    <t>DHI-1 2식, UPR 20식, 보드 외</t>
    <phoneticPr fontId="0" type="Hiragana"/>
  </si>
  <si>
    <t>25/10/22 송금완료($51,740.20)</t>
    <phoneticPr fontId="0" type="Hiragana"/>
  </si>
  <si>
    <t xml:space="preserve">#25-120 </t>
    <phoneticPr fontId="0" type="Hiragana"/>
  </si>
  <si>
    <t>무인실증과제(실제LIG넥스원)</t>
    <phoneticPr fontId="0" type="Hiragana"/>
  </si>
  <si>
    <t>Silver Lake</t>
    <phoneticPr fontId="0" type="Hiragana"/>
  </si>
  <si>
    <t>Long Plastic Pontoon set 1식</t>
    <phoneticPr fontId="0" type="Hiragana"/>
  </si>
  <si>
    <t>선금100%완료</t>
    <phoneticPr fontId="0" type="Hiragana"/>
  </si>
  <si>
    <t>25/10/17 선송금완료($6,601.00)</t>
    <phoneticPr fontId="0" type="Hiragana"/>
  </si>
  <si>
    <t>소모품류</t>
    <phoneticPr fontId="0" type="Hiragana"/>
  </si>
  <si>
    <t>#25-327</t>
    <phoneticPr fontId="0" type="Hiragana"/>
  </si>
  <si>
    <t>C-Nav 보정신호 1달</t>
    <phoneticPr fontId="0" type="Hiragana"/>
  </si>
  <si>
    <t>R0041-00000125</t>
    <phoneticPr fontId="0" type="Hiragana"/>
  </si>
  <si>
    <t>2025/10/29 송금완료($1,835.35)</t>
    <phoneticPr fontId="0" type="Hiragana"/>
  </si>
  <si>
    <t>#25-334</t>
    <phoneticPr fontId="0" type="Hiragana"/>
  </si>
  <si>
    <t>C-Nav LEO 보정신호 1달 (SN0010, 0086)</t>
    <phoneticPr fontId="0" type="Hiragana"/>
  </si>
  <si>
    <t>R0041-00000126</t>
    <phoneticPr fontId="0" type="Hiragana"/>
  </si>
  <si>
    <t>2025/10/29 송금완료($2,385.45)</t>
    <phoneticPr fontId="0" type="Hiragana"/>
  </si>
  <si>
    <t>무인실증과제</t>
    <phoneticPr fontId="0" type="Hiragana"/>
  </si>
  <si>
    <t>Seafloor Systems</t>
    <phoneticPr fontId="0" type="Hiragana"/>
  </si>
  <si>
    <t>INV3418</t>
    <phoneticPr fontId="0" type="Hiragana"/>
  </si>
  <si>
    <t>SO3720</t>
    <phoneticPr fontId="0" type="Hiragana"/>
  </si>
  <si>
    <t>2025/10/29 송금완료($7,242.00)</t>
    <phoneticPr fontId="0" type="Hiragana"/>
  </si>
  <si>
    <t xml:space="preserve">오션테크, 애이셋 </t>
    <phoneticPr fontId="0" type="Hiragana"/>
  </si>
  <si>
    <t>9월 통신사용료</t>
    <phoneticPr fontId="0" type="Hiragana"/>
  </si>
  <si>
    <t>202509_160 외</t>
    <phoneticPr fontId="0" type="Hiragana"/>
  </si>
  <si>
    <t>2025/10/29 송금완료($6,691.95)</t>
    <phoneticPr fontId="0" type="Hiragana"/>
  </si>
  <si>
    <t>us5038058 외</t>
    <phoneticPr fontId="0" type="Hiragana"/>
  </si>
  <si>
    <t>2025/10/29 송금완료($2,318.25)</t>
    <phoneticPr fontId="0" type="Hiragana"/>
  </si>
  <si>
    <t>#25-302</t>
    <phoneticPr fontId="0" type="Hiragana"/>
  </si>
  <si>
    <t>865A Battery 2식</t>
    <phoneticPr fontId="0" type="Hiragana"/>
  </si>
  <si>
    <t>CD2523101972</t>
    <phoneticPr fontId="0" type="Hiragana"/>
  </si>
  <si>
    <t>R173365</t>
    <phoneticPr fontId="0" type="Hiragana"/>
  </si>
  <si>
    <t>25/11/05 송금완료($815.40)</t>
    <phoneticPr fontId="0" type="Hiragana"/>
  </si>
  <si>
    <t>Repair for CT5819A SN346</t>
    <phoneticPr fontId="0" type="Hiragana"/>
  </si>
  <si>
    <t>133505</t>
    <phoneticPr fontId="0" type="Hiragana"/>
  </si>
  <si>
    <t>S2537009</t>
    <phoneticPr fontId="0" type="Hiragana"/>
  </si>
  <si>
    <t>25/11/05 송금완료($1,176.40)</t>
    <phoneticPr fontId="0" type="Hiragana"/>
  </si>
  <si>
    <t>#25-328</t>
    <phoneticPr fontId="0" type="Hiragana"/>
  </si>
  <si>
    <t>Repair for Seaguard RCM SN245, 2059</t>
    <phoneticPr fontId="0" type="Hiragana"/>
  </si>
  <si>
    <t>133581</t>
    <phoneticPr fontId="0" type="Hiragana"/>
  </si>
  <si>
    <t>S2538009</t>
    <phoneticPr fontId="0" type="Hiragana"/>
  </si>
  <si>
    <t>25/11/05 송금완료($10,488.02)</t>
    <phoneticPr fontId="0" type="Hiragana"/>
  </si>
  <si>
    <t>#25-340, 346</t>
    <phoneticPr fontId="0" type="Hiragana"/>
  </si>
  <si>
    <t>Turnaround kit for R500, 865 Battery</t>
    <phoneticPr fontId="0" type="Hiragana"/>
  </si>
  <si>
    <t>CD2523102081</t>
    <phoneticPr fontId="0" type="Hiragana"/>
  </si>
  <si>
    <t>R174072</t>
    <phoneticPr fontId="0" type="Hiragana"/>
  </si>
  <si>
    <t>25/11/05 송금완료($3,417.30)</t>
    <phoneticPr fontId="0" type="Hiragana"/>
  </si>
  <si>
    <t>HANGZHOU SOAR SECURITY TECHNOLOGY</t>
    <phoneticPr fontId="0" type="Hiragana"/>
  </si>
  <si>
    <t>Portable Mobile Camera</t>
    <phoneticPr fontId="0" type="Hiragana"/>
  </si>
  <si>
    <t>최지수(사업부)</t>
    <phoneticPr fontId="0" type="Hiragana"/>
  </si>
  <si>
    <t>2025101401(선금100%)</t>
    <phoneticPr fontId="0" type="Hiragana"/>
  </si>
  <si>
    <t>25/10/15 송금완료($1,395.00)</t>
    <phoneticPr fontId="0" type="Hiragana"/>
  </si>
  <si>
    <t>#25-256</t>
    <phoneticPr fontId="0" type="Hiragana"/>
  </si>
  <si>
    <t>패리티</t>
    <phoneticPr fontId="0" type="Hiragana"/>
  </si>
  <si>
    <t>ARIS Explorer 3000</t>
    <phoneticPr fontId="0" type="Hiragana"/>
  </si>
  <si>
    <t xml:space="preserve"> 6857-01</t>
    <phoneticPr fontId="0" type="Hiragana"/>
  </si>
  <si>
    <t>25/11/11 송금완료($92,198.05)</t>
    <phoneticPr fontId="0" type="Hiragana"/>
  </si>
  <si>
    <t>#25-293</t>
    <phoneticPr fontId="0" type="Hiragana"/>
  </si>
  <si>
    <t>SeaSPY2 Tow Cable 등</t>
    <phoneticPr fontId="0" type="Hiragana"/>
  </si>
  <si>
    <t>25/11/11 송금완료($13,472.50)</t>
    <phoneticPr fontId="0" type="Hiragana"/>
  </si>
  <si>
    <t>#25-257</t>
    <phoneticPr fontId="0" type="Hiragana"/>
  </si>
  <si>
    <t>Termination Kit for S5900 Tow cable 2식</t>
    <phoneticPr fontId="0" type="Hiragana"/>
  </si>
  <si>
    <t>INV-00260</t>
    <phoneticPr fontId="0" type="Hiragana"/>
  </si>
  <si>
    <t>S25-0068</t>
    <phoneticPr fontId="0" type="Hiragana"/>
  </si>
  <si>
    <t>25/11/19 송금완료($6,645.47)</t>
    <phoneticPr fontId="0" type="Hiragana"/>
  </si>
  <si>
    <t>#25-312</t>
    <phoneticPr fontId="0" type="Hiragana"/>
  </si>
  <si>
    <t>Termination kit for S4900 cable 1식</t>
    <phoneticPr fontId="0" type="Hiragana"/>
  </si>
  <si>
    <t>INV-00264</t>
    <phoneticPr fontId="0" type="Hiragana"/>
  </si>
  <si>
    <t>S25-0084</t>
    <phoneticPr fontId="0" type="Hiragana"/>
  </si>
  <si>
    <t>25/11/19 송금완료($2,926.14)</t>
    <phoneticPr fontId="0" type="Hiragana"/>
  </si>
  <si>
    <t>#25-354</t>
    <phoneticPr fontId="0" type="Hiragana"/>
  </si>
  <si>
    <t>Sonarwiz Office</t>
    <phoneticPr fontId="0" type="Hiragana"/>
  </si>
  <si>
    <t>100556</t>
    <phoneticPr fontId="0" type="Hiragana"/>
  </si>
  <si>
    <t>25/11/26 송금완료($8,346.25)</t>
    <phoneticPr fontId="0" type="Hiragana"/>
  </si>
  <si>
    <t>#25-371</t>
    <phoneticPr fontId="0" type="Hiragana"/>
  </si>
  <si>
    <t>COAX-MCIL8M, COAX-MCIL8F</t>
    <phoneticPr fontId="0" type="Hiragana"/>
  </si>
  <si>
    <t>M25-932</t>
    <phoneticPr fontId="0" type="Hiragana"/>
  </si>
  <si>
    <t>25/11/26 송금완료($334.00)</t>
    <phoneticPr fontId="0" type="Hiragana"/>
  </si>
  <si>
    <t>#25-355</t>
    <phoneticPr fontId="0" type="Hiragana"/>
  </si>
  <si>
    <t>90217671</t>
    <phoneticPr fontId="0" type="Hiragana"/>
  </si>
  <si>
    <t>25/11/26 송금완료($6,794.39)</t>
    <phoneticPr fontId="0" type="Hiragana"/>
  </si>
  <si>
    <t>2*2*20AWG cable</t>
    <phoneticPr fontId="0" type="Hiragana"/>
  </si>
  <si>
    <t>M25-938</t>
    <phoneticPr fontId="0" type="Hiragana"/>
  </si>
  <si>
    <t>#25-계약예정</t>
    <phoneticPr fontId="0" type="Hiragana"/>
  </si>
  <si>
    <t>애이셋</t>
    <phoneticPr fontId="0" type="Hiragana"/>
  </si>
  <si>
    <t>10월 통신사용료</t>
    <phoneticPr fontId="0" type="Hiragana"/>
  </si>
  <si>
    <t>25/11/26 송금완료($6,769.01)</t>
    <phoneticPr fontId="0" type="Hiragana"/>
  </si>
  <si>
    <t>#25-187</t>
    <phoneticPr fontId="0" type="Hiragana"/>
  </si>
  <si>
    <t>대선조선(KHOA)</t>
    <phoneticPr fontId="0" type="Hiragana"/>
  </si>
  <si>
    <t>C-PrOPS</t>
    <phoneticPr fontId="0" type="Hiragana"/>
  </si>
  <si>
    <t>SO41155,
SI13409</t>
    <phoneticPr fontId="0" type="Hiragana"/>
  </si>
  <si>
    <t>20% 선송금 완료,
11/30</t>
    <phoneticPr fontId="0" type="Hiragana"/>
  </si>
  <si>
    <t>SO41155</t>
    <phoneticPr fontId="0" type="Hiragana"/>
  </si>
  <si>
    <t>25/06/11 20% 선송금완료($22,000)
25/11/26 80% 잔금완료($88,332.58)</t>
    <phoneticPr fontId="0" type="Hiragana"/>
  </si>
  <si>
    <t>#25-326</t>
    <phoneticPr fontId="0" type="Hiragana"/>
  </si>
  <si>
    <t>iBCN Beacon 5식</t>
    <phoneticPr fontId="0" type="Hiragana"/>
  </si>
  <si>
    <t>ORD0020862</t>
    <phoneticPr fontId="0" type="Hiragana"/>
  </si>
  <si>
    <t>25/12/04 송금완료($12,325.00)</t>
    <phoneticPr fontId="0" type="Hiragana"/>
  </si>
  <si>
    <t>#25-332</t>
    <phoneticPr fontId="0" type="Hiragana"/>
  </si>
  <si>
    <t>Repair for UTS9400 (CRO-15961)</t>
    <phoneticPr fontId="0" type="Hiragana"/>
  </si>
  <si>
    <t>CD2523102143</t>
    <phoneticPr fontId="0" type="Hiragana"/>
  </si>
  <si>
    <t>25/12/04 송금완료($3,166.00)</t>
    <phoneticPr fontId="0" type="Hiragana"/>
  </si>
  <si>
    <t>#25-368</t>
    <phoneticPr fontId="0" type="Hiragana"/>
  </si>
  <si>
    <t>한화에어로스페이스</t>
    <phoneticPr fontId="0" type="Hiragana"/>
  </si>
  <si>
    <t>Sofarocean</t>
    <phoneticPr fontId="0" type="Hiragana"/>
  </si>
  <si>
    <t>E3994</t>
    <phoneticPr fontId="0" type="Hiragana"/>
  </si>
  <si>
    <t>25/12/04 송금완료($12,038.79)</t>
    <phoneticPr fontId="0" type="Hiragana"/>
  </si>
  <si>
    <t>Spotter buoy data subscription</t>
    <phoneticPr fontId="0" type="Hiragana"/>
  </si>
  <si>
    <t>E3995</t>
    <phoneticPr fontId="0" type="Hiragana"/>
  </si>
  <si>
    <t>25/12/04 송금완료($2,939.52)</t>
    <phoneticPr fontId="0" type="Hiragana"/>
  </si>
  <si>
    <t>해저재해(사업팀)</t>
    <phoneticPr fontId="0" type="Hiragana"/>
  </si>
  <si>
    <t>Water Linked</t>
    <phoneticPr fontId="0" type="Hiragana"/>
  </si>
  <si>
    <t xml:space="preserve">Modem M16 </t>
    <phoneticPr fontId="0" type="Hiragana"/>
  </si>
  <si>
    <t>20225651</t>
    <phoneticPr fontId="1" type="noConversion"/>
  </si>
  <si>
    <t>25/11/28 송금완료($7,339.27)</t>
    <phoneticPr fontId="0" type="Hiragana"/>
  </si>
  <si>
    <t>무인실증(사업팀)</t>
    <phoneticPr fontId="0" type="Hiragana"/>
  </si>
  <si>
    <t>GigaParts</t>
    <phoneticPr fontId="0" type="Hiragana"/>
  </si>
  <si>
    <t>RigExpert MATCH Upgradable Antenna 외</t>
    <phoneticPr fontId="0" type="Hiragana"/>
  </si>
  <si>
    <t>사업팀</t>
    <phoneticPr fontId="0" type="Hiragana"/>
  </si>
  <si>
    <t>000458732</t>
    <phoneticPr fontId="0" type="Hiragana"/>
  </si>
  <si>
    <t>GONELO</t>
    <phoneticPr fontId="0" type="Hiragana"/>
  </si>
  <si>
    <t>Case</t>
    <phoneticPr fontId="0" type="Hiragana"/>
  </si>
  <si>
    <t>#25-337</t>
    <phoneticPr fontId="0" type="Hiragana"/>
  </si>
  <si>
    <t>WGMS 12개월</t>
    <phoneticPr fontId="0" type="Hiragana"/>
  </si>
  <si>
    <t>25/12/09 송금완료($15,000.00)</t>
    <phoneticPr fontId="0" type="Hiragana"/>
  </si>
  <si>
    <t>#25-336</t>
    <phoneticPr fontId="0" type="Hiragana"/>
  </si>
  <si>
    <t>부산대학교</t>
    <phoneticPr fontId="0" type="Hiragana"/>
  </si>
  <si>
    <t>ASC scientific</t>
    <phoneticPr fontId="0" type="Hiragana"/>
  </si>
  <si>
    <t>Paleomagnetic sample box</t>
    <phoneticPr fontId="0" type="Hiragana"/>
  </si>
  <si>
    <t>25/12/09 송금완료($1,288.00)</t>
    <phoneticPr fontId="0" type="Hiragana"/>
  </si>
  <si>
    <t>#25-339</t>
    <phoneticPr fontId="0" type="Hiragana"/>
  </si>
  <si>
    <t>C-Nav X3</t>
    <phoneticPr fontId="0" type="Hiragana"/>
  </si>
  <si>
    <t>E0041-00000380</t>
    <phoneticPr fontId="0" type="Hiragana"/>
  </si>
  <si>
    <t>SOR0027566</t>
    <phoneticPr fontId="0" type="Hiragana"/>
  </si>
  <si>
    <t>25/12/09 송금완료($17,124.00)</t>
    <phoneticPr fontId="0" type="Hiragana"/>
  </si>
  <si>
    <t>#25-372</t>
    <phoneticPr fontId="0" type="Hiragana"/>
  </si>
  <si>
    <t>C-Nav 보정신호 1달</t>
  </si>
  <si>
    <t>R0041-00000130</t>
    <phoneticPr fontId="0" type="Hiragana"/>
  </si>
  <si>
    <t>25/12/09 송금완료($1,795.50)</t>
    <phoneticPr fontId="0" type="Hiragana"/>
  </si>
  <si>
    <t>Blue robotics</t>
    <phoneticPr fontId="0" type="Hiragana"/>
  </si>
  <si>
    <t>nut and bolt</t>
    <phoneticPr fontId="0" type="Hiragana"/>
  </si>
  <si>
    <t>#25-305, 296, 363</t>
    <phoneticPr fontId="0" type="Hiragana"/>
  </si>
  <si>
    <t>UTS9500 1식, UTS Transducer 1식, R2K 3식</t>
    <phoneticPr fontId="0" type="Hiragana"/>
  </si>
  <si>
    <t>CD2523102241</t>
    <phoneticPr fontId="0" type="Hiragana"/>
  </si>
  <si>
    <t>R173553</t>
    <phoneticPr fontId="0" type="Hiragana"/>
  </si>
  <si>
    <t>#25-374</t>
    <phoneticPr fontId="0" type="Hiragana"/>
  </si>
  <si>
    <t>Marine Magnetics</t>
    <phoneticPr fontId="0" type="Hiragana"/>
  </si>
  <si>
    <t>SeaSPY2 TowFish only</t>
  </si>
  <si>
    <t>4859</t>
    <phoneticPr fontId="0" type="Hiragana"/>
  </si>
  <si>
    <t>#25-376</t>
    <phoneticPr fontId="0" type="Hiragana"/>
  </si>
  <si>
    <t>SFMC 라이선스 1년</t>
    <phoneticPr fontId="0" type="Hiragana"/>
  </si>
  <si>
    <t>CD2523102361</t>
    <phoneticPr fontId="0" type="Hiragana"/>
  </si>
  <si>
    <t>11월 통신사용료</t>
    <phoneticPr fontId="0" type="Hiragana"/>
  </si>
  <si>
    <t>25/12/23 송금완료($5,657.65)</t>
    <phoneticPr fontId="0" type="Hiragana"/>
  </si>
  <si>
    <t>#25-419</t>
    <phoneticPr fontId="0" type="Hiragana"/>
  </si>
  <si>
    <t>25/12/23 송금완료($15,000.00)</t>
    <phoneticPr fontId="0" type="Hiragana"/>
  </si>
  <si>
    <t>M25-942</t>
    <phoneticPr fontId="0" type="Hiragana"/>
  </si>
  <si>
    <t>25/12/23 송금완료($334.00)</t>
    <phoneticPr fontId="0" type="Hiragana"/>
  </si>
  <si>
    <t>05106, Compass32500</t>
    <phoneticPr fontId="0" type="Hiragana"/>
  </si>
  <si>
    <t>CCI-25-041</t>
    <phoneticPr fontId="0" type="Hiragana"/>
  </si>
  <si>
    <t>CCI-25-016</t>
    <phoneticPr fontId="0" type="Hiragana"/>
  </si>
  <si>
    <t>25/12/22 송금완료($4,784.66)</t>
    <phoneticPr fontId="0" type="Hiragana"/>
  </si>
  <si>
    <t>#25-357</t>
    <phoneticPr fontId="0" type="Hiragana"/>
  </si>
  <si>
    <t>이에스솔루션즈</t>
    <phoneticPr fontId="0" type="Hiragana"/>
  </si>
  <si>
    <t>ST400B 2식 (1식 오션재고)</t>
    <phoneticPr fontId="0" type="Hiragana"/>
  </si>
  <si>
    <t>INV011501</t>
    <phoneticPr fontId="0" type="Hiragana"/>
  </si>
  <si>
    <t>ORD0020982</t>
    <phoneticPr fontId="0" type="Hiragana"/>
  </si>
  <si>
    <t>25/12/23 송금완료($1,615.00)</t>
    <phoneticPr fontId="0" type="Hiragana"/>
  </si>
  <si>
    <t>#26-</t>
    <phoneticPr fontId="0" type="Hiragana"/>
  </si>
  <si>
    <t>Solar Panel</t>
    <phoneticPr fontId="0" type="Hiragana"/>
  </si>
  <si>
    <t>4789</t>
    <phoneticPr fontId="0" type="Hiragana"/>
  </si>
  <si>
    <t>SO5196</t>
    <phoneticPr fontId="0" type="Hiragana"/>
  </si>
  <si>
    <t>25/12/23 송금완료($7,641.61)</t>
    <phoneticPr fontId="0" type="Hiragana"/>
  </si>
  <si>
    <t>#25-265</t>
    <phoneticPr fontId="0" type="Hiragana"/>
  </si>
  <si>
    <t>에이치와이산업</t>
    <phoneticPr fontId="0" type="Hiragana"/>
  </si>
  <si>
    <t>LED Sealite 4식</t>
    <phoneticPr fontId="0" type="Hiragana"/>
  </si>
  <si>
    <t>11/26</t>
    <phoneticPr fontId="0" type="Hiragana"/>
  </si>
  <si>
    <t>김재엽</t>
    <phoneticPr fontId="0" type="Hiragana"/>
  </si>
  <si>
    <t>SI371497</t>
    <phoneticPr fontId="0" type="Hiragana"/>
  </si>
  <si>
    <t>SO354632</t>
    <phoneticPr fontId="0" type="Hiragana"/>
  </si>
  <si>
    <t>25/12/23 송금완료($7,055.00)</t>
    <phoneticPr fontId="0" type="Hiragana"/>
  </si>
  <si>
    <t>Termination kit for S4900 Cable 2식</t>
    <phoneticPr fontId="0" type="Hiragana"/>
  </si>
  <si>
    <t>INV-00283</t>
    <phoneticPr fontId="0" type="Hiragana"/>
  </si>
  <si>
    <t>S25-0087</t>
    <phoneticPr fontId="0" type="Hiragana"/>
  </si>
  <si>
    <t>25/12/23 송금완료($5,852.30)</t>
    <phoneticPr fontId="0" type="Hiragana"/>
  </si>
  <si>
    <t>다이버건 1식, UPR 1식, A보드 1식</t>
    <phoneticPr fontId="0" type="Hiragana"/>
  </si>
  <si>
    <t>29430</t>
    <phoneticPr fontId="0" type="Hiragana"/>
  </si>
  <si>
    <t>26/1/21 송금완료($42,660.10)</t>
    <phoneticPr fontId="1" type="noConversion"/>
  </si>
  <si>
    <t>G3 Glider</t>
    <phoneticPr fontId="0" type="Hiragana"/>
  </si>
  <si>
    <t>CD2523102450</t>
    <phoneticPr fontId="0" type="Hiragana"/>
  </si>
  <si>
    <t>26/01/13 송금완료($269,563.00)</t>
    <phoneticPr fontId="0" type="Hiragana"/>
  </si>
  <si>
    <t>부품46</t>
    <phoneticPr fontId="0" type="Hiragana"/>
  </si>
  <si>
    <t>엔비전</t>
    <phoneticPr fontId="0" type="Hiragana"/>
  </si>
  <si>
    <t>Zebra</t>
    <phoneticPr fontId="0" type="Hiragana"/>
  </si>
  <si>
    <t>Replacement Stainless Steel Arm &amp; Brush</t>
    <phoneticPr fontId="0" type="Hiragana"/>
  </si>
  <si>
    <t>INV-10431</t>
    <phoneticPr fontId="0" type="Hiragana"/>
  </si>
  <si>
    <t>26/1/27 카드결제완료($91.91)</t>
    <phoneticPr fontId="0" type="Hiragana"/>
  </si>
  <si>
    <t>#26-계약예정</t>
    <phoneticPr fontId="0" type="Hiragana"/>
  </si>
  <si>
    <t>에이샛,오션재고</t>
    <phoneticPr fontId="0" type="Hiragana"/>
  </si>
  <si>
    <t>12월 통신비</t>
    <phoneticPr fontId="0" type="Hiragana"/>
  </si>
  <si>
    <t>26/1/27 송금완료($6,038.90)</t>
    <phoneticPr fontId="0" type="Hiragana"/>
  </si>
  <si>
    <t>SeaTrac</t>
    <phoneticPr fontId="0" type="Hiragana"/>
  </si>
  <si>
    <t>SP-48 (배터리 따로 선적됨)</t>
    <phoneticPr fontId="0" type="Hiragana"/>
  </si>
  <si>
    <t>7월말</t>
    <phoneticPr fontId="0" type="Hiragana"/>
  </si>
  <si>
    <t>10월말 도착 예정</t>
    <phoneticPr fontId="0" type="Hiragana"/>
  </si>
  <si>
    <t>10/30, 12/1</t>
    <phoneticPr fontId="0" type="Hiragana"/>
  </si>
  <si>
    <t>11/3, 12/2</t>
    <phoneticPr fontId="0" type="Hiragana"/>
  </si>
  <si>
    <t>1092,
1129(45%),
109 (잔금)</t>
    <phoneticPr fontId="0" type="Hiragana"/>
  </si>
  <si>
    <t>선금 40%완료
중도금 45% 완료,
2/10</t>
    <phoneticPr fontId="0" type="Hiragana"/>
  </si>
  <si>
    <t>유니코, 삼정 해상 진행
25/03/06 40%선송금($100,796.80)
25/07/29 45%선송금($113,396.40)
26/02/04 15%잔금송금(37,798.80)</t>
    <phoneticPr fontId="0" type="Hiragana"/>
  </si>
  <si>
    <t>#25-348</t>
    <phoneticPr fontId="0" type="Hiragana"/>
  </si>
  <si>
    <t>STREAM+ OEMF</t>
    <phoneticPr fontId="0" type="Hiragana"/>
  </si>
  <si>
    <t>INV011572</t>
    <phoneticPr fontId="0" type="Hiragana"/>
  </si>
  <si>
    <t>ORD0020952</t>
    <phoneticPr fontId="0" type="Hiragana"/>
  </si>
  <si>
    <t>26/02/04 송금완료($13,130.00)</t>
    <phoneticPr fontId="0" type="Hiragana"/>
  </si>
  <si>
    <t>MCIL-6-FS+50m</t>
    <phoneticPr fontId="0" type="Hiragana"/>
  </si>
  <si>
    <t>OT-260106-JY01</t>
    <phoneticPr fontId="0" type="Hiragana"/>
  </si>
  <si>
    <t>P26-001</t>
    <phoneticPr fontId="0" type="Hiragana"/>
  </si>
  <si>
    <t>26/02/04 송금완료($270.00)</t>
    <phoneticPr fontId="0" type="Hiragana"/>
  </si>
  <si>
    <t>#26-1</t>
    <phoneticPr fontId="0" type="Hiragana"/>
  </si>
  <si>
    <t>엘티메트릭</t>
    <phoneticPr fontId="0" type="Hiragana"/>
  </si>
  <si>
    <t>90228306</t>
    <phoneticPr fontId="0" type="Hiragana"/>
  </si>
  <si>
    <t>26/02/04 송금완료($20,9995.00)</t>
    <phoneticPr fontId="0" type="Hiragana"/>
  </si>
  <si>
    <t>#26-8</t>
    <phoneticPr fontId="0" type="Hiragana"/>
  </si>
  <si>
    <t>SonarWiz EMA (SN3736, 4268, 4308, 4380) + 온바다호 EMA SN4386</t>
    <phoneticPr fontId="0" type="Hiragana"/>
  </si>
  <si>
    <t>100658</t>
    <phoneticPr fontId="0" type="Hiragana"/>
  </si>
  <si>
    <t>26/2/11 송금완료($7,593.00)</t>
    <phoneticPr fontId="0" type="Hiragana"/>
  </si>
  <si>
    <t>#26-55</t>
    <phoneticPr fontId="0" type="Hiragana"/>
  </si>
  <si>
    <t>KHOA(차세대 로거)</t>
    <phoneticPr fontId="0" type="Hiragana"/>
  </si>
  <si>
    <t>ISMART</t>
    <phoneticPr fontId="0" type="Hiragana"/>
  </si>
  <si>
    <t>데이터로거 제작 부품들</t>
    <phoneticPr fontId="0" type="Hiragana"/>
  </si>
  <si>
    <t>JKR2602362001</t>
    <phoneticPr fontId="0" type="Hiragana"/>
  </si>
  <si>
    <t>26/1/21 송금완료($3,699.80)</t>
    <phoneticPr fontId="0" type="Hiragana"/>
  </si>
  <si>
    <t>ISMART</t>
  </si>
  <si>
    <t>JKR2602692201</t>
    <phoneticPr fontId="0" type="Hiragana"/>
  </si>
  <si>
    <t>26/1/27 송금완료($574.90)</t>
    <phoneticPr fontId="0" type="Hiragana"/>
  </si>
  <si>
    <t>26/1/31 송금완료($12,057.26)</t>
    <phoneticPr fontId="0" type="Hiragana"/>
  </si>
  <si>
    <t>#26-55</t>
  </si>
  <si>
    <t>KHOA(차세대 로거)</t>
  </si>
  <si>
    <t>Rongsheng optoeletronic</t>
  </si>
  <si>
    <t>WG cable 9-pin 2m</t>
    <phoneticPr fontId="0" type="Hiragana"/>
  </si>
  <si>
    <t>4807</t>
    <phoneticPr fontId="0" type="Hiragana"/>
  </si>
  <si>
    <t>26/02/20 송금완료($915.80)</t>
    <phoneticPr fontId="0" type="Hiragana"/>
  </si>
  <si>
    <t>#26-7</t>
    <phoneticPr fontId="0" type="Hiragana"/>
  </si>
  <si>
    <t>Hemisphere H10 Atlas 보정신호 서비스 2식</t>
    <phoneticPr fontId="0" type="Hiragana"/>
  </si>
  <si>
    <t>R0041-0000133</t>
  </si>
  <si>
    <t>26/02/20 송금완료($1,890.50)</t>
    <phoneticPr fontId="0" type="Hiragana"/>
  </si>
  <si>
    <t>#26-42</t>
    <phoneticPr fontId="0" type="Hiragana"/>
  </si>
  <si>
    <t>Atlas 1-month service</t>
    <phoneticPr fontId="0" type="Hiragana"/>
  </si>
  <si>
    <t>R0041-00000136</t>
    <phoneticPr fontId="0" type="Hiragana"/>
  </si>
  <si>
    <t>26/02/20 송금완료($945.25)</t>
    <phoneticPr fontId="0" type="Hiragana"/>
  </si>
  <si>
    <t>#26-23</t>
  </si>
  <si>
    <t>865 Battery 2식</t>
    <phoneticPr fontId="0" type="Hiragana"/>
  </si>
  <si>
    <t>CD2623100155</t>
    <phoneticPr fontId="0" type="Hiragana"/>
  </si>
  <si>
    <t>R176604</t>
    <phoneticPr fontId="0" type="Hiragana"/>
  </si>
  <si>
    <t>26/2/26 송금완료($880.00)</t>
    <phoneticPr fontId="0" type="Hiragana"/>
  </si>
  <si>
    <t>#25-271, 계약예정</t>
  </si>
  <si>
    <t>한일뉴즈, KHOA</t>
  </si>
  <si>
    <t>Cables</t>
    <phoneticPr fontId="0" type="Hiragana"/>
  </si>
  <si>
    <t>OT-260126_JY01/OT-260128_JY01</t>
    <phoneticPr fontId="0" type="Hiragana"/>
  </si>
  <si>
    <t>P26-004</t>
    <phoneticPr fontId="0" type="Hiragana"/>
  </si>
  <si>
    <t>26/2/26 송금완료($1,148.00)</t>
    <phoneticPr fontId="0" type="Hiragana"/>
  </si>
  <si>
    <t>수중케이블</t>
    <phoneticPr fontId="0" type="Hiragana"/>
  </si>
  <si>
    <t>P26-008</t>
    <phoneticPr fontId="0" type="Hiragana"/>
  </si>
  <si>
    <t>26/2/26 송금완료($352.00)</t>
    <phoneticPr fontId="0" type="Hiragana"/>
  </si>
  <si>
    <t>1월 통신비</t>
    <phoneticPr fontId="0" type="Hiragana"/>
  </si>
  <si>
    <t>26/2/26 송금완료($5,134.15)</t>
    <phoneticPr fontId="0" type="Hiragana"/>
  </si>
  <si>
    <t>Dynamic Gravity Meter</t>
    <phoneticPr fontId="0" type="Hiragana"/>
  </si>
  <si>
    <t>I24030601,
I25010801,
CI25051901, 
CI26022501</t>
  </si>
  <si>
    <t>잔금 10% COD</t>
  </si>
  <si>
    <t>한성, 삼정 진행
24/03/08 50%선송금완료($224,404.00)
25/01/09 30%선송금완료($134,642.00)
25/05/20 10%잔금 송금완료($44,881.00)
26/02/27 10%잔금 송금완료($44,881.00)</t>
  </si>
  <si>
    <t>Foshan Yonggu Technology</t>
    <phoneticPr fontId="0" type="Hiragana"/>
  </si>
  <si>
    <t>데이터로거 제작 부품</t>
    <phoneticPr fontId="0" type="Hiragana"/>
  </si>
  <si>
    <t>20260122-X888</t>
    <phoneticPr fontId="0" type="Hiragana"/>
  </si>
  <si>
    <t>26/1/22 송금완료($3,789.90)</t>
    <phoneticPr fontId="0" type="Hiragana"/>
  </si>
  <si>
    <t>#25-342</t>
    <phoneticPr fontId="0" type="Hiragana"/>
  </si>
  <si>
    <t>Weipu company</t>
    <phoneticPr fontId="0" type="Hiragana"/>
  </si>
  <si>
    <t>Connector</t>
    <phoneticPr fontId="0" type="Hiragana"/>
  </si>
  <si>
    <t>유정연</t>
    <phoneticPr fontId="0" type="Hiragana"/>
  </si>
  <si>
    <t>Pololu corporation</t>
    <phoneticPr fontId="0" type="Hiragana"/>
  </si>
  <si>
    <t>Processors and controllers</t>
    <phoneticPr fontId="0" type="Hiragana"/>
  </si>
  <si>
    <t>이승록</t>
    <phoneticPr fontId="0" type="Hiragana"/>
  </si>
  <si>
    <t>Micro Vac Pump Kit for pCO2</t>
    <phoneticPr fontId="0" type="Hiragana"/>
  </si>
  <si>
    <t>CCI-26-003</t>
    <phoneticPr fontId="0" type="Hiragana"/>
  </si>
  <si>
    <t>CCI-25-017</t>
    <phoneticPr fontId="0" type="Hiragana"/>
  </si>
  <si>
    <t>26/2/27 송금완료($1,485.00)</t>
    <phoneticPr fontId="0" type="Hiragana"/>
  </si>
  <si>
    <t>#26-32</t>
  </si>
  <si>
    <t>Repair for SeaSPY2</t>
    <phoneticPr fontId="0" type="Hiragana"/>
  </si>
  <si>
    <t>4866</t>
  </si>
  <si>
    <t>26/03/05 송금완료($5,165.00)</t>
    <phoneticPr fontId="0" type="Hiragana"/>
  </si>
  <si>
    <t>20260203-X888</t>
    <phoneticPr fontId="0" type="Hiragana"/>
  </si>
  <si>
    <t>#26-21</t>
    <phoneticPr fontId="0" type="Hiragana"/>
  </si>
  <si>
    <t>Calibration for Tide Sensor 5217 SN800</t>
    <phoneticPr fontId="0" type="Hiragana"/>
  </si>
  <si>
    <t>134055</t>
  </si>
  <si>
    <t>S2607001</t>
    <phoneticPr fontId="0" type="Hiragana"/>
  </si>
  <si>
    <t>26/3/12 송금완료($646.00)</t>
    <phoneticPr fontId="0" type="Hiragana"/>
  </si>
  <si>
    <t>MMF-7500 9식, PS-200 9식</t>
    <phoneticPr fontId="0" type="Hiragana"/>
  </si>
  <si>
    <t>INV011741</t>
    <phoneticPr fontId="0" type="Hiragana"/>
  </si>
  <si>
    <t>ORD0021085</t>
    <phoneticPr fontId="0" type="Hiragana"/>
  </si>
  <si>
    <t>26/3/18 송금완료($18,826.65)</t>
    <phoneticPr fontId="0" type="Hiragana"/>
  </si>
  <si>
    <t>Hemisphere H10 Atlas 보정신호 서비스 1식</t>
    <phoneticPr fontId="0" type="Hiragana"/>
  </si>
  <si>
    <t>R0041-00000141</t>
  </si>
  <si>
    <t>26/3/18 송금완료</t>
    <phoneticPr fontId="0" type="Hiragana"/>
  </si>
  <si>
    <t>Mini GI-Source Maintenance kits 3식</t>
    <phoneticPr fontId="0" type="Hiragana"/>
  </si>
  <si>
    <t>90049236</t>
    <phoneticPr fontId="0" type="Hiragana"/>
  </si>
  <si>
    <t>#26-46</t>
    <phoneticPr fontId="0" type="Hiragana"/>
  </si>
  <si>
    <t>Atlas H10 1 month</t>
    <phoneticPr fontId="0" type="Hiragana"/>
  </si>
  <si>
    <t>R0041-00000137</t>
    <phoneticPr fontId="0" type="Hiragana"/>
  </si>
  <si>
    <t>#26-62</t>
  </si>
  <si>
    <t>MRC</t>
  </si>
  <si>
    <t>R0041-00000142</t>
  </si>
  <si>
    <t>#26</t>
  </si>
  <si>
    <t>R0041-00000143</t>
  </si>
  <si>
    <t>#26-63</t>
  </si>
  <si>
    <t>Atlas H10 1 month_VS1000</t>
  </si>
  <si>
    <t>R0041-00000144</t>
  </si>
  <si>
    <t>2월 통신사용료</t>
    <phoneticPr fontId="0" type="Hiragana"/>
  </si>
  <si>
    <t>26/3/18 송금완료($7,366.61)</t>
    <phoneticPr fontId="0" type="Hiragana"/>
  </si>
  <si>
    <t>#25-44</t>
    <phoneticPr fontId="0" type="Hiragana"/>
  </si>
  <si>
    <t>Microsec</t>
    <phoneticPr fontId="0" type="Hiragana"/>
  </si>
  <si>
    <t>Repair for Sting MKIII</t>
    <phoneticPr fontId="0" type="Hiragana"/>
  </si>
  <si>
    <t>1204-25</t>
    <phoneticPr fontId="0" type="Hiragana"/>
  </si>
  <si>
    <t>25/04/01 송금완료(CAD340)</t>
    <phoneticPr fontId="0" type="Hiragana"/>
  </si>
  <si>
    <t>Shorted MCBH plugs for STING</t>
    <phoneticPr fontId="0" type="Hiragana"/>
  </si>
  <si>
    <t>1212-25</t>
    <phoneticPr fontId="0" type="Hiragana"/>
  </si>
  <si>
    <t>2025/09/10 송금완료(CAD212.50)</t>
    <phoneticPr fontId="0" type="Hiragana"/>
  </si>
  <si>
    <t>Sting 수리</t>
    <phoneticPr fontId="0" type="Hiragana"/>
  </si>
  <si>
    <t>1217-25</t>
    <phoneticPr fontId="0" type="Hiragana"/>
  </si>
  <si>
    <t>25/11/26 송금완료(CAD280.50)</t>
    <phoneticPr fontId="0" type="Hiragana"/>
  </si>
  <si>
    <t>Element14</t>
    <phoneticPr fontId="0" type="Hiragana"/>
  </si>
  <si>
    <t>Ubuy</t>
    <phoneticPr fontId="0" type="Hiragana"/>
  </si>
  <si>
    <t>Samurai 해양 스프레이</t>
    <phoneticPr fontId="0" type="Hiragana"/>
  </si>
  <si>
    <t>#25-200</t>
    <phoneticPr fontId="0" type="Hiragana"/>
  </si>
  <si>
    <t>KIMST(월파)</t>
    <phoneticPr fontId="0" type="Hiragana"/>
  </si>
  <si>
    <t>센서 제작 부품들</t>
    <phoneticPr fontId="0" type="Hiragana"/>
  </si>
  <si>
    <t>강찬영</t>
    <phoneticPr fontId="0" type="Hiragana"/>
  </si>
  <si>
    <t>카드결제완료(2808)</t>
    <phoneticPr fontId="0" type="Hiragana"/>
  </si>
  <si>
    <t>#25-021</t>
    <phoneticPr fontId="0" type="Hiragana"/>
  </si>
  <si>
    <t>Gill Instruments</t>
    <phoneticPr fontId="0" type="Hiragana"/>
  </si>
  <si>
    <t>MaxiMet GMX501</t>
    <phoneticPr fontId="0" type="Hiragana"/>
  </si>
  <si>
    <t>48456</t>
    <phoneticPr fontId="0" type="Hiragana"/>
  </si>
  <si>
    <t>25/3/10 송금완료(GBP2,167.00)</t>
    <phoneticPr fontId="0" type="Hiragana"/>
  </si>
  <si>
    <t>오션재고(KHOA)</t>
    <phoneticPr fontId="0" type="Hiragana"/>
  </si>
  <si>
    <t>GMX560</t>
    <phoneticPr fontId="0" type="Hiragana"/>
  </si>
  <si>
    <t>25/3/10 송금완료(GBP1,945.00)</t>
    <phoneticPr fontId="0" type="Hiragana"/>
  </si>
  <si>
    <t>Neptune Sonar</t>
    <phoneticPr fontId="0" type="Hiragana"/>
  </si>
  <si>
    <t>D/45 Spherical Transducer</t>
    <phoneticPr fontId="0" type="Hiragana"/>
  </si>
  <si>
    <t>50719</t>
    <phoneticPr fontId="0" type="Hiragana"/>
  </si>
  <si>
    <t>25/04/07 송금완료(GBP 2,822)</t>
    <phoneticPr fontId="0" type="Hiragana"/>
  </si>
  <si>
    <t>C-Max</t>
    <phoneticPr fontId="0" type="Hiragana"/>
  </si>
  <si>
    <t>Vigo Winch</t>
    <phoneticPr fontId="0" type="Hiragana"/>
  </si>
  <si>
    <t>2642</t>
    <phoneticPr fontId="0" type="Hiragana"/>
  </si>
  <si>
    <t>한성, 삼정 진행 25/06/02 송금완료(GBP 17,496)</t>
    <phoneticPr fontId="0" type="Hiragana"/>
  </si>
  <si>
    <t>Aquatec</t>
    <phoneticPr fontId="0" type="Hiragana"/>
  </si>
  <si>
    <t>Repair for AQUAscat</t>
    <phoneticPr fontId="0" type="Hiragana"/>
  </si>
  <si>
    <t>3582/01</t>
    <phoneticPr fontId="0" type="Hiragana"/>
  </si>
  <si>
    <t>2025/05/28 선송금완료(GBP5,628)</t>
    <phoneticPr fontId="0" type="Hiragana"/>
  </si>
  <si>
    <t>#25-223</t>
    <phoneticPr fontId="0" type="Hiragana"/>
  </si>
  <si>
    <t>Datem</t>
    <phoneticPr fontId="0" type="Hiragana"/>
  </si>
  <si>
    <t>Neptune 3000 spare(5cm cone sleeves, cone tip)</t>
    <phoneticPr fontId="0" type="Hiragana"/>
  </si>
  <si>
    <t>16533</t>
    <phoneticPr fontId="0" type="Hiragana"/>
  </si>
  <si>
    <t>25/08/05 송금완료(GBP 2,228.00)</t>
    <phoneticPr fontId="0" type="Hiragana"/>
  </si>
  <si>
    <t>#25-237</t>
    <phoneticPr fontId="0" type="Hiragana"/>
  </si>
  <si>
    <t>Neptune 3000 Insptection and Repair</t>
    <phoneticPr fontId="0" type="Hiragana"/>
  </si>
  <si>
    <t>16541</t>
    <phoneticPr fontId="0" type="Hiragana"/>
  </si>
  <si>
    <t>25/08/05 송금완료(GBP 4,447.00)</t>
    <phoneticPr fontId="0" type="Hiragana"/>
  </si>
  <si>
    <t>#25-283</t>
    <phoneticPr fontId="0" type="Hiragana"/>
  </si>
  <si>
    <t>5m cone rod 6식</t>
    <phoneticPr fontId="0" type="Hiragana"/>
  </si>
  <si>
    <t>25/10/13 송금완료(GBP7,488)</t>
    <phoneticPr fontId="0" type="Hiragana"/>
  </si>
  <si>
    <t>#25-290</t>
    <phoneticPr fontId="0" type="Hiragana"/>
  </si>
  <si>
    <t>Scraper washer set, cable</t>
    <phoneticPr fontId="0" type="Hiragana"/>
  </si>
  <si>
    <t>25/10/13 송금완료(GBP1,672)</t>
    <phoneticPr fontId="0" type="Hiragana"/>
  </si>
  <si>
    <t>#25-317</t>
    <phoneticPr fontId="0" type="Hiragana"/>
  </si>
  <si>
    <t xml:space="preserve">Geotek </t>
    <phoneticPr fontId="0" type="Hiragana"/>
  </si>
  <si>
    <t>Cutter for core splitter</t>
    <phoneticPr fontId="0" type="Hiragana"/>
  </si>
  <si>
    <t>INV100645</t>
    <phoneticPr fontId="0" type="Hiragana"/>
  </si>
  <si>
    <t>SO25127</t>
    <phoneticPr fontId="0" type="Hiragana"/>
  </si>
  <si>
    <t>한일뉴즈(KIOST)</t>
    <phoneticPr fontId="0" type="Hiragana"/>
  </si>
  <si>
    <t>Vigo Profiling Winch</t>
    <phoneticPr fontId="0" type="Hiragana"/>
  </si>
  <si>
    <t>25/12/09 송금완료(GBP18,038.00)</t>
    <phoneticPr fontId="0" type="Hiragana"/>
  </si>
  <si>
    <t>#25-268</t>
    <phoneticPr fontId="0" type="Hiragana"/>
  </si>
  <si>
    <t>Neptune</t>
    <phoneticPr fontId="0" type="Hiragana"/>
  </si>
  <si>
    <t>D/11/BB Transducer</t>
    <phoneticPr fontId="0" type="Hiragana"/>
  </si>
  <si>
    <t>50821</t>
    <phoneticPr fontId="0" type="Hiragana"/>
  </si>
  <si>
    <t>2026-02-04 송금완료(GBP9,867.00)</t>
    <phoneticPr fontId="0" type="Hiragana"/>
  </si>
  <si>
    <t>HKD</t>
    <phoneticPr fontId="0" type="Hiragana"/>
  </si>
  <si>
    <t>#24-188</t>
    <phoneticPr fontId="0" type="Hiragana"/>
  </si>
  <si>
    <t>RS Components LTD</t>
    <phoneticPr fontId="0" type="Hiragana"/>
  </si>
  <si>
    <t>RS PRO Black Rubber Sheet 19식</t>
    <phoneticPr fontId="0" type="Hiragana"/>
  </si>
  <si>
    <t>박정은</t>
    <phoneticPr fontId="0" type="Hiragana"/>
  </si>
  <si>
    <t>물품 대금은 법인카드로 결제/5ea, 14ea 2차례에 걸쳐 배송됨</t>
    <phoneticPr fontId="0" type="Hiragana"/>
  </si>
  <si>
    <t>RS components</t>
    <phoneticPr fontId="0" type="Hiragana"/>
  </si>
  <si>
    <t>부품류</t>
    <phoneticPr fontId="0" type="Hiragana"/>
  </si>
  <si>
    <t>#23-69</t>
    <phoneticPr fontId="0" type="Hiragana"/>
  </si>
  <si>
    <t>ADD</t>
    <phoneticPr fontId="0" type="Hiragana"/>
  </si>
  <si>
    <t>Circular cable</t>
    <phoneticPr fontId="0" type="Hiragana"/>
  </si>
  <si>
    <t>#24-346</t>
    <phoneticPr fontId="0" type="Hiragana"/>
  </si>
  <si>
    <t>Littlefuse 0312.750HXP 120식, Littlefuse 0312.375HXP 120식</t>
    <phoneticPr fontId="0" type="Hiragana"/>
  </si>
  <si>
    <t>부품 박스</t>
    <phoneticPr fontId="0" type="Hiragana"/>
  </si>
  <si>
    <t>UTS 배터리</t>
    <phoneticPr fontId="0" type="Hiragana"/>
  </si>
  <si>
    <t>한성, 삼정 진행
26/4/2 송금완료(EUR13,336.50)</t>
    <phoneticPr fontId="0" type="Hiragana"/>
  </si>
  <si>
    <t>26/4/2 전체금액 송금완료(EUR5,560.00)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</si>
</sst>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mm&quot;월&quot;\ dd&quot;일&quot;"/>
    <numFmt numFmtId="177" formatCode="#,##0.00_);[Red]\(#,##0.00\)"/>
    <numFmt numFmtId="178" formatCode="m&quot;/&quot;d;@"/>
    <numFmt numFmtId="179" formatCode="0_);[Red]\(0\)"/>
    <numFmt numFmtId="180" formatCode="yyyy&quot;년&quot;\ m&quot;월&quot;\ d&quot;일&quot;;@"/>
    <numFmt numFmtId="181" formatCode="#,##0_);[Red]\(#,##0\)"/>
    <numFmt numFmtId="182" formatCode="m\/d"/>
    <numFmt numFmtId="183" formatCode="#,##0.00_ ;[Red]\-#,##0.00\ "/>
    <numFmt numFmtId="184" formatCode="_-* #,##0.00_-;\-* #,##0.00_-;_-* &quot;-&quot;_-;_-@_-"/>
    <numFmt numFmtId="185" formatCode="yyyy&quot;-&quot;m&quot;-&quot;d;@"/>
    <numFmt numFmtId="186" formatCode="yyyy/mm/dd;@"/>
  </numFmts>
  <fonts count="62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3"/>
      <name val="맑은 고딕"/>
      <family val="3"/>
      <charset val="129"/>
    </font>
    <font>
      <sz val="10"/>
      <color theme="3"/>
      <name val="맑은 고딕"/>
      <family val="3"/>
      <charset val="129"/>
    </font>
    <font>
      <b/>
      <sz val="10"/>
      <color theme="8" tint="-0.499984740745262"/>
      <name val="맑은 고딕"/>
      <family val="3"/>
      <charset val="129"/>
    </font>
    <font>
      <b/>
      <sz val="10"/>
      <color theme="9" tint="-0.499984740745262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sz val="10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name val="맑은 고딕"/>
      <family val="3"/>
      <charset val="129"/>
    </font>
    <font>
      <sz val="10"/>
      <color rgb="FF00B05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24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b/>
      <sz val="11"/>
      <name val="돋움"/>
      <family val="3"/>
      <charset val="129"/>
    </font>
    <font>
      <b/>
      <sz val="24"/>
      <color theme="0" tint="-0.249977111117893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8" tint="-0.499984740745262"/>
      <name val="맑은 고딕"/>
      <family val="3"/>
      <charset val="129"/>
    </font>
    <font>
      <sz val="11"/>
      <name val="돋움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rgb="FFFEFCFC"/>
      <name val="맑은 고딕"/>
      <family val="3"/>
      <charset val="129"/>
    </font>
    <font>
      <b/>
      <sz val="11"/>
      <color rgb="FFFEFCFC"/>
      <name val="맑은 고딕"/>
      <family val="3"/>
      <charset val="129"/>
    </font>
    <font>
      <sz val="9"/>
      <color theme="0"/>
      <name val="맑은 고딕"/>
      <family val="3"/>
      <charset val="129"/>
    </font>
    <font>
      <b/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10"/>
      <color rgb="FFFEFCFC"/>
      <name val="맑은 고딕"/>
      <family val="3"/>
      <charset val="129"/>
    </font>
    <font>
      <b/>
      <sz val="9"/>
      <color rgb="FFFEFCFC"/>
      <name val="맑은 고딕"/>
      <family val="3"/>
      <charset val="129"/>
    </font>
    <font>
      <sz val="9"/>
      <name val="돋움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ajor"/>
    </font>
    <font>
      <sz val="9"/>
      <color rgb="FFFEFCFC"/>
      <name val="맑은 고딕"/>
      <family val="3"/>
      <charset val="129"/>
    </font>
    <font>
      <b/>
      <sz val="72"/>
      <name val="돋움"/>
      <family val="3"/>
      <charset val="129"/>
    </font>
    <font>
      <b/>
      <sz val="28"/>
      <name val="맑은 고딕"/>
      <family val="3"/>
      <charset val="129"/>
      <scheme val="minor"/>
    </font>
    <font>
      <sz val="11"/>
      <color rgb="FFFEFCFC"/>
      <name val="맑은 고딕"/>
      <family val="3"/>
      <charset val="129"/>
    </font>
    <font>
      <sz val="8"/>
      <name val="맑은 고딕"/>
      <family val="3"/>
      <charset val="129"/>
    </font>
    <font>
      <b/>
      <strike/>
      <sz val="10"/>
      <color theme="0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EFCFC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medium">
        <color indexed="64"/>
      </left>
      <right style="thin">
        <color theme="0" tint="-0.249977111117893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33" fillId="13" borderId="9" applyNumberFormat="0" applyFont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</cellStyleXfs>
  <cellXfs count="6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9" fontId="19" fillId="3" borderId="1" xfId="0" applyNumberFormat="1" applyFont="1" applyFill="1" applyBorder="1" applyAlignment="1">
      <alignment horizontal="center" vertical="center"/>
    </xf>
    <xf numFmtId="178" fontId="20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9" fontId="24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82" fontId="4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81" fontId="20" fillId="0" borderId="2" xfId="0" applyNumberFormat="1" applyFont="1" applyBorder="1" applyAlignment="1">
      <alignment horizontal="left" vertical="center"/>
    </xf>
    <xf numFmtId="182" fontId="4" fillId="3" borderId="1" xfId="0" applyNumberFormat="1" applyFont="1" applyFill="1" applyBorder="1" applyAlignment="1">
      <alignment horizontal="center" vertical="center"/>
    </xf>
    <xf numFmtId="182" fontId="21" fillId="6" borderId="1" xfId="0" applyNumberFormat="1" applyFont="1" applyFill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  <xf numFmtId="182" fontId="2" fillId="7" borderId="1" xfId="0" applyNumberFormat="1" applyFont="1" applyFill="1" applyBorder="1" applyAlignment="1">
      <alignment horizontal="center" vertical="center"/>
    </xf>
    <xf numFmtId="182" fontId="19" fillId="3" borderId="1" xfId="0" applyNumberFormat="1" applyFont="1" applyFill="1" applyBorder="1" applyAlignment="1">
      <alignment horizontal="center" vertical="center"/>
    </xf>
    <xf numFmtId="182" fontId="12" fillId="2" borderId="1" xfId="0" applyNumberFormat="1" applyFont="1" applyFill="1" applyBorder="1" applyAlignment="1">
      <alignment horizontal="center" vertical="center"/>
    </xf>
    <xf numFmtId="182" fontId="2" fillId="8" borderId="1" xfId="0" applyNumberFormat="1" applyFont="1" applyFill="1" applyBorder="1" applyAlignment="1">
      <alignment horizontal="center" vertical="center"/>
    </xf>
    <xf numFmtId="182" fontId="20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182" fontId="4" fillId="8" borderId="1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177" fontId="27" fillId="8" borderId="1" xfId="0" applyNumberFormat="1" applyFont="1" applyFill="1" applyBorder="1" applyAlignment="1">
      <alignment horizontal="center" vertical="center"/>
    </xf>
    <xf numFmtId="178" fontId="2" fillId="8" borderId="1" xfId="0" applyNumberFormat="1" applyFont="1" applyFill="1" applyBorder="1" applyAlignment="1">
      <alignment horizontal="center" vertical="center"/>
    </xf>
    <xf numFmtId="178" fontId="28" fillId="8" borderId="1" xfId="0" applyNumberFormat="1" applyFont="1" applyFill="1" applyBorder="1" applyAlignment="1">
      <alignment horizontal="center" vertical="center"/>
    </xf>
    <xf numFmtId="179" fontId="2" fillId="8" borderId="1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7" fontId="27" fillId="2" borderId="1" xfId="0" applyNumberFormat="1" applyFont="1" applyFill="1" applyBorder="1" applyAlignment="1">
      <alignment horizontal="center" vertical="center"/>
    </xf>
    <xf numFmtId="178" fontId="28" fillId="2" borderId="1" xfId="0" applyNumberFormat="1" applyFont="1" applyFill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" fontId="10" fillId="0" borderId="1" xfId="0" applyNumberFormat="1" applyFont="1" applyBorder="1" applyAlignment="1">
      <alignment horizontal="center" vertical="center"/>
    </xf>
    <xf numFmtId="182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82" fontId="1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82" fontId="13" fillId="0" borderId="1" xfId="0" applyNumberFormat="1" applyFont="1" applyBorder="1" applyAlignment="1">
      <alignment horizontal="center" vertical="center"/>
    </xf>
    <xf numFmtId="177" fontId="30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182" fontId="16" fillId="0" borderId="1" xfId="0" applyNumberFormat="1" applyFont="1" applyBorder="1" applyAlignment="1">
      <alignment horizontal="center" vertical="center"/>
    </xf>
    <xf numFmtId="179" fontId="16" fillId="0" borderId="1" xfId="0" applyNumberFormat="1" applyFont="1" applyBorder="1" applyAlignment="1">
      <alignment horizontal="center" vertical="center"/>
    </xf>
    <xf numFmtId="177" fontId="16" fillId="0" borderId="1" xfId="0" applyNumberFormat="1" applyFont="1" applyBorder="1" applyAlignment="1">
      <alignment horizontal="center" vertical="center"/>
    </xf>
    <xf numFmtId="177" fontId="2" fillId="10" borderId="1" xfId="0" applyNumberFormat="1" applyFont="1" applyFill="1" applyBorder="1" applyAlignment="1">
      <alignment horizontal="center" vertical="center"/>
    </xf>
    <xf numFmtId="177" fontId="4" fillId="1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82" fontId="2" fillId="4" borderId="1" xfId="0" applyNumberFormat="1" applyFont="1" applyFill="1" applyBorder="1" applyAlignment="1">
      <alignment horizontal="center" vertical="center"/>
    </xf>
    <xf numFmtId="182" fontId="2" fillId="11" borderId="1" xfId="0" applyNumberFormat="1" applyFont="1" applyFill="1" applyBorder="1" applyAlignment="1">
      <alignment horizontal="center" vertical="center"/>
    </xf>
    <xf numFmtId="182" fontId="12" fillId="5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81" fontId="20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182" fontId="21" fillId="12" borderId="1" xfId="0" applyNumberFormat="1" applyFont="1" applyFill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0" fontId="26" fillId="3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2" fillId="8" borderId="5" xfId="0" applyFont="1" applyFill="1" applyBorder="1" applyAlignment="1">
      <alignment horizontal="center" vertical="center"/>
    </xf>
    <xf numFmtId="182" fontId="4" fillId="8" borderId="5" xfId="0" applyNumberFormat="1" applyFont="1" applyFill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25" fillId="0" borderId="0" xfId="0" applyNumberFormat="1" applyFont="1" applyAlignment="1">
      <alignment horizontal="left" vertical="center"/>
    </xf>
    <xf numFmtId="178" fontId="26" fillId="0" borderId="0" xfId="0" applyNumberFormat="1" applyFont="1" applyAlignment="1">
      <alignment horizontal="left" vertical="center"/>
    </xf>
    <xf numFmtId="178" fontId="26" fillId="3" borderId="0" xfId="0" applyNumberFormat="1" applyFont="1" applyFill="1" applyAlignment="1">
      <alignment horizontal="left" vertical="center"/>
    </xf>
    <xf numFmtId="4" fontId="27" fillId="8" borderId="5" xfId="0" applyNumberFormat="1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177" fontId="2" fillId="3" borderId="5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25" fillId="3" borderId="0" xfId="0" applyNumberFormat="1" applyFont="1" applyFill="1" applyAlignment="1">
      <alignment horizontal="left" vertical="center"/>
    </xf>
    <xf numFmtId="0" fontId="2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27" fillId="8" borderId="5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 applyProtection="1">
      <alignment horizontal="center" vertical="center"/>
      <protection locked="0"/>
    </xf>
    <xf numFmtId="177" fontId="30" fillId="8" borderId="1" xfId="0" applyNumberFormat="1" applyFont="1" applyFill="1" applyBorder="1" applyAlignment="1" applyProtection="1">
      <alignment horizontal="center" vertical="center"/>
      <protection locked="0"/>
    </xf>
    <xf numFmtId="4" fontId="27" fillId="8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77" fontId="2" fillId="0" borderId="1" xfId="0" applyNumberFormat="1" applyFont="1" applyBorder="1" applyAlignment="1" applyProtection="1">
      <alignment horizontal="center" vertical="center"/>
      <protection locked="0"/>
    </xf>
    <xf numFmtId="177" fontId="13" fillId="0" borderId="1" xfId="0" applyNumberFormat="1" applyFont="1" applyBorder="1" applyAlignment="1" applyProtection="1">
      <alignment horizontal="center" vertical="center"/>
      <protection locked="0"/>
    </xf>
    <xf numFmtId="181" fontId="20" fillId="0" borderId="1" xfId="0" applyNumberFormat="1" applyFont="1" applyBorder="1" applyAlignment="1" applyProtection="1">
      <alignment horizontal="center" vertical="center"/>
      <protection locked="0"/>
    </xf>
    <xf numFmtId="177" fontId="27" fillId="8" borderId="6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29" fillId="0" borderId="0" xfId="0" applyFont="1">
      <alignment vertical="center"/>
    </xf>
    <xf numFmtId="0" fontId="29" fillId="3" borderId="0" xfId="0" applyFont="1" applyFill="1">
      <alignment vertical="center"/>
    </xf>
    <xf numFmtId="0" fontId="0" fillId="3" borderId="0" xfId="0" applyFill="1">
      <alignment vertical="center"/>
    </xf>
    <xf numFmtId="0" fontId="21" fillId="14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177" fontId="0" fillId="0" borderId="0" xfId="0" applyNumberFormat="1">
      <alignment vertical="center"/>
    </xf>
    <xf numFmtId="0" fontId="14" fillId="3" borderId="1" xfId="0" applyFont="1" applyFill="1" applyBorder="1" applyAlignment="1">
      <alignment horizontal="center" vertical="center"/>
    </xf>
    <xf numFmtId="177" fontId="14" fillId="3" borderId="5" xfId="0" applyNumberFormat="1" applyFont="1" applyFill="1" applyBorder="1" applyAlignment="1">
      <alignment horizontal="center" vertical="center"/>
    </xf>
    <xf numFmtId="178" fontId="14" fillId="3" borderId="3" xfId="0" applyNumberFormat="1" applyFont="1" applyFill="1" applyBorder="1" applyAlignment="1">
      <alignment horizontal="center" vertical="center"/>
    </xf>
    <xf numFmtId="0" fontId="41" fillId="3" borderId="0" xfId="0" applyFont="1" applyFill="1">
      <alignment vertical="center"/>
    </xf>
    <xf numFmtId="0" fontId="13" fillId="3" borderId="5" xfId="0" applyFont="1" applyFill="1" applyBorder="1" applyAlignment="1">
      <alignment horizontal="center" vertical="center"/>
    </xf>
    <xf numFmtId="177" fontId="13" fillId="3" borderId="5" xfId="0" applyNumberFormat="1" applyFont="1" applyFill="1" applyBorder="1" applyAlignment="1">
      <alignment horizontal="center" vertical="center"/>
    </xf>
    <xf numFmtId="178" fontId="13" fillId="3" borderId="3" xfId="0" applyNumberFormat="1" applyFont="1" applyFill="1" applyBorder="1" applyAlignment="1">
      <alignment horizontal="center" vertical="center"/>
    </xf>
    <xf numFmtId="0" fontId="39" fillId="3" borderId="0" xfId="0" applyFont="1" applyFill="1">
      <alignment vertical="center"/>
    </xf>
    <xf numFmtId="0" fontId="3" fillId="3" borderId="5" xfId="0" applyFon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41" fillId="0" borderId="0" xfId="0" applyFont="1">
      <alignment vertical="center"/>
    </xf>
    <xf numFmtId="0" fontId="2" fillId="0" borderId="5" xfId="0" applyFont="1" applyBorder="1" applyAlignment="1">
      <alignment horizontal="center" vertical="center"/>
    </xf>
    <xf numFmtId="178" fontId="21" fillId="14" borderId="0" xfId="0" applyNumberFormat="1" applyFont="1" applyFill="1" applyAlignment="1">
      <alignment horizontal="center" vertical="center"/>
    </xf>
    <xf numFmtId="176" fontId="12" fillId="3" borderId="2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4" fillId="14" borderId="0" xfId="0" applyFont="1" applyFill="1">
      <alignment vertical="center"/>
    </xf>
    <xf numFmtId="0" fontId="46" fillId="0" borderId="0" xfId="0" applyFont="1">
      <alignment vertical="center"/>
    </xf>
    <xf numFmtId="0" fontId="2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46" fillId="8" borderId="0" xfId="0" applyFont="1" applyFill="1">
      <alignment vertical="center"/>
    </xf>
    <xf numFmtId="4" fontId="3" fillId="0" borderId="1" xfId="0" applyNumberFormat="1" applyFont="1" applyBorder="1" applyAlignment="1">
      <alignment horizontal="center" vertical="center"/>
    </xf>
    <xf numFmtId="4" fontId="23" fillId="0" borderId="1" xfId="0" applyNumberFormat="1" applyFont="1" applyBorder="1" applyAlignment="1">
      <alignment horizontal="center" vertical="center"/>
    </xf>
    <xf numFmtId="4" fontId="23" fillId="3" borderId="1" xfId="0" applyNumberFormat="1" applyFont="1" applyFill="1" applyBorder="1" applyAlignment="1">
      <alignment horizontal="center" vertical="center"/>
    </xf>
    <xf numFmtId="4" fontId="3" fillId="8" borderId="1" xfId="0" applyNumberFormat="1" applyFont="1" applyFill="1" applyBorder="1" applyAlignment="1">
      <alignment horizontal="center" vertical="center"/>
    </xf>
    <xf numFmtId="177" fontId="23" fillId="3" borderId="1" xfId="0" applyNumberFormat="1" applyFont="1" applyFill="1" applyBorder="1" applyAlignment="1">
      <alignment horizontal="center" vertical="center"/>
    </xf>
    <xf numFmtId="0" fontId="38" fillId="14" borderId="0" xfId="0" applyFont="1" applyFill="1" applyAlignment="1">
      <alignment horizontal="center" vertical="center"/>
    </xf>
    <xf numFmtId="176" fontId="12" fillId="0" borderId="2" xfId="0" applyNumberFormat="1" applyFont="1" applyBorder="1" applyAlignment="1">
      <alignment horizontal="left" vertical="center"/>
    </xf>
    <xf numFmtId="178" fontId="20" fillId="14" borderId="0" xfId="0" quotePrefix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20" fillId="6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8" fontId="2" fillId="8" borderId="2" xfId="0" applyNumberFormat="1" applyFont="1" applyFill="1" applyBorder="1" applyAlignment="1">
      <alignment horizontal="center" vertical="center"/>
    </xf>
    <xf numFmtId="181" fontId="20" fillId="3" borderId="2" xfId="0" applyNumberFormat="1" applyFont="1" applyFill="1" applyBorder="1" applyAlignment="1">
      <alignment horizontal="center" vertical="center"/>
    </xf>
    <xf numFmtId="0" fontId="43" fillId="1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84" fontId="29" fillId="0" borderId="0" xfId="2" applyNumberFormat="1" applyFont="1">
      <alignment vertical="center"/>
    </xf>
    <xf numFmtId="0" fontId="3" fillId="0" borderId="5" xfId="0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4" fontId="22" fillId="0" borderId="1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77" fontId="13" fillId="0" borderId="5" xfId="0" applyNumberFormat="1" applyFont="1" applyBorder="1" applyAlignment="1">
      <alignment horizontal="center" vertical="center"/>
    </xf>
    <xf numFmtId="178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8" fontId="4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82" fontId="19" fillId="0" borderId="1" xfId="0" applyNumberFormat="1" applyFont="1" applyBorder="1" applyAlignment="1">
      <alignment horizontal="center" vertical="center"/>
    </xf>
    <xf numFmtId="179" fontId="24" fillId="0" borderId="1" xfId="0" applyNumberFormat="1" applyFont="1" applyBorder="1" applyAlignment="1">
      <alignment horizontal="center" vertical="center"/>
    </xf>
    <xf numFmtId="178" fontId="20" fillId="0" borderId="2" xfId="0" applyNumberFormat="1" applyFont="1" applyBorder="1" applyAlignment="1">
      <alignment horizontal="center" vertical="center"/>
    </xf>
    <xf numFmtId="178" fontId="4" fillId="0" borderId="3" xfId="0" quotePrefix="1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4" fontId="47" fillId="0" borderId="1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77" fontId="14" fillId="0" borderId="5" xfId="0" applyNumberFormat="1" applyFont="1" applyBorder="1" applyAlignment="1">
      <alignment horizontal="center" vertical="center"/>
    </xf>
    <xf numFmtId="178" fontId="14" fillId="0" borderId="3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8" fontId="31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0" fontId="48" fillId="14" borderId="0" xfId="0" applyFont="1" applyFill="1" applyAlignment="1">
      <alignment horizontal="center" vertical="center"/>
    </xf>
    <xf numFmtId="177" fontId="2" fillId="8" borderId="5" xfId="0" applyNumberFormat="1" applyFont="1" applyFill="1" applyBorder="1" applyAlignment="1">
      <alignment horizontal="center" vertical="center"/>
    </xf>
    <xf numFmtId="177" fontId="27" fillId="3" borderId="1" xfId="0" applyNumberFormat="1" applyFont="1" applyFill="1" applyBorder="1" applyAlignment="1">
      <alignment horizontal="center" vertical="center"/>
    </xf>
    <xf numFmtId="177" fontId="30" fillId="3" borderId="1" xfId="0" applyNumberFormat="1" applyFont="1" applyFill="1" applyBorder="1" applyAlignment="1">
      <alignment horizontal="center" vertical="center"/>
    </xf>
    <xf numFmtId="178" fontId="28" fillId="3" borderId="1" xfId="0" applyNumberFormat="1" applyFont="1" applyFill="1" applyBorder="1" applyAlignment="1">
      <alignment horizontal="center" vertical="center"/>
    </xf>
    <xf numFmtId="49" fontId="48" fillId="14" borderId="0" xfId="0" applyNumberFormat="1" applyFont="1" applyFill="1" applyAlignment="1">
      <alignment horizontal="left" vertical="center"/>
    </xf>
    <xf numFmtId="0" fontId="49" fillId="14" borderId="0" xfId="0" applyFont="1" applyFill="1" applyAlignment="1">
      <alignment horizontal="center" vertical="center"/>
    </xf>
    <xf numFmtId="178" fontId="13" fillId="0" borderId="3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50" fillId="14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7" fillId="3" borderId="6" xfId="0" applyFont="1" applyFill="1" applyBorder="1" applyAlignment="1">
      <alignment horizontal="center" vertical="center"/>
    </xf>
    <xf numFmtId="4" fontId="3" fillId="8" borderId="5" xfId="0" applyNumberFormat="1" applyFont="1" applyFill="1" applyBorder="1" applyAlignment="1">
      <alignment horizontal="center" vertical="center"/>
    </xf>
    <xf numFmtId="4" fontId="27" fillId="8" borderId="5" xfId="0" applyNumberFormat="1" applyFont="1" applyFill="1" applyBorder="1" applyAlignment="1" applyProtection="1">
      <alignment horizontal="center" vertical="center"/>
      <protection locked="0"/>
    </xf>
    <xf numFmtId="178" fontId="28" fillId="8" borderId="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0" fontId="43" fillId="14" borderId="13" xfId="0" applyFont="1" applyFill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4" fontId="47" fillId="3" borderId="1" xfId="0" applyNumberFormat="1" applyFont="1" applyFill="1" applyBorder="1" applyAlignment="1">
      <alignment horizontal="center" vertical="center"/>
    </xf>
    <xf numFmtId="0" fontId="43" fillId="14" borderId="14" xfId="0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178" fontId="14" fillId="0" borderId="3" xfId="0" quotePrefix="1" applyNumberFormat="1" applyFont="1" applyBorder="1" applyAlignment="1">
      <alignment horizontal="center" vertical="center"/>
    </xf>
    <xf numFmtId="49" fontId="21" fillId="14" borderId="0" xfId="0" applyNumberFormat="1" applyFont="1" applyFill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" fontId="47" fillId="0" borderId="6" xfId="0" applyNumberFormat="1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177" fontId="14" fillId="0" borderId="19" xfId="0" applyNumberFormat="1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left" vertical="center"/>
    </xf>
    <xf numFmtId="49" fontId="13" fillId="3" borderId="5" xfId="0" applyNumberFormat="1" applyFont="1" applyFill="1" applyBorder="1" applyAlignment="1">
      <alignment horizontal="left" vertical="center"/>
    </xf>
    <xf numFmtId="0" fontId="22" fillId="3" borderId="5" xfId="0" applyFont="1" applyFill="1" applyBorder="1" applyAlignment="1">
      <alignment horizontal="center" vertical="center"/>
    </xf>
    <xf numFmtId="4" fontId="22" fillId="3" borderId="5" xfId="0" applyNumberFormat="1" applyFont="1" applyFill="1" applyBorder="1" applyAlignment="1">
      <alignment horizontal="center" vertical="center"/>
    </xf>
    <xf numFmtId="49" fontId="22" fillId="3" borderId="5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center" vertical="center"/>
    </xf>
    <xf numFmtId="177" fontId="30" fillId="8" borderId="5" xfId="0" applyNumberFormat="1" applyFont="1" applyFill="1" applyBorder="1" applyAlignment="1" applyProtection="1">
      <alignment horizontal="center" vertical="center"/>
      <protection locked="0"/>
    </xf>
    <xf numFmtId="182" fontId="13" fillId="3" borderId="5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178" fontId="13" fillId="0" borderId="11" xfId="0" applyNumberFormat="1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78" fontId="14" fillId="0" borderId="11" xfId="0" applyNumberFormat="1" applyFont="1" applyBorder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178" fontId="21" fillId="14" borderId="0" xfId="0" quotePrefix="1" applyNumberFormat="1" applyFont="1" applyFill="1" applyAlignment="1">
      <alignment horizontal="center" vertical="center"/>
    </xf>
    <xf numFmtId="182" fontId="13" fillId="0" borderId="5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52" fillId="14" borderId="0" xfId="0" applyFont="1" applyFill="1" applyAlignment="1">
      <alignment horizontal="center" vertical="center"/>
    </xf>
    <xf numFmtId="178" fontId="14" fillId="0" borderId="8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49" fontId="22" fillId="3" borderId="0" xfId="0" applyNumberFormat="1" applyFont="1" applyFill="1" applyAlignment="1">
      <alignment horizontal="center" vertical="center"/>
    </xf>
    <xf numFmtId="182" fontId="13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177" fontId="13" fillId="0" borderId="0" xfId="1" applyNumberFormat="1" applyFont="1" applyFill="1" applyBorder="1" applyAlignment="1">
      <alignment horizontal="center" vertical="center"/>
    </xf>
    <xf numFmtId="177" fontId="20" fillId="14" borderId="0" xfId="1" applyNumberFormat="1" applyFont="1" applyFill="1" applyBorder="1" applyAlignment="1">
      <alignment horizontal="center" vertical="center"/>
    </xf>
    <xf numFmtId="4" fontId="47" fillId="0" borderId="1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4" fontId="22" fillId="3" borderId="1" xfId="0" applyNumberFormat="1" applyFont="1" applyFill="1" applyBorder="1" applyAlignment="1">
      <alignment horizontal="center" vertical="center"/>
    </xf>
    <xf numFmtId="177" fontId="14" fillId="0" borderId="0" xfId="1" applyNumberFormat="1" applyFont="1" applyFill="1" applyBorder="1" applyAlignment="1">
      <alignment horizontal="center" vertical="center"/>
    </xf>
    <xf numFmtId="49" fontId="14" fillId="3" borderId="5" xfId="0" applyNumberFormat="1" applyFont="1" applyFill="1" applyBorder="1" applyAlignment="1">
      <alignment horizontal="left" vertical="center"/>
    </xf>
    <xf numFmtId="0" fontId="47" fillId="3" borderId="5" xfId="0" applyFont="1" applyFill="1" applyBorder="1" applyAlignment="1">
      <alignment horizontal="center" vertical="center"/>
    </xf>
    <xf numFmtId="49" fontId="47" fillId="3" borderId="0" xfId="0" applyNumberFormat="1" applyFont="1" applyFill="1" applyAlignment="1">
      <alignment horizontal="center" vertical="center"/>
    </xf>
    <xf numFmtId="182" fontId="14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77" fontId="13" fillId="5" borderId="0" xfId="1" applyNumberFormat="1" applyFont="1" applyFill="1" applyBorder="1" applyAlignment="1">
      <alignment horizontal="center" vertical="center"/>
    </xf>
    <xf numFmtId="177" fontId="21" fillId="14" borderId="22" xfId="1" applyNumberFormat="1" applyFont="1" applyFill="1" applyBorder="1" applyAlignment="1">
      <alignment horizontal="center" vertical="center"/>
    </xf>
    <xf numFmtId="177" fontId="21" fillId="14" borderId="21" xfId="1" applyNumberFormat="1" applyFont="1" applyFill="1" applyBorder="1" applyAlignment="1">
      <alignment horizontal="center" vertical="center"/>
    </xf>
    <xf numFmtId="177" fontId="21" fillId="14" borderId="0" xfId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49" fontId="20" fillId="14" borderId="0" xfId="0" applyNumberFormat="1" applyFont="1" applyFill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21" fillId="14" borderId="13" xfId="0" applyNumberFormat="1" applyFont="1" applyFill="1" applyBorder="1" applyAlignment="1">
      <alignment horizontal="center" vertical="center"/>
    </xf>
    <xf numFmtId="49" fontId="21" fillId="14" borderId="14" xfId="0" applyNumberFormat="1" applyFont="1" applyFill="1" applyBorder="1" applyAlignment="1">
      <alignment horizontal="center" vertical="center"/>
    </xf>
    <xf numFmtId="177" fontId="48" fillId="14" borderId="0" xfId="1" applyNumberFormat="1" applyFont="1" applyFill="1" applyBorder="1" applyAlignment="1">
      <alignment horizontal="center" vertical="center"/>
    </xf>
    <xf numFmtId="178" fontId="13" fillId="0" borderId="10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7" fontId="2" fillId="0" borderId="0" xfId="1" applyNumberFormat="1" applyFont="1" applyFill="1" applyBorder="1" applyAlignment="1">
      <alignment horizontal="center" vertical="center"/>
    </xf>
    <xf numFmtId="49" fontId="14" fillId="0" borderId="1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81" fontId="4" fillId="0" borderId="0" xfId="1" applyNumberFormat="1" applyFont="1" applyFill="1" applyBorder="1" applyAlignment="1">
      <alignment horizontal="center" vertical="center"/>
    </xf>
    <xf numFmtId="179" fontId="13" fillId="0" borderId="5" xfId="0" applyNumberFormat="1" applyFont="1" applyBorder="1" applyAlignment="1">
      <alignment horizontal="center" vertical="center"/>
    </xf>
    <xf numFmtId="178" fontId="14" fillId="0" borderId="10" xfId="0" applyNumberFormat="1" applyFont="1" applyBorder="1" applyAlignment="1">
      <alignment horizontal="center" vertical="center"/>
    </xf>
    <xf numFmtId="177" fontId="4" fillId="0" borderId="0" xfId="1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 applyProtection="1">
      <alignment horizontal="center" vertical="center"/>
      <protection locked="0"/>
    </xf>
    <xf numFmtId="177" fontId="20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52" fillId="14" borderId="13" xfId="0" applyFont="1" applyFill="1" applyBorder="1" applyAlignment="1">
      <alignment horizontal="center" vertical="center"/>
    </xf>
    <xf numFmtId="0" fontId="52" fillId="14" borderId="14" xfId="0" applyFont="1" applyFill="1" applyBorder="1" applyAlignment="1">
      <alignment horizontal="center" vertical="center"/>
    </xf>
    <xf numFmtId="49" fontId="50" fillId="14" borderId="0" xfId="0" applyNumberFormat="1" applyFont="1" applyFill="1" applyAlignment="1">
      <alignment horizontal="center" vertical="center"/>
    </xf>
    <xf numFmtId="49" fontId="50" fillId="14" borderId="14" xfId="0" applyNumberFormat="1" applyFont="1" applyFill="1" applyBorder="1" applyAlignment="1">
      <alignment horizontal="center" vertical="center"/>
    </xf>
    <xf numFmtId="177" fontId="50" fillId="14" borderId="21" xfId="1" applyNumberFormat="1" applyFont="1" applyFill="1" applyBorder="1" applyAlignment="1">
      <alignment horizontal="center" vertical="center"/>
    </xf>
    <xf numFmtId="49" fontId="48" fillId="14" borderId="0" xfId="0" applyNumberFormat="1" applyFont="1" applyFill="1" applyAlignment="1">
      <alignment horizontal="center" vertical="center"/>
    </xf>
    <xf numFmtId="177" fontId="50" fillId="14" borderId="0" xfId="1" applyNumberFormat="1" applyFont="1" applyFill="1" applyBorder="1" applyAlignment="1">
      <alignment horizontal="center" vertical="center"/>
    </xf>
    <xf numFmtId="177" fontId="14" fillId="0" borderId="21" xfId="1" applyNumberFormat="1" applyFont="1" applyFill="1" applyBorder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78" fontId="14" fillId="0" borderId="0" xfId="0" quotePrefix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79" fontId="14" fillId="0" borderId="0" xfId="0" applyNumberFormat="1" applyFont="1" applyAlignment="1">
      <alignment horizontal="center" vertical="center"/>
    </xf>
    <xf numFmtId="182" fontId="14" fillId="0" borderId="0" xfId="0" applyNumberFormat="1" applyFont="1" applyAlignment="1">
      <alignment horizontal="center" vertical="center"/>
    </xf>
    <xf numFmtId="176" fontId="21" fillId="14" borderId="0" xfId="0" applyNumberFormat="1" applyFont="1" applyFill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40" fontId="4" fillId="3" borderId="5" xfId="0" applyNumberFormat="1" applyFont="1" applyFill="1" applyBorder="1" applyAlignment="1">
      <alignment horizontal="center" vertical="center"/>
    </xf>
    <xf numFmtId="178" fontId="14" fillId="0" borderId="7" xfId="0" quotePrefix="1" applyNumberFormat="1" applyFont="1" applyBorder="1" applyAlignment="1">
      <alignment horizontal="center" vertical="center"/>
    </xf>
    <xf numFmtId="178" fontId="14" fillId="0" borderId="1" xfId="0" quotePrefix="1" applyNumberFormat="1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178" fontId="21" fillId="14" borderId="16" xfId="0" quotePrefix="1" applyNumberFormat="1" applyFont="1" applyFill="1" applyBorder="1" applyAlignment="1">
      <alignment horizontal="center" vertical="center"/>
    </xf>
    <xf numFmtId="49" fontId="36" fillId="14" borderId="13" xfId="0" applyNumberFormat="1" applyFont="1" applyFill="1" applyBorder="1" applyAlignment="1">
      <alignment horizontal="center" vertical="center"/>
    </xf>
    <xf numFmtId="177" fontId="36" fillId="14" borderId="22" xfId="1" applyNumberFormat="1" applyFont="1" applyFill="1" applyBorder="1" applyAlignment="1">
      <alignment horizontal="center" vertical="center"/>
    </xf>
    <xf numFmtId="49" fontId="36" fillId="14" borderId="14" xfId="0" applyNumberFormat="1" applyFont="1" applyFill="1" applyBorder="1" applyAlignment="1">
      <alignment horizontal="center" vertical="center"/>
    </xf>
    <xf numFmtId="177" fontId="36" fillId="14" borderId="21" xfId="1" applyNumberFormat="1" applyFont="1" applyFill="1" applyBorder="1" applyAlignment="1">
      <alignment horizontal="center" vertical="center"/>
    </xf>
    <xf numFmtId="49" fontId="36" fillId="14" borderId="0" xfId="0" applyNumberFormat="1" applyFont="1" applyFill="1" applyAlignment="1">
      <alignment horizontal="center" vertical="center"/>
    </xf>
    <xf numFmtId="177" fontId="36" fillId="14" borderId="0" xfId="1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/>
    </xf>
    <xf numFmtId="177" fontId="27" fillId="8" borderId="4" xfId="0" applyNumberFormat="1" applyFont="1" applyFill="1" applyBorder="1" applyAlignment="1">
      <alignment horizontal="center" vertical="center"/>
    </xf>
    <xf numFmtId="177" fontId="30" fillId="8" borderId="4" xfId="0" applyNumberFormat="1" applyFont="1" applyFill="1" applyBorder="1" applyAlignment="1" applyProtection="1">
      <alignment horizontal="center" vertical="center"/>
      <protection locked="0"/>
    </xf>
    <xf numFmtId="0" fontId="2" fillId="8" borderId="4" xfId="0" applyFont="1" applyFill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49" fontId="14" fillId="0" borderId="20" xfId="0" applyNumberFormat="1" applyFont="1" applyBorder="1" applyAlignment="1">
      <alignment horizontal="left" vertical="center"/>
    </xf>
    <xf numFmtId="0" fontId="55" fillId="0" borderId="0" xfId="0" applyFont="1">
      <alignment vertical="center"/>
    </xf>
    <xf numFmtId="0" fontId="3" fillId="0" borderId="0" xfId="0" applyFont="1">
      <alignment vertical="center"/>
    </xf>
    <xf numFmtId="49" fontId="44" fillId="14" borderId="0" xfId="0" applyNumberFormat="1" applyFont="1" applyFill="1" applyAlignment="1">
      <alignment horizontal="center" vertical="center"/>
    </xf>
    <xf numFmtId="177" fontId="44" fillId="14" borderId="0" xfId="1" applyNumberFormat="1" applyFont="1" applyFill="1" applyBorder="1" applyAlignment="1">
      <alignment horizontal="center" vertical="center"/>
    </xf>
    <xf numFmtId="49" fontId="50" fillId="14" borderId="13" xfId="0" applyNumberFormat="1" applyFont="1" applyFill="1" applyBorder="1" applyAlignment="1">
      <alignment horizontal="center" vertical="center"/>
    </xf>
    <xf numFmtId="177" fontId="50" fillId="14" borderId="22" xfId="1" applyNumberFormat="1" applyFont="1" applyFill="1" applyBorder="1" applyAlignment="1">
      <alignment horizontal="center" vertical="center"/>
    </xf>
    <xf numFmtId="178" fontId="4" fillId="0" borderId="1" xfId="0" quotePrefix="1" applyNumberFormat="1" applyFont="1" applyBorder="1" applyAlignment="1">
      <alignment horizontal="center" vertical="center"/>
    </xf>
    <xf numFmtId="0" fontId="38" fillId="0" borderId="0" xfId="0" applyFont="1">
      <alignment vertical="center"/>
    </xf>
    <xf numFmtId="49" fontId="13" fillId="0" borderId="0" xfId="0" applyNumberFormat="1" applyFont="1" applyAlignment="1">
      <alignment horizontal="left" vertical="center" wrapText="1"/>
    </xf>
    <xf numFmtId="49" fontId="13" fillId="5" borderId="0" xfId="0" applyNumberFormat="1" applyFont="1" applyFill="1" applyAlignment="1">
      <alignment horizontal="center" vertical="center"/>
    </xf>
    <xf numFmtId="49" fontId="14" fillId="0" borderId="0" xfId="0" applyNumberFormat="1" applyFont="1" applyAlignment="1">
      <alignment horizontal="left" vertical="center" wrapText="1"/>
    </xf>
    <xf numFmtId="49" fontId="20" fillId="14" borderId="0" xfId="0" applyNumberFormat="1" applyFont="1" applyFill="1" applyAlignment="1">
      <alignment horizontal="left" vertical="center" wrapText="1"/>
    </xf>
    <xf numFmtId="178" fontId="20" fillId="14" borderId="16" xfId="0" quotePrefix="1" applyNumberFormat="1" applyFont="1" applyFill="1" applyBorder="1" applyAlignment="1">
      <alignment horizontal="center" vertical="center"/>
    </xf>
    <xf numFmtId="178" fontId="13" fillId="0" borderId="16" xfId="0" quotePrefix="1" applyNumberFormat="1" applyFont="1" applyBorder="1" applyAlignment="1">
      <alignment horizontal="center" vertical="center"/>
    </xf>
    <xf numFmtId="49" fontId="21" fillId="14" borderId="0" xfId="0" applyNumberFormat="1" applyFont="1" applyFill="1" applyAlignment="1">
      <alignment horizontal="left" vertical="center" wrapText="1"/>
    </xf>
    <xf numFmtId="178" fontId="4" fillId="0" borderId="16" xfId="0" quotePrefix="1" applyNumberFormat="1" applyFont="1" applyBorder="1" applyAlignment="1">
      <alignment horizontal="center" vertical="center"/>
    </xf>
    <xf numFmtId="179" fontId="14" fillId="0" borderId="0" xfId="0" applyNumberFormat="1" applyFont="1" applyAlignment="1">
      <alignment horizontal="center" vertical="center" wrapText="1"/>
    </xf>
    <xf numFmtId="178" fontId="14" fillId="0" borderId="16" xfId="0" quotePrefix="1" applyNumberFormat="1" applyFont="1" applyBorder="1" applyAlignment="1">
      <alignment horizontal="center" vertical="center"/>
    </xf>
    <xf numFmtId="49" fontId="21" fillId="14" borderId="0" xfId="0" applyNumberFormat="1" applyFont="1" applyFill="1" applyAlignment="1">
      <alignment horizontal="center" vertical="center" wrapText="1"/>
    </xf>
    <xf numFmtId="49" fontId="48" fillId="14" borderId="0" xfId="0" applyNumberFormat="1" applyFont="1" applyFill="1" applyAlignment="1">
      <alignment horizontal="left" vertical="center" wrapText="1"/>
    </xf>
    <xf numFmtId="178" fontId="48" fillId="14" borderId="16" xfId="0" quotePrefix="1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6" fillId="16" borderId="0" xfId="0" applyFont="1" applyFill="1" applyAlignment="1">
      <alignment horizontal="left" vertical="center"/>
    </xf>
    <xf numFmtId="177" fontId="25" fillId="0" borderId="0" xfId="0" applyNumberFormat="1" applyFont="1">
      <alignment vertical="center"/>
    </xf>
    <xf numFmtId="177" fontId="35" fillId="0" borderId="0" xfId="0" applyNumberFormat="1" applyFont="1">
      <alignment vertical="center"/>
    </xf>
    <xf numFmtId="0" fontId="31" fillId="0" borderId="0" xfId="0" applyFont="1">
      <alignment vertical="center"/>
    </xf>
    <xf numFmtId="0" fontId="42" fillId="0" borderId="0" xfId="0" applyFont="1">
      <alignment vertical="center"/>
    </xf>
    <xf numFmtId="0" fontId="35" fillId="14" borderId="0" xfId="0" applyFont="1" applyFill="1">
      <alignment vertical="center"/>
    </xf>
    <xf numFmtId="0" fontId="13" fillId="0" borderId="0" xfId="0" applyFont="1">
      <alignment vertical="center"/>
    </xf>
    <xf numFmtId="0" fontId="25" fillId="8" borderId="0" xfId="0" applyFont="1" applyFill="1" applyAlignment="1">
      <alignment horizontal="left" vertical="center"/>
    </xf>
    <xf numFmtId="0" fontId="3" fillId="8" borderId="0" xfId="0" applyFont="1" applyFill="1">
      <alignment vertical="center"/>
    </xf>
    <xf numFmtId="0" fontId="25" fillId="8" borderId="0" xfId="0" applyFont="1" applyFill="1">
      <alignment vertical="center"/>
    </xf>
    <xf numFmtId="183" fontId="2" fillId="0" borderId="0" xfId="0" applyNumberFormat="1" applyFont="1">
      <alignment vertical="center"/>
    </xf>
    <xf numFmtId="0" fontId="35" fillId="0" borderId="0" xfId="0" applyFont="1">
      <alignment vertical="center"/>
    </xf>
    <xf numFmtId="184" fontId="26" fillId="0" borderId="0" xfId="2" applyNumberFormat="1" applyFont="1">
      <alignment vertical="center"/>
    </xf>
    <xf numFmtId="185" fontId="14" fillId="0" borderId="16" xfId="0" quotePrefix="1" applyNumberFormat="1" applyFont="1" applyBorder="1" applyAlignment="1">
      <alignment horizontal="center" vertical="center"/>
    </xf>
    <xf numFmtId="0" fontId="21" fillId="14" borderId="0" xfId="0" applyFont="1" applyFill="1">
      <alignment vertical="center"/>
    </xf>
    <xf numFmtId="0" fontId="14" fillId="0" borderId="0" xfId="0" applyFont="1">
      <alignment vertical="center"/>
    </xf>
    <xf numFmtId="0" fontId="20" fillId="14" borderId="0" xfId="0" applyFont="1" applyFill="1">
      <alignment vertical="center"/>
    </xf>
    <xf numFmtId="49" fontId="36" fillId="14" borderId="0" xfId="0" applyNumberFormat="1" applyFont="1" applyFill="1" applyAlignment="1">
      <alignment horizontal="left" vertical="center" wrapText="1"/>
    </xf>
    <xf numFmtId="178" fontId="36" fillId="14" borderId="16" xfId="0" quotePrefix="1" applyNumberFormat="1" applyFont="1" applyFill="1" applyBorder="1" applyAlignment="1">
      <alignment horizontal="center" vertical="center"/>
    </xf>
    <xf numFmtId="0" fontId="36" fillId="14" borderId="0" xfId="0" applyFont="1" applyFill="1">
      <alignment vertical="center"/>
    </xf>
    <xf numFmtId="0" fontId="37" fillId="14" borderId="0" xfId="0" applyFont="1" applyFill="1">
      <alignment vertical="center"/>
    </xf>
    <xf numFmtId="178" fontId="2" fillId="0" borderId="16" xfId="0" quotePrefix="1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49" fontId="21" fillId="14" borderId="17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84" fontId="4" fillId="0" borderId="0" xfId="2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21" fillId="14" borderId="0" xfId="0" applyNumberFormat="1" applyFont="1" applyFill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49" fontId="21" fillId="14" borderId="18" xfId="0" applyNumberFormat="1" applyFont="1" applyFill="1" applyBorder="1" applyAlignment="1">
      <alignment horizontal="left" vertical="center" wrapText="1"/>
    </xf>
    <xf numFmtId="179" fontId="21" fillId="14" borderId="0" xfId="0" applyNumberFormat="1" applyFont="1" applyFill="1" applyAlignment="1">
      <alignment horizontal="center" vertical="center" wrapText="1"/>
    </xf>
    <xf numFmtId="185" fontId="21" fillId="14" borderId="16" xfId="0" quotePrefix="1" applyNumberFormat="1" applyFont="1" applyFill="1" applyBorder="1" applyAlignment="1">
      <alignment horizontal="center" vertical="center"/>
    </xf>
    <xf numFmtId="178" fontId="50" fillId="14" borderId="16" xfId="0" quotePrefix="1" applyNumberFormat="1" applyFont="1" applyFill="1" applyBorder="1" applyAlignment="1">
      <alignment horizontal="center" vertical="center"/>
    </xf>
    <xf numFmtId="176" fontId="50" fillId="14" borderId="0" xfId="0" applyNumberFormat="1" applyFont="1" applyFill="1" applyAlignment="1">
      <alignment horizontal="center" vertical="center"/>
    </xf>
    <xf numFmtId="0" fontId="50" fillId="14" borderId="0" xfId="0" applyFont="1" applyFill="1">
      <alignment vertical="center"/>
    </xf>
    <xf numFmtId="0" fontId="53" fillId="14" borderId="0" xfId="0" applyFont="1" applyFill="1">
      <alignment vertical="center"/>
    </xf>
    <xf numFmtId="179" fontId="13" fillId="0" borderId="0" xfId="0" applyNumberFormat="1" applyFont="1" applyAlignment="1">
      <alignment horizontal="center" vertical="center" wrapText="1"/>
    </xf>
    <xf numFmtId="181" fontId="2" fillId="9" borderId="1" xfId="0" applyNumberFormat="1" applyFont="1" applyFill="1" applyBorder="1" applyAlignment="1">
      <alignment horizontal="center" vertical="center"/>
    </xf>
    <xf numFmtId="181" fontId="18" fillId="9" borderId="1" xfId="0" applyNumberFormat="1" applyFont="1" applyFill="1" applyBorder="1" applyAlignment="1">
      <alignment horizontal="center" vertical="center"/>
    </xf>
    <xf numFmtId="181" fontId="18" fillId="9" borderId="1" xfId="0" applyNumberFormat="1" applyFont="1" applyFill="1" applyBorder="1" applyAlignment="1" applyProtection="1">
      <alignment horizontal="center" vertical="center"/>
      <protection locked="0"/>
    </xf>
    <xf numFmtId="181" fontId="4" fillId="9" borderId="1" xfId="0" applyNumberFormat="1" applyFont="1" applyFill="1" applyBorder="1" applyAlignment="1">
      <alignment horizontal="center" vertical="center"/>
    </xf>
    <xf numFmtId="181" fontId="17" fillId="9" borderId="1" xfId="0" applyNumberFormat="1" applyFont="1" applyFill="1" applyBorder="1" applyAlignment="1">
      <alignment horizontal="center" vertical="center"/>
    </xf>
    <xf numFmtId="181" fontId="15" fillId="9" borderId="1" xfId="0" applyNumberFormat="1" applyFont="1" applyFill="1" applyBorder="1" applyAlignment="1">
      <alignment horizontal="center" vertical="center"/>
    </xf>
    <xf numFmtId="181" fontId="16" fillId="9" borderId="1" xfId="0" applyNumberFormat="1" applyFont="1" applyFill="1" applyBorder="1" applyAlignment="1">
      <alignment horizontal="center" vertical="center"/>
    </xf>
    <xf numFmtId="181" fontId="2" fillId="15" borderId="1" xfId="0" applyNumberFormat="1" applyFont="1" applyFill="1" applyBorder="1" applyAlignment="1">
      <alignment horizontal="center" vertical="center"/>
    </xf>
    <xf numFmtId="0" fontId="48" fillId="14" borderId="0" xfId="0" applyFont="1" applyFill="1">
      <alignment vertical="center"/>
    </xf>
    <xf numFmtId="179" fontId="48" fillId="14" borderId="0" xfId="0" applyNumberFormat="1" applyFont="1" applyFill="1" applyAlignment="1">
      <alignment horizontal="center" vertical="center" wrapText="1"/>
    </xf>
    <xf numFmtId="49" fontId="14" fillId="0" borderId="18" xfId="0" applyNumberFormat="1" applyFont="1" applyBorder="1" applyAlignment="1">
      <alignment horizontal="left" vertical="center" wrapText="1"/>
    </xf>
    <xf numFmtId="49" fontId="13" fillId="5" borderId="0" xfId="0" applyNumberFormat="1" applyFont="1" applyFill="1" applyAlignment="1">
      <alignment horizontal="left" vertical="center" wrapText="1"/>
    </xf>
    <xf numFmtId="0" fontId="13" fillId="5" borderId="0" xfId="0" applyFont="1" applyFill="1">
      <alignment vertical="center"/>
    </xf>
    <xf numFmtId="0" fontId="13" fillId="5" borderId="0" xfId="0" applyFont="1" applyFill="1" applyAlignment="1">
      <alignment horizontal="center" vertical="center"/>
    </xf>
    <xf numFmtId="49" fontId="50" fillId="14" borderId="0" xfId="0" applyNumberFormat="1" applyFont="1" applyFill="1" applyAlignment="1">
      <alignment horizontal="left" vertical="center" wrapText="1"/>
    </xf>
    <xf numFmtId="179" fontId="50" fillId="14" borderId="0" xfId="0" applyNumberFormat="1" applyFont="1" applyFill="1" applyAlignment="1">
      <alignment horizontal="center" vertical="center" wrapText="1"/>
    </xf>
    <xf numFmtId="49" fontId="50" fillId="14" borderId="17" xfId="0" applyNumberFormat="1" applyFont="1" applyFill="1" applyBorder="1" applyAlignment="1">
      <alignment horizontal="left" vertical="center" wrapText="1"/>
    </xf>
    <xf numFmtId="0" fontId="50" fillId="14" borderId="13" xfId="0" applyFont="1" applyFill="1" applyBorder="1" applyAlignment="1">
      <alignment horizontal="center" vertical="center"/>
    </xf>
    <xf numFmtId="179" fontId="20" fillId="14" borderId="0" xfId="0" applyNumberFormat="1" applyFont="1" applyFill="1" applyAlignment="1">
      <alignment horizontal="center" vertical="center" wrapText="1"/>
    </xf>
    <xf numFmtId="0" fontId="2" fillId="0" borderId="0" xfId="0" applyFont="1">
      <alignment vertical="center"/>
    </xf>
    <xf numFmtId="178" fontId="13" fillId="0" borderId="0" xfId="0" applyNumberFormat="1" applyFont="1" applyAlignment="1">
      <alignment horizontal="center" vertical="center"/>
    </xf>
    <xf numFmtId="178" fontId="13" fillId="0" borderId="0" xfId="0" quotePrefix="1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178" fontId="4" fillId="0" borderId="0" xfId="0" applyNumberFormat="1" applyFont="1" applyAlignment="1">
      <alignment horizontal="center" vertical="center"/>
    </xf>
    <xf numFmtId="178" fontId="4" fillId="0" borderId="0" xfId="0" quotePrefix="1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 wrapText="1"/>
    </xf>
    <xf numFmtId="178" fontId="4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6" fillId="0" borderId="0" xfId="0" applyFont="1">
      <alignment vertical="center"/>
    </xf>
    <xf numFmtId="49" fontId="2" fillId="0" borderId="0" xfId="0" applyNumberFormat="1" applyFont="1" applyAlignment="1">
      <alignment horizontal="left" vertical="center" wrapText="1"/>
    </xf>
    <xf numFmtId="178" fontId="2" fillId="0" borderId="0" xfId="0" quotePrefix="1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48" fillId="14" borderId="0" xfId="0" applyNumberFormat="1" applyFont="1" applyFill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0" fontId="57" fillId="2" borderId="0" xfId="0" applyFont="1" applyFill="1">
      <alignment vertical="center"/>
    </xf>
    <xf numFmtId="0" fontId="58" fillId="2" borderId="0" xfId="0" applyFont="1" applyFill="1" applyAlignment="1">
      <alignment horizontal="center" vertical="center"/>
    </xf>
    <xf numFmtId="178" fontId="13" fillId="5" borderId="0" xfId="0" applyNumberFormat="1" applyFont="1" applyFill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178" fontId="50" fillId="14" borderId="0" xfId="0" applyNumberFormat="1" applyFont="1" applyFill="1" applyAlignment="1">
      <alignment horizontal="center" vertical="center"/>
    </xf>
    <xf numFmtId="178" fontId="50" fillId="14" borderId="0" xfId="0" quotePrefix="1" applyNumberFormat="1" applyFont="1" applyFill="1" applyAlignment="1">
      <alignment horizontal="center" vertical="center"/>
    </xf>
    <xf numFmtId="49" fontId="50" fillId="14" borderId="18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78" fontId="48" fillId="14" borderId="0" xfId="0" applyNumberFormat="1" applyFont="1" applyFill="1" applyAlignment="1">
      <alignment horizontal="center" vertical="center"/>
    </xf>
    <xf numFmtId="178" fontId="48" fillId="14" borderId="0" xfId="0" quotePrefix="1" applyNumberFormat="1" applyFont="1" applyFill="1" applyAlignment="1">
      <alignment horizontal="center" vertical="center"/>
    </xf>
    <xf numFmtId="0" fontId="51" fillId="14" borderId="0" xfId="0" applyFont="1" applyFill="1">
      <alignment vertical="center"/>
    </xf>
    <xf numFmtId="0" fontId="50" fillId="14" borderId="14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 wrapText="1"/>
    </xf>
    <xf numFmtId="182" fontId="4" fillId="16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Alignment="1">
      <alignment horizontal="center" vertical="center"/>
    </xf>
    <xf numFmtId="178" fontId="20" fillId="14" borderId="0" xfId="0" applyNumberFormat="1" applyFont="1" applyFill="1" applyAlignment="1">
      <alignment horizontal="center" vertical="center"/>
    </xf>
    <xf numFmtId="176" fontId="20" fillId="14" borderId="0" xfId="0" applyNumberFormat="1" applyFont="1" applyFill="1" applyAlignment="1">
      <alignment horizontal="center" vertical="center"/>
    </xf>
    <xf numFmtId="176" fontId="4" fillId="0" borderId="0" xfId="0" quotePrefix="1" applyNumberFormat="1" applyFont="1" applyAlignment="1">
      <alignment horizontal="center" vertical="center" wrapText="1"/>
    </xf>
    <xf numFmtId="0" fontId="50" fillId="14" borderId="0" xfId="0" applyFont="1" applyFill="1" applyAlignment="1">
      <alignment vertical="center" wrapText="1"/>
    </xf>
    <xf numFmtId="0" fontId="23" fillId="3" borderId="2" xfId="0" applyFont="1" applyFill="1" applyBorder="1">
      <alignment vertical="center"/>
    </xf>
    <xf numFmtId="0" fontId="23" fillId="0" borderId="2" xfId="0" applyFont="1" applyBorder="1">
      <alignment vertical="center"/>
    </xf>
    <xf numFmtId="0" fontId="3" fillId="8" borderId="2" xfId="0" applyFont="1" applyFill="1" applyBorder="1">
      <alignment vertical="center"/>
    </xf>
    <xf numFmtId="0" fontId="23" fillId="8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8" fillId="0" borderId="2" xfId="0" applyFont="1" applyBorder="1">
      <alignment vertical="center"/>
    </xf>
    <xf numFmtId="0" fontId="21" fillId="14" borderId="14" xfId="0" applyFont="1" applyFill="1" applyBorder="1" applyAlignment="1">
      <alignment horizontal="center" vertical="center"/>
    </xf>
    <xf numFmtId="0" fontId="50" fillId="14" borderId="0" xfId="0" applyFont="1" applyFill="1" applyAlignment="1">
      <alignment horizontal="center" vertical="center" wrapText="1"/>
    </xf>
    <xf numFmtId="0" fontId="45" fillId="14" borderId="0" xfId="0" applyFont="1" applyFill="1" applyAlignment="1">
      <alignment horizontal="center" vertical="center"/>
    </xf>
    <xf numFmtId="0" fontId="36" fillId="14" borderId="0" xfId="0" applyFont="1" applyFill="1" applyAlignment="1">
      <alignment horizontal="center" vertical="center"/>
    </xf>
    <xf numFmtId="178" fontId="36" fillId="14" borderId="0" xfId="0" applyNumberFormat="1" applyFont="1" applyFill="1" applyAlignment="1">
      <alignment horizontal="center" vertical="center"/>
    </xf>
    <xf numFmtId="178" fontId="36" fillId="14" borderId="0" xfId="0" quotePrefix="1" applyNumberFormat="1" applyFont="1" applyFill="1" applyAlignment="1">
      <alignment horizontal="center" vertical="center"/>
    </xf>
    <xf numFmtId="179" fontId="36" fillId="14" borderId="0" xfId="0" applyNumberFormat="1" applyFont="1" applyFill="1" applyAlignment="1">
      <alignment horizontal="center" vertical="center" wrapText="1"/>
    </xf>
    <xf numFmtId="176" fontId="36" fillId="14" borderId="0" xfId="0" applyNumberFormat="1" applyFont="1" applyFill="1" applyAlignment="1">
      <alignment horizontal="center" vertical="center"/>
    </xf>
    <xf numFmtId="49" fontId="44" fillId="14" borderId="0" xfId="0" applyNumberFormat="1" applyFont="1" applyFill="1" applyAlignment="1">
      <alignment horizontal="left" vertical="center" wrapText="1"/>
    </xf>
    <xf numFmtId="0" fontId="56" fillId="14" borderId="0" xfId="0" applyFont="1" applyFill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178" fontId="44" fillId="14" borderId="0" xfId="0" applyNumberFormat="1" applyFont="1" applyFill="1" applyAlignment="1">
      <alignment horizontal="center" vertical="center"/>
    </xf>
    <xf numFmtId="176" fontId="44" fillId="14" borderId="0" xfId="0" applyNumberFormat="1" applyFont="1" applyFill="1" applyAlignment="1">
      <alignment horizontal="center" vertical="center"/>
    </xf>
    <xf numFmtId="0" fontId="44" fillId="14" borderId="0" xfId="0" applyFont="1" applyFill="1">
      <alignment vertical="center"/>
    </xf>
    <xf numFmtId="49" fontId="36" fillId="14" borderId="17" xfId="0" applyNumberFormat="1" applyFont="1" applyFill="1" applyBorder="1" applyAlignment="1">
      <alignment horizontal="left" vertical="center" wrapText="1"/>
    </xf>
    <xf numFmtId="0" fontId="45" fillId="14" borderId="13" xfId="0" applyFont="1" applyFill="1" applyBorder="1" applyAlignment="1">
      <alignment horizontal="center" vertical="center"/>
    </xf>
    <xf numFmtId="0" fontId="36" fillId="14" borderId="13" xfId="0" applyFont="1" applyFill="1" applyBorder="1" applyAlignment="1">
      <alignment horizontal="center" vertical="center"/>
    </xf>
    <xf numFmtId="49" fontId="36" fillId="14" borderId="18" xfId="0" applyNumberFormat="1" applyFont="1" applyFill="1" applyBorder="1" applyAlignment="1">
      <alignment horizontal="left" vertical="center" wrapText="1"/>
    </xf>
    <xf numFmtId="0" fontId="45" fillId="14" borderId="14" xfId="0" applyFont="1" applyFill="1" applyBorder="1" applyAlignment="1">
      <alignment horizontal="center" vertical="center"/>
    </xf>
    <xf numFmtId="0" fontId="36" fillId="14" borderId="14" xfId="0" applyFont="1" applyFill="1" applyBorder="1" applyAlignment="1">
      <alignment horizontal="center" vertical="center"/>
    </xf>
    <xf numFmtId="0" fontId="36" fillId="14" borderId="0" xfId="0" applyFont="1" applyFill="1" applyAlignment="1">
      <alignment vertical="center" wrapText="1"/>
    </xf>
    <xf numFmtId="179" fontId="44" fillId="14" borderId="0" xfId="0" applyNumberFormat="1" applyFont="1" applyFill="1" applyAlignment="1">
      <alignment horizontal="center" vertical="center" wrapText="1"/>
    </xf>
    <xf numFmtId="178" fontId="44" fillId="14" borderId="0" xfId="0" quotePrefix="1" applyNumberFormat="1" applyFont="1" applyFill="1" applyAlignment="1">
      <alignment horizontal="center" vertical="center"/>
    </xf>
    <xf numFmtId="178" fontId="44" fillId="14" borderId="16" xfId="0" quotePrefix="1" applyNumberFormat="1" applyFont="1" applyFill="1" applyBorder="1" applyAlignment="1">
      <alignment horizontal="center" vertical="center"/>
    </xf>
    <xf numFmtId="0" fontId="59" fillId="14" borderId="0" xfId="0" applyFont="1" applyFill="1">
      <alignment vertical="center"/>
    </xf>
    <xf numFmtId="49" fontId="36" fillId="14" borderId="0" xfId="0" applyNumberFormat="1" applyFont="1" applyFill="1" applyAlignment="1">
      <alignment horizontal="center" vertical="center" wrapText="1"/>
    </xf>
    <xf numFmtId="176" fontId="36" fillId="14" borderId="0" xfId="0" applyNumberFormat="1" applyFont="1" applyFill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0" fontId="4" fillId="3" borderId="0" xfId="0" applyFont="1" applyFill="1">
      <alignment vertical="center"/>
    </xf>
    <xf numFmtId="177" fontId="2" fillId="9" borderId="1" xfId="0" applyNumberFormat="1" applyFont="1" applyFill="1" applyBorder="1" applyAlignment="1">
      <alignment horizontal="center" vertical="center"/>
    </xf>
    <xf numFmtId="177" fontId="2" fillId="9" borderId="1" xfId="0" applyNumberFormat="1" applyFont="1" applyFill="1" applyBorder="1" applyAlignment="1">
      <alignment horizontal="center"/>
    </xf>
    <xf numFmtId="177" fontId="2" fillId="0" borderId="0" xfId="0" applyNumberFormat="1" applyFont="1">
      <alignment vertical="center"/>
    </xf>
    <xf numFmtId="41" fontId="2" fillId="0" borderId="0" xfId="2" applyFont="1">
      <alignment vertical="center"/>
    </xf>
    <xf numFmtId="41" fontId="60" fillId="0" borderId="0" xfId="2" applyFont="1">
      <alignment vertical="center"/>
    </xf>
    <xf numFmtId="185" fontId="13" fillId="0" borderId="16" xfId="0" quotePrefix="1" applyNumberFormat="1" applyFont="1" applyBorder="1" applyAlignment="1">
      <alignment horizontal="center" vertical="center"/>
    </xf>
    <xf numFmtId="185" fontId="4" fillId="0" borderId="16" xfId="0" quotePrefix="1" applyNumberFormat="1" applyFont="1" applyBorder="1" applyAlignment="1">
      <alignment horizontal="center" vertical="center"/>
    </xf>
    <xf numFmtId="181" fontId="16" fillId="9" borderId="0" xfId="0" applyNumberFormat="1" applyFont="1" applyFill="1" applyAlignment="1">
      <alignment horizontal="center" vertical="center"/>
    </xf>
    <xf numFmtId="179" fontId="16" fillId="0" borderId="2" xfId="0" applyNumberFormat="1" applyFont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9" fontId="14" fillId="5" borderId="0" xfId="0" applyNumberFormat="1" applyFont="1" applyFill="1" applyAlignment="1">
      <alignment horizontal="left" vertical="center" wrapText="1"/>
    </xf>
    <xf numFmtId="49" fontId="14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77" fontId="14" fillId="5" borderId="0" xfId="1" applyNumberFormat="1" applyFont="1" applyFill="1" applyBorder="1" applyAlignment="1">
      <alignment horizontal="center" vertical="center"/>
    </xf>
    <xf numFmtId="178" fontId="14" fillId="5" borderId="0" xfId="0" applyNumberFormat="1" applyFont="1" applyFill="1" applyAlignment="1">
      <alignment horizontal="center" vertical="center"/>
    </xf>
    <xf numFmtId="176" fontId="14" fillId="5" borderId="0" xfId="0" applyNumberFormat="1" applyFont="1" applyFill="1" applyAlignment="1">
      <alignment horizontal="center" vertical="center"/>
    </xf>
    <xf numFmtId="0" fontId="14" fillId="5" borderId="0" xfId="0" applyFont="1" applyFill="1">
      <alignment vertical="center"/>
    </xf>
    <xf numFmtId="0" fontId="23" fillId="5" borderId="0" xfId="0" applyFont="1" applyFill="1" applyAlignment="1">
      <alignment horizontal="center" vertical="center"/>
    </xf>
    <xf numFmtId="178" fontId="14" fillId="5" borderId="16" xfId="0" quotePrefix="1" applyNumberFormat="1" applyFont="1" applyFill="1" applyBorder="1" applyAlignment="1">
      <alignment horizontal="center" vertical="center"/>
    </xf>
    <xf numFmtId="179" fontId="14" fillId="5" borderId="0" xfId="0" applyNumberFormat="1" applyFont="1" applyFill="1" applyAlignment="1">
      <alignment horizontal="center" vertical="center" wrapText="1"/>
    </xf>
    <xf numFmtId="0" fontId="26" fillId="5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177" fontId="4" fillId="3" borderId="0" xfId="1" applyNumberFormat="1" applyFont="1" applyFill="1" applyBorder="1" applyAlignment="1">
      <alignment horizontal="center" vertical="center"/>
    </xf>
    <xf numFmtId="178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179" fontId="12" fillId="0" borderId="0" xfId="0" applyNumberFormat="1" applyFont="1" applyAlignment="1">
      <alignment horizontal="left" vertical="center"/>
    </xf>
    <xf numFmtId="185" fontId="50" fillId="14" borderId="16" xfId="0" quotePrefix="1" applyNumberFormat="1" applyFont="1" applyFill="1" applyBorder="1" applyAlignment="1">
      <alignment horizontal="center" vertical="center"/>
    </xf>
    <xf numFmtId="185" fontId="48" fillId="14" borderId="16" xfId="0" quotePrefix="1" applyNumberFormat="1" applyFont="1" applyFill="1" applyBorder="1" applyAlignment="1">
      <alignment horizontal="center" vertical="center"/>
    </xf>
    <xf numFmtId="178" fontId="13" fillId="5" borderId="0" xfId="0" quotePrefix="1" applyNumberFormat="1" applyFont="1" applyFill="1" applyAlignment="1">
      <alignment horizontal="center" vertical="center"/>
    </xf>
    <xf numFmtId="185" fontId="36" fillId="14" borderId="16" xfId="0" quotePrefix="1" applyNumberFormat="1" applyFont="1" applyFill="1" applyBorder="1" applyAlignment="1">
      <alignment horizontal="center" vertical="center"/>
    </xf>
    <xf numFmtId="181" fontId="4" fillId="9" borderId="1" xfId="0" applyNumberFormat="1" applyFont="1" applyFill="1" applyBorder="1" applyAlignment="1" applyProtection="1">
      <alignment horizontal="center" vertical="center"/>
      <protection locked="0"/>
    </xf>
    <xf numFmtId="185" fontId="44" fillId="14" borderId="16" xfId="0" quotePrefix="1" applyNumberFormat="1" applyFont="1" applyFill="1" applyBorder="1" applyAlignment="1">
      <alignment horizontal="center" vertical="center"/>
    </xf>
    <xf numFmtId="41" fontId="25" fillId="0" borderId="0" xfId="2" applyFont="1">
      <alignment vertical="center"/>
    </xf>
    <xf numFmtId="178" fontId="14" fillId="5" borderId="0" xfId="0" quotePrefix="1" applyNumberFormat="1" applyFont="1" applyFill="1" applyAlignment="1">
      <alignment horizontal="center" vertical="center"/>
    </xf>
    <xf numFmtId="185" fontId="14" fillId="5" borderId="16" xfId="0" quotePrefix="1" applyNumberFormat="1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left" vertical="center"/>
    </xf>
    <xf numFmtId="0" fontId="21" fillId="14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85" fontId="13" fillId="0" borderId="0" xfId="0" quotePrefix="1" applyNumberFormat="1" applyFont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177" fontId="13" fillId="0" borderId="22" xfId="1" applyNumberFormat="1" applyFont="1" applyFill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177" fontId="13" fillId="0" borderId="21" xfId="1" applyNumberFormat="1" applyFont="1" applyFill="1" applyBorder="1" applyAlignment="1">
      <alignment horizontal="center" vertical="center"/>
    </xf>
    <xf numFmtId="49" fontId="13" fillId="0" borderId="17" xfId="0" applyNumberFormat="1" applyFont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49" fontId="13" fillId="0" borderId="18" xfId="0" applyNumberFormat="1" applyFont="1" applyBorder="1" applyAlignment="1">
      <alignment horizontal="left" vertical="center" wrapText="1"/>
    </xf>
    <xf numFmtId="0" fontId="2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9" fontId="13" fillId="17" borderId="0" xfId="0" applyNumberFormat="1" applyFont="1" applyFill="1" applyAlignment="1">
      <alignment horizontal="left" vertical="center" wrapText="1"/>
    </xf>
    <xf numFmtId="49" fontId="13" fillId="17" borderId="0" xfId="0" applyNumberFormat="1" applyFont="1" applyFill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177" fontId="13" fillId="17" borderId="0" xfId="1" applyNumberFormat="1" applyFont="1" applyFill="1" applyBorder="1" applyAlignment="1">
      <alignment horizontal="center" vertical="center"/>
    </xf>
    <xf numFmtId="178" fontId="13" fillId="17" borderId="0" xfId="0" applyNumberFormat="1" applyFont="1" applyFill="1" applyAlignment="1">
      <alignment horizontal="center" vertical="center"/>
    </xf>
    <xf numFmtId="178" fontId="13" fillId="17" borderId="0" xfId="0" quotePrefix="1" applyNumberFormat="1" applyFont="1" applyFill="1" applyAlignment="1">
      <alignment horizontal="center" vertical="center"/>
    </xf>
    <xf numFmtId="176" fontId="13" fillId="17" borderId="0" xfId="0" applyNumberFormat="1" applyFont="1" applyFill="1" applyAlignment="1">
      <alignment horizontal="center" vertical="center"/>
    </xf>
    <xf numFmtId="0" fontId="13" fillId="17" borderId="0" xfId="0" applyFont="1" applyFill="1" applyAlignment="1">
      <alignment vertical="center" wrapText="1"/>
    </xf>
    <xf numFmtId="0" fontId="13" fillId="17" borderId="0" xfId="0" applyFont="1" applyFill="1">
      <alignment vertical="center"/>
    </xf>
    <xf numFmtId="0" fontId="37" fillId="0" borderId="0" xfId="0" applyFont="1">
      <alignment vertical="center"/>
    </xf>
    <xf numFmtId="179" fontId="44" fillId="14" borderId="0" xfId="0" applyNumberFormat="1" applyFont="1" applyFill="1" applyAlignment="1">
      <alignment horizontal="center" vertical="center"/>
    </xf>
    <xf numFmtId="0" fontId="47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vertical="center" wrapText="1"/>
    </xf>
    <xf numFmtId="49" fontId="48" fillId="0" borderId="0" xfId="0" applyNumberFormat="1" applyFont="1" applyAlignment="1">
      <alignment horizontal="left" vertical="center" wrapText="1"/>
    </xf>
    <xf numFmtId="49" fontId="48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77" fontId="48" fillId="0" borderId="0" xfId="1" applyNumberFormat="1" applyFont="1" applyFill="1" applyBorder="1" applyAlignment="1">
      <alignment horizontal="center" vertical="center"/>
    </xf>
    <xf numFmtId="178" fontId="48" fillId="0" borderId="0" xfId="0" quotePrefix="1" applyNumberFormat="1" applyFont="1" applyAlignment="1">
      <alignment horizontal="center" vertical="center"/>
    </xf>
    <xf numFmtId="178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176" fontId="48" fillId="0" borderId="0" xfId="0" applyNumberFormat="1" applyFont="1" applyAlignment="1">
      <alignment horizontal="center" vertical="center"/>
    </xf>
    <xf numFmtId="0" fontId="48" fillId="0" borderId="0" xfId="0" applyFont="1">
      <alignment vertical="center"/>
    </xf>
    <xf numFmtId="0" fontId="2" fillId="5" borderId="0" xfId="0" applyFont="1" applyFill="1" applyAlignment="1">
      <alignment horizontal="center" vertical="center"/>
    </xf>
    <xf numFmtId="185" fontId="4" fillId="5" borderId="16" xfId="0" quotePrefix="1" applyNumberFormat="1" applyFont="1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7" fontId="4" fillId="5" borderId="0" xfId="1" applyNumberFormat="1" applyFont="1" applyFill="1" applyBorder="1" applyAlignment="1">
      <alignment horizontal="center" vertical="center"/>
    </xf>
    <xf numFmtId="178" fontId="4" fillId="5" borderId="0" xfId="0" applyNumberFormat="1" applyFont="1" applyFill="1" applyAlignment="1">
      <alignment horizontal="center" vertical="center"/>
    </xf>
    <xf numFmtId="178" fontId="4" fillId="5" borderId="0" xfId="0" quotePrefix="1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 wrapText="1"/>
    </xf>
    <xf numFmtId="176" fontId="4" fillId="5" borderId="0" xfId="0" applyNumberFormat="1" applyFont="1" applyFill="1" applyAlignment="1">
      <alignment horizontal="center" vertical="center"/>
    </xf>
    <xf numFmtId="0" fontId="4" fillId="5" borderId="0" xfId="0" applyFont="1" applyFill="1">
      <alignment vertical="center"/>
    </xf>
    <xf numFmtId="0" fontId="50" fillId="0" borderId="0" xfId="0" applyFont="1">
      <alignment vertical="center"/>
    </xf>
    <xf numFmtId="0" fontId="21" fillId="0" borderId="0" xfId="0" applyFont="1">
      <alignment vertical="center"/>
    </xf>
    <xf numFmtId="17" fontId="36" fillId="14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 wrapText="1"/>
    </xf>
    <xf numFmtId="49" fontId="44" fillId="14" borderId="0" xfId="0" applyNumberFormat="1" applyFont="1" applyFill="1" applyAlignment="1">
      <alignment horizontal="center" vertical="center" wrapText="1"/>
    </xf>
    <xf numFmtId="178" fontId="13" fillId="0" borderId="0" xfId="0" quotePrefix="1" applyNumberFormat="1" applyFont="1" applyAlignment="1">
      <alignment horizontal="left" vertical="center"/>
    </xf>
    <xf numFmtId="49" fontId="61" fillId="14" borderId="0" xfId="0" applyNumberFormat="1" applyFont="1" applyFill="1" applyAlignment="1">
      <alignment horizontal="left" vertical="center" wrapText="1"/>
    </xf>
    <xf numFmtId="49" fontId="14" fillId="0" borderId="0" xfId="0" applyNumberFormat="1" applyFont="1">
      <alignment vertical="center"/>
    </xf>
    <xf numFmtId="179" fontId="50" fillId="14" borderId="0" xfId="0" quotePrefix="1" applyNumberFormat="1" applyFont="1" applyFill="1" applyAlignment="1">
      <alignment horizontal="center" vertical="center"/>
    </xf>
    <xf numFmtId="176" fontId="50" fillId="14" borderId="0" xfId="0" applyNumberFormat="1" applyFont="1" applyFill="1" applyAlignment="1">
      <alignment horizontal="center" vertical="center" wrapText="1"/>
    </xf>
    <xf numFmtId="49" fontId="20" fillId="0" borderId="0" xfId="0" applyNumberFormat="1" applyFont="1" applyAlignment="1">
      <alignment horizontal="left" vertical="center" wrapText="1"/>
    </xf>
    <xf numFmtId="49" fontId="20" fillId="0" borderId="0" xfId="0" applyNumberFormat="1" applyFont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77" fontId="20" fillId="0" borderId="0" xfId="1" applyNumberFormat="1" applyFont="1" applyFill="1" applyBorder="1" applyAlignment="1">
      <alignment horizontal="center" vertical="center"/>
    </xf>
    <xf numFmtId="178" fontId="20" fillId="0" borderId="8" xfId="0" applyNumberFormat="1" applyFont="1" applyBorder="1" applyAlignment="1">
      <alignment horizontal="center" vertical="center"/>
    </xf>
    <xf numFmtId="178" fontId="20" fillId="0" borderId="16" xfId="0" quotePrefix="1" applyNumberFormat="1" applyFont="1" applyBorder="1" applyAlignment="1">
      <alignment horizontal="center" vertical="center"/>
    </xf>
    <xf numFmtId="178" fontId="20" fillId="0" borderId="1" xfId="0" quotePrefix="1" applyNumberFormat="1" applyFont="1" applyBorder="1" applyAlignment="1">
      <alignment horizontal="center" vertical="center"/>
    </xf>
    <xf numFmtId="178" fontId="20" fillId="0" borderId="3" xfId="0" quotePrefix="1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79" fontId="20" fillId="0" borderId="1" xfId="0" applyNumberFormat="1" applyFont="1" applyBorder="1" applyAlignment="1">
      <alignment horizontal="center" vertical="center" wrapText="1"/>
    </xf>
    <xf numFmtId="176" fontId="20" fillId="0" borderId="5" xfId="0" quotePrefix="1" applyNumberFormat="1" applyFont="1" applyBorder="1" applyAlignment="1">
      <alignment horizontal="center" vertical="center" wrapText="1"/>
    </xf>
    <xf numFmtId="176" fontId="4" fillId="3" borderId="0" xfId="0" applyNumberFormat="1" applyFont="1" applyFill="1" applyAlignment="1">
      <alignment horizontal="left" vertical="center"/>
    </xf>
    <xf numFmtId="186" fontId="14" fillId="0" borderId="0" xfId="0" quotePrefix="1" applyNumberFormat="1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4" fillId="18" borderId="0" xfId="0" applyFont="1" applyFill="1">
      <alignment vertical="center"/>
    </xf>
    <xf numFmtId="178" fontId="14" fillId="0" borderId="0" xfId="0" quotePrefix="1" applyNumberFormat="1" applyFont="1" applyAlignment="1">
      <alignment horizontal="left" vertical="center"/>
    </xf>
    <xf numFmtId="186" fontId="36" fillId="14" borderId="0" xfId="0" quotePrefix="1" applyNumberFormat="1" applyFont="1" applyFill="1" applyAlignment="1">
      <alignment horizontal="center" vertical="center"/>
    </xf>
    <xf numFmtId="49" fontId="2" fillId="19" borderId="0" xfId="0" applyNumberFormat="1" applyFont="1" applyFill="1" applyAlignment="1">
      <alignment horizontal="left" vertical="center" wrapText="1"/>
    </xf>
    <xf numFmtId="49" fontId="2" fillId="19" borderId="0" xfId="0" applyNumberFormat="1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177" fontId="2" fillId="19" borderId="0" xfId="1" applyNumberFormat="1" applyFont="1" applyFill="1" applyBorder="1" applyAlignment="1">
      <alignment horizontal="center" vertical="center"/>
    </xf>
    <xf numFmtId="176" fontId="2" fillId="19" borderId="0" xfId="0" applyNumberFormat="1" applyFont="1" applyFill="1" applyAlignment="1">
      <alignment horizontal="center" vertical="center"/>
    </xf>
    <xf numFmtId="0" fontId="2" fillId="19" borderId="0" xfId="0" applyFont="1" applyFill="1">
      <alignment vertical="center"/>
    </xf>
    <xf numFmtId="14" fontId="50" fillId="14" borderId="0" xfId="0" quotePrefix="1" applyNumberFormat="1" applyFont="1" applyFill="1" applyAlignment="1">
      <alignment horizontal="center" vertical="center"/>
    </xf>
    <xf numFmtId="49" fontId="50" fillId="14" borderId="12" xfId="0" applyNumberFormat="1" applyFont="1" applyFill="1" applyBorder="1" applyAlignment="1">
      <alignment horizontal="left" vertical="center" wrapText="1"/>
    </xf>
    <xf numFmtId="49" fontId="50" fillId="14" borderId="12" xfId="0" applyNumberFormat="1" applyFont="1" applyFill="1" applyBorder="1" applyAlignment="1">
      <alignment horizontal="center" vertical="center"/>
    </xf>
    <xf numFmtId="0" fontId="52" fillId="14" borderId="12" xfId="0" applyFont="1" applyFill="1" applyBorder="1" applyAlignment="1">
      <alignment horizontal="center" vertical="center"/>
    </xf>
    <xf numFmtId="0" fontId="50" fillId="14" borderId="12" xfId="0" applyFont="1" applyFill="1" applyBorder="1" applyAlignment="1">
      <alignment horizontal="center" vertical="center"/>
    </xf>
    <xf numFmtId="177" fontId="50" fillId="14" borderId="12" xfId="1" applyNumberFormat="1" applyFont="1" applyFill="1" applyBorder="1" applyAlignment="1">
      <alignment horizontal="center" vertical="center"/>
    </xf>
    <xf numFmtId="178" fontId="50" fillId="14" borderId="12" xfId="0" applyNumberFormat="1" applyFont="1" applyFill="1" applyBorder="1" applyAlignment="1">
      <alignment horizontal="center" vertical="center"/>
    </xf>
    <xf numFmtId="178" fontId="50" fillId="14" borderId="12" xfId="0" quotePrefix="1" applyNumberFormat="1" applyFont="1" applyFill="1" applyBorder="1" applyAlignment="1">
      <alignment horizontal="center" vertical="center"/>
    </xf>
    <xf numFmtId="185" fontId="50" fillId="14" borderId="12" xfId="0" quotePrefix="1" applyNumberFormat="1" applyFont="1" applyFill="1" applyBorder="1" applyAlignment="1">
      <alignment horizontal="left" vertical="center"/>
    </xf>
    <xf numFmtId="179" fontId="50" fillId="14" borderId="12" xfId="0" applyNumberFormat="1" applyFont="1" applyFill="1" applyBorder="1" applyAlignment="1">
      <alignment horizontal="center" vertical="center" wrapText="1"/>
    </xf>
    <xf numFmtId="176" fontId="50" fillId="14" borderId="12" xfId="0" applyNumberFormat="1" applyFont="1" applyFill="1" applyBorder="1" applyAlignment="1">
      <alignment horizontal="center" vertical="center" wrapText="1"/>
    </xf>
    <xf numFmtId="0" fontId="48" fillId="14" borderId="12" xfId="0" applyFont="1" applyFill="1" applyBorder="1" applyAlignment="1">
      <alignment horizontal="center" vertical="center"/>
    </xf>
    <xf numFmtId="0" fontId="50" fillId="14" borderId="12" xfId="0" applyFont="1" applyFill="1" applyBorder="1" applyAlignment="1">
      <alignment vertical="center" wrapText="1"/>
    </xf>
    <xf numFmtId="0" fontId="53" fillId="14" borderId="12" xfId="0" applyFont="1" applyFill="1" applyBorder="1">
      <alignment vertical="center"/>
    </xf>
    <xf numFmtId="178" fontId="13" fillId="0" borderId="0" xfId="0" applyNumberFormat="1" applyFont="1" applyAlignment="1">
      <alignment horizontal="left" vertical="center"/>
    </xf>
    <xf numFmtId="40" fontId="2" fillId="3" borderId="5" xfId="0" applyNumberFormat="1" applyFont="1" applyFill="1" applyBorder="1" applyAlignment="1">
      <alignment horizontal="center" vertical="center"/>
    </xf>
    <xf numFmtId="177" fontId="2" fillId="5" borderId="0" xfId="1" applyNumberFormat="1" applyFont="1" applyFill="1" applyBorder="1" applyAlignment="1">
      <alignment horizontal="center" vertical="center"/>
    </xf>
    <xf numFmtId="186" fontId="4" fillId="0" borderId="0" xfId="0" quotePrefix="1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4" fontId="26" fillId="0" borderId="0" xfId="0" applyNumberFormat="1" applyFont="1">
      <alignment vertical="center"/>
    </xf>
    <xf numFmtId="49" fontId="48" fillId="14" borderId="17" xfId="0" applyNumberFormat="1" applyFont="1" applyFill="1" applyBorder="1" applyAlignment="1">
      <alignment horizontal="left" vertical="center" wrapText="1"/>
    </xf>
    <xf numFmtId="49" fontId="48" fillId="14" borderId="13" xfId="0" applyNumberFormat="1" applyFont="1" applyFill="1" applyBorder="1" applyAlignment="1">
      <alignment horizontal="center" vertical="center"/>
    </xf>
    <xf numFmtId="0" fontId="49" fillId="14" borderId="13" xfId="0" applyFont="1" applyFill="1" applyBorder="1" applyAlignment="1">
      <alignment horizontal="center" vertical="center"/>
    </xf>
    <xf numFmtId="0" fontId="48" fillId="14" borderId="13" xfId="0" applyFont="1" applyFill="1" applyBorder="1" applyAlignment="1">
      <alignment horizontal="center" vertical="center"/>
    </xf>
    <xf numFmtId="177" fontId="48" fillId="14" borderId="22" xfId="1" applyNumberFormat="1" applyFont="1" applyFill="1" applyBorder="1" applyAlignment="1">
      <alignment horizontal="center" vertical="center"/>
    </xf>
    <xf numFmtId="49" fontId="48" fillId="14" borderId="0" xfId="0" quotePrefix="1" applyNumberFormat="1" applyFont="1" applyFill="1" applyAlignment="1">
      <alignment horizontal="center" vertical="center"/>
    </xf>
    <xf numFmtId="49" fontId="14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85" fontId="50" fillId="14" borderId="0" xfId="0" quotePrefix="1" applyNumberFormat="1" applyFont="1" applyFill="1" applyAlignment="1">
      <alignment horizontal="center" vertical="center"/>
    </xf>
    <xf numFmtId="49" fontId="50" fillId="14" borderId="0" xfId="0" quotePrefix="1" applyNumberFormat="1" applyFont="1" applyFill="1" applyAlignment="1">
      <alignment horizontal="center" vertical="center" wrapText="1"/>
    </xf>
    <xf numFmtId="178" fontId="14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 wrapText="1"/>
    </xf>
    <xf numFmtId="49" fontId="2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178" fontId="2" fillId="5" borderId="0" xfId="0" quotePrefix="1" applyNumberFormat="1" applyFont="1" applyFill="1" applyAlignment="1">
      <alignment horizontal="center" vertical="center"/>
    </xf>
    <xf numFmtId="49" fontId="2" fillId="5" borderId="0" xfId="0" quotePrefix="1" applyNumberFormat="1" applyFont="1" applyFill="1" applyAlignment="1">
      <alignment horizontal="center" vertical="center" wrapText="1"/>
    </xf>
    <xf numFmtId="176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>
      <alignment vertical="center"/>
    </xf>
    <xf numFmtId="49" fontId="50" fillId="14" borderId="0" xfId="0" quotePrefix="1" applyNumberFormat="1" applyFont="1" applyFill="1" applyAlignment="1">
      <alignment horizontal="center" vertical="center"/>
    </xf>
    <xf numFmtId="49" fontId="48" fillId="14" borderId="18" xfId="0" applyNumberFormat="1" applyFont="1" applyFill="1" applyBorder="1" applyAlignment="1">
      <alignment horizontal="left" vertical="center" wrapText="1"/>
    </xf>
    <xf numFmtId="49" fontId="48" fillId="14" borderId="14" xfId="0" applyNumberFormat="1" applyFont="1" applyFill="1" applyBorder="1" applyAlignment="1">
      <alignment horizontal="center" vertical="center"/>
    </xf>
    <xf numFmtId="0" fontId="49" fillId="14" borderId="14" xfId="0" applyFont="1" applyFill="1" applyBorder="1" applyAlignment="1">
      <alignment horizontal="center" vertical="center"/>
    </xf>
    <xf numFmtId="0" fontId="48" fillId="14" borderId="14" xfId="0" applyFont="1" applyFill="1" applyBorder="1" applyAlignment="1">
      <alignment horizontal="center" vertical="center"/>
    </xf>
    <xf numFmtId="177" fontId="48" fillId="14" borderId="21" xfId="1" applyNumberFormat="1" applyFont="1" applyFill="1" applyBorder="1" applyAlignment="1">
      <alignment horizontal="center" vertical="center"/>
    </xf>
    <xf numFmtId="178" fontId="48" fillId="14" borderId="0" xfId="0" applyNumberFormat="1" applyFont="1" applyFill="1" applyAlignment="1">
      <alignment horizontal="left" vertical="center"/>
    </xf>
    <xf numFmtId="178" fontId="50" fillId="14" borderId="0" xfId="0" applyNumberFormat="1" applyFont="1" applyFill="1" applyAlignment="1">
      <alignment horizontal="left" vertical="center"/>
    </xf>
    <xf numFmtId="178" fontId="2" fillId="5" borderId="0" xfId="0" applyNumberFormat="1" applyFont="1" applyFill="1" applyAlignment="1">
      <alignment horizontal="left" vertical="center"/>
    </xf>
    <xf numFmtId="176" fontId="2" fillId="5" borderId="0" xfId="0" applyNumberFormat="1" applyFont="1" applyFill="1" applyAlignment="1">
      <alignment horizontal="center" vertical="center"/>
    </xf>
    <xf numFmtId="0" fontId="25" fillId="5" borderId="0" xfId="0" applyFont="1" applyFill="1">
      <alignment vertical="center"/>
    </xf>
    <xf numFmtId="0" fontId="13" fillId="5" borderId="0" xfId="0" applyFont="1" applyFill="1" applyAlignment="1">
      <alignment vertical="center" wrapText="1"/>
    </xf>
    <xf numFmtId="178" fontId="21" fillId="14" borderId="0" xfId="0" applyNumberFormat="1" applyFont="1" applyFill="1" applyAlignment="1">
      <alignment horizontal="left" vertical="center"/>
    </xf>
    <xf numFmtId="178" fontId="2" fillId="5" borderId="0" xfId="0" applyNumberFormat="1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78" fontId="14" fillId="5" borderId="0" xfId="0" applyNumberFormat="1" applyFont="1" applyFill="1" applyAlignment="1">
      <alignment horizontal="left" vertical="center"/>
    </xf>
    <xf numFmtId="178" fontId="14" fillId="5" borderId="0" xfId="0" applyNumberFormat="1" applyFont="1" applyFill="1" applyAlignment="1">
      <alignment horizontal="center" vertical="center" wrapText="1"/>
    </xf>
    <xf numFmtId="179" fontId="14" fillId="5" borderId="0" xfId="0" applyNumberFormat="1" applyFont="1" applyFill="1" applyAlignment="1">
      <alignment horizontal="center" vertical="center"/>
    </xf>
    <xf numFmtId="178" fontId="14" fillId="5" borderId="0" xfId="0" applyNumberFormat="1" applyFont="1" applyFill="1">
      <alignment vertical="center"/>
    </xf>
    <xf numFmtId="178" fontId="50" fillId="14" borderId="0" xfId="0" applyNumberFormat="1" applyFont="1" applyFill="1" applyAlignment="1">
      <alignment horizontal="left" vertical="center" wrapText="1"/>
    </xf>
  </cellXfs>
  <cellStyles count="4">
    <cellStyle name="메모" xfId="1" builtinId="10"/>
    <cellStyle name="쉼표 [0]" xfId="2" builtinId="6"/>
    <cellStyle name="쉼표 [0] 2" xfId="3" xr:uid="{00000000-0005-0000-0000-000003000000}"/>
    <cellStyle name="표준" xfId="0" builtinId="0"/>
  </cellStyles>
  <dxfs count="0"/>
  <tableStyles count="0" defaultTableStyle="TableStyleMedium9" defaultPivotStyle="PivotStyleLight16"/>
  <colors>
    <mruColors>
      <color rgb="FFFFFFFF"/>
      <color rgb="FFFEFCFC"/>
      <color rgb="FFFAC9BC"/>
      <color rgb="FF9933FF"/>
      <color rgb="FF9966FF"/>
      <color rgb="FFEAEAEA"/>
      <color rgb="FF99FF99"/>
      <color rgb="FF006699"/>
      <color rgb="FF008080"/>
      <color rgb="FFE4E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638175</xdr:colOff>
      <xdr:row>120</xdr:row>
      <xdr:rowOff>0</xdr:rowOff>
    </xdr:from>
    <xdr:ext cx="1815625" cy="179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15621000" y="876300"/>
              <a:ext cx="1815625" cy="179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ko-KR" altLang="en-US" sz="1100" i="1">
                        <a:latin typeface="Cambria Math" panose="02040503050406030204" pitchFamily="18" charset="0"/>
                      </a:rPr>
                      <a:t>여기에</a:t>
                    </a:fld>
                    <a:fld id="{825F15A7-03F4-43D7-82C5-3E23DA2F108C}" type="mathplaceholder">
                      <a:rPr lang="ko-KR" altLang="en-US" sz="1100" i="1">
                        <a:latin typeface="Cambria Math" panose="02040503050406030204" pitchFamily="18" charset="0"/>
                      </a:rPr>
                      <a:t> </a:t>
                    </a:fld>
                    <a:fld id="{825F15A7-03F4-43D7-82C5-3E23DA2F108C}" type="mathplaceholder">
                      <a:rPr lang="ko-KR" altLang="en-US" sz="1100" i="1">
                        <a:latin typeface="Cambria Math" panose="02040503050406030204" pitchFamily="18" charset="0"/>
                      </a:rPr>
                      <a:t>수식을</a:t>
                    </a:fld>
                    <a:fld id="{825F15A7-03F4-43D7-82C5-3E23DA2F108C}" type="mathplaceholder">
                      <a:rPr lang="ko-KR" altLang="en-US" sz="1100" i="1">
                        <a:latin typeface="Cambria Math" panose="02040503050406030204" pitchFamily="18" charset="0"/>
                      </a:rPr>
                      <a:t> </a:t>
                    </a:fld>
                    <a:fld id="{825F15A7-03F4-43D7-82C5-3E23DA2F108C}" type="mathplaceholder">
                      <a:rPr lang="ko-KR" altLang="en-US" sz="1100" i="1">
                        <a:latin typeface="Cambria Math" panose="02040503050406030204" pitchFamily="18" charset="0"/>
                      </a:rPr>
                      <a:t>입력하십시오</a:t>
                    </a:fld>
                    <a:fld id="{825F15A7-03F4-43D7-82C5-3E23DA2F108C}" type="mathplaceholder">
                      <a:rPr lang="ko-KR" altLang="en-US" sz="1100" i="1">
                        <a:latin typeface="Cambria Math" panose="02040503050406030204" pitchFamily="18" charset="0"/>
                      </a:rPr>
                      <a:t>.</a:t>
                    </a:fld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xmlns:a14="http://schemas.microsoft.com/office/drawing/2010/main" xmlns="" id="{00000000-0008-0000-0000-000002000000}"/>
                </a:ext>
              </a:extLst>
            </xdr:cNvPr>
            <xdr:cNvSpPr txBox="1"/>
          </xdr:nvSpPr>
          <xdr:spPr>
            <a:xfrm>
              <a:off x="15621000" y="876300"/>
              <a:ext cx="1815625" cy="179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ko-KR" altLang="en-US" sz="1100" i="0">
                  <a:latin typeface="Cambria Math" panose="02040503050406030204" pitchFamily="18" charset="0"/>
                </a:rPr>
                <a:t>"여기에 수식을 입력하십시오."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1833"/>
  <sheetViews>
    <sheetView topLeftCell="D1" zoomScaleNormal="100" zoomScaleSheetLayoutView="100" workbookViewId="0">
      <pane ySplit="5" topLeftCell="A42" activePane="bottomLeft" state="frozen"/>
      <selection activeCell="G19" sqref="G19"/>
      <selection pane="bottomLeft" activeCell="D58" sqref="A58:XFD63"/>
    </sheetView>
  </sheetViews>
  <sheetFormatPr defaultColWidth="8.87890625" defaultRowHeight="16.899999999999999"/>
  <cols>
    <col min="1" max="1" width="13.1171875" style="90" customWidth="1"/>
    <col min="2" max="2" width="15.87890625" style="346" customWidth="1"/>
    <col min="3" max="3" width="15.234375" style="167" customWidth="1"/>
    <col min="4" max="4" width="42.64453125" style="366" customWidth="1"/>
    <col min="5" max="5" width="4.87890625" style="366" customWidth="1"/>
    <col min="6" max="6" width="10.1171875" style="366" customWidth="1"/>
    <col min="7" max="7" width="9.87890625" style="366" customWidth="1"/>
    <col min="8" max="9" width="10.41015625" style="366" customWidth="1"/>
    <col min="10" max="10" width="9.52734375" style="366" customWidth="1"/>
    <col min="11" max="11" width="10.87890625" style="366" customWidth="1"/>
    <col min="12" max="12" width="6.52734375" style="366" customWidth="1"/>
    <col min="13" max="13" width="9.1171875" style="366" customWidth="1"/>
    <col min="14" max="14" width="18.234375" style="26" bestFit="1" customWidth="1"/>
    <col min="15" max="15" width="12.3515625" style="26" customWidth="1"/>
    <col min="16" max="16" width="12.87890625" style="26" customWidth="1"/>
    <col min="17" max="17" width="7.64453125" style="26" hidden="1" customWidth="1"/>
    <col min="18" max="18" width="37.3515625" style="346" customWidth="1"/>
    <col min="19" max="16384" width="8.87890625" style="366"/>
  </cols>
  <sheetData>
    <row r="1" spans="1:18">
      <c r="C1" s="159" t="s">
        <v>0</v>
      </c>
      <c r="F1" s="21"/>
      <c r="G1" s="25"/>
      <c r="H1" s="7" t="s">
        <v>1</v>
      </c>
      <c r="I1" s="7"/>
      <c r="J1" s="44" t="s">
        <v>2</v>
      </c>
      <c r="K1" s="44" t="s">
        <v>3</v>
      </c>
      <c r="L1" s="44" t="s">
        <v>4</v>
      </c>
      <c r="M1" s="5"/>
      <c r="N1" s="367" t="s">
        <v>5</v>
      </c>
      <c r="O1" s="453"/>
      <c r="P1" s="8"/>
      <c r="Q1" s="171"/>
      <c r="R1" s="459" t="s">
        <v>6</v>
      </c>
    </row>
    <row r="2" spans="1:18">
      <c r="G2" s="25"/>
      <c r="H2" s="32" t="s">
        <v>7</v>
      </c>
      <c r="I2" s="32"/>
      <c r="J2" s="84"/>
      <c r="K2" s="84"/>
      <c r="L2" s="84"/>
      <c r="M2" s="12" t="s">
        <v>8</v>
      </c>
      <c r="N2" s="287" t="s">
        <v>9</v>
      </c>
      <c r="O2" s="64" t="s">
        <v>10</v>
      </c>
      <c r="P2" s="8"/>
      <c r="Q2" s="171"/>
      <c r="R2" s="459"/>
    </row>
    <row r="3" spans="1:18">
      <c r="D3" s="368"/>
      <c r="G3" s="25"/>
      <c r="H3" s="7" t="s">
        <v>11</v>
      </c>
      <c r="I3" s="7"/>
      <c r="J3" s="85"/>
      <c r="K3" s="85"/>
      <c r="L3" s="85"/>
      <c r="M3" s="31" t="s">
        <v>12</v>
      </c>
      <c r="N3" s="86" t="s">
        <v>13</v>
      </c>
      <c r="O3" s="91" t="s">
        <v>14</v>
      </c>
      <c r="P3" s="8"/>
      <c r="Q3" s="171"/>
      <c r="R3" s="459"/>
    </row>
    <row r="4" spans="1:18">
      <c r="D4" s="369"/>
      <c r="G4" s="25"/>
      <c r="H4" s="443" t="s">
        <v>15</v>
      </c>
      <c r="I4" s="443"/>
      <c r="J4" s="46" t="s">
        <v>16</v>
      </c>
      <c r="K4" s="45"/>
      <c r="L4" s="45"/>
      <c r="M4" s="27"/>
      <c r="N4" s="10"/>
      <c r="O4" s="40" t="s">
        <v>17</v>
      </c>
      <c r="P4" s="11"/>
      <c r="Q4" s="172"/>
      <c r="R4" s="459"/>
    </row>
    <row r="5" spans="1:18">
      <c r="A5" s="12" t="s">
        <v>18</v>
      </c>
      <c r="B5" s="154" t="s">
        <v>19</v>
      </c>
      <c r="C5" s="160" t="s">
        <v>20</v>
      </c>
      <c r="D5" s="13" t="s">
        <v>21</v>
      </c>
      <c r="E5" s="115" t="s">
        <v>22</v>
      </c>
      <c r="F5" s="21" t="s">
        <v>23</v>
      </c>
      <c r="G5" s="14" t="s">
        <v>24</v>
      </c>
      <c r="H5" s="15" t="s">
        <v>1</v>
      </c>
      <c r="I5" s="15" t="s">
        <v>25</v>
      </c>
      <c r="J5" s="34" t="s">
        <v>2</v>
      </c>
      <c r="K5" s="34" t="s">
        <v>3</v>
      </c>
      <c r="L5" s="34" t="s">
        <v>4</v>
      </c>
      <c r="M5" s="17" t="s">
        <v>26</v>
      </c>
      <c r="N5" s="16" t="s">
        <v>27</v>
      </c>
      <c r="O5" s="34" t="s">
        <v>28</v>
      </c>
      <c r="P5" s="14" t="s">
        <v>29</v>
      </c>
      <c r="Q5" s="173" t="s">
        <v>30</v>
      </c>
      <c r="R5" s="460" t="s">
        <v>31</v>
      </c>
    </row>
    <row r="6" spans="1:18" ht="40.5" customHeight="1">
      <c r="A6" s="338"/>
      <c r="B6" s="339"/>
      <c r="C6" s="339"/>
      <c r="D6" s="340" t="s">
        <v>32</v>
      </c>
      <c r="E6" s="341" t="s">
        <v>33</v>
      </c>
      <c r="F6" s="342"/>
      <c r="G6" s="57">
        <v>36526</v>
      </c>
      <c r="H6" s="52"/>
      <c r="I6" s="52"/>
      <c r="J6" s="47"/>
      <c r="K6" s="47"/>
      <c r="L6" s="47"/>
      <c r="M6" s="51"/>
      <c r="N6" s="51"/>
      <c r="O6" s="53"/>
      <c r="P6" s="51"/>
      <c r="Q6" s="174"/>
      <c r="R6" s="461"/>
    </row>
    <row r="7" spans="1:18" s="493" customFormat="1" ht="15.75" customHeight="1">
      <c r="A7" s="426" t="s">
        <v>34</v>
      </c>
      <c r="B7" s="297" t="s">
        <v>35</v>
      </c>
      <c r="C7" s="297" t="s">
        <v>36</v>
      </c>
      <c r="D7" s="168" t="s">
        <v>37</v>
      </c>
      <c r="E7" s="516" t="s">
        <v>32</v>
      </c>
      <c r="F7" s="517">
        <v>28800</v>
      </c>
      <c r="G7" s="518">
        <v>45538</v>
      </c>
      <c r="H7" s="518">
        <v>45590</v>
      </c>
      <c r="I7" s="518"/>
      <c r="J7" s="518">
        <v>45607</v>
      </c>
      <c r="K7" s="518">
        <v>45608</v>
      </c>
      <c r="L7" s="518" t="s">
        <v>38</v>
      </c>
      <c r="M7" s="519" t="s">
        <v>39</v>
      </c>
      <c r="N7" s="520" t="s">
        <v>40</v>
      </c>
      <c r="O7" s="605" t="s">
        <v>41</v>
      </c>
      <c r="P7" s="516"/>
      <c r="Q7" s="516"/>
    </row>
    <row r="8" spans="1:18" s="657" customFormat="1" ht="41.25" customHeight="1">
      <c r="A8" s="649" t="s">
        <v>42</v>
      </c>
      <c r="B8" s="650" t="s">
        <v>43</v>
      </c>
      <c r="C8" s="650" t="s">
        <v>44</v>
      </c>
      <c r="D8" s="651" t="s">
        <v>45</v>
      </c>
      <c r="E8" s="572" t="s">
        <v>32</v>
      </c>
      <c r="F8" s="634">
        <v>54249.3</v>
      </c>
      <c r="G8" s="652">
        <v>45901</v>
      </c>
      <c r="H8" s="653">
        <v>46055</v>
      </c>
      <c r="I8" s="653">
        <v>46068</v>
      </c>
      <c r="J8" s="671" t="s">
        <v>46</v>
      </c>
      <c r="K8" s="652"/>
      <c r="L8" s="652"/>
      <c r="M8" s="650" t="s">
        <v>47</v>
      </c>
      <c r="N8" s="654" t="s">
        <v>48</v>
      </c>
      <c r="O8" s="655" t="s">
        <v>49</v>
      </c>
      <c r="P8" s="572"/>
      <c r="Q8" s="572"/>
      <c r="R8" s="656" t="s">
        <v>50</v>
      </c>
    </row>
    <row r="9" spans="1:18" s="416" customFormat="1" ht="15.75" customHeight="1">
      <c r="A9" s="415" t="s">
        <v>51</v>
      </c>
      <c r="B9" s="354" t="s">
        <v>52</v>
      </c>
      <c r="C9" s="354" t="s">
        <v>53</v>
      </c>
      <c r="D9" s="531" t="s">
        <v>54</v>
      </c>
      <c r="E9" s="572" t="s">
        <v>32</v>
      </c>
      <c r="F9" s="634">
        <v>185446</v>
      </c>
      <c r="G9" s="442">
        <v>46009</v>
      </c>
      <c r="H9" s="524">
        <v>46108</v>
      </c>
      <c r="I9" s="524">
        <v>46111</v>
      </c>
      <c r="J9" s="442"/>
      <c r="K9" s="442"/>
      <c r="L9" s="442"/>
      <c r="M9" s="354" t="s">
        <v>55</v>
      </c>
      <c r="N9" s="354" t="s">
        <v>56</v>
      </c>
      <c r="O9" s="454" t="s">
        <v>57</v>
      </c>
      <c r="P9" s="417" t="s">
        <v>58</v>
      </c>
      <c r="Q9" s="417"/>
      <c r="R9" s="669"/>
    </row>
    <row r="10" spans="1:18" s="617" customFormat="1" ht="15.75" customHeight="1">
      <c r="A10" s="611" t="s">
        <v>59</v>
      </c>
      <c r="B10" s="612" t="s">
        <v>52</v>
      </c>
      <c r="C10" s="612" t="s">
        <v>60</v>
      </c>
      <c r="D10" s="613" t="s">
        <v>61</v>
      </c>
      <c r="E10" s="614" t="s">
        <v>32</v>
      </c>
      <c r="F10" s="615">
        <v>115200</v>
      </c>
      <c r="G10" s="424">
        <v>46020</v>
      </c>
      <c r="H10" s="425">
        <v>46160</v>
      </c>
      <c r="I10" s="588"/>
      <c r="J10" s="424"/>
      <c r="K10" s="424"/>
      <c r="L10" s="424"/>
      <c r="M10" s="289" t="s">
        <v>39</v>
      </c>
      <c r="N10" s="612" t="s">
        <v>62</v>
      </c>
      <c r="O10" s="616" t="s">
        <v>63</v>
      </c>
      <c r="P10" s="614" t="s">
        <v>64</v>
      </c>
      <c r="Q10" s="614"/>
      <c r="R10" s="608" t="s">
        <v>65</v>
      </c>
    </row>
    <row r="11" spans="1:18" s="444" customFormat="1" ht="25.5" customHeight="1">
      <c r="A11" s="665" t="s">
        <v>66</v>
      </c>
      <c r="B11" s="444" t="s">
        <v>43</v>
      </c>
      <c r="C11" s="444" t="s">
        <v>67</v>
      </c>
      <c r="D11" s="444" t="s">
        <v>68</v>
      </c>
      <c r="E11" s="444" t="s">
        <v>32</v>
      </c>
      <c r="F11" s="315">
        <v>13336.5</v>
      </c>
      <c r="G11" s="444">
        <v>46065</v>
      </c>
      <c r="H11" s="444">
        <v>46085</v>
      </c>
      <c r="I11" s="444">
        <v>46090</v>
      </c>
      <c r="J11" s="444">
        <v>46092</v>
      </c>
      <c r="K11" s="444">
        <v>46094</v>
      </c>
      <c r="L11" s="444" t="s">
        <v>69</v>
      </c>
      <c r="M11" s="311" t="s">
        <v>47</v>
      </c>
      <c r="N11" s="444" t="s">
        <v>70</v>
      </c>
      <c r="O11" s="444">
        <v>46118</v>
      </c>
      <c r="Q11" s="448"/>
      <c r="R11" s="678" t="s">
        <v>2256</v>
      </c>
    </row>
    <row r="12" spans="1:18" s="424" customFormat="1" ht="15.75" customHeight="1">
      <c r="A12" s="632"/>
      <c r="B12" s="424" t="s">
        <v>72</v>
      </c>
      <c r="C12" s="424" t="s">
        <v>73</v>
      </c>
      <c r="D12" s="424" t="s">
        <v>74</v>
      </c>
      <c r="E12" s="424" t="s">
        <v>32</v>
      </c>
      <c r="F12" s="295">
        <v>27370.2</v>
      </c>
      <c r="G12" s="424">
        <v>46072</v>
      </c>
      <c r="H12" s="424" t="s">
        <v>75</v>
      </c>
      <c r="M12" s="289" t="s">
        <v>39</v>
      </c>
      <c r="P12" s="318">
        <v>304356</v>
      </c>
    </row>
    <row r="13" spans="1:18" s="424" customFormat="1" ht="15.75" customHeight="1">
      <c r="A13" s="632" t="s">
        <v>76</v>
      </c>
      <c r="B13" s="424" t="s">
        <v>77</v>
      </c>
      <c r="C13" s="424" t="s">
        <v>78</v>
      </c>
      <c r="D13" s="424" t="s">
        <v>79</v>
      </c>
      <c r="E13" s="424" t="s">
        <v>80</v>
      </c>
      <c r="F13" s="295">
        <v>2592.5</v>
      </c>
      <c r="G13" s="424">
        <v>46085</v>
      </c>
      <c r="H13" s="632" t="s">
        <v>81</v>
      </c>
      <c r="M13" s="289" t="s">
        <v>82</v>
      </c>
      <c r="P13" s="318"/>
    </row>
    <row r="14" spans="1:18" s="261" customFormat="1" ht="15.75" customHeight="1">
      <c r="A14" s="648" t="s">
        <v>83</v>
      </c>
      <c r="B14" s="261" t="s">
        <v>84</v>
      </c>
      <c r="C14" s="261" t="s">
        <v>78</v>
      </c>
      <c r="D14" s="261" t="s">
        <v>85</v>
      </c>
      <c r="E14" s="261" t="s">
        <v>80</v>
      </c>
      <c r="F14" s="301">
        <v>202944.5</v>
      </c>
      <c r="G14" s="261">
        <v>46086</v>
      </c>
      <c r="H14" s="261">
        <v>46099</v>
      </c>
      <c r="I14" s="261">
        <v>46098</v>
      </c>
      <c r="J14" s="261">
        <v>46100</v>
      </c>
      <c r="K14" s="261">
        <v>46107</v>
      </c>
      <c r="L14" s="261" t="s">
        <v>69</v>
      </c>
      <c r="M14" s="262" t="s">
        <v>86</v>
      </c>
      <c r="N14" s="261" t="s">
        <v>87</v>
      </c>
      <c r="O14" s="261">
        <v>46128</v>
      </c>
      <c r="P14" s="322" t="s">
        <v>88</v>
      </c>
      <c r="R14" s="648" t="s">
        <v>71</v>
      </c>
    </row>
    <row r="15" spans="1:18" s="261" customFormat="1" ht="15.75" customHeight="1">
      <c r="A15" s="648" t="s">
        <v>89</v>
      </c>
      <c r="B15" s="261" t="s">
        <v>90</v>
      </c>
      <c r="C15" s="261" t="s">
        <v>91</v>
      </c>
      <c r="D15" s="261" t="s">
        <v>92</v>
      </c>
      <c r="E15" s="261" t="s">
        <v>80</v>
      </c>
      <c r="F15" s="301">
        <v>4706.25</v>
      </c>
      <c r="G15" s="261">
        <v>46087</v>
      </c>
      <c r="H15" s="261">
        <v>46093</v>
      </c>
      <c r="I15" s="261">
        <v>46093</v>
      </c>
      <c r="J15" s="261">
        <v>46094</v>
      </c>
      <c r="K15" s="261">
        <v>46097</v>
      </c>
      <c r="L15" s="261" t="s">
        <v>69</v>
      </c>
      <c r="M15" s="262" t="s">
        <v>93</v>
      </c>
      <c r="N15" s="322">
        <v>66577</v>
      </c>
      <c r="O15" s="261">
        <v>46123</v>
      </c>
      <c r="P15" s="322">
        <v>121849</v>
      </c>
      <c r="Q15" s="424"/>
    </row>
    <row r="16" spans="1:18" s="424" customFormat="1" ht="15.75" customHeight="1">
      <c r="A16" s="632" t="s">
        <v>94</v>
      </c>
      <c r="B16" s="424" t="s">
        <v>90</v>
      </c>
      <c r="C16" s="424" t="s">
        <v>95</v>
      </c>
      <c r="D16" s="424" t="s">
        <v>96</v>
      </c>
      <c r="E16" s="424" t="s">
        <v>80</v>
      </c>
      <c r="F16" s="295">
        <v>24080</v>
      </c>
      <c r="G16" s="424">
        <v>46092</v>
      </c>
      <c r="H16" s="424">
        <v>46214</v>
      </c>
      <c r="M16" s="289" t="s">
        <v>97</v>
      </c>
      <c r="P16" s="318"/>
    </row>
    <row r="17" spans="1:29" s="261" customFormat="1" ht="15.75" customHeight="1">
      <c r="A17" s="648" t="s">
        <v>98</v>
      </c>
      <c r="B17" s="261" t="s">
        <v>99</v>
      </c>
      <c r="C17" s="261" t="s">
        <v>100</v>
      </c>
      <c r="D17" s="261" t="s">
        <v>101</v>
      </c>
      <c r="E17" s="261" t="s">
        <v>80</v>
      </c>
      <c r="F17" s="301">
        <v>2039.15</v>
      </c>
      <c r="G17" s="261">
        <v>46094</v>
      </c>
      <c r="H17" s="261">
        <v>46100</v>
      </c>
      <c r="I17" s="261">
        <v>46100</v>
      </c>
      <c r="J17" s="261">
        <v>46101</v>
      </c>
      <c r="K17" s="261">
        <v>46104</v>
      </c>
      <c r="L17" s="261" t="s">
        <v>69</v>
      </c>
      <c r="M17" s="262" t="s">
        <v>86</v>
      </c>
      <c r="N17" s="322">
        <v>134182</v>
      </c>
      <c r="O17" s="261">
        <v>46130</v>
      </c>
      <c r="P17" s="322" t="s">
        <v>102</v>
      </c>
      <c r="Q17" s="424"/>
    </row>
    <row r="18" spans="1:29" s="424" customFormat="1" ht="15.75" customHeight="1">
      <c r="A18" s="632" t="s">
        <v>103</v>
      </c>
      <c r="B18" s="424" t="s">
        <v>104</v>
      </c>
      <c r="C18" s="424" t="s">
        <v>100</v>
      </c>
      <c r="D18" s="424" t="s">
        <v>105</v>
      </c>
      <c r="E18" s="424" t="s">
        <v>80</v>
      </c>
      <c r="F18" s="295">
        <v>5815.7</v>
      </c>
      <c r="G18" s="424">
        <v>46100</v>
      </c>
      <c r="H18" s="424">
        <v>46154</v>
      </c>
      <c r="M18" s="289" t="s">
        <v>106</v>
      </c>
      <c r="P18" s="318" t="s">
        <v>107</v>
      </c>
    </row>
    <row r="19" spans="1:29" s="509" customFormat="1" ht="30.75" customHeight="1">
      <c r="A19" s="665" t="s">
        <v>108</v>
      </c>
      <c r="B19" s="444" t="s">
        <v>109</v>
      </c>
      <c r="C19" s="444" t="s">
        <v>110</v>
      </c>
      <c r="D19" s="444" t="s">
        <v>111</v>
      </c>
      <c r="E19" s="444" t="s">
        <v>80</v>
      </c>
      <c r="F19" s="315">
        <v>5560</v>
      </c>
      <c r="G19" s="509">
        <v>46101</v>
      </c>
      <c r="H19" s="509">
        <v>46111</v>
      </c>
      <c r="I19" s="509">
        <v>46108</v>
      </c>
      <c r="J19" s="509">
        <v>46111</v>
      </c>
      <c r="K19" s="509">
        <v>46112</v>
      </c>
      <c r="L19" s="509" t="s">
        <v>69</v>
      </c>
      <c r="M19" s="506" t="s">
        <v>82</v>
      </c>
      <c r="N19" s="675" t="s">
        <v>112</v>
      </c>
      <c r="O19" s="675" t="s">
        <v>113</v>
      </c>
      <c r="P19" s="676"/>
      <c r="Q19" s="442"/>
      <c r="R19" s="677" t="s">
        <v>2257</v>
      </c>
    </row>
    <row r="20" spans="1:29" s="442" customFormat="1" ht="15.75" customHeight="1">
      <c r="A20" s="632"/>
      <c r="B20" s="424" t="s">
        <v>114</v>
      </c>
      <c r="C20" s="424" t="s">
        <v>100</v>
      </c>
      <c r="D20" s="424" t="s">
        <v>115</v>
      </c>
      <c r="E20" s="424" t="s">
        <v>80</v>
      </c>
      <c r="F20" s="295">
        <v>811.75</v>
      </c>
      <c r="G20" s="424">
        <v>46108</v>
      </c>
      <c r="H20" s="424">
        <v>46122</v>
      </c>
      <c r="I20" s="424"/>
      <c r="J20" s="424"/>
      <c r="K20" s="424"/>
      <c r="L20" s="424"/>
      <c r="M20" s="289" t="s">
        <v>106</v>
      </c>
      <c r="N20" s="424"/>
      <c r="O20" s="424"/>
      <c r="P20" s="318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</row>
    <row r="21" spans="1:29" s="442" customFormat="1" ht="15.75" customHeight="1">
      <c r="A21" s="632" t="s">
        <v>116</v>
      </c>
      <c r="B21" s="424" t="s">
        <v>117</v>
      </c>
      <c r="C21" s="424" t="s">
        <v>110</v>
      </c>
      <c r="D21" s="424" t="s">
        <v>118</v>
      </c>
      <c r="E21" s="424" t="s">
        <v>80</v>
      </c>
      <c r="F21" s="295">
        <v>470000</v>
      </c>
      <c r="G21" s="424">
        <v>46114</v>
      </c>
      <c r="H21" s="673">
        <v>46569</v>
      </c>
      <c r="I21" s="424"/>
      <c r="J21" s="424"/>
      <c r="K21" s="424"/>
      <c r="L21" s="424"/>
      <c r="M21" s="289" t="s">
        <v>119</v>
      </c>
      <c r="N21" s="424"/>
      <c r="O21" s="424"/>
      <c r="P21" s="318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</row>
    <row r="22" spans="1:29" s="442" customFormat="1" ht="15.75" customHeight="1">
      <c r="A22" s="632" t="s">
        <v>120</v>
      </c>
      <c r="B22" s="424" t="s">
        <v>121</v>
      </c>
      <c r="C22" s="424" t="s">
        <v>122</v>
      </c>
      <c r="D22" s="424" t="s">
        <v>123</v>
      </c>
      <c r="E22" s="424" t="s">
        <v>80</v>
      </c>
      <c r="F22" s="295">
        <v>1190</v>
      </c>
      <c r="G22" s="424">
        <v>46114</v>
      </c>
      <c r="H22" s="424">
        <v>46120</v>
      </c>
      <c r="I22" s="424"/>
      <c r="J22" s="424"/>
      <c r="K22" s="424"/>
      <c r="L22" s="424"/>
      <c r="M22" s="289" t="s">
        <v>82</v>
      </c>
      <c r="N22" s="424"/>
      <c r="O22" s="424"/>
      <c r="P22" s="318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</row>
    <row r="23" spans="1:29" ht="34.9">
      <c r="A23" s="57"/>
      <c r="B23" s="47"/>
      <c r="C23" s="47"/>
      <c r="D23" s="114" t="s">
        <v>124</v>
      </c>
      <c r="E23" s="116" t="s">
        <v>125</v>
      </c>
      <c r="F23" s="143"/>
      <c r="G23" s="57" t="s">
        <v>126</v>
      </c>
      <c r="H23" s="57">
        <v>36526</v>
      </c>
      <c r="I23" s="57"/>
      <c r="J23" s="47"/>
      <c r="K23" s="47"/>
      <c r="L23" s="47"/>
      <c r="M23" s="47"/>
      <c r="N23" s="47"/>
      <c r="O23" s="47"/>
      <c r="P23" s="47"/>
      <c r="Q23" s="47"/>
      <c r="R23" s="47"/>
    </row>
    <row r="24" spans="1:29" s="442" customFormat="1" ht="15.75" customHeight="1">
      <c r="A24" s="632" t="s">
        <v>127</v>
      </c>
      <c r="B24" s="424" t="s">
        <v>128</v>
      </c>
      <c r="C24" s="424" t="s">
        <v>129</v>
      </c>
      <c r="D24" s="424" t="s">
        <v>130</v>
      </c>
      <c r="E24" s="424" t="s">
        <v>131</v>
      </c>
      <c r="F24" s="295">
        <v>2593</v>
      </c>
      <c r="G24" s="424">
        <v>46115</v>
      </c>
      <c r="H24" s="424"/>
      <c r="I24" s="424"/>
      <c r="J24" s="424"/>
      <c r="K24" s="424"/>
      <c r="L24" s="424"/>
      <c r="M24" s="289" t="s">
        <v>106</v>
      </c>
      <c r="N24" s="424"/>
      <c r="O24" s="424"/>
      <c r="P24" s="318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</row>
    <row r="25" spans="1:29" ht="34.9">
      <c r="A25" s="252"/>
      <c r="B25" s="253"/>
      <c r="C25" s="253"/>
      <c r="D25" s="114" t="s">
        <v>132</v>
      </c>
      <c r="E25" s="254" t="s">
        <v>133</v>
      </c>
      <c r="F25" s="213"/>
      <c r="G25" s="229"/>
      <c r="H25" s="57"/>
      <c r="I25" s="57"/>
      <c r="J25" s="47"/>
      <c r="K25" s="47"/>
      <c r="L25" s="47" t="s">
        <v>0</v>
      </c>
      <c r="M25" s="51"/>
      <c r="N25" s="97"/>
      <c r="O25" s="98"/>
      <c r="P25" s="51"/>
      <c r="Q25" s="174"/>
      <c r="R25" s="461"/>
    </row>
    <row r="26" spans="1:29" ht="33.75">
      <c r="A26" s="433"/>
      <c r="B26" s="294" t="s">
        <v>134</v>
      </c>
      <c r="C26" s="294" t="s">
        <v>135</v>
      </c>
      <c r="D26" s="167" t="s">
        <v>136</v>
      </c>
      <c r="E26" s="2" t="s">
        <v>132</v>
      </c>
      <c r="F26" s="295">
        <f>67500-20250</f>
        <v>47250</v>
      </c>
      <c r="G26" s="3">
        <v>45868</v>
      </c>
      <c r="H26" s="425" t="s">
        <v>137</v>
      </c>
      <c r="I26" s="3"/>
      <c r="J26" s="388"/>
      <c r="K26" s="388"/>
      <c r="L26" s="388"/>
      <c r="M26" s="294" t="s">
        <v>55</v>
      </c>
      <c r="N26" s="2" t="s">
        <v>138</v>
      </c>
      <c r="O26" s="435" t="s">
        <v>139</v>
      </c>
      <c r="P26" s="2" t="s">
        <v>138</v>
      </c>
      <c r="Q26" s="423"/>
      <c r="R26" s="586" t="s">
        <v>140</v>
      </c>
    </row>
    <row r="27" spans="1:29">
      <c r="A27" s="433" t="s">
        <v>141</v>
      </c>
      <c r="B27" s="294" t="s">
        <v>142</v>
      </c>
      <c r="C27" s="294" t="s">
        <v>143</v>
      </c>
      <c r="D27" s="224" t="s">
        <v>144</v>
      </c>
      <c r="E27" s="2" t="s">
        <v>132</v>
      </c>
      <c r="F27" s="295">
        <v>3309.39</v>
      </c>
      <c r="G27" s="3">
        <v>45930</v>
      </c>
      <c r="H27" s="434" t="s">
        <v>145</v>
      </c>
      <c r="I27" s="3"/>
      <c r="J27" s="388"/>
      <c r="K27" s="388"/>
      <c r="L27" s="388"/>
      <c r="M27" s="294" t="s">
        <v>146</v>
      </c>
      <c r="N27" s="2"/>
      <c r="O27" s="435"/>
      <c r="P27" s="2">
        <v>91856</v>
      </c>
      <c r="Q27" s="423"/>
      <c r="R27" s="389"/>
    </row>
    <row r="28" spans="1:29">
      <c r="A28" s="433"/>
      <c r="B28" s="294" t="s">
        <v>134</v>
      </c>
      <c r="C28" s="294" t="s">
        <v>135</v>
      </c>
      <c r="D28" s="224" t="s">
        <v>147</v>
      </c>
      <c r="E28" s="2" t="s">
        <v>132</v>
      </c>
      <c r="F28" s="295">
        <v>1500</v>
      </c>
      <c r="G28" s="3">
        <v>45932</v>
      </c>
      <c r="H28" s="425" t="s">
        <v>137</v>
      </c>
      <c r="I28" s="3"/>
      <c r="J28" s="388"/>
      <c r="K28" s="388"/>
      <c r="L28" s="388"/>
      <c r="M28" s="294" t="s">
        <v>55</v>
      </c>
      <c r="N28" s="2"/>
      <c r="O28" s="435"/>
      <c r="P28" s="2" t="s">
        <v>148</v>
      </c>
      <c r="Q28" s="423"/>
      <c r="R28" s="389"/>
    </row>
    <row r="29" spans="1:29" s="416" customFormat="1" ht="15.75" customHeight="1">
      <c r="A29" s="415" t="s">
        <v>149</v>
      </c>
      <c r="B29" s="354" t="s">
        <v>150</v>
      </c>
      <c r="C29" s="354" t="s">
        <v>151</v>
      </c>
      <c r="D29" s="531" t="s">
        <v>152</v>
      </c>
      <c r="E29" s="417" t="s">
        <v>132</v>
      </c>
      <c r="F29" s="283">
        <v>134416.79999999999</v>
      </c>
      <c r="G29" s="442">
        <v>45986</v>
      </c>
      <c r="H29" s="524">
        <v>46111</v>
      </c>
      <c r="I29" s="524">
        <v>46111</v>
      </c>
      <c r="J29" s="442">
        <v>46115</v>
      </c>
      <c r="K29" s="442"/>
      <c r="L29" s="442"/>
      <c r="M29" s="354" t="s">
        <v>55</v>
      </c>
      <c r="N29" s="354" t="s">
        <v>153</v>
      </c>
      <c r="O29" s="454">
        <v>46138</v>
      </c>
      <c r="P29" s="417" t="s">
        <v>154</v>
      </c>
      <c r="Q29" s="417"/>
      <c r="R29" s="416" t="s">
        <v>155</v>
      </c>
    </row>
    <row r="30" spans="1:29" s="511" customFormat="1" ht="15.75" customHeight="1">
      <c r="A30" s="505" t="s">
        <v>156</v>
      </c>
      <c r="B30" s="506" t="s">
        <v>157</v>
      </c>
      <c r="C30" s="506" t="s">
        <v>158</v>
      </c>
      <c r="D30" s="560" t="s">
        <v>159</v>
      </c>
      <c r="E30" s="507" t="s">
        <v>132</v>
      </c>
      <c r="F30" s="508">
        <v>15492</v>
      </c>
      <c r="G30" s="509">
        <v>45996</v>
      </c>
      <c r="H30" s="509">
        <v>46104</v>
      </c>
      <c r="I30" s="529">
        <v>46106</v>
      </c>
      <c r="J30" s="509">
        <v>46107</v>
      </c>
      <c r="K30" s="509">
        <v>46112</v>
      </c>
      <c r="L30" s="509" t="s">
        <v>69</v>
      </c>
      <c r="M30" s="506" t="s">
        <v>146</v>
      </c>
      <c r="N30" s="506" t="s">
        <v>160</v>
      </c>
      <c r="O30" s="510">
        <v>46131</v>
      </c>
      <c r="P30" s="507">
        <v>7899</v>
      </c>
      <c r="Q30" s="417"/>
    </row>
    <row r="31" spans="1:29" s="511" customFormat="1" ht="15.75" customHeight="1">
      <c r="A31" s="505" t="s">
        <v>149</v>
      </c>
      <c r="B31" s="506" t="s">
        <v>150</v>
      </c>
      <c r="C31" s="506" t="s">
        <v>158</v>
      </c>
      <c r="D31" s="560" t="s">
        <v>161</v>
      </c>
      <c r="E31" s="507" t="s">
        <v>132</v>
      </c>
      <c r="F31" s="508">
        <v>14725</v>
      </c>
      <c r="G31" s="509">
        <v>45996</v>
      </c>
      <c r="H31" s="529">
        <v>46107</v>
      </c>
      <c r="I31" s="529">
        <v>46106</v>
      </c>
      <c r="J31" s="509">
        <v>46107</v>
      </c>
      <c r="K31" s="509">
        <v>46111</v>
      </c>
      <c r="L31" s="509" t="s">
        <v>162</v>
      </c>
      <c r="M31" s="506" t="s">
        <v>47</v>
      </c>
      <c r="N31" s="506" t="s">
        <v>163</v>
      </c>
      <c r="O31" s="510">
        <v>46135</v>
      </c>
      <c r="P31" s="507">
        <v>7898</v>
      </c>
      <c r="Q31" s="417"/>
    </row>
    <row r="32" spans="1:29" s="401" customFormat="1" ht="15.75" customHeight="1">
      <c r="A32" s="418" t="s">
        <v>164</v>
      </c>
      <c r="B32" s="311" t="s">
        <v>165</v>
      </c>
      <c r="C32" s="311" t="s">
        <v>166</v>
      </c>
      <c r="D32" s="266" t="s">
        <v>167</v>
      </c>
      <c r="E32" s="222" t="s">
        <v>132</v>
      </c>
      <c r="F32" s="315">
        <v>3000</v>
      </c>
      <c r="G32" s="444">
        <v>46031</v>
      </c>
      <c r="H32" s="444">
        <v>46092</v>
      </c>
      <c r="I32" s="444">
        <v>46087</v>
      </c>
      <c r="J32" s="444">
        <v>46090</v>
      </c>
      <c r="K32" s="444">
        <v>46091</v>
      </c>
      <c r="L32" s="444" t="s">
        <v>69</v>
      </c>
      <c r="M32" s="311" t="s">
        <v>39</v>
      </c>
      <c r="N32" s="311" t="s">
        <v>168</v>
      </c>
      <c r="O32" s="400">
        <v>46113</v>
      </c>
      <c r="P32" s="222"/>
      <c r="Q32" s="222"/>
      <c r="R32" s="401" t="s">
        <v>71</v>
      </c>
    </row>
    <row r="33" spans="1:18" s="382" customFormat="1" ht="15.75" customHeight="1">
      <c r="A33" s="355" t="s">
        <v>169</v>
      </c>
      <c r="B33" s="262" t="s">
        <v>43</v>
      </c>
      <c r="C33" s="262" t="s">
        <v>170</v>
      </c>
      <c r="D33" s="223" t="s">
        <v>171</v>
      </c>
      <c r="E33" s="76" t="s">
        <v>132</v>
      </c>
      <c r="F33" s="277">
        <v>10712</v>
      </c>
      <c r="G33" s="261">
        <v>46038</v>
      </c>
      <c r="H33" s="320">
        <v>46097</v>
      </c>
      <c r="I33" s="261">
        <v>46099</v>
      </c>
      <c r="J33" s="261">
        <v>46104</v>
      </c>
      <c r="K33" s="261">
        <v>46105</v>
      </c>
      <c r="L33" s="261" t="s">
        <v>90</v>
      </c>
      <c r="M33" s="262" t="s">
        <v>39</v>
      </c>
      <c r="N33" s="262" t="s">
        <v>172</v>
      </c>
      <c r="O33" s="437">
        <v>46129</v>
      </c>
      <c r="P33" s="76" t="s">
        <v>173</v>
      </c>
      <c r="Q33" s="196"/>
      <c r="R33" s="382" t="s">
        <v>71</v>
      </c>
    </row>
    <row r="34" spans="1:18" s="373" customFormat="1" ht="15.75" customHeight="1">
      <c r="A34" s="353" t="s">
        <v>174</v>
      </c>
      <c r="B34" s="289" t="s">
        <v>175</v>
      </c>
      <c r="C34" s="289" t="s">
        <v>166</v>
      </c>
      <c r="D34" s="224" t="s">
        <v>176</v>
      </c>
      <c r="E34" s="196" t="s">
        <v>132</v>
      </c>
      <c r="F34" s="272">
        <v>439996.92</v>
      </c>
      <c r="G34" s="424">
        <v>46045</v>
      </c>
      <c r="H34" s="425" t="s">
        <v>177</v>
      </c>
      <c r="I34" s="425"/>
      <c r="J34" s="424"/>
      <c r="K34" s="424"/>
      <c r="L34" s="424"/>
      <c r="M34" s="289" t="s">
        <v>39</v>
      </c>
      <c r="N34" s="289" t="s">
        <v>178</v>
      </c>
      <c r="O34" s="395" t="s">
        <v>179</v>
      </c>
      <c r="P34" s="196"/>
      <c r="Q34" s="196"/>
      <c r="R34" s="382"/>
    </row>
    <row r="35" spans="1:18" s="511" customFormat="1" ht="15.75" customHeight="1">
      <c r="A35" s="505"/>
      <c r="B35" s="506" t="s">
        <v>180</v>
      </c>
      <c r="C35" s="506" t="s">
        <v>181</v>
      </c>
      <c r="D35" s="560" t="s">
        <v>182</v>
      </c>
      <c r="E35" s="507" t="s">
        <v>132</v>
      </c>
      <c r="F35" s="508">
        <v>12390.43</v>
      </c>
      <c r="G35" s="509">
        <v>46045</v>
      </c>
      <c r="H35" s="509">
        <v>46097</v>
      </c>
      <c r="I35" s="509">
        <v>46099</v>
      </c>
      <c r="J35" s="509">
        <v>46101</v>
      </c>
      <c r="K35" s="509">
        <v>46111</v>
      </c>
      <c r="L35" s="509" t="s">
        <v>69</v>
      </c>
      <c r="M35" s="506" t="s">
        <v>39</v>
      </c>
      <c r="N35" s="506" t="s">
        <v>183</v>
      </c>
      <c r="O35" s="510">
        <v>46130</v>
      </c>
      <c r="P35" s="507"/>
      <c r="Q35" s="417"/>
    </row>
    <row r="36" spans="1:18" s="382" customFormat="1" ht="15.75" customHeight="1">
      <c r="A36" s="355" t="s">
        <v>169</v>
      </c>
      <c r="B36" s="262" t="s">
        <v>43</v>
      </c>
      <c r="C36" s="262" t="s">
        <v>170</v>
      </c>
      <c r="D36" s="223" t="s">
        <v>184</v>
      </c>
      <c r="E36" s="76" t="s">
        <v>132</v>
      </c>
      <c r="F36" s="277">
        <v>8940</v>
      </c>
      <c r="G36" s="261">
        <v>46050</v>
      </c>
      <c r="H36" s="320">
        <v>46097</v>
      </c>
      <c r="I36" s="261">
        <v>46099</v>
      </c>
      <c r="J36" s="261">
        <v>46104</v>
      </c>
      <c r="K36" s="261">
        <v>46105</v>
      </c>
      <c r="L36" s="261" t="s">
        <v>90</v>
      </c>
      <c r="M36" s="262" t="s">
        <v>39</v>
      </c>
      <c r="N36" s="262" t="s">
        <v>185</v>
      </c>
      <c r="O36" s="437">
        <v>46129</v>
      </c>
      <c r="P36" s="76" t="s">
        <v>186</v>
      </c>
      <c r="Q36" s="196"/>
      <c r="R36" s="382" t="s">
        <v>71</v>
      </c>
    </row>
    <row r="37" spans="1:18" s="511" customFormat="1" ht="15.75" customHeight="1">
      <c r="A37" s="505" t="s">
        <v>187</v>
      </c>
      <c r="B37" s="506" t="s">
        <v>188</v>
      </c>
      <c r="C37" s="506" t="s">
        <v>189</v>
      </c>
      <c r="D37" s="560" t="s">
        <v>190</v>
      </c>
      <c r="E37" s="507" t="s">
        <v>132</v>
      </c>
      <c r="F37" s="508">
        <v>3527.5</v>
      </c>
      <c r="G37" s="509">
        <v>46057</v>
      </c>
      <c r="H37" s="529">
        <v>46107</v>
      </c>
      <c r="I37" s="509">
        <v>46107</v>
      </c>
      <c r="J37" s="509">
        <v>46107</v>
      </c>
      <c r="K37" s="509">
        <v>46111</v>
      </c>
      <c r="L37" s="509" t="s">
        <v>162</v>
      </c>
      <c r="M37" s="506" t="s">
        <v>191</v>
      </c>
      <c r="N37" s="506" t="s">
        <v>192</v>
      </c>
      <c r="O37" s="510">
        <v>46136</v>
      </c>
      <c r="P37" s="507" t="s">
        <v>193</v>
      </c>
      <c r="Q37" s="417"/>
    </row>
    <row r="38" spans="1:18" s="373" customFormat="1" ht="15.75" customHeight="1">
      <c r="A38" s="353" t="s">
        <v>194</v>
      </c>
      <c r="B38" s="289" t="s">
        <v>150</v>
      </c>
      <c r="C38" s="289" t="s">
        <v>195</v>
      </c>
      <c r="D38" s="224" t="s">
        <v>196</v>
      </c>
      <c r="E38" s="196" t="s">
        <v>132</v>
      </c>
      <c r="F38" s="272">
        <v>1615</v>
      </c>
      <c r="G38" s="424">
        <v>46078</v>
      </c>
      <c r="H38" s="425">
        <v>46132</v>
      </c>
      <c r="I38" s="425"/>
      <c r="J38" s="424"/>
      <c r="K38" s="424"/>
      <c r="L38" s="424"/>
      <c r="M38" s="289" t="s">
        <v>39</v>
      </c>
      <c r="N38" s="289"/>
      <c r="O38" s="395"/>
      <c r="P38" s="196" t="s">
        <v>197</v>
      </c>
      <c r="Q38" s="196"/>
    </row>
    <row r="39" spans="1:18" s="373" customFormat="1" ht="15.75" customHeight="1">
      <c r="A39" s="632" t="s">
        <v>108</v>
      </c>
      <c r="B39" s="424" t="s">
        <v>198</v>
      </c>
      <c r="C39" s="424" t="s">
        <v>100</v>
      </c>
      <c r="D39" s="424" t="s">
        <v>199</v>
      </c>
      <c r="E39" s="424" t="s">
        <v>200</v>
      </c>
      <c r="F39" s="295">
        <v>12928.67</v>
      </c>
      <c r="G39" s="424">
        <v>46079</v>
      </c>
      <c r="H39" s="424">
        <v>46129</v>
      </c>
      <c r="I39" s="424"/>
      <c r="J39" s="424"/>
      <c r="K39" s="424"/>
      <c r="L39" s="424"/>
      <c r="M39" s="289" t="s">
        <v>39</v>
      </c>
      <c r="N39" s="289"/>
      <c r="O39" s="395"/>
      <c r="P39" s="196" t="s">
        <v>201</v>
      </c>
      <c r="Q39" s="196"/>
    </row>
    <row r="40" spans="1:18" s="373" customFormat="1" ht="15.75" customHeight="1">
      <c r="A40" s="632" t="s">
        <v>202</v>
      </c>
      <c r="B40" s="424" t="s">
        <v>90</v>
      </c>
      <c r="C40" s="424" t="s">
        <v>203</v>
      </c>
      <c r="D40" s="424" t="s">
        <v>204</v>
      </c>
      <c r="E40" s="424" t="s">
        <v>200</v>
      </c>
      <c r="F40" s="295">
        <v>103700</v>
      </c>
      <c r="G40" s="424">
        <v>46080</v>
      </c>
      <c r="H40" s="424">
        <v>46162</v>
      </c>
      <c r="I40" s="424"/>
      <c r="J40" s="424"/>
      <c r="K40" s="424"/>
      <c r="L40" s="424"/>
      <c r="M40" s="289" t="s">
        <v>106</v>
      </c>
      <c r="N40" s="289"/>
      <c r="O40" s="395"/>
      <c r="P40" s="289" t="s">
        <v>205</v>
      </c>
      <c r="Q40" s="196"/>
    </row>
    <row r="41" spans="1:18" s="511" customFormat="1" ht="15.75" customHeight="1">
      <c r="A41" s="674" t="s">
        <v>206</v>
      </c>
      <c r="B41" s="509" t="s">
        <v>207</v>
      </c>
      <c r="C41" s="509" t="s">
        <v>208</v>
      </c>
      <c r="D41" s="509" t="s">
        <v>209</v>
      </c>
      <c r="E41" s="509" t="s">
        <v>200</v>
      </c>
      <c r="F41" s="577">
        <v>9418.85</v>
      </c>
      <c r="G41" s="509">
        <v>46087</v>
      </c>
      <c r="H41" s="509">
        <v>46104</v>
      </c>
      <c r="I41" s="509">
        <v>46111</v>
      </c>
      <c r="J41" s="509">
        <v>46113</v>
      </c>
      <c r="K41" s="509">
        <v>46114</v>
      </c>
      <c r="L41" s="509" t="s">
        <v>69</v>
      </c>
      <c r="M41" s="506" t="s">
        <v>97</v>
      </c>
      <c r="N41" s="506" t="s">
        <v>210</v>
      </c>
      <c r="O41" s="510">
        <v>46129</v>
      </c>
      <c r="P41" s="506" t="s">
        <v>211</v>
      </c>
      <c r="Q41" s="417"/>
    </row>
    <row r="42" spans="1:18" s="382" customFormat="1" ht="15.75" customHeight="1">
      <c r="A42" s="648" t="s">
        <v>212</v>
      </c>
      <c r="B42" s="261" t="s">
        <v>90</v>
      </c>
      <c r="C42" s="261" t="s">
        <v>213</v>
      </c>
      <c r="D42" s="261" t="s">
        <v>214</v>
      </c>
      <c r="E42" s="261" t="s">
        <v>200</v>
      </c>
      <c r="F42" s="301">
        <v>12799.2</v>
      </c>
      <c r="G42" s="261">
        <v>46087</v>
      </c>
      <c r="H42" s="261">
        <v>46105</v>
      </c>
      <c r="I42" s="261">
        <v>46100</v>
      </c>
      <c r="J42" s="261">
        <v>46101</v>
      </c>
      <c r="K42" s="261">
        <v>46104</v>
      </c>
      <c r="L42" s="261" t="s">
        <v>69</v>
      </c>
      <c r="M42" s="262" t="s">
        <v>215</v>
      </c>
      <c r="N42" s="262" t="s">
        <v>216</v>
      </c>
      <c r="O42" s="437">
        <v>46130</v>
      </c>
      <c r="P42" s="262" t="s">
        <v>217</v>
      </c>
      <c r="Q42" s="196"/>
    </row>
    <row r="43" spans="1:18" s="373" customFormat="1" ht="15.75" customHeight="1">
      <c r="A43" s="632" t="s">
        <v>108</v>
      </c>
      <c r="B43" s="424" t="s">
        <v>90</v>
      </c>
      <c r="C43" s="424" t="s">
        <v>218</v>
      </c>
      <c r="D43" s="424" t="s">
        <v>219</v>
      </c>
      <c r="E43" s="424" t="s">
        <v>200</v>
      </c>
      <c r="F43" s="295">
        <v>8900</v>
      </c>
      <c r="G43" s="424">
        <v>46045</v>
      </c>
      <c r="H43" s="424"/>
      <c r="I43" s="424"/>
      <c r="J43" s="424"/>
      <c r="K43" s="424"/>
      <c r="L43" s="424"/>
      <c r="M43" s="289" t="s">
        <v>82</v>
      </c>
      <c r="N43" s="289"/>
      <c r="O43" s="395"/>
      <c r="P43" s="289"/>
      <c r="Q43" s="196"/>
    </row>
    <row r="44" spans="1:18" s="382" customFormat="1" ht="15.75" customHeight="1">
      <c r="A44" s="648" t="s">
        <v>169</v>
      </c>
      <c r="B44" s="261" t="s">
        <v>90</v>
      </c>
      <c r="C44" s="261" t="s">
        <v>170</v>
      </c>
      <c r="D44" s="261" t="s">
        <v>220</v>
      </c>
      <c r="E44" s="261" t="s">
        <v>200</v>
      </c>
      <c r="F44" s="277"/>
      <c r="G44" s="261"/>
      <c r="H44" s="261"/>
      <c r="I44" s="261">
        <v>46099</v>
      </c>
      <c r="J44" s="261">
        <v>46104</v>
      </c>
      <c r="K44" s="261">
        <v>46105</v>
      </c>
      <c r="L44" s="261" t="s">
        <v>90</v>
      </c>
      <c r="M44" s="262" t="s">
        <v>106</v>
      </c>
      <c r="N44" s="262"/>
      <c r="O44" s="437"/>
      <c r="P44" s="262"/>
      <c r="Q44" s="196"/>
    </row>
    <row r="45" spans="1:18" s="373" customFormat="1" ht="15.75" customHeight="1">
      <c r="A45" s="632"/>
      <c r="B45" s="424" t="s">
        <v>221</v>
      </c>
      <c r="C45" s="424" t="s">
        <v>222</v>
      </c>
      <c r="D45" s="424" t="s">
        <v>223</v>
      </c>
      <c r="E45" s="424" t="s">
        <v>200</v>
      </c>
      <c r="F45" s="272">
        <v>35450</v>
      </c>
      <c r="G45" s="424">
        <v>46100</v>
      </c>
      <c r="H45" s="424">
        <v>46142</v>
      </c>
      <c r="I45" s="424"/>
      <c r="J45" s="424"/>
      <c r="K45" s="424"/>
      <c r="L45" s="424"/>
      <c r="M45" s="289" t="s">
        <v>86</v>
      </c>
      <c r="N45" s="289"/>
      <c r="O45" s="395"/>
      <c r="P45" s="289"/>
      <c r="Q45" s="196"/>
      <c r="R45" s="382"/>
    </row>
    <row r="46" spans="1:18" s="511" customFormat="1" ht="15.75" customHeight="1">
      <c r="A46" s="674" t="s">
        <v>224</v>
      </c>
      <c r="B46" s="509" t="s">
        <v>90</v>
      </c>
      <c r="C46" s="509" t="s">
        <v>208</v>
      </c>
      <c r="D46" s="509" t="s">
        <v>225</v>
      </c>
      <c r="E46" s="509" t="s">
        <v>200</v>
      </c>
      <c r="F46" s="508">
        <v>20995</v>
      </c>
      <c r="G46" s="509">
        <v>46100</v>
      </c>
      <c r="H46" s="509">
        <v>46111</v>
      </c>
      <c r="I46" s="509">
        <v>46105</v>
      </c>
      <c r="J46" s="509">
        <v>46112</v>
      </c>
      <c r="K46" s="509">
        <v>46113</v>
      </c>
      <c r="L46" s="509" t="s">
        <v>69</v>
      </c>
      <c r="M46" s="506" t="s">
        <v>97</v>
      </c>
      <c r="N46" s="506" t="s">
        <v>226</v>
      </c>
      <c r="O46" s="510">
        <v>46136</v>
      </c>
      <c r="P46" s="506" t="s">
        <v>227</v>
      </c>
      <c r="Q46" s="417"/>
    </row>
    <row r="47" spans="1:18" s="373" customFormat="1" ht="15.75" customHeight="1">
      <c r="A47" s="632" t="s">
        <v>228</v>
      </c>
      <c r="B47" s="424" t="s">
        <v>229</v>
      </c>
      <c r="C47" s="424" t="s">
        <v>230</v>
      </c>
      <c r="D47" s="424" t="s">
        <v>231</v>
      </c>
      <c r="E47" s="424" t="s">
        <v>200</v>
      </c>
      <c r="F47" s="272">
        <v>12225.6</v>
      </c>
      <c r="G47" s="424">
        <v>46101</v>
      </c>
      <c r="H47" s="424">
        <v>46142</v>
      </c>
      <c r="I47" s="424"/>
      <c r="J47" s="424"/>
      <c r="K47" s="424"/>
      <c r="L47" s="424"/>
      <c r="M47" s="289" t="s">
        <v>106</v>
      </c>
      <c r="N47" s="289"/>
      <c r="O47" s="395"/>
      <c r="P47" s="289" t="s">
        <v>232</v>
      </c>
      <c r="Q47" s="196"/>
      <c r="R47" s="382"/>
    </row>
    <row r="48" spans="1:18" s="373" customFormat="1" ht="15.75" customHeight="1">
      <c r="A48" s="632" t="s">
        <v>233</v>
      </c>
      <c r="B48" s="424" t="s">
        <v>234</v>
      </c>
      <c r="C48" s="424" t="s">
        <v>235</v>
      </c>
      <c r="D48" s="424" t="s">
        <v>236</v>
      </c>
      <c r="E48" s="424" t="s">
        <v>200</v>
      </c>
      <c r="F48" s="272">
        <v>945.25</v>
      </c>
      <c r="G48" s="424">
        <v>46101</v>
      </c>
      <c r="H48" s="424" t="s">
        <v>237</v>
      </c>
      <c r="I48" s="424"/>
      <c r="J48" s="424"/>
      <c r="K48" s="424"/>
      <c r="L48" s="424"/>
      <c r="M48" s="289" t="s">
        <v>106</v>
      </c>
      <c r="N48" s="289" t="s">
        <v>238</v>
      </c>
      <c r="O48" s="395">
        <v>46131</v>
      </c>
      <c r="P48" s="289"/>
      <c r="Q48" s="196"/>
      <c r="R48" s="382"/>
    </row>
    <row r="49" spans="1:29" s="373" customFormat="1" ht="15.75" customHeight="1">
      <c r="A49" s="632" t="s">
        <v>228</v>
      </c>
      <c r="B49" s="424" t="s">
        <v>90</v>
      </c>
      <c r="C49" s="424" t="s">
        <v>239</v>
      </c>
      <c r="D49" s="424" t="s">
        <v>240</v>
      </c>
      <c r="E49" s="424" t="s">
        <v>200</v>
      </c>
      <c r="F49" s="272">
        <v>3245</v>
      </c>
      <c r="G49" s="424">
        <v>46101</v>
      </c>
      <c r="H49" s="424">
        <v>46143</v>
      </c>
      <c r="I49" s="424"/>
      <c r="J49" s="424"/>
      <c r="K49" s="424"/>
      <c r="L49" s="424"/>
      <c r="M49" s="289" t="s">
        <v>106</v>
      </c>
      <c r="N49" s="289"/>
      <c r="O49" s="395"/>
      <c r="P49" s="289"/>
      <c r="Q49" s="196"/>
      <c r="R49" s="382"/>
    </row>
    <row r="50" spans="1:29" s="373" customFormat="1" ht="15.75" customHeight="1">
      <c r="A50" s="632" t="s">
        <v>241</v>
      </c>
      <c r="B50" s="424" t="s">
        <v>84</v>
      </c>
      <c r="C50" s="424" t="s">
        <v>242</v>
      </c>
      <c r="D50" s="424" t="s">
        <v>243</v>
      </c>
      <c r="E50" s="424" t="s">
        <v>200</v>
      </c>
      <c r="F50" s="272"/>
      <c r="G50" s="424">
        <v>46101</v>
      </c>
      <c r="H50" s="424"/>
      <c r="I50" s="424"/>
      <c r="J50" s="424">
        <v>46113</v>
      </c>
      <c r="K50" s="424"/>
      <c r="L50" s="424"/>
      <c r="M50" s="289" t="s">
        <v>244</v>
      </c>
      <c r="N50" s="289" t="s">
        <v>245</v>
      </c>
      <c r="O50" s="395" t="s">
        <v>246</v>
      </c>
      <c r="P50" s="289"/>
      <c r="Q50" s="196"/>
      <c r="R50" s="382" t="s">
        <v>247</v>
      </c>
    </row>
    <row r="51" spans="1:29" s="511" customFormat="1" ht="15.75" customHeight="1">
      <c r="A51" s="674" t="s">
        <v>108</v>
      </c>
      <c r="B51" s="509" t="s">
        <v>90</v>
      </c>
      <c r="C51" s="509" t="s">
        <v>248</v>
      </c>
      <c r="D51" s="509" t="s">
        <v>249</v>
      </c>
      <c r="E51" s="509" t="s">
        <v>200</v>
      </c>
      <c r="F51" s="508">
        <v>9089.6</v>
      </c>
      <c r="G51" s="509">
        <v>46107</v>
      </c>
      <c r="H51" s="509">
        <v>46108</v>
      </c>
      <c r="I51" s="509">
        <v>46108</v>
      </c>
      <c r="J51" s="509">
        <v>46111</v>
      </c>
      <c r="K51" s="509">
        <v>46112</v>
      </c>
      <c r="L51" s="509" t="s">
        <v>162</v>
      </c>
      <c r="M51" s="506" t="s">
        <v>82</v>
      </c>
      <c r="N51" s="506" t="s">
        <v>250</v>
      </c>
      <c r="O51" s="510">
        <v>46138</v>
      </c>
      <c r="P51" s="506"/>
      <c r="Q51" s="417"/>
    </row>
    <row r="52" spans="1:29" s="373" customFormat="1" ht="15.75" customHeight="1">
      <c r="A52" s="632" t="s">
        <v>251</v>
      </c>
      <c r="B52" s="424" t="s">
        <v>252</v>
      </c>
      <c r="C52" s="424" t="s">
        <v>253</v>
      </c>
      <c r="D52" s="424" t="s">
        <v>254</v>
      </c>
      <c r="E52" s="424" t="s">
        <v>200</v>
      </c>
      <c r="F52" s="272">
        <v>22712.799999999999</v>
      </c>
      <c r="G52" s="424">
        <v>46108</v>
      </c>
      <c r="H52" s="424">
        <v>46136</v>
      </c>
      <c r="I52" s="424"/>
      <c r="J52" s="424"/>
      <c r="K52" s="424"/>
      <c r="L52" s="424"/>
      <c r="M52" s="289" t="s">
        <v>106</v>
      </c>
      <c r="N52" s="289"/>
      <c r="O52" s="395"/>
      <c r="P52" s="289"/>
      <c r="Q52" s="417"/>
      <c r="R52" s="382"/>
    </row>
    <row r="53" spans="1:29" s="373" customFormat="1" ht="15.75" customHeight="1">
      <c r="A53" s="632" t="s">
        <v>255</v>
      </c>
      <c r="B53" s="424" t="s">
        <v>234</v>
      </c>
      <c r="C53" s="424" t="s">
        <v>235</v>
      </c>
      <c r="D53" s="424" t="s">
        <v>256</v>
      </c>
      <c r="E53" s="424" t="s">
        <v>200</v>
      </c>
      <c r="F53" s="272">
        <v>945.25</v>
      </c>
      <c r="G53" s="424">
        <v>46108</v>
      </c>
      <c r="H53" s="424"/>
      <c r="I53" s="424"/>
      <c r="J53" s="424"/>
      <c r="K53" s="424"/>
      <c r="L53" s="424"/>
      <c r="M53" s="289" t="s">
        <v>106</v>
      </c>
      <c r="N53" s="289" t="s">
        <v>257</v>
      </c>
      <c r="O53" s="395">
        <v>46141</v>
      </c>
      <c r="P53" s="289"/>
      <c r="Q53" s="417"/>
      <c r="R53" s="382"/>
    </row>
    <row r="54" spans="1:29" s="373" customFormat="1" ht="15.75" customHeight="1">
      <c r="A54" s="632"/>
      <c r="B54" s="424" t="s">
        <v>109</v>
      </c>
      <c r="C54" s="424" t="s">
        <v>235</v>
      </c>
      <c r="D54" s="424" t="s">
        <v>258</v>
      </c>
      <c r="E54" s="424" t="s">
        <v>200</v>
      </c>
      <c r="F54" s="272">
        <v>2308.5</v>
      </c>
      <c r="G54" s="424">
        <v>46114</v>
      </c>
      <c r="H54" s="424"/>
      <c r="I54" s="424"/>
      <c r="J54" s="424"/>
      <c r="K54" s="424"/>
      <c r="L54" s="424"/>
      <c r="M54" s="289" t="s">
        <v>106</v>
      </c>
      <c r="N54" s="289"/>
      <c r="O54" s="395"/>
      <c r="P54" s="289"/>
      <c r="Q54" s="417"/>
      <c r="R54" s="382"/>
    </row>
    <row r="55" spans="1:29" s="373" customFormat="1" ht="15.75" customHeight="1">
      <c r="A55" s="632" t="s">
        <v>259</v>
      </c>
      <c r="B55" s="424" t="s">
        <v>207</v>
      </c>
      <c r="C55" s="424" t="s">
        <v>260</v>
      </c>
      <c r="D55" s="424" t="s">
        <v>261</v>
      </c>
      <c r="E55" s="424" t="s">
        <v>200</v>
      </c>
      <c r="F55" s="272">
        <v>5747.2</v>
      </c>
      <c r="G55" s="424">
        <v>46114</v>
      </c>
      <c r="H55" s="424">
        <v>46142</v>
      </c>
      <c r="I55" s="424"/>
      <c r="J55" s="424"/>
      <c r="K55" s="424"/>
      <c r="L55" s="424"/>
      <c r="M55" s="289" t="s">
        <v>82</v>
      </c>
      <c r="N55" s="289"/>
      <c r="O55" s="395"/>
      <c r="P55" s="289" t="s">
        <v>262</v>
      </c>
      <c r="Q55" s="417"/>
      <c r="R55" s="382"/>
    </row>
    <row r="56" spans="1:29" s="114" customFormat="1" ht="34.9">
      <c r="D56" s="114" t="s">
        <v>263</v>
      </c>
    </row>
    <row r="57" spans="1:29" s="668" customFormat="1" ht="47.25">
      <c r="A57" s="666"/>
      <c r="B57" s="652" t="s">
        <v>134</v>
      </c>
      <c r="C57" s="652" t="s">
        <v>264</v>
      </c>
      <c r="D57" s="652" t="s">
        <v>265</v>
      </c>
      <c r="E57" s="652" t="s">
        <v>263</v>
      </c>
      <c r="F57" s="634">
        <v>54789.18</v>
      </c>
      <c r="G57" s="652">
        <v>45784</v>
      </c>
      <c r="H57" s="652">
        <v>46101</v>
      </c>
      <c r="I57" s="652">
        <v>46105</v>
      </c>
      <c r="J57" s="652"/>
      <c r="K57" s="652"/>
      <c r="L57" s="652"/>
      <c r="M57" s="650" t="s">
        <v>39</v>
      </c>
      <c r="N57" s="672" t="s">
        <v>266</v>
      </c>
      <c r="O57" s="667" t="s">
        <v>63</v>
      </c>
      <c r="P57" s="572"/>
      <c r="Q57" s="572"/>
      <c r="R57" s="656" t="s">
        <v>267</v>
      </c>
      <c r="S57" s="657"/>
      <c r="T57" s="657"/>
      <c r="U57" s="657"/>
      <c r="V57" s="657"/>
      <c r="W57" s="657"/>
      <c r="X57" s="657"/>
      <c r="Y57" s="657"/>
      <c r="Z57" s="657"/>
      <c r="AA57" s="657"/>
      <c r="AB57" s="657"/>
      <c r="AC57" s="657"/>
    </row>
    <row r="58" spans="1:29" ht="34.9">
      <c r="A58" s="374"/>
      <c r="B58" s="375"/>
      <c r="C58" s="227"/>
      <c r="D58" s="106" t="s">
        <v>268</v>
      </c>
      <c r="E58" s="228"/>
      <c r="F58" s="229"/>
      <c r="G58" s="376"/>
      <c r="H58" s="52"/>
      <c r="I58" s="52"/>
      <c r="J58" s="47"/>
      <c r="K58" s="47"/>
      <c r="L58" s="47"/>
      <c r="M58" s="58"/>
      <c r="N58" s="58"/>
      <c r="O58" s="53"/>
      <c r="P58" s="56"/>
      <c r="Q58" s="177"/>
      <c r="R58" s="462"/>
    </row>
    <row r="59" spans="1:29">
      <c r="A59" s="151"/>
      <c r="B59" s="156"/>
      <c r="C59" s="156"/>
      <c r="D59" s="405" t="s">
        <v>269</v>
      </c>
      <c r="E59" s="406"/>
      <c r="F59" s="407" t="s">
        <v>22</v>
      </c>
      <c r="G59" s="408" t="s">
        <v>270</v>
      </c>
      <c r="H59" s="409" t="s">
        <v>271</v>
      </c>
      <c r="I59" s="409"/>
      <c r="J59" s="5"/>
      <c r="O59" s="366"/>
      <c r="P59" s="5"/>
      <c r="Q59" s="87"/>
      <c r="R59" s="463"/>
    </row>
    <row r="60" spans="1:29">
      <c r="A60" s="151"/>
      <c r="B60" s="156"/>
      <c r="C60" s="156"/>
      <c r="D60" s="404">
        <f>SUMIF(E:E,F60,F:F)</f>
        <v>958285.96</v>
      </c>
      <c r="E60" s="526" t="s">
        <v>272</v>
      </c>
      <c r="F60" s="404" t="s">
        <v>132</v>
      </c>
      <c r="G60" s="494">
        <v>120400.76</v>
      </c>
      <c r="H60" s="410">
        <f>D60-G60</f>
        <v>837885.2</v>
      </c>
      <c r="I60" s="501"/>
      <c r="J60" s="377"/>
      <c r="K60" s="498"/>
      <c r="O60" s="366"/>
      <c r="P60" s="5"/>
      <c r="Q60" s="87"/>
      <c r="R60" s="463"/>
    </row>
    <row r="61" spans="1:29">
      <c r="A61" s="151"/>
      <c r="B61" s="156"/>
      <c r="C61" s="156"/>
      <c r="D61" s="404">
        <f>SUMIF(E:E,F61,F:F)</f>
        <v>1144141.8500000001</v>
      </c>
      <c r="E61" s="526" t="s">
        <v>272</v>
      </c>
      <c r="F61" s="404" t="s">
        <v>32</v>
      </c>
      <c r="G61" s="494">
        <v>55198.38</v>
      </c>
      <c r="H61" s="410">
        <f>D61-G61</f>
        <v>1088943.4700000002</v>
      </c>
      <c r="I61" s="501"/>
      <c r="J61" s="496"/>
      <c r="K61" s="497"/>
      <c r="O61" s="366"/>
      <c r="P61" s="5"/>
      <c r="Q61" s="87"/>
      <c r="R61" s="463"/>
    </row>
    <row r="62" spans="1:29">
      <c r="A62" s="151"/>
      <c r="B62" s="156"/>
      <c r="C62" s="156"/>
      <c r="D62" s="404">
        <f>SUMIF(E:E,F62,F:F)</f>
        <v>2593</v>
      </c>
      <c r="E62" s="526" t="s">
        <v>272</v>
      </c>
      <c r="F62" s="404" t="s">
        <v>124</v>
      </c>
      <c r="G62" s="494">
        <v>0</v>
      </c>
      <c r="H62" s="410">
        <f>D62-G62</f>
        <v>2593</v>
      </c>
      <c r="I62" s="501"/>
      <c r="J62" s="368" t="s">
        <v>0</v>
      </c>
      <c r="O62" s="366"/>
      <c r="P62" s="5"/>
      <c r="Q62" s="87"/>
      <c r="R62" s="463"/>
    </row>
    <row r="63" spans="1:29">
      <c r="A63" s="37"/>
      <c r="B63" s="156"/>
      <c r="C63" s="156"/>
      <c r="D63" s="404">
        <f>SUMIF(E:E,F63,F:F)</f>
        <v>54789.18</v>
      </c>
      <c r="E63" s="526" t="s">
        <v>272</v>
      </c>
      <c r="F63" s="404" t="s">
        <v>263</v>
      </c>
      <c r="G63" s="495">
        <v>6948.2</v>
      </c>
      <c r="H63" s="410">
        <f>D63-G63</f>
        <v>47840.98</v>
      </c>
      <c r="I63" s="411"/>
      <c r="J63" s="5"/>
      <c r="K63" s="5"/>
      <c r="L63" s="5"/>
      <c r="M63" s="5"/>
      <c r="N63" s="48"/>
      <c r="O63" s="49"/>
      <c r="P63" s="5"/>
      <c r="Q63" s="87"/>
      <c r="R63" s="463"/>
    </row>
    <row r="64" spans="1:29" s="378" customFormat="1">
      <c r="A64" s="302" t="s">
        <v>273</v>
      </c>
      <c r="B64" s="303"/>
      <c r="C64" s="303"/>
      <c r="D64" s="304"/>
      <c r="E64" s="305"/>
      <c r="F64" s="306"/>
      <c r="G64" s="304"/>
      <c r="H64" s="307"/>
      <c r="I64" s="307"/>
      <c r="J64" s="304"/>
      <c r="K64" s="304"/>
      <c r="L64" s="304"/>
      <c r="M64" s="304"/>
      <c r="N64" s="48"/>
      <c r="O64" s="48"/>
      <c r="P64" s="304"/>
      <c r="Q64" s="308"/>
      <c r="R64" s="464"/>
    </row>
    <row r="67" spans="2:11">
      <c r="B67" s="156"/>
      <c r="C67" s="156"/>
      <c r="D67" s="70" t="s">
        <v>274</v>
      </c>
      <c r="E67" s="119"/>
      <c r="F67" s="20"/>
      <c r="G67" s="5"/>
      <c r="H67" s="83"/>
      <c r="I67" s="294"/>
      <c r="K67" s="5"/>
    </row>
    <row r="68" spans="2:11">
      <c r="B68" s="156"/>
      <c r="C68" s="156"/>
      <c r="D68" s="82" t="s">
        <v>22</v>
      </c>
      <c r="E68" s="120"/>
      <c r="F68" s="77"/>
      <c r="G68" s="78"/>
      <c r="H68" s="79"/>
      <c r="I68" s="502"/>
      <c r="J68" s="87"/>
      <c r="K68" s="5"/>
    </row>
    <row r="69" spans="2:11">
      <c r="B69" s="156" t="s">
        <v>275</v>
      </c>
      <c r="C69" s="156"/>
      <c r="D69" s="81" t="s">
        <v>132</v>
      </c>
      <c r="E69" s="121"/>
      <c r="F69" s="35"/>
      <c r="G69" s="78"/>
      <c r="H69" s="80"/>
      <c r="I69" s="503"/>
      <c r="J69" s="87"/>
      <c r="K69" s="5"/>
    </row>
    <row r="70" spans="2:11">
      <c r="B70" s="156"/>
      <c r="C70" s="156"/>
      <c r="D70" s="81" t="s">
        <v>32</v>
      </c>
      <c r="E70" s="120"/>
      <c r="F70" s="20"/>
      <c r="G70" s="49"/>
      <c r="H70" s="17"/>
      <c r="I70" s="89"/>
      <c r="J70" s="87"/>
      <c r="K70" s="5"/>
    </row>
    <row r="71" spans="2:11">
      <c r="B71" s="156"/>
      <c r="C71" s="156"/>
      <c r="D71" s="81" t="s">
        <v>263</v>
      </c>
      <c r="E71" s="120"/>
      <c r="F71" s="20"/>
      <c r="G71" s="49"/>
      <c r="H71" s="17"/>
      <c r="I71" s="89"/>
      <c r="J71" s="87"/>
      <c r="K71" s="5"/>
    </row>
    <row r="72" spans="2:11" ht="16.5" customHeight="1">
      <c r="D72" s="81" t="s">
        <v>276</v>
      </c>
      <c r="E72" s="120"/>
      <c r="F72" s="20"/>
      <c r="G72" s="49"/>
      <c r="H72" s="17"/>
      <c r="I72" s="89"/>
      <c r="J72" s="87"/>
      <c r="K72" s="5"/>
    </row>
    <row r="73" spans="2:11" ht="16.5" customHeight="1">
      <c r="D73" s="81" t="s">
        <v>124</v>
      </c>
      <c r="E73" s="120"/>
      <c r="F73" s="18"/>
      <c r="G73" s="49"/>
      <c r="H73" s="6"/>
      <c r="I73" s="504"/>
      <c r="J73" s="89"/>
      <c r="K73" s="5"/>
    </row>
    <row r="74" spans="2:11" ht="16.5" customHeight="1">
      <c r="D74" s="81" t="s">
        <v>277</v>
      </c>
      <c r="E74" s="122"/>
      <c r="F74" s="23"/>
      <c r="G74" s="48"/>
      <c r="H74" s="23"/>
      <c r="I74" s="88"/>
      <c r="J74" s="88"/>
      <c r="K74" s="5"/>
    </row>
    <row r="75" spans="2:11" ht="16.5" customHeight="1">
      <c r="D75" s="81" t="s">
        <v>278</v>
      </c>
      <c r="E75" s="122"/>
      <c r="F75" s="23"/>
      <c r="G75" s="48"/>
      <c r="H75" s="23"/>
      <c r="I75" s="88"/>
      <c r="J75" s="88"/>
      <c r="K75" s="5"/>
    </row>
    <row r="76" spans="2:11" ht="16.5" customHeight="1">
      <c r="D76" s="81" t="s">
        <v>279</v>
      </c>
      <c r="E76" s="122"/>
      <c r="F76" s="23"/>
      <c r="G76" s="48"/>
      <c r="H76" s="23"/>
      <c r="I76" s="88"/>
      <c r="J76" s="88"/>
      <c r="K76" s="5"/>
    </row>
    <row r="77" spans="2:11" ht="16.5" customHeight="1">
      <c r="D77" s="81" t="s">
        <v>280</v>
      </c>
      <c r="E77" s="122"/>
      <c r="F77" s="23"/>
      <c r="G77" s="48"/>
      <c r="H77" s="23"/>
      <c r="I77" s="88"/>
      <c r="J77" s="88"/>
      <c r="K77" s="5"/>
    </row>
    <row r="78" spans="2:11" ht="16.5" customHeight="1">
      <c r="D78" s="81" t="s">
        <v>281</v>
      </c>
      <c r="E78" s="122"/>
      <c r="F78" s="23"/>
      <c r="G78" s="48"/>
      <c r="H78" s="23"/>
      <c r="I78" s="88"/>
      <c r="J78" s="88"/>
      <c r="K78" s="5" t="s">
        <v>0</v>
      </c>
    </row>
    <row r="79" spans="2:11" ht="16.5" customHeight="1">
      <c r="D79" s="5"/>
      <c r="E79" s="119"/>
      <c r="F79" s="83"/>
      <c r="G79" s="49"/>
      <c r="H79" s="49"/>
      <c r="I79" s="49"/>
      <c r="J79" s="5"/>
      <c r="K79" s="5"/>
    </row>
    <row r="80" spans="2:11" ht="34.9">
      <c r="D80" s="114" t="s">
        <v>124</v>
      </c>
      <c r="E80" s="116" t="s">
        <v>125</v>
      </c>
      <c r="F80" s="143"/>
      <c r="G80" s="57" t="s">
        <v>126</v>
      </c>
      <c r="H80" s="57">
        <v>36526</v>
      </c>
      <c r="I80" s="57"/>
      <c r="J80" s="47"/>
      <c r="K80" s="47"/>
    </row>
    <row r="81" spans="1:29" ht="34.9">
      <c r="D81" s="114" t="s">
        <v>263</v>
      </c>
      <c r="E81" s="254" t="s">
        <v>282</v>
      </c>
      <c r="F81" s="97"/>
      <c r="G81" s="57">
        <v>36526</v>
      </c>
      <c r="H81" s="52"/>
      <c r="I81" s="52"/>
      <c r="J81" s="47"/>
      <c r="K81" s="47"/>
    </row>
    <row r="82" spans="1:29" ht="38.25" customHeight="1">
      <c r="D82" s="55" t="s">
        <v>276</v>
      </c>
      <c r="E82" s="116" t="s">
        <v>283</v>
      </c>
      <c r="F82" s="51"/>
      <c r="G82" s="57">
        <v>36526</v>
      </c>
      <c r="H82" s="52"/>
    </row>
    <row r="83" spans="1:29" ht="38.25" customHeight="1">
      <c r="D83" s="55" t="s">
        <v>279</v>
      </c>
      <c r="E83" s="116" t="s">
        <v>284</v>
      </c>
      <c r="F83" s="51"/>
      <c r="G83" s="57">
        <v>36526</v>
      </c>
      <c r="H83" s="52"/>
    </row>
    <row r="84" spans="1:29" ht="38.25" customHeight="1">
      <c r="D84" s="55" t="s">
        <v>277</v>
      </c>
      <c r="E84" s="116" t="s">
        <v>285</v>
      </c>
      <c r="F84" s="51"/>
      <c r="G84" s="57">
        <v>36526</v>
      </c>
      <c r="H84" s="52"/>
    </row>
    <row r="85" spans="1:29" ht="38.25" customHeight="1">
      <c r="D85" s="114" t="s">
        <v>278</v>
      </c>
      <c r="E85" s="116" t="s">
        <v>286</v>
      </c>
      <c r="F85" s="143"/>
      <c r="G85" s="57">
        <v>36526</v>
      </c>
      <c r="H85" s="57">
        <v>36526</v>
      </c>
    </row>
    <row r="86" spans="1:29" ht="34.9">
      <c r="A86" s="114"/>
      <c r="B86" s="114"/>
      <c r="C86" s="114"/>
      <c r="D86" s="114" t="s">
        <v>287</v>
      </c>
      <c r="E86" s="254" t="s">
        <v>288</v>
      </c>
      <c r="F86" s="213"/>
      <c r="G86" s="229"/>
      <c r="H86" s="229"/>
      <c r="I86" s="229"/>
      <c r="J86" s="47"/>
      <c r="K86" s="47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</row>
    <row r="107" spans="2:4">
      <c r="B107" s="346">
        <v>1580</v>
      </c>
      <c r="C107" s="167">
        <v>100000</v>
      </c>
      <c r="D107" s="528">
        <f>B107*C107</f>
        <v>158000000</v>
      </c>
    </row>
    <row r="108" spans="2:4">
      <c r="B108" s="346">
        <v>1500</v>
      </c>
      <c r="C108" s="167">
        <v>100000</v>
      </c>
      <c r="D108" s="528">
        <f>B108*C108</f>
        <v>150000000</v>
      </c>
    </row>
    <row r="1791" spans="18:18" ht="13.5" customHeight="1">
      <c r="R1791" s="346" t="s">
        <v>0</v>
      </c>
    </row>
    <row r="1829" spans="6:10" ht="13.5" customHeight="1">
      <c r="F1829" s="366">
        <f>31000+5950+4100+5975</f>
        <v>47025</v>
      </c>
    </row>
    <row r="1830" spans="6:10" ht="13.5" customHeight="1">
      <c r="F1830" s="379">
        <f>2707.25-1501.1</f>
        <v>1206.1500000000001</v>
      </c>
    </row>
    <row r="1833" spans="6:10" ht="13.5" customHeight="1">
      <c r="J1833" s="366" t="s">
        <v>289</v>
      </c>
    </row>
  </sheetData>
  <autoFilter ref="A5:XFD64" xr:uid="{00000000-0001-0000-0000-000000000000}"/>
  <phoneticPr fontId="0" type="Hiragana"/>
  <pageMargins left="0.39370078740157483" right="0.39370078740157483" top="0.6" bottom="0.63" header="0.31496062992125984" footer="0.31496062992125984"/>
  <pageSetup paperSize="9" scale="6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9061-20BF-477E-8EE3-73538CF4868C}">
  <dimension ref="A1:AC48"/>
  <sheetViews>
    <sheetView tabSelected="1" topLeftCell="A26" workbookViewId="0">
      <selection activeCell="A46" sqref="A46:XFD48"/>
    </sheetView>
  </sheetViews>
  <sheetFormatPr defaultRowHeight="13.5"/>
  <sheetData>
    <row r="1" spans="1:18" s="366" customFormat="1" ht="16.899999999999999">
      <c r="A1" s="90"/>
      <c r="B1" s="346"/>
      <c r="C1" s="159" t="s">
        <v>0</v>
      </c>
      <c r="F1" s="21"/>
      <c r="G1" s="25"/>
      <c r="H1" s="7" t="s">
        <v>1</v>
      </c>
      <c r="I1" s="7"/>
      <c r="J1" s="44" t="s">
        <v>2</v>
      </c>
      <c r="K1" s="44" t="s">
        <v>3</v>
      </c>
      <c r="L1" s="44" t="s">
        <v>4</v>
      </c>
      <c r="M1" s="5"/>
      <c r="N1" s="367" t="s">
        <v>5</v>
      </c>
      <c r="O1" s="453"/>
      <c r="P1" s="8"/>
      <c r="Q1" s="171"/>
      <c r="R1" s="459" t="s">
        <v>6</v>
      </c>
    </row>
    <row r="2" spans="1:18" s="366" customFormat="1" ht="16.899999999999999">
      <c r="A2" s="90"/>
      <c r="B2" s="346"/>
      <c r="C2" s="167"/>
      <c r="G2" s="25"/>
      <c r="H2" s="32" t="s">
        <v>7</v>
      </c>
      <c r="I2" s="32"/>
      <c r="J2" s="84"/>
      <c r="K2" s="84"/>
      <c r="L2" s="84"/>
      <c r="M2" s="12" t="s">
        <v>8</v>
      </c>
      <c r="N2" s="287" t="s">
        <v>9</v>
      </c>
      <c r="O2" s="64" t="s">
        <v>10</v>
      </c>
      <c r="P2" s="8"/>
      <c r="Q2" s="171"/>
      <c r="R2" s="459"/>
    </row>
    <row r="3" spans="1:18" s="366" customFormat="1" ht="16.899999999999999">
      <c r="A3" s="90"/>
      <c r="B3" s="346"/>
      <c r="C3" s="167"/>
      <c r="D3" s="368"/>
      <c r="G3" s="25"/>
      <c r="H3" s="7" t="s">
        <v>11</v>
      </c>
      <c r="I3" s="7"/>
      <c r="J3" s="85"/>
      <c r="K3" s="85"/>
      <c r="L3" s="85"/>
      <c r="M3" s="31" t="s">
        <v>12</v>
      </c>
      <c r="N3" s="86" t="s">
        <v>13</v>
      </c>
      <c r="O3" s="91" t="s">
        <v>14</v>
      </c>
      <c r="P3" s="8"/>
      <c r="Q3" s="171"/>
      <c r="R3" s="459"/>
    </row>
    <row r="4" spans="1:18" s="366" customFormat="1" ht="16.899999999999999">
      <c r="A4" s="90"/>
      <c r="B4" s="346"/>
      <c r="C4" s="167"/>
      <c r="D4" s="369"/>
      <c r="G4" s="25"/>
      <c r="H4" s="443" t="s">
        <v>15</v>
      </c>
      <c r="I4" s="443"/>
      <c r="J4" s="46" t="s">
        <v>16</v>
      </c>
      <c r="K4" s="45"/>
      <c r="L4" s="45"/>
      <c r="M4" s="27"/>
      <c r="N4" s="10"/>
      <c r="O4" s="40" t="s">
        <v>17</v>
      </c>
      <c r="P4" s="11"/>
      <c r="Q4" s="172"/>
      <c r="R4" s="459"/>
    </row>
    <row r="5" spans="1:18" s="366" customFormat="1" ht="16.899999999999999">
      <c r="A5" s="12" t="s">
        <v>18</v>
      </c>
      <c r="B5" s="154" t="s">
        <v>19</v>
      </c>
      <c r="C5" s="160" t="s">
        <v>20</v>
      </c>
      <c r="D5" s="13" t="s">
        <v>21</v>
      </c>
      <c r="E5" s="115" t="s">
        <v>22</v>
      </c>
      <c r="F5" s="21" t="s">
        <v>23</v>
      </c>
      <c r="G5" s="14" t="s">
        <v>24</v>
      </c>
      <c r="H5" s="15" t="s">
        <v>1</v>
      </c>
      <c r="I5" s="15" t="s">
        <v>25</v>
      </c>
      <c r="J5" s="34" t="s">
        <v>2</v>
      </c>
      <c r="K5" s="34" t="s">
        <v>3</v>
      </c>
      <c r="L5" s="34" t="s">
        <v>4</v>
      </c>
      <c r="M5" s="17" t="s">
        <v>26</v>
      </c>
      <c r="N5" s="16" t="s">
        <v>27</v>
      </c>
      <c r="O5" s="34" t="s">
        <v>28</v>
      </c>
      <c r="P5" s="14" t="s">
        <v>29</v>
      </c>
      <c r="Q5" s="173" t="s">
        <v>30</v>
      </c>
      <c r="R5" s="460" t="s">
        <v>31</v>
      </c>
    </row>
    <row r="6" spans="1:18" s="366" customFormat="1" ht="40.5" customHeight="1">
      <c r="A6" s="338"/>
      <c r="B6" s="339"/>
      <c r="C6" s="339"/>
      <c r="D6" s="340" t="s">
        <v>32</v>
      </c>
      <c r="E6" s="341" t="s">
        <v>33</v>
      </c>
      <c r="F6" s="342"/>
      <c r="G6" s="57">
        <v>36526</v>
      </c>
      <c r="H6" s="52"/>
      <c r="I6" s="52"/>
      <c r="J6" s="47"/>
      <c r="K6" s="47"/>
      <c r="L6" s="47"/>
      <c r="M6" s="51"/>
      <c r="N6" s="51"/>
      <c r="O6" s="53"/>
      <c r="P6" s="51"/>
      <c r="Q6" s="174"/>
      <c r="R6" s="461"/>
    </row>
    <row r="7" spans="1:18" s="493" customFormat="1" ht="15.75" customHeight="1">
      <c r="A7" s="426" t="s">
        <v>34</v>
      </c>
      <c r="B7" s="297" t="s">
        <v>35</v>
      </c>
      <c r="C7" s="297" t="s">
        <v>36</v>
      </c>
      <c r="D7" s="168" t="s">
        <v>37</v>
      </c>
      <c r="E7" s="516" t="s">
        <v>32</v>
      </c>
      <c r="F7" s="517">
        <v>28800</v>
      </c>
      <c r="G7" s="518">
        <v>45538</v>
      </c>
      <c r="H7" s="518">
        <v>45590</v>
      </c>
      <c r="I7" s="518"/>
      <c r="J7" s="518">
        <v>45607</v>
      </c>
      <c r="K7" s="518">
        <v>45608</v>
      </c>
      <c r="L7" s="518" t="s">
        <v>38</v>
      </c>
      <c r="M7" s="519" t="s">
        <v>39</v>
      </c>
      <c r="N7" s="520" t="s">
        <v>40</v>
      </c>
      <c r="O7" s="605" t="s">
        <v>41</v>
      </c>
      <c r="P7" s="516"/>
      <c r="Q7" s="516"/>
    </row>
    <row r="8" spans="1:18" s="657" customFormat="1" ht="41.25" customHeight="1">
      <c r="A8" s="649" t="s">
        <v>42</v>
      </c>
      <c r="B8" s="650" t="s">
        <v>43</v>
      </c>
      <c r="C8" s="650" t="s">
        <v>44</v>
      </c>
      <c r="D8" s="651" t="s">
        <v>45</v>
      </c>
      <c r="E8" s="572" t="s">
        <v>32</v>
      </c>
      <c r="F8" s="634">
        <v>54249.3</v>
      </c>
      <c r="G8" s="652">
        <v>45901</v>
      </c>
      <c r="H8" s="653">
        <v>46055</v>
      </c>
      <c r="I8" s="653">
        <v>46068</v>
      </c>
      <c r="J8" s="671" t="s">
        <v>46</v>
      </c>
      <c r="K8" s="652"/>
      <c r="L8" s="652"/>
      <c r="M8" s="650" t="s">
        <v>47</v>
      </c>
      <c r="N8" s="654" t="s">
        <v>48</v>
      </c>
      <c r="O8" s="655" t="s">
        <v>49</v>
      </c>
      <c r="P8" s="572"/>
      <c r="Q8" s="572"/>
      <c r="R8" s="656" t="s">
        <v>50</v>
      </c>
    </row>
    <row r="9" spans="1:18" s="416" customFormat="1" ht="15.75" customHeight="1">
      <c r="A9" s="415" t="s">
        <v>51</v>
      </c>
      <c r="B9" s="354" t="s">
        <v>52</v>
      </c>
      <c r="C9" s="354" t="s">
        <v>53</v>
      </c>
      <c r="D9" s="531" t="s">
        <v>54</v>
      </c>
      <c r="E9" s="572" t="s">
        <v>32</v>
      </c>
      <c r="F9" s="634">
        <v>185446</v>
      </c>
      <c r="G9" s="442">
        <v>46009</v>
      </c>
      <c r="H9" s="524">
        <v>46108</v>
      </c>
      <c r="I9" s="524">
        <v>46111</v>
      </c>
      <c r="J9" s="442"/>
      <c r="K9" s="442"/>
      <c r="L9" s="442"/>
      <c r="M9" s="354" t="s">
        <v>55</v>
      </c>
      <c r="N9" s="354" t="s">
        <v>56</v>
      </c>
      <c r="O9" s="454" t="s">
        <v>57</v>
      </c>
      <c r="P9" s="417" t="s">
        <v>58</v>
      </c>
      <c r="Q9" s="417"/>
      <c r="R9" s="669"/>
    </row>
    <row r="10" spans="1:18" s="617" customFormat="1" ht="15.75" customHeight="1">
      <c r="A10" s="611" t="s">
        <v>59</v>
      </c>
      <c r="B10" s="612" t="s">
        <v>52</v>
      </c>
      <c r="C10" s="612" t="s">
        <v>60</v>
      </c>
      <c r="D10" s="613" t="s">
        <v>61</v>
      </c>
      <c r="E10" s="614" t="s">
        <v>32</v>
      </c>
      <c r="F10" s="615">
        <v>115200</v>
      </c>
      <c r="G10" s="424">
        <v>46020</v>
      </c>
      <c r="H10" s="425">
        <v>46160</v>
      </c>
      <c r="I10" s="588"/>
      <c r="J10" s="424"/>
      <c r="K10" s="424"/>
      <c r="L10" s="424"/>
      <c r="M10" s="289" t="s">
        <v>39</v>
      </c>
      <c r="N10" s="612" t="s">
        <v>62</v>
      </c>
      <c r="O10" s="616" t="s">
        <v>63</v>
      </c>
      <c r="P10" s="614" t="s">
        <v>64</v>
      </c>
      <c r="Q10" s="614"/>
      <c r="R10" s="608" t="s">
        <v>65</v>
      </c>
    </row>
    <row r="11" spans="1:18" s="444" customFormat="1" ht="25.5" customHeight="1">
      <c r="A11" s="665" t="s">
        <v>66</v>
      </c>
      <c r="B11" s="444" t="s">
        <v>43</v>
      </c>
      <c r="C11" s="444" t="s">
        <v>67</v>
      </c>
      <c r="D11" s="444" t="s">
        <v>68</v>
      </c>
      <c r="E11" s="444" t="s">
        <v>32</v>
      </c>
      <c r="F11" s="315">
        <v>13336.5</v>
      </c>
      <c r="G11" s="444">
        <v>46065</v>
      </c>
      <c r="H11" s="444">
        <v>46085</v>
      </c>
      <c r="I11" s="444">
        <v>46090</v>
      </c>
      <c r="J11" s="444">
        <v>46092</v>
      </c>
      <c r="K11" s="444">
        <v>46094</v>
      </c>
      <c r="L11" s="444" t="s">
        <v>69</v>
      </c>
      <c r="M11" s="311" t="s">
        <v>47</v>
      </c>
      <c r="N11" s="444" t="s">
        <v>70</v>
      </c>
      <c r="O11" s="444">
        <v>46118</v>
      </c>
      <c r="Q11" s="448"/>
      <c r="R11" s="678" t="s">
        <v>2256</v>
      </c>
    </row>
    <row r="12" spans="1:18" s="424" customFormat="1" ht="15.75" customHeight="1">
      <c r="A12" s="632"/>
      <c r="B12" s="424" t="s">
        <v>72</v>
      </c>
      <c r="C12" s="424" t="s">
        <v>73</v>
      </c>
      <c r="D12" s="424" t="s">
        <v>74</v>
      </c>
      <c r="E12" s="424" t="s">
        <v>32</v>
      </c>
      <c r="F12" s="295">
        <v>27370.2</v>
      </c>
      <c r="G12" s="424">
        <v>46072</v>
      </c>
      <c r="H12" s="424" t="s">
        <v>75</v>
      </c>
      <c r="M12" s="289" t="s">
        <v>39</v>
      </c>
      <c r="P12" s="318">
        <v>304356</v>
      </c>
    </row>
    <row r="13" spans="1:18" s="424" customFormat="1" ht="15.75" customHeight="1">
      <c r="A13" s="632" t="s">
        <v>76</v>
      </c>
      <c r="B13" s="424" t="s">
        <v>77</v>
      </c>
      <c r="C13" s="424" t="s">
        <v>78</v>
      </c>
      <c r="D13" s="424" t="s">
        <v>79</v>
      </c>
      <c r="E13" s="424" t="s">
        <v>80</v>
      </c>
      <c r="F13" s="295">
        <v>2592.5</v>
      </c>
      <c r="G13" s="424">
        <v>46085</v>
      </c>
      <c r="H13" s="632" t="s">
        <v>81</v>
      </c>
      <c r="M13" s="289" t="s">
        <v>82</v>
      </c>
      <c r="P13" s="318"/>
    </row>
    <row r="14" spans="1:18" s="261" customFormat="1" ht="15.75" customHeight="1">
      <c r="A14" s="648" t="s">
        <v>83</v>
      </c>
      <c r="B14" s="261" t="s">
        <v>84</v>
      </c>
      <c r="C14" s="261" t="s">
        <v>78</v>
      </c>
      <c r="D14" s="261" t="s">
        <v>85</v>
      </c>
      <c r="E14" s="261" t="s">
        <v>80</v>
      </c>
      <c r="F14" s="301">
        <v>202944.5</v>
      </c>
      <c r="G14" s="261">
        <v>46086</v>
      </c>
      <c r="H14" s="261">
        <v>46099</v>
      </c>
      <c r="I14" s="261">
        <v>46098</v>
      </c>
      <c r="J14" s="261">
        <v>46100</v>
      </c>
      <c r="K14" s="261">
        <v>46107</v>
      </c>
      <c r="L14" s="261" t="s">
        <v>69</v>
      </c>
      <c r="M14" s="262" t="s">
        <v>86</v>
      </c>
      <c r="N14" s="261" t="s">
        <v>87</v>
      </c>
      <c r="O14" s="261">
        <v>46128</v>
      </c>
      <c r="P14" s="322" t="s">
        <v>88</v>
      </c>
      <c r="R14" s="648" t="s">
        <v>71</v>
      </c>
    </row>
    <row r="15" spans="1:18" s="261" customFormat="1" ht="15.75" customHeight="1">
      <c r="A15" s="648" t="s">
        <v>89</v>
      </c>
      <c r="B15" s="261" t="s">
        <v>90</v>
      </c>
      <c r="C15" s="261" t="s">
        <v>91</v>
      </c>
      <c r="D15" s="261" t="s">
        <v>92</v>
      </c>
      <c r="E15" s="261" t="s">
        <v>80</v>
      </c>
      <c r="F15" s="301">
        <v>4706.25</v>
      </c>
      <c r="G15" s="261">
        <v>46087</v>
      </c>
      <c r="H15" s="261">
        <v>46093</v>
      </c>
      <c r="I15" s="261">
        <v>46093</v>
      </c>
      <c r="J15" s="261">
        <v>46094</v>
      </c>
      <c r="K15" s="261">
        <v>46097</v>
      </c>
      <c r="L15" s="261" t="s">
        <v>69</v>
      </c>
      <c r="M15" s="262" t="s">
        <v>93</v>
      </c>
      <c r="N15" s="322">
        <v>66577</v>
      </c>
      <c r="O15" s="261">
        <v>46123</v>
      </c>
      <c r="P15" s="322">
        <v>121849</v>
      </c>
      <c r="Q15" s="424"/>
    </row>
    <row r="16" spans="1:18" s="424" customFormat="1" ht="15.75" customHeight="1">
      <c r="A16" s="632" t="s">
        <v>94</v>
      </c>
      <c r="B16" s="424" t="s">
        <v>90</v>
      </c>
      <c r="C16" s="424" t="s">
        <v>95</v>
      </c>
      <c r="D16" s="424" t="s">
        <v>96</v>
      </c>
      <c r="E16" s="424" t="s">
        <v>80</v>
      </c>
      <c r="F16" s="295">
        <v>24080</v>
      </c>
      <c r="G16" s="424">
        <v>46092</v>
      </c>
      <c r="H16" s="424">
        <v>46214</v>
      </c>
      <c r="M16" s="289" t="s">
        <v>97</v>
      </c>
      <c r="P16" s="318"/>
    </row>
    <row r="17" spans="1:29" s="261" customFormat="1" ht="15.75" customHeight="1">
      <c r="A17" s="648" t="s">
        <v>98</v>
      </c>
      <c r="B17" s="261" t="s">
        <v>99</v>
      </c>
      <c r="C17" s="261" t="s">
        <v>100</v>
      </c>
      <c r="D17" s="261" t="s">
        <v>101</v>
      </c>
      <c r="E17" s="261" t="s">
        <v>80</v>
      </c>
      <c r="F17" s="301">
        <v>2039.15</v>
      </c>
      <c r="G17" s="261">
        <v>46094</v>
      </c>
      <c r="H17" s="261">
        <v>46100</v>
      </c>
      <c r="I17" s="261">
        <v>46100</v>
      </c>
      <c r="J17" s="261">
        <v>46101</v>
      </c>
      <c r="K17" s="261">
        <v>46104</v>
      </c>
      <c r="L17" s="261" t="s">
        <v>69</v>
      </c>
      <c r="M17" s="262" t="s">
        <v>86</v>
      </c>
      <c r="N17" s="322">
        <v>134182</v>
      </c>
      <c r="O17" s="261">
        <v>46130</v>
      </c>
      <c r="P17" s="322" t="s">
        <v>102</v>
      </c>
      <c r="Q17" s="424"/>
    </row>
    <row r="18" spans="1:29" s="424" customFormat="1" ht="15.75" customHeight="1">
      <c r="A18" s="632" t="s">
        <v>103</v>
      </c>
      <c r="B18" s="424" t="s">
        <v>104</v>
      </c>
      <c r="C18" s="424" t="s">
        <v>100</v>
      </c>
      <c r="D18" s="424" t="s">
        <v>105</v>
      </c>
      <c r="E18" s="424" t="s">
        <v>80</v>
      </c>
      <c r="F18" s="295">
        <v>5815.7</v>
      </c>
      <c r="G18" s="424">
        <v>46100</v>
      </c>
      <c r="H18" s="424">
        <v>46154</v>
      </c>
      <c r="M18" s="289" t="s">
        <v>106</v>
      </c>
      <c r="P18" s="318" t="s">
        <v>107</v>
      </c>
    </row>
    <row r="19" spans="1:29" s="509" customFormat="1" ht="30.75" customHeight="1">
      <c r="A19" s="665" t="s">
        <v>108</v>
      </c>
      <c r="B19" s="444" t="s">
        <v>109</v>
      </c>
      <c r="C19" s="444" t="s">
        <v>110</v>
      </c>
      <c r="D19" s="444" t="s">
        <v>111</v>
      </c>
      <c r="E19" s="444" t="s">
        <v>80</v>
      </c>
      <c r="F19" s="315">
        <v>5560</v>
      </c>
      <c r="G19" s="509">
        <v>46101</v>
      </c>
      <c r="H19" s="509">
        <v>46111</v>
      </c>
      <c r="I19" s="509">
        <v>46108</v>
      </c>
      <c r="J19" s="509">
        <v>46111</v>
      </c>
      <c r="K19" s="509">
        <v>46112</v>
      </c>
      <c r="L19" s="509" t="s">
        <v>69</v>
      </c>
      <c r="M19" s="506" t="s">
        <v>82</v>
      </c>
      <c r="N19" s="675" t="s">
        <v>112</v>
      </c>
      <c r="O19" s="675" t="s">
        <v>113</v>
      </c>
      <c r="P19" s="676"/>
      <c r="Q19" s="442"/>
      <c r="R19" s="677" t="s">
        <v>2257</v>
      </c>
    </row>
    <row r="20" spans="1:29" s="442" customFormat="1" ht="15.75" customHeight="1">
      <c r="A20" s="632"/>
      <c r="B20" s="424" t="s">
        <v>114</v>
      </c>
      <c r="C20" s="424" t="s">
        <v>100</v>
      </c>
      <c r="D20" s="424" t="s">
        <v>115</v>
      </c>
      <c r="E20" s="424" t="s">
        <v>80</v>
      </c>
      <c r="F20" s="295">
        <v>811.75</v>
      </c>
      <c r="G20" s="424">
        <v>46108</v>
      </c>
      <c r="H20" s="424">
        <v>46122</v>
      </c>
      <c r="I20" s="424"/>
      <c r="J20" s="424"/>
      <c r="K20" s="424"/>
      <c r="L20" s="424"/>
      <c r="M20" s="289" t="s">
        <v>106</v>
      </c>
      <c r="N20" s="424"/>
      <c r="O20" s="424"/>
      <c r="P20" s="318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</row>
    <row r="21" spans="1:29" s="442" customFormat="1" ht="15.75" customHeight="1">
      <c r="A21" s="632" t="s">
        <v>116</v>
      </c>
      <c r="B21" s="424" t="s">
        <v>117</v>
      </c>
      <c r="C21" s="424" t="s">
        <v>110</v>
      </c>
      <c r="D21" s="424" t="s">
        <v>118</v>
      </c>
      <c r="E21" s="424" t="s">
        <v>80</v>
      </c>
      <c r="F21" s="295">
        <v>470000</v>
      </c>
      <c r="G21" s="424">
        <v>46114</v>
      </c>
      <c r="H21" s="673">
        <v>46569</v>
      </c>
      <c r="I21" s="424"/>
      <c r="J21" s="424"/>
      <c r="K21" s="424"/>
      <c r="L21" s="424"/>
      <c r="M21" s="289" t="s">
        <v>119</v>
      </c>
      <c r="N21" s="424"/>
      <c r="O21" s="424"/>
      <c r="P21" s="318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</row>
    <row r="22" spans="1:29" s="442" customFormat="1" ht="15.75" customHeight="1">
      <c r="A22" s="632" t="s">
        <v>120</v>
      </c>
      <c r="B22" s="424" t="s">
        <v>121</v>
      </c>
      <c r="C22" s="424" t="s">
        <v>122</v>
      </c>
      <c r="D22" s="424" t="s">
        <v>123</v>
      </c>
      <c r="E22" s="424" t="s">
        <v>80</v>
      </c>
      <c r="F22" s="295">
        <v>1190</v>
      </c>
      <c r="G22" s="424">
        <v>46114</v>
      </c>
      <c r="H22" s="424">
        <v>46120</v>
      </c>
      <c r="I22" s="424"/>
      <c r="J22" s="424"/>
      <c r="K22" s="424"/>
      <c r="L22" s="424"/>
      <c r="M22" s="289" t="s">
        <v>82</v>
      </c>
      <c r="N22" s="424"/>
      <c r="O22" s="424"/>
      <c r="P22" s="318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</row>
    <row r="23" spans="1:29" s="366" customFormat="1" ht="34.9">
      <c r="A23" s="57"/>
      <c r="B23" s="47"/>
      <c r="C23" s="47"/>
      <c r="D23" s="114" t="s">
        <v>124</v>
      </c>
      <c r="E23" s="116" t="s">
        <v>125</v>
      </c>
      <c r="F23" s="143"/>
      <c r="G23" s="57" t="s">
        <v>126</v>
      </c>
      <c r="H23" s="57">
        <v>36526</v>
      </c>
      <c r="I23" s="57"/>
      <c r="J23" s="47"/>
      <c r="K23" s="47"/>
      <c r="L23" s="47"/>
      <c r="M23" s="47"/>
      <c r="N23" s="47"/>
      <c r="O23" s="47"/>
      <c r="P23" s="47"/>
      <c r="Q23" s="47"/>
      <c r="R23" s="47"/>
    </row>
    <row r="24" spans="1:29" s="442" customFormat="1" ht="15.75" customHeight="1">
      <c r="A24" s="632" t="s">
        <v>127</v>
      </c>
      <c r="B24" s="424" t="s">
        <v>128</v>
      </c>
      <c r="C24" s="424" t="s">
        <v>129</v>
      </c>
      <c r="D24" s="424" t="s">
        <v>130</v>
      </c>
      <c r="E24" s="424" t="s">
        <v>131</v>
      </c>
      <c r="F24" s="295">
        <v>2593</v>
      </c>
      <c r="G24" s="424">
        <v>46115</v>
      </c>
      <c r="H24" s="424"/>
      <c r="I24" s="424"/>
      <c r="J24" s="424"/>
      <c r="K24" s="424"/>
      <c r="L24" s="424"/>
      <c r="M24" s="289" t="s">
        <v>106</v>
      </c>
      <c r="N24" s="424"/>
      <c r="O24" s="424"/>
      <c r="P24" s="318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</row>
    <row r="25" spans="1:29" s="366" customFormat="1" ht="34.9">
      <c r="A25" s="252"/>
      <c r="B25" s="253"/>
      <c r="C25" s="253"/>
      <c r="D25" s="114" t="s">
        <v>132</v>
      </c>
      <c r="E25" s="254" t="s">
        <v>133</v>
      </c>
      <c r="F25" s="213"/>
      <c r="G25" s="229"/>
      <c r="H25" s="57"/>
      <c r="I25" s="57"/>
      <c r="J25" s="47"/>
      <c r="K25" s="47"/>
      <c r="L25" s="47" t="s">
        <v>0</v>
      </c>
      <c r="M25" s="51"/>
      <c r="N25" s="97"/>
      <c r="O25" s="98"/>
      <c r="P25" s="51"/>
      <c r="Q25" s="174"/>
      <c r="R25" s="461"/>
    </row>
    <row r="26" spans="1:29" s="366" customFormat="1" ht="33.75">
      <c r="A26" s="433"/>
      <c r="B26" s="294" t="s">
        <v>134</v>
      </c>
      <c r="C26" s="294" t="s">
        <v>135</v>
      </c>
      <c r="D26" s="167" t="s">
        <v>136</v>
      </c>
      <c r="E26" s="2" t="s">
        <v>132</v>
      </c>
      <c r="F26" s="295">
        <f>67500-20250</f>
        <v>47250</v>
      </c>
      <c r="G26" s="3">
        <v>45868</v>
      </c>
      <c r="H26" s="425" t="s">
        <v>137</v>
      </c>
      <c r="I26" s="3"/>
      <c r="J26" s="388"/>
      <c r="K26" s="388"/>
      <c r="L26" s="388"/>
      <c r="M26" s="294" t="s">
        <v>55</v>
      </c>
      <c r="N26" s="2" t="s">
        <v>138</v>
      </c>
      <c r="O26" s="435" t="s">
        <v>139</v>
      </c>
      <c r="P26" s="2" t="s">
        <v>138</v>
      </c>
      <c r="Q26" s="423"/>
      <c r="R26" s="586" t="s">
        <v>140</v>
      </c>
    </row>
    <row r="28" spans="1:29" s="366" customFormat="1" ht="34.9">
      <c r="A28" s="374"/>
      <c r="B28" s="375"/>
      <c r="C28" s="227"/>
      <c r="D28" s="106" t="s">
        <v>268</v>
      </c>
      <c r="E28" s="228"/>
      <c r="F28" s="229"/>
      <c r="G28" s="376"/>
      <c r="H28" s="52"/>
      <c r="I28" s="52"/>
      <c r="J28" s="47"/>
      <c r="K28" s="47"/>
      <c r="L28" s="47"/>
      <c r="M28" s="58"/>
      <c r="N28" s="58"/>
      <c r="O28" s="53"/>
      <c r="P28" s="56"/>
      <c r="Q28" s="177"/>
      <c r="R28" s="462"/>
    </row>
    <row r="29" spans="1:29" s="366" customFormat="1" ht="16.899999999999999">
      <c r="A29" s="151"/>
      <c r="B29" s="156"/>
      <c r="C29" s="156"/>
      <c r="D29" s="405" t="s">
        <v>269</v>
      </c>
      <c r="E29" s="406"/>
      <c r="F29" s="407" t="s">
        <v>22</v>
      </c>
      <c r="G29" s="408" t="s">
        <v>270</v>
      </c>
      <c r="H29" s="409" t="s">
        <v>271</v>
      </c>
      <c r="I29" s="409"/>
      <c r="J29" s="5"/>
      <c r="N29" s="26"/>
      <c r="P29" s="5"/>
      <c r="Q29" s="87"/>
      <c r="R29" s="463"/>
    </row>
    <row r="30" spans="1:29" s="366" customFormat="1" ht="16.899999999999999">
      <c r="A30" s="151"/>
      <c r="B30" s="156"/>
      <c r="C30" s="156"/>
      <c r="D30" s="404">
        <f>SUMIF(E:E,F30,F:F)</f>
        <v>47250</v>
      </c>
      <c r="E30" s="526" t="s">
        <v>272</v>
      </c>
      <c r="F30" s="404" t="s">
        <v>132</v>
      </c>
      <c r="G30" s="494">
        <v>120400.76</v>
      </c>
      <c r="H30" s="410">
        <f>D30-G30</f>
        <v>-73150.759999999995</v>
      </c>
      <c r="I30" s="501"/>
      <c r="J30" s="377"/>
      <c r="K30" s="498"/>
      <c r="N30" s="26"/>
      <c r="P30" s="5"/>
      <c r="Q30" s="87"/>
      <c r="R30" s="463"/>
    </row>
    <row r="31" spans="1:29" s="366" customFormat="1" ht="16.899999999999999">
      <c r="A31" s="151"/>
      <c r="B31" s="156"/>
      <c r="C31" s="156"/>
      <c r="D31" s="404">
        <f>SUMIF(E:E,F31,F:F)</f>
        <v>1199167.2000000002</v>
      </c>
      <c r="E31" s="526" t="s">
        <v>272</v>
      </c>
      <c r="F31" s="404" t="s">
        <v>32</v>
      </c>
      <c r="G31" s="494">
        <v>55198.38</v>
      </c>
      <c r="H31" s="410">
        <f>D31-G31</f>
        <v>1143968.8200000003</v>
      </c>
      <c r="I31" s="501"/>
      <c r="J31" s="496"/>
      <c r="K31" s="497"/>
      <c r="N31" s="26"/>
      <c r="P31" s="5"/>
      <c r="Q31" s="87"/>
      <c r="R31" s="463"/>
    </row>
    <row r="32" spans="1:29" s="366" customFormat="1" ht="16.899999999999999">
      <c r="A32" s="151"/>
      <c r="B32" s="156"/>
      <c r="C32" s="156"/>
      <c r="D32" s="404">
        <f>SUMIF(E:E,F32,F:F)</f>
        <v>2593</v>
      </c>
      <c r="E32" s="526" t="s">
        <v>272</v>
      </c>
      <c r="F32" s="404" t="s">
        <v>124</v>
      </c>
      <c r="G32" s="494">
        <v>0</v>
      </c>
      <c r="H32" s="410">
        <f>D32-G32</f>
        <v>2593</v>
      </c>
      <c r="I32" s="501"/>
      <c r="J32" s="368" t="s">
        <v>0</v>
      </c>
      <c r="N32" s="26"/>
      <c r="P32" s="5"/>
      <c r="Q32" s="87"/>
      <c r="R32" s="463"/>
    </row>
    <row r="33" spans="1:18" s="366" customFormat="1" ht="16.899999999999999">
      <c r="A33" s="37"/>
      <c r="B33" s="156"/>
      <c r="C33" s="156"/>
      <c r="D33" s="404">
        <f>SUMIF(E:E,F33,F:F)</f>
        <v>0</v>
      </c>
      <c r="E33" s="526" t="s">
        <v>272</v>
      </c>
      <c r="F33" s="404" t="s">
        <v>263</v>
      </c>
      <c r="G33" s="495">
        <v>6948.2</v>
      </c>
      <c r="H33" s="410">
        <f>D33-G33</f>
        <v>-6948.2</v>
      </c>
      <c r="I33" s="411"/>
      <c r="J33" s="5"/>
      <c r="K33" s="5"/>
      <c r="L33" s="5"/>
      <c r="M33" s="5"/>
      <c r="N33" s="48"/>
      <c r="O33" s="49"/>
      <c r="P33" s="5"/>
      <c r="Q33" s="87"/>
      <c r="R33" s="463"/>
    </row>
    <row r="36" spans="1:18" ht="16.5" customHeight="1">
      <c r="A36" s="12" t="s">
        <v>18</v>
      </c>
      <c r="B36" s="154" t="s">
        <v>19</v>
      </c>
      <c r="C36" s="160" t="s">
        <v>20</v>
      </c>
      <c r="D36" s="13" t="s">
        <v>291</v>
      </c>
      <c r="E36" s="115" t="s">
        <v>22</v>
      </c>
      <c r="F36" s="21" t="s">
        <v>292</v>
      </c>
      <c r="G36" s="34" t="s">
        <v>2</v>
      </c>
      <c r="H36" s="34" t="s">
        <v>3</v>
      </c>
      <c r="I36" s="34" t="s">
        <v>4</v>
      </c>
      <c r="J36" s="16" t="s">
        <v>15</v>
      </c>
      <c r="K36" s="173" t="s">
        <v>30</v>
      </c>
      <c r="L36" s="33" t="s">
        <v>31</v>
      </c>
      <c r="M36" s="102"/>
      <c r="N36" s="24"/>
      <c r="O36" s="24"/>
    </row>
    <row r="37" spans="1:18" ht="38.25" customHeight="1">
      <c r="A37" s="50"/>
      <c r="B37" s="155"/>
      <c r="C37" s="155"/>
      <c r="D37" s="55" t="s">
        <v>32</v>
      </c>
      <c r="E37" s="116" t="s">
        <v>33</v>
      </c>
      <c r="F37" s="51"/>
      <c r="G37" s="47"/>
      <c r="H37" s="47"/>
      <c r="I37" s="47"/>
      <c r="J37" s="51"/>
      <c r="K37" s="174"/>
      <c r="L37" s="54"/>
      <c r="M37" s="103"/>
      <c r="N37" s="26"/>
      <c r="O37" s="4"/>
    </row>
    <row r="38" spans="1:18" s="128" customFormat="1" ht="16.5" customHeight="1">
      <c r="A38" s="96"/>
      <c r="B38" s="154" t="s">
        <v>293</v>
      </c>
      <c r="C38" s="160" t="s">
        <v>294</v>
      </c>
      <c r="D38" s="182" t="s">
        <v>295</v>
      </c>
      <c r="E38" s="125" t="s">
        <v>296</v>
      </c>
      <c r="F38" s="127">
        <v>200</v>
      </c>
      <c r="G38" s="99">
        <v>43993</v>
      </c>
      <c r="H38" s="63"/>
      <c r="I38" s="34" t="s">
        <v>297</v>
      </c>
      <c r="J38" s="34" t="s">
        <v>298</v>
      </c>
      <c r="K38" s="181" t="s">
        <v>299</v>
      </c>
      <c r="L38" s="165" t="s">
        <v>300</v>
      </c>
      <c r="M38" s="104"/>
      <c r="N38" s="24"/>
      <c r="O38" s="74"/>
    </row>
    <row r="39" spans="1:18" s="128" customFormat="1" ht="16.5" customHeight="1">
      <c r="A39" s="96"/>
      <c r="B39" s="154" t="s">
        <v>301</v>
      </c>
      <c r="C39" s="160" t="s">
        <v>302</v>
      </c>
      <c r="D39" s="125" t="s">
        <v>303</v>
      </c>
      <c r="E39" s="125" t="s">
        <v>296</v>
      </c>
      <c r="F39" s="127">
        <v>300</v>
      </c>
      <c r="G39" s="34">
        <v>44041</v>
      </c>
      <c r="H39" s="34"/>
      <c r="I39" s="34" t="s">
        <v>297</v>
      </c>
      <c r="J39" s="34" t="s">
        <v>298</v>
      </c>
      <c r="K39" s="181" t="s">
        <v>299</v>
      </c>
      <c r="L39" s="165" t="s">
        <v>304</v>
      </c>
      <c r="M39" s="104"/>
      <c r="N39" s="24"/>
      <c r="O39" s="74"/>
    </row>
    <row r="40" spans="1:18" s="128" customFormat="1" ht="16.5" customHeight="1">
      <c r="A40" s="96"/>
      <c r="B40" s="154" t="s">
        <v>305</v>
      </c>
      <c r="C40" s="160" t="s">
        <v>306</v>
      </c>
      <c r="D40" s="220" t="s">
        <v>307</v>
      </c>
      <c r="E40" s="125" t="s">
        <v>296</v>
      </c>
      <c r="F40" s="127">
        <v>1</v>
      </c>
      <c r="G40" s="34">
        <v>44061</v>
      </c>
      <c r="H40" s="34"/>
      <c r="I40" s="34"/>
      <c r="J40" s="34" t="s">
        <v>298</v>
      </c>
      <c r="K40" s="181" t="s">
        <v>299</v>
      </c>
      <c r="L40" s="165" t="s">
        <v>308</v>
      </c>
      <c r="M40" s="104"/>
      <c r="N40" s="24"/>
      <c r="O40" s="74"/>
    </row>
    <row r="41" spans="1:18" ht="16.5" customHeight="1">
      <c r="A41" s="29"/>
      <c r="B41" s="156" t="s">
        <v>309</v>
      </c>
      <c r="C41" s="159" t="s">
        <v>310</v>
      </c>
      <c r="D41" s="256" t="s">
        <v>311</v>
      </c>
      <c r="E41" s="146" t="s">
        <v>296</v>
      </c>
      <c r="F41" s="101">
        <v>12</v>
      </c>
      <c r="G41" s="49"/>
      <c r="H41" s="49">
        <v>44158</v>
      </c>
      <c r="I41" s="49" t="s">
        <v>297</v>
      </c>
      <c r="J41" s="49"/>
      <c r="K41" s="87"/>
      <c r="L41" s="247"/>
      <c r="M41" s="103"/>
      <c r="N41" s="26"/>
      <c r="O41" s="4"/>
    </row>
    <row r="42" spans="1:18" ht="16.5" customHeight="1">
      <c r="A42" s="29"/>
      <c r="B42" s="156" t="s">
        <v>312</v>
      </c>
      <c r="C42" s="159" t="s">
        <v>302</v>
      </c>
      <c r="D42" s="256" t="s">
        <v>313</v>
      </c>
      <c r="E42" s="146" t="s">
        <v>296</v>
      </c>
      <c r="F42" s="101">
        <v>50</v>
      </c>
      <c r="G42" s="49">
        <v>44193</v>
      </c>
      <c r="H42" s="49">
        <v>44194</v>
      </c>
      <c r="I42" s="49" t="s">
        <v>297</v>
      </c>
      <c r="J42" s="87" t="s">
        <v>299</v>
      </c>
      <c r="K42" s="87" t="s">
        <v>299</v>
      </c>
      <c r="L42" s="247" t="s">
        <v>314</v>
      </c>
      <c r="M42" s="103"/>
      <c r="N42" s="26"/>
      <c r="O42" s="4"/>
    </row>
    <row r="43" spans="1:18" s="128" customFormat="1" ht="16.5" customHeight="1">
      <c r="A43" s="96"/>
      <c r="B43" s="154" t="s">
        <v>315</v>
      </c>
      <c r="C43" s="160" t="s">
        <v>316</v>
      </c>
      <c r="D43" s="220" t="s">
        <v>317</v>
      </c>
      <c r="E43" s="125" t="s">
        <v>296</v>
      </c>
      <c r="F43" s="127">
        <v>500</v>
      </c>
      <c r="G43" s="34">
        <v>44264</v>
      </c>
      <c r="H43" s="34"/>
      <c r="I43" s="34"/>
      <c r="J43" s="181" t="s">
        <v>299</v>
      </c>
      <c r="K43" s="181" t="s">
        <v>299</v>
      </c>
      <c r="L43" s="165" t="s">
        <v>318</v>
      </c>
      <c r="M43" s="104"/>
      <c r="N43" s="24"/>
      <c r="O43" s="74"/>
    </row>
    <row r="44" spans="1:18" s="137" customFormat="1" ht="17.25" customHeight="1">
      <c r="A44" s="248"/>
      <c r="B44" s="249" t="s">
        <v>319</v>
      </c>
      <c r="C44" s="250" t="s">
        <v>320</v>
      </c>
      <c r="D44" s="259" t="s">
        <v>321</v>
      </c>
      <c r="E44" s="138" t="s">
        <v>32</v>
      </c>
      <c r="F44" s="139">
        <v>12</v>
      </c>
      <c r="G44" s="140"/>
      <c r="H44" s="191">
        <v>44158</v>
      </c>
      <c r="I44" s="191" t="s">
        <v>297</v>
      </c>
      <c r="J44" s="71"/>
      <c r="K44" s="67"/>
      <c r="L44" s="247" t="s">
        <v>322</v>
      </c>
      <c r="M44" s="251" t="s">
        <v>323</v>
      </c>
      <c r="N44" s="255">
        <v>44181</v>
      </c>
      <c r="O44" s="257" t="s">
        <v>324</v>
      </c>
    </row>
    <row r="46" spans="1:18" ht="75.75" customHeight="1">
      <c r="A46" s="440"/>
      <c r="B46" s="440"/>
      <c r="C46" s="440"/>
      <c r="D46" s="441" t="s">
        <v>296</v>
      </c>
      <c r="E46" s="144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0"/>
    </row>
    <row r="47" spans="1:18" s="373" customFormat="1" ht="15.75">
      <c r="A47" s="353" t="s">
        <v>715</v>
      </c>
      <c r="B47" s="289" t="s">
        <v>716</v>
      </c>
      <c r="C47" s="289" t="s">
        <v>717</v>
      </c>
      <c r="D47" s="224" t="s">
        <v>718</v>
      </c>
      <c r="E47" s="196" t="s">
        <v>32</v>
      </c>
      <c r="F47" s="272">
        <v>50660</v>
      </c>
      <c r="G47" s="424">
        <v>45575</v>
      </c>
      <c r="H47" s="424">
        <v>45649</v>
      </c>
      <c r="I47" s="424">
        <v>46018</v>
      </c>
      <c r="J47" s="424">
        <v>45659</v>
      </c>
      <c r="K47" s="424">
        <v>45659</v>
      </c>
      <c r="L47" s="424" t="s">
        <v>38</v>
      </c>
      <c r="M47" s="289" t="s">
        <v>719</v>
      </c>
      <c r="N47" s="452" t="s">
        <v>720</v>
      </c>
      <c r="O47" s="395">
        <v>45683</v>
      </c>
      <c r="P47" s="196"/>
      <c r="Q47" s="196"/>
    </row>
    <row r="48" spans="1:18" s="373" customFormat="1" ht="15.95" customHeight="1">
      <c r="A48" s="353" t="s">
        <v>721</v>
      </c>
      <c r="B48" s="289" t="s">
        <v>722</v>
      </c>
      <c r="C48" s="289" t="s">
        <v>53</v>
      </c>
      <c r="D48" s="224" t="s">
        <v>723</v>
      </c>
      <c r="E48" s="196" t="s">
        <v>32</v>
      </c>
      <c r="F48" s="272">
        <v>3290.35</v>
      </c>
      <c r="G48" s="424">
        <v>45622</v>
      </c>
      <c r="H48" s="425">
        <v>45299</v>
      </c>
      <c r="I48" s="425">
        <v>45667</v>
      </c>
      <c r="J48" s="424">
        <v>45670</v>
      </c>
      <c r="K48" s="424">
        <v>45674</v>
      </c>
      <c r="L48" s="424" t="s">
        <v>724</v>
      </c>
      <c r="M48" s="289" t="s">
        <v>39</v>
      </c>
      <c r="N48" s="452" t="s">
        <v>725</v>
      </c>
      <c r="O48" s="395">
        <v>45696</v>
      </c>
      <c r="P48" s="196" t="s">
        <v>726</v>
      </c>
      <c r="Q48" s="196"/>
      <c r="R48" s="373" t="s">
        <v>727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958"/>
  <sheetViews>
    <sheetView zoomScaleNormal="100" zoomScaleSheetLayoutView="100" workbookViewId="0">
      <pane ySplit="6" topLeftCell="A7" activePane="bottomLeft" state="frozen"/>
      <selection pane="bottomLeft" activeCell="A6" sqref="A6:XFD14"/>
    </sheetView>
  </sheetViews>
  <sheetFormatPr defaultRowHeight="13.5"/>
  <cols>
    <col min="1" max="1" width="10.234375" style="149" bestFit="1" customWidth="1"/>
    <col min="2" max="2" width="16.76171875" style="153" customWidth="1"/>
    <col min="3" max="3" width="17.3515625" style="170" bestFit="1" customWidth="1"/>
    <col min="4" max="4" width="46.76171875" bestFit="1" customWidth="1"/>
    <col min="6" max="6" width="11.64453125" bestFit="1" customWidth="1"/>
    <col min="7" max="7" width="9.41015625" customWidth="1"/>
    <col min="8" max="8" width="9.234375" customWidth="1"/>
    <col min="9" max="9" width="6.52734375" customWidth="1"/>
    <col min="10" max="10" width="10.87890625" customWidth="1"/>
    <col min="11" max="11" width="9.41015625" style="4" customWidth="1"/>
    <col min="12" max="12" width="50.52734375" bestFit="1" customWidth="1"/>
  </cols>
  <sheetData>
    <row r="1" spans="1:15" ht="15.75">
      <c r="C1" s="159" t="s">
        <v>0</v>
      </c>
      <c r="F1" s="21" t="s">
        <v>290</v>
      </c>
      <c r="G1" s="49"/>
      <c r="H1" s="49"/>
      <c r="I1" s="49"/>
      <c r="J1" s="5"/>
      <c r="K1" s="197"/>
      <c r="L1" s="36"/>
    </row>
    <row r="2" spans="1:15" ht="13.5" customHeight="1">
      <c r="G2" s="49"/>
      <c r="H2" s="49"/>
      <c r="I2" s="49"/>
      <c r="J2" s="12"/>
      <c r="K2" s="197"/>
      <c r="L2" s="36"/>
    </row>
    <row r="3" spans="1:15" ht="13.5" customHeight="1">
      <c r="D3" s="133"/>
      <c r="G3" s="49"/>
      <c r="H3" s="49"/>
      <c r="I3" s="49"/>
      <c r="J3" s="15"/>
      <c r="K3" s="197"/>
      <c r="L3" s="36"/>
    </row>
    <row r="4" spans="1:15" ht="13.5" customHeight="1">
      <c r="G4" s="5"/>
      <c r="H4" s="49"/>
      <c r="I4" s="49"/>
      <c r="J4" s="12"/>
      <c r="K4" s="197"/>
      <c r="L4" s="36"/>
    </row>
    <row r="5" spans="1:15" ht="13.5" customHeight="1">
      <c r="D5" s="133"/>
      <c r="G5" s="42"/>
      <c r="H5" s="198"/>
      <c r="I5" s="198"/>
      <c r="J5" s="199"/>
      <c r="K5" s="200"/>
      <c r="L5" s="36"/>
    </row>
    <row r="6" spans="1:15" ht="16.5" customHeight="1">
      <c r="A6" s="12" t="s">
        <v>18</v>
      </c>
      <c r="B6" s="154" t="s">
        <v>19</v>
      </c>
      <c r="C6" s="160" t="s">
        <v>20</v>
      </c>
      <c r="D6" s="13" t="s">
        <v>291</v>
      </c>
      <c r="E6" s="115" t="s">
        <v>22</v>
      </c>
      <c r="F6" s="21" t="s">
        <v>292</v>
      </c>
      <c r="G6" s="34" t="s">
        <v>2</v>
      </c>
      <c r="H6" s="34" t="s">
        <v>3</v>
      </c>
      <c r="I6" s="34" t="s">
        <v>4</v>
      </c>
      <c r="J6" s="16" t="s">
        <v>15</v>
      </c>
      <c r="K6" s="173" t="s">
        <v>30</v>
      </c>
      <c r="L6" s="33" t="s">
        <v>31</v>
      </c>
      <c r="M6" s="102"/>
      <c r="N6" s="24"/>
      <c r="O6" s="24"/>
    </row>
    <row r="7" spans="1:15" ht="38.25" customHeight="1">
      <c r="A7" s="50"/>
      <c r="B7" s="155"/>
      <c r="C7" s="155"/>
      <c r="D7" s="55" t="s">
        <v>32</v>
      </c>
      <c r="E7" s="116" t="s">
        <v>33</v>
      </c>
      <c r="F7" s="51"/>
      <c r="G7" s="47"/>
      <c r="H7" s="47"/>
      <c r="I7" s="47"/>
      <c r="J7" s="51"/>
      <c r="K7" s="174"/>
      <c r="L7" s="54"/>
      <c r="M7" s="103"/>
      <c r="N7" s="26"/>
      <c r="O7" s="4"/>
    </row>
    <row r="8" spans="1:15" s="128" customFormat="1" ht="16.5" customHeight="1">
      <c r="A8" s="96"/>
      <c r="B8" s="154" t="s">
        <v>293</v>
      </c>
      <c r="C8" s="160" t="s">
        <v>294</v>
      </c>
      <c r="D8" s="182" t="s">
        <v>295</v>
      </c>
      <c r="E8" s="125" t="s">
        <v>296</v>
      </c>
      <c r="F8" s="127">
        <v>200</v>
      </c>
      <c r="G8" s="99">
        <v>43993</v>
      </c>
      <c r="H8" s="63"/>
      <c r="I8" s="34" t="s">
        <v>297</v>
      </c>
      <c r="J8" s="34" t="s">
        <v>298</v>
      </c>
      <c r="K8" s="181" t="s">
        <v>299</v>
      </c>
      <c r="L8" s="165" t="s">
        <v>300</v>
      </c>
      <c r="M8" s="104"/>
      <c r="N8" s="24"/>
      <c r="O8" s="74"/>
    </row>
    <row r="9" spans="1:15" s="128" customFormat="1" ht="16.5" customHeight="1">
      <c r="A9" s="96"/>
      <c r="B9" s="154" t="s">
        <v>301</v>
      </c>
      <c r="C9" s="160" t="s">
        <v>302</v>
      </c>
      <c r="D9" s="125" t="s">
        <v>303</v>
      </c>
      <c r="E9" s="125" t="s">
        <v>296</v>
      </c>
      <c r="F9" s="127">
        <v>300</v>
      </c>
      <c r="G9" s="34">
        <v>44041</v>
      </c>
      <c r="H9" s="34"/>
      <c r="I9" s="34" t="s">
        <v>297</v>
      </c>
      <c r="J9" s="34" t="s">
        <v>298</v>
      </c>
      <c r="K9" s="181" t="s">
        <v>299</v>
      </c>
      <c r="L9" s="165" t="s">
        <v>304</v>
      </c>
      <c r="M9" s="104"/>
      <c r="N9" s="24"/>
      <c r="O9" s="74"/>
    </row>
    <row r="10" spans="1:15" s="128" customFormat="1" ht="16.5" customHeight="1">
      <c r="A10" s="96"/>
      <c r="B10" s="154" t="s">
        <v>305</v>
      </c>
      <c r="C10" s="160" t="s">
        <v>306</v>
      </c>
      <c r="D10" s="220" t="s">
        <v>307</v>
      </c>
      <c r="E10" s="125" t="s">
        <v>296</v>
      </c>
      <c r="F10" s="127">
        <v>1</v>
      </c>
      <c r="G10" s="34">
        <v>44061</v>
      </c>
      <c r="H10" s="34"/>
      <c r="I10" s="34"/>
      <c r="J10" s="34" t="s">
        <v>298</v>
      </c>
      <c r="K10" s="181" t="s">
        <v>299</v>
      </c>
      <c r="L10" s="165" t="s">
        <v>308</v>
      </c>
      <c r="M10" s="104"/>
      <c r="N10" s="24"/>
      <c r="O10" s="74"/>
    </row>
    <row r="11" spans="1:15" ht="16.5" customHeight="1">
      <c r="A11" s="29"/>
      <c r="B11" s="156" t="s">
        <v>309</v>
      </c>
      <c r="C11" s="159" t="s">
        <v>310</v>
      </c>
      <c r="D11" s="256" t="s">
        <v>311</v>
      </c>
      <c r="E11" s="146" t="s">
        <v>296</v>
      </c>
      <c r="F11" s="101">
        <v>12</v>
      </c>
      <c r="G11" s="49"/>
      <c r="H11" s="49">
        <v>44158</v>
      </c>
      <c r="I11" s="49" t="s">
        <v>297</v>
      </c>
      <c r="J11" s="49"/>
      <c r="K11" s="87"/>
      <c r="L11" s="247"/>
      <c r="M11" s="103"/>
      <c r="N11" s="26"/>
      <c r="O11" s="4"/>
    </row>
    <row r="12" spans="1:15" ht="16.5" customHeight="1">
      <c r="A12" s="29"/>
      <c r="B12" s="156" t="s">
        <v>312</v>
      </c>
      <c r="C12" s="159" t="s">
        <v>302</v>
      </c>
      <c r="D12" s="256" t="s">
        <v>313</v>
      </c>
      <c r="E12" s="146" t="s">
        <v>296</v>
      </c>
      <c r="F12" s="101">
        <v>50</v>
      </c>
      <c r="G12" s="49">
        <v>44193</v>
      </c>
      <c r="H12" s="49">
        <v>44194</v>
      </c>
      <c r="I12" s="49" t="s">
        <v>297</v>
      </c>
      <c r="J12" s="87" t="s">
        <v>299</v>
      </c>
      <c r="K12" s="87" t="s">
        <v>299</v>
      </c>
      <c r="L12" s="247" t="s">
        <v>314</v>
      </c>
      <c r="M12" s="103"/>
      <c r="N12" s="26"/>
      <c r="O12" s="4"/>
    </row>
    <row r="13" spans="1:15" s="128" customFormat="1" ht="16.5" customHeight="1">
      <c r="A13" s="96"/>
      <c r="B13" s="154" t="s">
        <v>315</v>
      </c>
      <c r="C13" s="160" t="s">
        <v>316</v>
      </c>
      <c r="D13" s="220" t="s">
        <v>317</v>
      </c>
      <c r="E13" s="125" t="s">
        <v>296</v>
      </c>
      <c r="F13" s="127">
        <v>500</v>
      </c>
      <c r="G13" s="34">
        <v>44264</v>
      </c>
      <c r="H13" s="34"/>
      <c r="I13" s="34"/>
      <c r="J13" s="181" t="s">
        <v>299</v>
      </c>
      <c r="K13" s="181" t="s">
        <v>299</v>
      </c>
      <c r="L13" s="165" t="s">
        <v>318</v>
      </c>
      <c r="M13" s="104"/>
      <c r="N13" s="24"/>
      <c r="O13" s="74"/>
    </row>
    <row r="14" spans="1:15" s="137" customFormat="1" ht="17.25" customHeight="1">
      <c r="A14" s="248"/>
      <c r="B14" s="249" t="s">
        <v>319</v>
      </c>
      <c r="C14" s="250" t="s">
        <v>320</v>
      </c>
      <c r="D14" s="259" t="s">
        <v>321</v>
      </c>
      <c r="E14" s="138" t="s">
        <v>32</v>
      </c>
      <c r="F14" s="139">
        <v>12</v>
      </c>
      <c r="G14" s="140"/>
      <c r="H14" s="191">
        <v>44158</v>
      </c>
      <c r="I14" s="191" t="s">
        <v>297</v>
      </c>
      <c r="J14" s="71"/>
      <c r="K14" s="67"/>
      <c r="L14" s="247" t="s">
        <v>322</v>
      </c>
      <c r="M14" s="251" t="s">
        <v>323</v>
      </c>
      <c r="N14" s="255">
        <v>44181</v>
      </c>
      <c r="O14" s="257" t="s">
        <v>324</v>
      </c>
    </row>
    <row r="15" spans="1:15" s="137" customFormat="1" ht="17.25" customHeight="1">
      <c r="A15" s="248"/>
      <c r="B15" s="249" t="s">
        <v>325</v>
      </c>
      <c r="C15" s="276" t="s">
        <v>302</v>
      </c>
      <c r="D15" s="259" t="s">
        <v>326</v>
      </c>
      <c r="E15" s="68" t="s">
        <v>296</v>
      </c>
      <c r="F15" s="139">
        <v>20</v>
      </c>
      <c r="G15" s="140">
        <v>44368</v>
      </c>
      <c r="H15" s="191">
        <v>44369</v>
      </c>
      <c r="I15" s="191" t="s">
        <v>297</v>
      </c>
      <c r="J15" s="71" t="s">
        <v>327</v>
      </c>
      <c r="K15" s="87" t="s">
        <v>299</v>
      </c>
      <c r="L15" s="247" t="s">
        <v>328</v>
      </c>
      <c r="M15" s="269"/>
      <c r="N15" s="270"/>
      <c r="O15" s="271"/>
    </row>
    <row r="16" spans="1:15" s="141" customFormat="1" ht="17.25" customHeight="1">
      <c r="A16" s="278"/>
      <c r="B16" s="279" t="s">
        <v>325</v>
      </c>
      <c r="C16" s="238" t="s">
        <v>302</v>
      </c>
      <c r="D16" s="237" t="s">
        <v>326</v>
      </c>
      <c r="E16" s="134" t="s">
        <v>296</v>
      </c>
      <c r="F16" s="135">
        <v>20</v>
      </c>
      <c r="G16" s="136">
        <v>44392</v>
      </c>
      <c r="H16" s="207">
        <v>44393</v>
      </c>
      <c r="I16" s="207" t="s">
        <v>297</v>
      </c>
      <c r="J16" s="69" t="s">
        <v>327</v>
      </c>
      <c r="K16" s="181" t="s">
        <v>299</v>
      </c>
      <c r="L16" s="165" t="s">
        <v>329</v>
      </c>
      <c r="M16" s="280"/>
      <c r="N16" s="281"/>
      <c r="O16" s="282"/>
    </row>
    <row r="17" spans="1:15" s="141" customFormat="1" ht="17.25" customHeight="1">
      <c r="A17" s="278"/>
      <c r="B17" s="279" t="s">
        <v>330</v>
      </c>
      <c r="C17" s="238" t="s">
        <v>331</v>
      </c>
      <c r="D17" s="237" t="s">
        <v>332</v>
      </c>
      <c r="E17" s="134" t="s">
        <v>296</v>
      </c>
      <c r="F17" s="135">
        <v>200</v>
      </c>
      <c r="G17" s="136">
        <v>44399</v>
      </c>
      <c r="H17" s="207">
        <v>44403</v>
      </c>
      <c r="I17" s="207" t="s">
        <v>297</v>
      </c>
      <c r="J17" s="69" t="s">
        <v>333</v>
      </c>
      <c r="K17" s="181" t="s">
        <v>299</v>
      </c>
      <c r="L17" s="165" t="s">
        <v>334</v>
      </c>
      <c r="M17" s="280"/>
      <c r="N17" s="281"/>
      <c r="O17" s="282"/>
    </row>
    <row r="18" spans="1:15" s="137" customFormat="1" ht="17.25" customHeight="1">
      <c r="A18" s="248"/>
      <c r="B18" s="249" t="s">
        <v>335</v>
      </c>
      <c r="C18" s="276" t="s">
        <v>336</v>
      </c>
      <c r="D18" s="259" t="s">
        <v>337</v>
      </c>
      <c r="E18" s="68" t="s">
        <v>296</v>
      </c>
      <c r="F18" s="139">
        <v>100</v>
      </c>
      <c r="G18" s="140">
        <v>44439</v>
      </c>
      <c r="H18" s="191">
        <v>44440</v>
      </c>
      <c r="I18" s="191" t="s">
        <v>338</v>
      </c>
      <c r="J18" s="71" t="s">
        <v>339</v>
      </c>
      <c r="K18" s="87" t="s">
        <v>299</v>
      </c>
      <c r="L18" s="247" t="s">
        <v>340</v>
      </c>
      <c r="M18" s="269"/>
      <c r="N18" s="270"/>
      <c r="O18" s="271"/>
    </row>
    <row r="19" spans="1:15" s="141" customFormat="1" ht="17.25" customHeight="1">
      <c r="A19" s="278"/>
      <c r="B19" s="279" t="s">
        <v>335</v>
      </c>
      <c r="C19" s="238" t="s">
        <v>336</v>
      </c>
      <c r="D19" s="237" t="s">
        <v>341</v>
      </c>
      <c r="E19" s="134" t="s">
        <v>296</v>
      </c>
      <c r="F19" s="135">
        <v>300</v>
      </c>
      <c r="G19" s="136">
        <v>44452</v>
      </c>
      <c r="H19" s="207">
        <v>44463</v>
      </c>
      <c r="I19" s="207" t="s">
        <v>297</v>
      </c>
      <c r="J19" s="69" t="s">
        <v>339</v>
      </c>
      <c r="K19" s="181" t="s">
        <v>299</v>
      </c>
      <c r="L19" s="165" t="s">
        <v>342</v>
      </c>
      <c r="M19" s="280"/>
      <c r="N19" s="281"/>
      <c r="O19" s="282"/>
    </row>
    <row r="20" spans="1:15" s="141" customFormat="1" ht="17.25" customHeight="1">
      <c r="A20" s="278"/>
      <c r="B20" s="279" t="s">
        <v>343</v>
      </c>
      <c r="C20" s="238" t="s">
        <v>344</v>
      </c>
      <c r="D20" s="226" t="s">
        <v>345</v>
      </c>
      <c r="E20" s="134" t="s">
        <v>296</v>
      </c>
      <c r="F20" s="135">
        <v>60</v>
      </c>
      <c r="G20" s="136">
        <v>44517</v>
      </c>
      <c r="H20" s="207">
        <v>44522</v>
      </c>
      <c r="I20" s="207" t="s">
        <v>297</v>
      </c>
      <c r="J20" s="69" t="s">
        <v>298</v>
      </c>
      <c r="K20" s="181" t="s">
        <v>299</v>
      </c>
      <c r="L20" s="165" t="s">
        <v>329</v>
      </c>
      <c r="M20" s="280"/>
      <c r="N20" s="281"/>
      <c r="O20" s="282"/>
    </row>
    <row r="21" spans="1:15" s="145" customFormat="1" ht="16.5" customHeight="1">
      <c r="A21" s="230"/>
      <c r="B21" s="289" t="s">
        <v>346</v>
      </c>
      <c r="C21" s="233" t="s">
        <v>347</v>
      </c>
      <c r="D21" s="231" t="s">
        <v>348</v>
      </c>
      <c r="E21" s="234" t="s">
        <v>32</v>
      </c>
      <c r="F21" s="272"/>
      <c r="G21" s="293">
        <v>44634</v>
      </c>
      <c r="H21" s="219"/>
      <c r="I21" s="219"/>
      <c r="J21" s="71" t="s">
        <v>349</v>
      </c>
      <c r="K21" s="71"/>
      <c r="L21" s="186" t="s">
        <v>350</v>
      </c>
      <c r="M21" s="299"/>
      <c r="N21" s="264"/>
      <c r="O21" s="265"/>
    </row>
    <row r="22" spans="1:15" s="145" customFormat="1" ht="16.5" customHeight="1">
      <c r="A22" s="230"/>
      <c r="B22" s="289" t="s">
        <v>335</v>
      </c>
      <c r="C22" s="233" t="s">
        <v>351</v>
      </c>
      <c r="D22" s="231" t="s">
        <v>352</v>
      </c>
      <c r="E22" s="234" t="s">
        <v>296</v>
      </c>
      <c r="F22" s="272">
        <v>300</v>
      </c>
      <c r="G22" s="293">
        <v>44783</v>
      </c>
      <c r="H22" s="219"/>
      <c r="I22" s="219"/>
      <c r="J22" s="71" t="s">
        <v>339</v>
      </c>
      <c r="K22" s="87" t="s">
        <v>299</v>
      </c>
      <c r="L22" s="186" t="s">
        <v>353</v>
      </c>
      <c r="M22" s="318"/>
      <c r="N22" s="317"/>
      <c r="O22" s="319"/>
    </row>
    <row r="23" spans="1:15" s="211" customFormat="1" ht="16.5" customHeight="1">
      <c r="A23" s="243"/>
      <c r="B23" s="262" t="s">
        <v>354</v>
      </c>
      <c r="C23" s="244" t="s">
        <v>331</v>
      </c>
      <c r="D23" s="245" t="s">
        <v>355</v>
      </c>
      <c r="E23" s="221" t="s">
        <v>296</v>
      </c>
      <c r="F23" s="277">
        <v>505</v>
      </c>
      <c r="G23" s="300">
        <v>44817</v>
      </c>
      <c r="H23" s="241">
        <v>44823</v>
      </c>
      <c r="I23" s="241" t="s">
        <v>297</v>
      </c>
      <c r="J23" s="69" t="s">
        <v>299</v>
      </c>
      <c r="K23" s="181" t="s">
        <v>299</v>
      </c>
      <c r="L23" s="165" t="s">
        <v>356</v>
      </c>
      <c r="M23" s="322"/>
      <c r="N23" s="323"/>
      <c r="O23" s="321"/>
    </row>
    <row r="24" spans="1:15" s="211" customFormat="1" ht="16.5" customHeight="1">
      <c r="A24" s="243"/>
      <c r="B24" s="262" t="s">
        <v>357</v>
      </c>
      <c r="C24" s="244" t="s">
        <v>358</v>
      </c>
      <c r="D24" s="245" t="s">
        <v>359</v>
      </c>
      <c r="E24" s="221" t="s">
        <v>296</v>
      </c>
      <c r="F24" s="277">
        <v>700</v>
      </c>
      <c r="G24" s="300">
        <v>44879</v>
      </c>
      <c r="H24" s="241">
        <v>44880</v>
      </c>
      <c r="I24" s="241" t="s">
        <v>360</v>
      </c>
      <c r="J24" s="69" t="s">
        <v>361</v>
      </c>
      <c r="K24" s="181" t="s">
        <v>299</v>
      </c>
      <c r="L24" s="165" t="s">
        <v>362</v>
      </c>
      <c r="M24" s="322"/>
      <c r="N24" s="323"/>
      <c r="O24" s="321"/>
    </row>
    <row r="25" spans="1:15" s="211" customFormat="1" ht="16.5" customHeight="1">
      <c r="A25" s="243"/>
      <c r="B25" s="262" t="s">
        <v>335</v>
      </c>
      <c r="C25" s="244" t="s">
        <v>310</v>
      </c>
      <c r="D25" s="245" t="s">
        <v>363</v>
      </c>
      <c r="E25" s="221" t="s">
        <v>296</v>
      </c>
      <c r="F25" s="277">
        <v>100</v>
      </c>
      <c r="G25" s="300">
        <v>44900</v>
      </c>
      <c r="H25" s="241">
        <v>44902</v>
      </c>
      <c r="I25" s="241" t="s">
        <v>297</v>
      </c>
      <c r="J25" s="69" t="s">
        <v>339</v>
      </c>
      <c r="K25" s="181" t="s">
        <v>299</v>
      </c>
      <c r="L25" s="165" t="s">
        <v>364</v>
      </c>
      <c r="M25" s="322"/>
      <c r="N25" s="323"/>
      <c r="O25" s="321"/>
    </row>
    <row r="26" spans="1:15" s="211" customFormat="1" ht="16.5" customHeight="1">
      <c r="A26" s="243"/>
      <c r="B26" s="262"/>
      <c r="C26" s="244" t="s">
        <v>365</v>
      </c>
      <c r="D26" s="245" t="s">
        <v>366</v>
      </c>
      <c r="E26" s="221" t="s">
        <v>296</v>
      </c>
      <c r="F26" s="277">
        <v>1000</v>
      </c>
      <c r="G26" s="300">
        <v>44921</v>
      </c>
      <c r="H26" s="241"/>
      <c r="I26" s="241"/>
      <c r="J26" s="69"/>
      <c r="K26" s="181" t="s">
        <v>299</v>
      </c>
      <c r="L26" s="165" t="s">
        <v>367</v>
      </c>
      <c r="M26" s="322"/>
      <c r="N26" s="323"/>
      <c r="O26" s="321"/>
    </row>
    <row r="27" spans="1:15" s="211" customFormat="1" ht="16.5" customHeight="1">
      <c r="A27" s="243"/>
      <c r="B27" s="262" t="s">
        <v>368</v>
      </c>
      <c r="C27" s="244" t="s">
        <v>302</v>
      </c>
      <c r="D27" s="245" t="s">
        <v>369</v>
      </c>
      <c r="E27" s="221" t="s">
        <v>296</v>
      </c>
      <c r="F27" s="277">
        <v>300</v>
      </c>
      <c r="G27" s="300">
        <v>44965</v>
      </c>
      <c r="H27" s="241">
        <v>44966</v>
      </c>
      <c r="I27" s="241" t="s">
        <v>297</v>
      </c>
      <c r="J27" s="69"/>
      <c r="K27" s="181" t="s">
        <v>299</v>
      </c>
      <c r="L27" s="165" t="s">
        <v>370</v>
      </c>
      <c r="M27" s="322"/>
      <c r="N27" s="323"/>
      <c r="O27" s="321"/>
    </row>
    <row r="28" spans="1:15" s="211" customFormat="1" ht="16.5" customHeight="1">
      <c r="A28" s="243"/>
      <c r="B28" s="262" t="s">
        <v>371</v>
      </c>
      <c r="C28" s="244" t="s">
        <v>372</v>
      </c>
      <c r="D28" s="245" t="s">
        <v>373</v>
      </c>
      <c r="E28" s="221" t="s">
        <v>296</v>
      </c>
      <c r="F28" s="277">
        <v>500</v>
      </c>
      <c r="G28" s="300">
        <v>44970</v>
      </c>
      <c r="H28" s="241">
        <v>44972</v>
      </c>
      <c r="I28" s="241" t="s">
        <v>360</v>
      </c>
      <c r="J28" s="69" t="s">
        <v>374</v>
      </c>
      <c r="K28" s="181" t="s">
        <v>299</v>
      </c>
      <c r="L28" s="165" t="s">
        <v>375</v>
      </c>
      <c r="M28" s="322"/>
      <c r="N28" s="323"/>
      <c r="O28" s="321"/>
    </row>
    <row r="29" spans="1:15" s="211" customFormat="1" ht="16.5" customHeight="1">
      <c r="A29" s="243"/>
      <c r="B29" s="262" t="s">
        <v>376</v>
      </c>
      <c r="C29" s="244" t="s">
        <v>377</v>
      </c>
      <c r="D29" s="245" t="s">
        <v>378</v>
      </c>
      <c r="E29" s="221" t="s">
        <v>296</v>
      </c>
      <c r="F29" s="277">
        <v>100</v>
      </c>
      <c r="G29" s="300">
        <v>44974</v>
      </c>
      <c r="H29" s="241"/>
      <c r="I29" s="241"/>
      <c r="J29" s="69" t="s">
        <v>299</v>
      </c>
      <c r="K29" s="181" t="s">
        <v>299</v>
      </c>
      <c r="L29" s="165" t="s">
        <v>379</v>
      </c>
      <c r="M29" s="322"/>
      <c r="N29" s="323"/>
      <c r="O29" s="321"/>
    </row>
    <row r="30" spans="1:15" s="211" customFormat="1" ht="16.5" customHeight="1">
      <c r="A30" s="243"/>
      <c r="B30" s="262"/>
      <c r="C30" s="244" t="s">
        <v>365</v>
      </c>
      <c r="D30" s="245" t="s">
        <v>380</v>
      </c>
      <c r="E30" s="221" t="s">
        <v>296</v>
      </c>
      <c r="F30" s="277">
        <v>50</v>
      </c>
      <c r="G30" s="300">
        <v>45034</v>
      </c>
      <c r="H30" s="241">
        <v>45035</v>
      </c>
      <c r="I30" s="241" t="s">
        <v>297</v>
      </c>
      <c r="J30" s="69" t="s">
        <v>339</v>
      </c>
      <c r="K30" s="181" t="s">
        <v>299</v>
      </c>
      <c r="L30" s="165" t="s">
        <v>381</v>
      </c>
      <c r="M30" s="322"/>
      <c r="N30" s="323"/>
      <c r="O30" s="321"/>
    </row>
    <row r="31" spans="1:15" s="211" customFormat="1" ht="16.5" customHeight="1">
      <c r="A31" s="243"/>
      <c r="B31" s="262"/>
      <c r="C31" s="244" t="s">
        <v>377</v>
      </c>
      <c r="D31" s="245" t="s">
        <v>382</v>
      </c>
      <c r="E31" s="221" t="s">
        <v>296</v>
      </c>
      <c r="F31" s="277">
        <v>200</v>
      </c>
      <c r="G31" s="300">
        <v>45064</v>
      </c>
      <c r="H31" s="241"/>
      <c r="I31" s="241"/>
      <c r="J31" s="69" t="s">
        <v>383</v>
      </c>
      <c r="K31" s="181" t="s">
        <v>299</v>
      </c>
      <c r="L31" s="165" t="s">
        <v>384</v>
      </c>
      <c r="M31" s="322"/>
      <c r="N31" s="323"/>
      <c r="O31" s="321"/>
    </row>
    <row r="32" spans="1:15" s="211" customFormat="1" ht="16.5" customHeight="1">
      <c r="A32" s="243"/>
      <c r="B32" s="262"/>
      <c r="C32" s="244" t="s">
        <v>310</v>
      </c>
      <c r="D32" s="245" t="s">
        <v>385</v>
      </c>
      <c r="E32" s="221" t="s">
        <v>296</v>
      </c>
      <c r="F32" s="277">
        <v>2</v>
      </c>
      <c r="G32" s="300">
        <v>45124</v>
      </c>
      <c r="H32" s="241">
        <v>45125</v>
      </c>
      <c r="I32" s="241" t="s">
        <v>297</v>
      </c>
      <c r="J32" s="69" t="s">
        <v>339</v>
      </c>
      <c r="K32" s="181" t="s">
        <v>299</v>
      </c>
      <c r="L32" s="165" t="s">
        <v>381</v>
      </c>
      <c r="M32" s="322"/>
      <c r="N32" s="323"/>
      <c r="O32" s="321"/>
    </row>
    <row r="33" spans="1:15" s="211" customFormat="1" ht="16.5" customHeight="1">
      <c r="A33" s="243"/>
      <c r="B33" s="262" t="s">
        <v>386</v>
      </c>
      <c r="C33" s="244" t="s">
        <v>372</v>
      </c>
      <c r="D33" s="245" t="s">
        <v>387</v>
      </c>
      <c r="E33" s="221" t="s">
        <v>296</v>
      </c>
      <c r="F33" s="277">
        <v>500</v>
      </c>
      <c r="G33" s="300">
        <v>45145</v>
      </c>
      <c r="H33" s="241">
        <v>45146</v>
      </c>
      <c r="I33" s="241" t="s">
        <v>297</v>
      </c>
      <c r="J33" s="69" t="s">
        <v>388</v>
      </c>
      <c r="K33" s="181" t="s">
        <v>299</v>
      </c>
      <c r="L33" s="165" t="s">
        <v>379</v>
      </c>
      <c r="M33" s="322"/>
      <c r="N33" s="323"/>
      <c r="O33" s="321"/>
    </row>
    <row r="34" spans="1:15" s="211" customFormat="1" ht="16.5" customHeight="1">
      <c r="A34" s="243"/>
      <c r="B34" s="262" t="s">
        <v>389</v>
      </c>
      <c r="C34" s="244" t="s">
        <v>372</v>
      </c>
      <c r="D34" s="245" t="s">
        <v>390</v>
      </c>
      <c r="E34" s="221" t="s">
        <v>296</v>
      </c>
      <c r="F34" s="277">
        <v>500</v>
      </c>
      <c r="G34" s="300">
        <v>45177</v>
      </c>
      <c r="H34" s="241"/>
      <c r="I34" s="241"/>
      <c r="J34" s="69" t="s">
        <v>299</v>
      </c>
      <c r="K34" s="181" t="s">
        <v>299</v>
      </c>
      <c r="L34" s="165" t="s">
        <v>379</v>
      </c>
      <c r="M34" s="322"/>
      <c r="N34" s="323"/>
      <c r="O34" s="321"/>
    </row>
    <row r="35" spans="1:15" s="211" customFormat="1" ht="16.5" customHeight="1">
      <c r="A35" s="243"/>
      <c r="B35" s="262" t="s">
        <v>335</v>
      </c>
      <c r="C35" s="244" t="s">
        <v>365</v>
      </c>
      <c r="D35" s="245" t="s">
        <v>391</v>
      </c>
      <c r="E35" s="221" t="s">
        <v>296</v>
      </c>
      <c r="F35" s="277">
        <v>500</v>
      </c>
      <c r="G35" s="300">
        <v>45204</v>
      </c>
      <c r="H35" s="241">
        <v>45209</v>
      </c>
      <c r="I35" s="241" t="s">
        <v>297</v>
      </c>
      <c r="J35" s="69" t="s">
        <v>339</v>
      </c>
      <c r="K35" s="208" t="s">
        <v>392</v>
      </c>
      <c r="L35" s="165" t="s">
        <v>367</v>
      </c>
      <c r="M35" s="322"/>
      <c r="N35" s="323"/>
      <c r="O35" s="321"/>
    </row>
    <row r="36" spans="1:15" s="145" customFormat="1" ht="15.75" customHeight="1">
      <c r="A36" s="186" t="s">
        <v>393</v>
      </c>
      <c r="B36" s="187" t="s">
        <v>394</v>
      </c>
      <c r="C36" s="188" t="s">
        <v>372</v>
      </c>
      <c r="D36" s="189" t="s">
        <v>395</v>
      </c>
      <c r="E36" s="189" t="s">
        <v>296</v>
      </c>
      <c r="F36" s="190">
        <v>500</v>
      </c>
      <c r="G36" s="191">
        <v>45217</v>
      </c>
      <c r="H36" s="71"/>
      <c r="I36" s="71"/>
      <c r="J36" s="71" t="s">
        <v>396</v>
      </c>
      <c r="K36" s="192" t="s">
        <v>392</v>
      </c>
      <c r="L36" s="247" t="s">
        <v>397</v>
      </c>
      <c r="M36" s="193"/>
      <c r="N36" s="194"/>
      <c r="O36" s="195"/>
    </row>
    <row r="37" spans="1:15" s="145" customFormat="1" ht="15.75" customHeight="1">
      <c r="A37" s="186" t="s">
        <v>398</v>
      </c>
      <c r="B37" s="187" t="s">
        <v>335</v>
      </c>
      <c r="C37" s="188" t="s">
        <v>399</v>
      </c>
      <c r="D37" s="189" t="s">
        <v>400</v>
      </c>
      <c r="E37" s="189" t="s">
        <v>296</v>
      </c>
      <c r="F37" s="190">
        <v>20000</v>
      </c>
      <c r="G37" s="191">
        <v>45225</v>
      </c>
      <c r="H37" s="71">
        <v>45229</v>
      </c>
      <c r="I37" s="71" t="s">
        <v>401</v>
      </c>
      <c r="J37" s="71" t="s">
        <v>333</v>
      </c>
      <c r="K37" s="192" t="s">
        <v>392</v>
      </c>
      <c r="L37" s="247" t="s">
        <v>402</v>
      </c>
      <c r="M37" s="193"/>
      <c r="N37" s="194"/>
      <c r="O37" s="195"/>
    </row>
    <row r="38" spans="1:15" s="211" customFormat="1" ht="15.75" customHeight="1">
      <c r="A38" s="202"/>
      <c r="B38" s="203" t="s">
        <v>343</v>
      </c>
      <c r="C38" s="204" t="s">
        <v>377</v>
      </c>
      <c r="D38" s="205" t="s">
        <v>403</v>
      </c>
      <c r="E38" s="205" t="s">
        <v>296</v>
      </c>
      <c r="F38" s="206">
        <v>100</v>
      </c>
      <c r="G38" s="207">
        <v>45275</v>
      </c>
      <c r="H38" s="69">
        <v>45279</v>
      </c>
      <c r="I38" s="69" t="s">
        <v>297</v>
      </c>
      <c r="J38" s="69"/>
      <c r="K38" s="208" t="s">
        <v>392</v>
      </c>
      <c r="L38" s="165" t="s">
        <v>397</v>
      </c>
      <c r="M38" s="209"/>
      <c r="N38" s="75"/>
      <c r="O38" s="210"/>
    </row>
    <row r="39" spans="1:15" s="211" customFormat="1" ht="15.75" customHeight="1">
      <c r="A39" s="202"/>
      <c r="B39" s="203" t="s">
        <v>335</v>
      </c>
      <c r="C39" s="204" t="s">
        <v>365</v>
      </c>
      <c r="D39" s="205" t="s">
        <v>404</v>
      </c>
      <c r="E39" s="205" t="s">
        <v>296</v>
      </c>
      <c r="F39" s="206">
        <v>7350</v>
      </c>
      <c r="G39" s="207">
        <v>45287</v>
      </c>
      <c r="H39" s="69"/>
      <c r="I39" s="69"/>
      <c r="J39" s="69" t="s">
        <v>339</v>
      </c>
      <c r="K39" s="208" t="s">
        <v>392</v>
      </c>
      <c r="L39" s="165" t="s">
        <v>397</v>
      </c>
      <c r="M39" s="209"/>
      <c r="N39" s="75"/>
      <c r="O39" s="210"/>
    </row>
    <row r="40" spans="1:15" s="211" customFormat="1" ht="15.75" customHeight="1">
      <c r="A40" s="202"/>
      <c r="B40" s="203" t="s">
        <v>405</v>
      </c>
      <c r="C40" s="204" t="s">
        <v>372</v>
      </c>
      <c r="D40" s="205" t="s">
        <v>373</v>
      </c>
      <c r="E40" s="205" t="s">
        <v>296</v>
      </c>
      <c r="F40" s="206">
        <v>1500</v>
      </c>
      <c r="G40" s="207">
        <v>45320</v>
      </c>
      <c r="H40" s="69">
        <v>45322</v>
      </c>
      <c r="I40" s="69" t="s">
        <v>297</v>
      </c>
      <c r="J40" s="69" t="s">
        <v>396</v>
      </c>
      <c r="K40" s="208" t="s">
        <v>392</v>
      </c>
      <c r="L40" s="165" t="s">
        <v>397</v>
      </c>
      <c r="M40" s="209"/>
      <c r="N40" s="75"/>
      <c r="O40" s="210"/>
    </row>
    <row r="41" spans="1:15" s="211" customFormat="1" ht="15.75" customHeight="1">
      <c r="A41" s="202"/>
      <c r="B41" s="203" t="s">
        <v>335</v>
      </c>
      <c r="C41" s="204" t="s">
        <v>399</v>
      </c>
      <c r="D41" s="205" t="s">
        <v>406</v>
      </c>
      <c r="E41" s="205" t="s">
        <v>296</v>
      </c>
      <c r="F41" s="206">
        <v>500</v>
      </c>
      <c r="G41" s="207">
        <v>45350</v>
      </c>
      <c r="H41" s="69">
        <v>45351</v>
      </c>
      <c r="I41" s="69" t="s">
        <v>360</v>
      </c>
      <c r="J41" s="69"/>
      <c r="K41" s="208" t="s">
        <v>392</v>
      </c>
      <c r="L41" s="165" t="s">
        <v>397</v>
      </c>
      <c r="M41" s="209"/>
      <c r="N41" s="75"/>
      <c r="O41" s="210"/>
    </row>
    <row r="42" spans="1:15" s="211" customFormat="1" ht="15.75" customHeight="1">
      <c r="A42" s="202"/>
      <c r="B42" s="203" t="s">
        <v>407</v>
      </c>
      <c r="C42" s="204" t="s">
        <v>372</v>
      </c>
      <c r="D42" s="205" t="s">
        <v>408</v>
      </c>
      <c r="E42" s="205" t="s">
        <v>296</v>
      </c>
      <c r="F42" s="206">
        <v>300</v>
      </c>
      <c r="G42" s="207">
        <v>45369</v>
      </c>
      <c r="H42" s="69">
        <v>45370</v>
      </c>
      <c r="I42" s="69" t="s">
        <v>297</v>
      </c>
      <c r="J42" s="69"/>
      <c r="K42" s="208" t="s">
        <v>392</v>
      </c>
      <c r="L42" s="165" t="s">
        <v>379</v>
      </c>
      <c r="M42" s="209"/>
      <c r="N42" s="75"/>
      <c r="O42" s="210"/>
    </row>
    <row r="43" spans="1:15" s="211" customFormat="1" ht="15.75" customHeight="1">
      <c r="A43" s="202"/>
      <c r="B43" s="203" t="s">
        <v>409</v>
      </c>
      <c r="C43" s="188" t="s">
        <v>399</v>
      </c>
      <c r="D43" s="189" t="s">
        <v>400</v>
      </c>
      <c r="E43" s="189" t="s">
        <v>296</v>
      </c>
      <c r="F43" s="190">
        <v>20000</v>
      </c>
      <c r="G43" s="191">
        <v>45391</v>
      </c>
      <c r="H43" s="71">
        <v>45393</v>
      </c>
      <c r="I43" s="71" t="s">
        <v>297</v>
      </c>
      <c r="J43" s="71" t="s">
        <v>392</v>
      </c>
      <c r="K43" s="192" t="s">
        <v>392</v>
      </c>
      <c r="L43" s="247" t="s">
        <v>402</v>
      </c>
      <c r="M43" s="209"/>
      <c r="N43" s="75"/>
      <c r="O43" s="210"/>
    </row>
    <row r="44" spans="1:15" s="211" customFormat="1" ht="15.75" customHeight="1">
      <c r="A44" s="202"/>
      <c r="B44" s="203" t="s">
        <v>325</v>
      </c>
      <c r="C44" s="204" t="s">
        <v>410</v>
      </c>
      <c r="D44" s="205" t="s">
        <v>411</v>
      </c>
      <c r="E44" s="205" t="s">
        <v>296</v>
      </c>
      <c r="F44" s="206">
        <v>50</v>
      </c>
      <c r="G44" s="207">
        <v>45414</v>
      </c>
      <c r="H44" s="69"/>
      <c r="I44" s="69"/>
      <c r="J44" s="69"/>
      <c r="K44" s="208" t="s">
        <v>392</v>
      </c>
      <c r="L44" s="165" t="s">
        <v>397</v>
      </c>
      <c r="M44" s="209"/>
      <c r="N44" s="75"/>
      <c r="O44" s="210"/>
    </row>
    <row r="45" spans="1:15" s="211" customFormat="1" ht="15.75" customHeight="1">
      <c r="A45" s="202"/>
      <c r="B45" s="223" t="s">
        <v>376</v>
      </c>
      <c r="C45" s="244" t="s">
        <v>412</v>
      </c>
      <c r="D45" s="245" t="s">
        <v>413</v>
      </c>
      <c r="E45" s="221" t="s">
        <v>32</v>
      </c>
      <c r="F45" s="246">
        <v>300</v>
      </c>
      <c r="G45" s="260">
        <v>45419</v>
      </c>
      <c r="H45" s="241"/>
      <c r="I45" s="241" t="s">
        <v>360</v>
      </c>
      <c r="J45" s="69"/>
      <c r="K45" s="208" t="s">
        <v>392</v>
      </c>
      <c r="L45" s="438" t="s">
        <v>414</v>
      </c>
      <c r="M45" s="209"/>
      <c r="N45" s="75"/>
      <c r="O45" s="210"/>
    </row>
    <row r="46" spans="1:15" s="211" customFormat="1" ht="15.75" customHeight="1">
      <c r="A46" s="202"/>
      <c r="B46" s="223" t="s">
        <v>415</v>
      </c>
      <c r="C46" s="244" t="s">
        <v>336</v>
      </c>
      <c r="D46" s="245" t="s">
        <v>416</v>
      </c>
      <c r="E46" s="221" t="s">
        <v>296</v>
      </c>
      <c r="F46" s="246">
        <v>700</v>
      </c>
      <c r="G46" s="260">
        <v>45428</v>
      </c>
      <c r="H46" s="241"/>
      <c r="I46" s="241"/>
      <c r="J46" s="69" t="s">
        <v>361</v>
      </c>
      <c r="K46" s="208" t="s">
        <v>392</v>
      </c>
      <c r="L46" s="439" t="s">
        <v>379</v>
      </c>
      <c r="M46" s="209"/>
      <c r="N46" s="75"/>
      <c r="O46" s="210"/>
    </row>
    <row r="47" spans="1:15" s="211" customFormat="1" ht="15.75" customHeight="1">
      <c r="A47" s="202"/>
      <c r="B47" s="223" t="s">
        <v>417</v>
      </c>
      <c r="C47" s="244" t="s">
        <v>399</v>
      </c>
      <c r="D47" s="245" t="s">
        <v>418</v>
      </c>
      <c r="E47" s="221" t="s">
        <v>296</v>
      </c>
      <c r="F47" s="246">
        <v>500</v>
      </c>
      <c r="G47" s="260">
        <v>45435</v>
      </c>
      <c r="H47" s="241">
        <v>45436</v>
      </c>
      <c r="I47" s="241" t="s">
        <v>297</v>
      </c>
      <c r="J47" s="69" t="s">
        <v>392</v>
      </c>
      <c r="K47" s="208" t="s">
        <v>392</v>
      </c>
      <c r="L47" s="165" t="s">
        <v>397</v>
      </c>
      <c r="M47" s="209"/>
      <c r="N47" s="75"/>
      <c r="O47" s="210"/>
    </row>
    <row r="48" spans="1:15" s="211" customFormat="1" ht="15.75" customHeight="1">
      <c r="A48" s="202"/>
      <c r="B48" s="223" t="s">
        <v>419</v>
      </c>
      <c r="C48" s="244" t="s">
        <v>372</v>
      </c>
      <c r="D48" s="245" t="s">
        <v>420</v>
      </c>
      <c r="E48" s="221" t="s">
        <v>421</v>
      </c>
      <c r="F48" s="246">
        <v>1000</v>
      </c>
      <c r="G48" s="260">
        <v>45450</v>
      </c>
      <c r="H48" s="241">
        <v>45453</v>
      </c>
      <c r="I48" s="241" t="s">
        <v>297</v>
      </c>
      <c r="J48" s="69" t="s">
        <v>299</v>
      </c>
      <c r="K48" s="208" t="s">
        <v>392</v>
      </c>
      <c r="L48" s="165" t="s">
        <v>422</v>
      </c>
      <c r="M48" s="209"/>
      <c r="N48" s="75"/>
      <c r="O48" s="210"/>
    </row>
    <row r="49" spans="1:15" s="211" customFormat="1" ht="15.75" customHeight="1">
      <c r="A49" s="202"/>
      <c r="B49" s="223" t="s">
        <v>423</v>
      </c>
      <c r="C49" s="244" t="s">
        <v>399</v>
      </c>
      <c r="D49" s="245" t="s">
        <v>424</v>
      </c>
      <c r="E49" s="221" t="s">
        <v>296</v>
      </c>
      <c r="F49" s="246">
        <v>10000</v>
      </c>
      <c r="G49" s="260">
        <v>45450</v>
      </c>
      <c r="H49" s="241"/>
      <c r="I49" s="241"/>
      <c r="J49" s="69" t="s">
        <v>333</v>
      </c>
      <c r="K49" s="208" t="s">
        <v>392</v>
      </c>
      <c r="L49" s="165" t="s">
        <v>425</v>
      </c>
      <c r="M49" s="209"/>
      <c r="N49" s="75"/>
      <c r="O49" s="210"/>
    </row>
    <row r="50" spans="1:15" s="211" customFormat="1" ht="15.75" customHeight="1">
      <c r="A50" s="202"/>
      <c r="B50" s="223" t="s">
        <v>335</v>
      </c>
      <c r="C50" s="244" t="s">
        <v>365</v>
      </c>
      <c r="D50" s="245" t="s">
        <v>426</v>
      </c>
      <c r="E50" s="221" t="s">
        <v>296</v>
      </c>
      <c r="F50" s="246">
        <v>300</v>
      </c>
      <c r="G50" s="260">
        <v>45615</v>
      </c>
      <c r="H50" s="241">
        <v>45615</v>
      </c>
      <c r="I50" s="241" t="s">
        <v>297</v>
      </c>
      <c r="J50" s="69" t="s">
        <v>339</v>
      </c>
      <c r="K50" s="208"/>
      <c r="L50" s="165" t="s">
        <v>397</v>
      </c>
      <c r="M50" s="209"/>
      <c r="N50" s="75"/>
      <c r="O50" s="210"/>
    </row>
    <row r="51" spans="1:15" s="211" customFormat="1" ht="15.75" customHeight="1">
      <c r="A51" s="202" t="s">
        <v>427</v>
      </c>
      <c r="B51" s="223" t="s">
        <v>428</v>
      </c>
      <c r="C51" s="244" t="s">
        <v>372</v>
      </c>
      <c r="D51" s="245" t="s">
        <v>429</v>
      </c>
      <c r="E51" s="221" t="s">
        <v>296</v>
      </c>
      <c r="F51" s="246">
        <v>2500</v>
      </c>
      <c r="G51" s="260">
        <v>45624</v>
      </c>
      <c r="H51" s="241"/>
      <c r="I51" s="241"/>
      <c r="J51" s="69" t="s">
        <v>333</v>
      </c>
      <c r="K51" s="208" t="s">
        <v>392</v>
      </c>
      <c r="L51" s="165" t="s">
        <v>430</v>
      </c>
      <c r="M51" s="209"/>
      <c r="N51" s="75"/>
      <c r="O51" s="210"/>
    </row>
    <row r="52" spans="1:15" s="211" customFormat="1" ht="15.75" customHeight="1">
      <c r="A52" s="202"/>
      <c r="B52" s="223" t="s">
        <v>431</v>
      </c>
      <c r="C52" s="244" t="s">
        <v>372</v>
      </c>
      <c r="D52" s="245" t="s">
        <v>432</v>
      </c>
      <c r="E52" s="221" t="s">
        <v>296</v>
      </c>
      <c r="F52" s="246">
        <v>3080</v>
      </c>
      <c r="G52" s="260">
        <v>45645</v>
      </c>
      <c r="H52" s="241"/>
      <c r="I52" s="241"/>
      <c r="J52" s="69" t="s">
        <v>392</v>
      </c>
      <c r="K52" s="208"/>
      <c r="L52" s="165" t="s">
        <v>397</v>
      </c>
      <c r="M52" s="209"/>
      <c r="N52" s="75"/>
      <c r="O52" s="210"/>
    </row>
    <row r="53" spans="1:15" s="211" customFormat="1" ht="15.75" customHeight="1">
      <c r="A53" s="202"/>
      <c r="B53" s="223" t="s">
        <v>433</v>
      </c>
      <c r="C53" s="244" t="s">
        <v>372</v>
      </c>
      <c r="D53" s="245" t="s">
        <v>434</v>
      </c>
      <c r="E53" s="221" t="s">
        <v>296</v>
      </c>
      <c r="F53" s="246">
        <v>1000</v>
      </c>
      <c r="G53" s="260">
        <v>45670</v>
      </c>
      <c r="H53" s="241">
        <v>45671</v>
      </c>
      <c r="I53" s="241" t="s">
        <v>297</v>
      </c>
      <c r="J53" s="69" t="s">
        <v>299</v>
      </c>
      <c r="K53" s="208"/>
      <c r="L53" s="165" t="s">
        <v>435</v>
      </c>
      <c r="M53" s="209"/>
      <c r="N53" s="75"/>
      <c r="O53" s="210"/>
    </row>
    <row r="54" spans="1:15" s="211" customFormat="1" ht="15.75" customHeight="1">
      <c r="A54" s="202"/>
      <c r="B54" s="223" t="s">
        <v>436</v>
      </c>
      <c r="C54" s="244" t="s">
        <v>437</v>
      </c>
      <c r="D54" s="245" t="s">
        <v>438</v>
      </c>
      <c r="E54" s="221" t="s">
        <v>296</v>
      </c>
      <c r="F54" s="246">
        <v>500</v>
      </c>
      <c r="G54" s="260">
        <v>45677</v>
      </c>
      <c r="H54" s="241">
        <v>45678</v>
      </c>
      <c r="I54" s="241" t="s">
        <v>297</v>
      </c>
      <c r="J54" s="69" t="s">
        <v>439</v>
      </c>
      <c r="K54" s="208"/>
      <c r="L54" s="165" t="s">
        <v>440</v>
      </c>
      <c r="M54" s="209"/>
      <c r="N54" s="75"/>
      <c r="O54" s="210"/>
    </row>
    <row r="55" spans="1:15" s="211" customFormat="1" ht="15.75" customHeight="1">
      <c r="A55" s="202"/>
      <c r="B55" s="223" t="s">
        <v>441</v>
      </c>
      <c r="C55" s="244" t="s">
        <v>365</v>
      </c>
      <c r="D55" s="245" t="s">
        <v>442</v>
      </c>
      <c r="E55" s="221" t="s">
        <v>296</v>
      </c>
      <c r="F55" s="246">
        <v>3800</v>
      </c>
      <c r="G55" s="260">
        <v>45742</v>
      </c>
      <c r="H55" s="241">
        <v>45743</v>
      </c>
      <c r="I55" s="241" t="s">
        <v>297</v>
      </c>
      <c r="J55" s="69" t="s">
        <v>299</v>
      </c>
      <c r="K55" s="208"/>
      <c r="L55" s="165" t="s">
        <v>397</v>
      </c>
      <c r="M55" s="209"/>
      <c r="N55" s="75"/>
      <c r="O55" s="210"/>
    </row>
    <row r="56" spans="1:15" s="211" customFormat="1" ht="15.75" customHeight="1">
      <c r="A56" s="202"/>
      <c r="B56" s="223" t="s">
        <v>335</v>
      </c>
      <c r="C56" s="244" t="s">
        <v>365</v>
      </c>
      <c r="D56" s="245" t="s">
        <v>443</v>
      </c>
      <c r="E56" s="221" t="s">
        <v>296</v>
      </c>
      <c r="F56" s="246">
        <v>2000</v>
      </c>
      <c r="G56" s="260">
        <v>45742</v>
      </c>
      <c r="H56" s="241">
        <v>45743</v>
      </c>
      <c r="I56" s="241" t="s">
        <v>297</v>
      </c>
      <c r="J56" s="69" t="s">
        <v>339</v>
      </c>
      <c r="K56" s="208"/>
      <c r="L56" s="165" t="s">
        <v>397</v>
      </c>
      <c r="M56" s="209"/>
      <c r="N56" s="75"/>
      <c r="O56" s="210"/>
    </row>
    <row r="57" spans="1:15" s="211" customFormat="1" ht="15.75" customHeight="1">
      <c r="A57" s="202"/>
      <c r="B57" s="223" t="s">
        <v>343</v>
      </c>
      <c r="C57" s="244" t="s">
        <v>444</v>
      </c>
      <c r="D57" s="245" t="s">
        <v>445</v>
      </c>
      <c r="E57" s="221" t="s">
        <v>296</v>
      </c>
      <c r="F57" s="246">
        <v>200</v>
      </c>
      <c r="G57" s="260">
        <v>45748</v>
      </c>
      <c r="H57" s="241"/>
      <c r="I57" s="241"/>
      <c r="J57" s="69" t="s">
        <v>361</v>
      </c>
      <c r="K57" s="208"/>
      <c r="L57" s="165" t="s">
        <v>397</v>
      </c>
      <c r="M57" s="209"/>
      <c r="N57" s="75"/>
      <c r="O57" s="210"/>
    </row>
    <row r="58" spans="1:15" s="211" customFormat="1" ht="15.75" customHeight="1">
      <c r="A58" s="202"/>
      <c r="B58" s="223" t="s">
        <v>376</v>
      </c>
      <c r="C58" s="244" t="s">
        <v>437</v>
      </c>
      <c r="D58" s="245" t="s">
        <v>446</v>
      </c>
      <c r="E58" s="221" t="s">
        <v>296</v>
      </c>
      <c r="F58" s="246">
        <v>30300</v>
      </c>
      <c r="G58" s="260">
        <v>45771</v>
      </c>
      <c r="H58" s="241"/>
      <c r="I58" s="241"/>
      <c r="J58" s="69" t="s">
        <v>299</v>
      </c>
      <c r="K58" s="208"/>
      <c r="L58" s="165" t="s">
        <v>447</v>
      </c>
      <c r="M58" s="209"/>
      <c r="N58" s="75"/>
      <c r="O58" s="210"/>
    </row>
    <row r="59" spans="1:15" s="211" customFormat="1" ht="15.75" customHeight="1">
      <c r="A59" s="202"/>
      <c r="B59" s="223" t="s">
        <v>335</v>
      </c>
      <c r="C59" s="244" t="s">
        <v>365</v>
      </c>
      <c r="D59" s="245" t="s">
        <v>448</v>
      </c>
      <c r="E59" s="221" t="s">
        <v>296</v>
      </c>
      <c r="F59" s="246">
        <v>101</v>
      </c>
      <c r="G59" s="260">
        <v>45806</v>
      </c>
      <c r="H59" s="241"/>
      <c r="I59" s="241"/>
      <c r="J59" s="69" t="s">
        <v>339</v>
      </c>
      <c r="K59" s="208"/>
      <c r="L59" s="165" t="s">
        <v>449</v>
      </c>
      <c r="M59" s="209"/>
      <c r="N59" s="75"/>
      <c r="O59" s="210"/>
    </row>
    <row r="60" spans="1:15" s="211" customFormat="1" ht="15.75" customHeight="1">
      <c r="A60" s="202"/>
      <c r="B60" s="223" t="s">
        <v>330</v>
      </c>
      <c r="C60" s="244" t="s">
        <v>372</v>
      </c>
      <c r="D60" s="245" t="s">
        <v>450</v>
      </c>
      <c r="E60" s="221" t="s">
        <v>296</v>
      </c>
      <c r="F60" s="246">
        <v>5000</v>
      </c>
      <c r="G60" s="260">
        <v>45845</v>
      </c>
      <c r="H60" s="241"/>
      <c r="I60" s="241"/>
      <c r="J60" s="69" t="s">
        <v>374</v>
      </c>
      <c r="K60" s="208"/>
      <c r="L60" s="165" t="s">
        <v>451</v>
      </c>
      <c r="M60" s="209"/>
      <c r="N60" s="75"/>
      <c r="O60" s="210"/>
    </row>
    <row r="61" spans="1:15" s="211" customFormat="1" ht="15.75" customHeight="1">
      <c r="A61" s="202"/>
      <c r="B61" s="223" t="s">
        <v>335</v>
      </c>
      <c r="C61" s="244" t="s">
        <v>365</v>
      </c>
      <c r="D61" s="245" t="s">
        <v>452</v>
      </c>
      <c r="E61" s="221" t="s">
        <v>296</v>
      </c>
      <c r="F61" s="246">
        <v>600</v>
      </c>
      <c r="G61" s="260">
        <v>45848</v>
      </c>
      <c r="H61" s="241">
        <v>45849</v>
      </c>
      <c r="I61" s="241" t="s">
        <v>297</v>
      </c>
      <c r="J61" s="69" t="s">
        <v>339</v>
      </c>
      <c r="K61" s="208"/>
      <c r="L61" s="165" t="s">
        <v>453</v>
      </c>
      <c r="M61" s="209"/>
      <c r="N61" s="75"/>
      <c r="O61" s="210"/>
    </row>
    <row r="62" spans="1:15" s="211" customFormat="1" ht="15.75" customHeight="1">
      <c r="A62" s="202"/>
      <c r="B62" s="223" t="s">
        <v>428</v>
      </c>
      <c r="C62" s="244" t="s">
        <v>372</v>
      </c>
      <c r="D62" s="245" t="s">
        <v>373</v>
      </c>
      <c r="E62" s="221" t="s">
        <v>296</v>
      </c>
      <c r="F62" s="246">
        <v>3908</v>
      </c>
      <c r="G62" s="260">
        <v>45919</v>
      </c>
      <c r="H62" s="241">
        <v>45923</v>
      </c>
      <c r="I62" s="241" t="s">
        <v>297</v>
      </c>
      <c r="J62" s="69" t="s">
        <v>392</v>
      </c>
      <c r="K62" s="208"/>
      <c r="L62" s="165" t="s">
        <v>397</v>
      </c>
      <c r="M62" s="209"/>
      <c r="N62" s="75"/>
      <c r="O62" s="210"/>
    </row>
    <row r="63" spans="1:15" s="211" customFormat="1" ht="15.75" customHeight="1">
      <c r="A63" s="202" t="s">
        <v>454</v>
      </c>
      <c r="B63" s="223" t="s">
        <v>428</v>
      </c>
      <c r="C63" s="244" t="s">
        <v>372</v>
      </c>
      <c r="D63" s="245" t="s">
        <v>455</v>
      </c>
      <c r="E63" s="221" t="s">
        <v>296</v>
      </c>
      <c r="F63" s="246">
        <v>1500</v>
      </c>
      <c r="G63" s="260">
        <v>45989</v>
      </c>
      <c r="H63" s="241">
        <v>45993</v>
      </c>
      <c r="I63" s="241" t="s">
        <v>297</v>
      </c>
      <c r="J63" s="69" t="s">
        <v>392</v>
      </c>
      <c r="K63" s="208"/>
      <c r="L63" s="165" t="s">
        <v>456</v>
      </c>
      <c r="M63" s="209"/>
      <c r="N63" s="75"/>
      <c r="O63" s="210"/>
    </row>
    <row r="64" spans="1:15" s="211" customFormat="1" ht="15.75" customHeight="1">
      <c r="A64" s="202"/>
      <c r="B64" s="223" t="s">
        <v>335</v>
      </c>
      <c r="C64" s="244" t="s">
        <v>437</v>
      </c>
      <c r="D64" s="245" t="s">
        <v>457</v>
      </c>
      <c r="E64" s="221" t="s">
        <v>296</v>
      </c>
      <c r="F64" s="246">
        <v>180</v>
      </c>
      <c r="G64" s="260">
        <v>46062</v>
      </c>
      <c r="H64" s="241">
        <v>46063</v>
      </c>
      <c r="I64" s="241" t="s">
        <v>38</v>
      </c>
      <c r="J64" s="69" t="s">
        <v>392</v>
      </c>
      <c r="K64" s="208"/>
      <c r="L64" s="165" t="s">
        <v>458</v>
      </c>
      <c r="M64" s="209"/>
      <c r="N64" s="75"/>
      <c r="O64" s="210"/>
    </row>
    <row r="65" spans="1:15" s="145" customFormat="1" ht="15.75" customHeight="1">
      <c r="A65" s="186" t="s">
        <v>459</v>
      </c>
      <c r="B65" s="224" t="s">
        <v>407</v>
      </c>
      <c r="C65" s="233" t="s">
        <v>377</v>
      </c>
      <c r="D65" s="231" t="s">
        <v>460</v>
      </c>
      <c r="E65" s="234" t="s">
        <v>296</v>
      </c>
      <c r="F65" s="235">
        <v>500</v>
      </c>
      <c r="G65" s="258">
        <v>46062</v>
      </c>
      <c r="H65" s="219">
        <v>46063</v>
      </c>
      <c r="I65" s="219" t="s">
        <v>297</v>
      </c>
      <c r="J65" s="71"/>
      <c r="K65" s="192"/>
      <c r="L65" s="247" t="s">
        <v>461</v>
      </c>
      <c r="M65" s="193"/>
      <c r="N65" s="194"/>
      <c r="O65" s="195"/>
    </row>
    <row r="66" spans="1:15" s="211" customFormat="1" ht="15.75" customHeight="1">
      <c r="A66" s="202"/>
      <c r="B66" s="223" t="s">
        <v>433</v>
      </c>
      <c r="C66" s="244" t="s">
        <v>372</v>
      </c>
      <c r="D66" s="245" t="s">
        <v>462</v>
      </c>
      <c r="E66" s="221" t="s">
        <v>296</v>
      </c>
      <c r="F66" s="246">
        <v>500</v>
      </c>
      <c r="G66" s="260">
        <v>46078</v>
      </c>
      <c r="H66" s="241">
        <v>46080</v>
      </c>
      <c r="I66" s="241" t="s">
        <v>69</v>
      </c>
      <c r="J66" s="69" t="s">
        <v>299</v>
      </c>
      <c r="K66" s="208"/>
      <c r="L66" s="165" t="s">
        <v>458</v>
      </c>
      <c r="M66" s="209"/>
      <c r="N66" s="75"/>
      <c r="O66" s="210"/>
    </row>
    <row r="67" spans="1:15" s="211" customFormat="1" ht="15.75" customHeight="1">
      <c r="A67" s="202"/>
      <c r="B67" s="223" t="s">
        <v>234</v>
      </c>
      <c r="C67" s="244" t="s">
        <v>463</v>
      </c>
      <c r="D67" s="245" t="s">
        <v>464</v>
      </c>
      <c r="E67" s="221" t="s">
        <v>80</v>
      </c>
      <c r="F67" s="246">
        <v>400</v>
      </c>
      <c r="G67" s="260">
        <v>46087</v>
      </c>
      <c r="H67" s="241">
        <v>46087</v>
      </c>
      <c r="I67" s="241" t="s">
        <v>69</v>
      </c>
      <c r="J67" s="69" t="s">
        <v>82</v>
      </c>
      <c r="K67" s="208"/>
      <c r="L67" s="165" t="s">
        <v>397</v>
      </c>
      <c r="M67" s="209"/>
      <c r="N67" s="75"/>
      <c r="O67" s="210"/>
    </row>
    <row r="68" spans="1:15" ht="38.25" customHeight="1">
      <c r="A68" s="50"/>
      <c r="B68" s="155"/>
      <c r="C68" s="155"/>
      <c r="D68" s="114" t="s">
        <v>278</v>
      </c>
      <c r="E68" s="116" t="s">
        <v>286</v>
      </c>
      <c r="F68" s="143"/>
      <c r="G68" s="47"/>
      <c r="H68" s="47"/>
      <c r="I68" s="47"/>
      <c r="J68" s="51"/>
      <c r="K68" s="174"/>
      <c r="L68" s="54"/>
      <c r="M68" s="104"/>
      <c r="N68" s="24"/>
      <c r="O68" s="74"/>
    </row>
    <row r="69" spans="1:15" ht="15.75" customHeight="1">
      <c r="A69" s="29"/>
      <c r="B69" s="156" t="s">
        <v>293</v>
      </c>
      <c r="C69" s="159" t="s">
        <v>465</v>
      </c>
      <c r="D69" s="146" t="s">
        <v>466</v>
      </c>
      <c r="E69" s="146" t="s">
        <v>467</v>
      </c>
      <c r="F69" s="101">
        <v>10</v>
      </c>
      <c r="G69" s="92">
        <v>43993</v>
      </c>
      <c r="H69" s="49"/>
      <c r="I69" s="49" t="s">
        <v>297</v>
      </c>
      <c r="J69" s="49" t="s">
        <v>298</v>
      </c>
      <c r="K69" s="87" t="s">
        <v>299</v>
      </c>
      <c r="L69" s="165" t="s">
        <v>300</v>
      </c>
      <c r="M69" s="103"/>
      <c r="N69" s="26"/>
      <c r="O69" s="4"/>
    </row>
    <row r="70" spans="1:15" ht="15.75" customHeight="1">
      <c r="A70" s="29"/>
      <c r="B70" s="156" t="s">
        <v>293</v>
      </c>
      <c r="C70" s="159" t="s">
        <v>465</v>
      </c>
      <c r="D70" s="146" t="s">
        <v>468</v>
      </c>
      <c r="E70" s="146" t="s">
        <v>467</v>
      </c>
      <c r="F70" s="101">
        <v>10</v>
      </c>
      <c r="G70" s="92">
        <v>43993</v>
      </c>
      <c r="H70" s="49"/>
      <c r="I70" s="49" t="s">
        <v>297</v>
      </c>
      <c r="J70" s="49" t="s">
        <v>298</v>
      </c>
      <c r="K70" s="87" t="s">
        <v>299</v>
      </c>
      <c r="L70" s="165" t="s">
        <v>300</v>
      </c>
      <c r="M70" s="103"/>
      <c r="N70" s="26"/>
      <c r="O70" s="4"/>
    </row>
    <row r="71" spans="1:15" ht="15.75" customHeight="1">
      <c r="A71" s="29"/>
      <c r="B71" s="156" t="s">
        <v>293</v>
      </c>
      <c r="C71" s="159" t="s">
        <v>465</v>
      </c>
      <c r="D71" s="146" t="s">
        <v>469</v>
      </c>
      <c r="E71" s="146" t="s">
        <v>467</v>
      </c>
      <c r="F71" s="101">
        <v>10</v>
      </c>
      <c r="G71" s="92">
        <v>43993</v>
      </c>
      <c r="H71" s="49"/>
      <c r="I71" s="49" t="s">
        <v>297</v>
      </c>
      <c r="J71" s="49" t="s">
        <v>298</v>
      </c>
      <c r="K71" s="87" t="s">
        <v>299</v>
      </c>
      <c r="L71" s="165" t="s">
        <v>300</v>
      </c>
      <c r="M71" s="103"/>
      <c r="N71" s="26"/>
      <c r="O71" s="4"/>
    </row>
    <row r="72" spans="1:15" s="128" customFormat="1" ht="15.75" customHeight="1">
      <c r="A72" s="96"/>
      <c r="B72" s="154" t="s">
        <v>325</v>
      </c>
      <c r="C72" s="160" t="s">
        <v>465</v>
      </c>
      <c r="D72" s="125" t="s">
        <v>470</v>
      </c>
      <c r="E72" s="125" t="s">
        <v>467</v>
      </c>
      <c r="F72" s="127">
        <v>500</v>
      </c>
      <c r="G72" s="99">
        <v>44069</v>
      </c>
      <c r="H72" s="34">
        <v>44074</v>
      </c>
      <c r="I72" s="34" t="s">
        <v>297</v>
      </c>
      <c r="J72" s="34" t="s">
        <v>388</v>
      </c>
      <c r="K72" s="181" t="s">
        <v>299</v>
      </c>
      <c r="L72" s="165" t="s">
        <v>471</v>
      </c>
      <c r="M72" s="104"/>
      <c r="N72" s="24"/>
      <c r="O72" s="74"/>
    </row>
    <row r="73" spans="1:15" ht="15.75" customHeight="1">
      <c r="A73" s="29"/>
      <c r="B73" s="156" t="s">
        <v>472</v>
      </c>
      <c r="C73" s="159" t="s">
        <v>465</v>
      </c>
      <c r="D73" s="146" t="s">
        <v>473</v>
      </c>
      <c r="E73" s="146"/>
      <c r="F73" s="101"/>
      <c r="G73" s="92">
        <v>44074</v>
      </c>
      <c r="H73" s="49">
        <v>44077</v>
      </c>
      <c r="I73" s="49" t="s">
        <v>297</v>
      </c>
      <c r="J73" s="49" t="s">
        <v>299</v>
      </c>
      <c r="K73" s="87" t="s">
        <v>299</v>
      </c>
      <c r="L73" s="165" t="s">
        <v>300</v>
      </c>
      <c r="M73" s="103"/>
      <c r="N73" s="26"/>
      <c r="O73" s="4"/>
    </row>
    <row r="74" spans="1:15" s="128" customFormat="1" ht="15.75" customHeight="1">
      <c r="A74" s="96"/>
      <c r="B74" s="154" t="s">
        <v>315</v>
      </c>
      <c r="C74" s="160" t="s">
        <v>474</v>
      </c>
      <c r="D74" s="125" t="s">
        <v>475</v>
      </c>
      <c r="E74" s="125" t="s">
        <v>467</v>
      </c>
      <c r="F74" s="127">
        <v>1000</v>
      </c>
      <c r="G74" s="99">
        <v>44098</v>
      </c>
      <c r="H74" s="34">
        <v>44099</v>
      </c>
      <c r="I74" s="34" t="s">
        <v>297</v>
      </c>
      <c r="J74" s="34" t="s">
        <v>339</v>
      </c>
      <c r="K74" s="181" t="s">
        <v>299</v>
      </c>
      <c r="L74" s="165" t="s">
        <v>476</v>
      </c>
      <c r="M74" s="104"/>
      <c r="N74" s="24"/>
      <c r="O74" s="74"/>
    </row>
    <row r="75" spans="1:15" ht="37.5" customHeight="1">
      <c r="A75" s="50"/>
      <c r="B75" s="155"/>
      <c r="C75" s="155"/>
      <c r="D75" s="123" t="s">
        <v>124</v>
      </c>
      <c r="E75" s="116" t="s">
        <v>125</v>
      </c>
      <c r="F75" s="97"/>
      <c r="G75" s="47"/>
      <c r="H75" s="47"/>
      <c r="I75" s="47"/>
      <c r="J75" s="51"/>
      <c r="K75" s="51"/>
      <c r="L75" s="50"/>
      <c r="M75" s="103"/>
      <c r="N75" s="26"/>
      <c r="O75" s="4"/>
    </row>
    <row r="76" spans="1:15" s="211" customFormat="1" ht="15.75" customHeight="1">
      <c r="A76" s="202"/>
      <c r="B76" s="203" t="s">
        <v>343</v>
      </c>
      <c r="C76" s="204" t="s">
        <v>477</v>
      </c>
      <c r="D76" s="205" t="s">
        <v>478</v>
      </c>
      <c r="E76" s="205" t="s">
        <v>479</v>
      </c>
      <c r="F76" s="206">
        <v>80</v>
      </c>
      <c r="G76" s="207">
        <v>45238</v>
      </c>
      <c r="H76" s="69"/>
      <c r="I76" s="69"/>
      <c r="J76" s="69" t="s">
        <v>298</v>
      </c>
      <c r="K76" s="181" t="s">
        <v>299</v>
      </c>
      <c r="L76" s="165" t="s">
        <v>402</v>
      </c>
      <c r="M76" s="209"/>
      <c r="N76" s="75"/>
      <c r="O76" s="210"/>
    </row>
    <row r="77" spans="1:15" s="211" customFormat="1" ht="15.75" customHeight="1">
      <c r="A77" s="202"/>
      <c r="B77" s="203" t="s">
        <v>335</v>
      </c>
      <c r="C77" s="204" t="s">
        <v>480</v>
      </c>
      <c r="D77" s="205" t="s">
        <v>481</v>
      </c>
      <c r="E77" s="205" t="s">
        <v>479</v>
      </c>
      <c r="F77" s="206">
        <v>1000</v>
      </c>
      <c r="G77" s="207">
        <v>45796</v>
      </c>
      <c r="H77" s="69">
        <v>45797</v>
      </c>
      <c r="I77" s="69" t="s">
        <v>297</v>
      </c>
      <c r="J77" s="69" t="s">
        <v>333</v>
      </c>
      <c r="K77" s="181"/>
      <c r="L77" s="165" t="s">
        <v>367</v>
      </c>
      <c r="M77" s="209"/>
      <c r="N77" s="75"/>
      <c r="O77" s="210"/>
    </row>
    <row r="78" spans="1:15" ht="38.25" customHeight="1">
      <c r="A78" s="50"/>
      <c r="B78" s="155"/>
      <c r="C78" s="155"/>
      <c r="D78" s="114" t="s">
        <v>132</v>
      </c>
      <c r="E78" s="116" t="s">
        <v>133</v>
      </c>
      <c r="F78" s="143"/>
      <c r="G78" s="47"/>
      <c r="H78" s="47"/>
      <c r="I78" s="47"/>
      <c r="J78" s="51"/>
      <c r="K78" s="174"/>
      <c r="L78" s="54"/>
      <c r="M78" s="104"/>
      <c r="N78" s="24"/>
      <c r="O78" s="74"/>
    </row>
    <row r="79" spans="1:15" s="128" customFormat="1" ht="16.5" customHeight="1">
      <c r="A79" s="96"/>
      <c r="B79" s="154" t="s">
        <v>325</v>
      </c>
      <c r="C79" s="160" t="s">
        <v>482</v>
      </c>
      <c r="D79" s="182" t="s">
        <v>483</v>
      </c>
      <c r="E79" s="125" t="s">
        <v>484</v>
      </c>
      <c r="F79" s="127">
        <v>200</v>
      </c>
      <c r="G79" s="99">
        <v>44041</v>
      </c>
      <c r="H79" s="34"/>
      <c r="I79" s="34"/>
      <c r="J79" s="34" t="s">
        <v>298</v>
      </c>
      <c r="K79" s="181" t="s">
        <v>299</v>
      </c>
      <c r="L79" s="185" t="s">
        <v>485</v>
      </c>
      <c r="M79" s="104"/>
      <c r="N79" s="24"/>
      <c r="O79" s="74"/>
    </row>
    <row r="80" spans="1:15" ht="15.75" customHeight="1">
      <c r="A80" s="29"/>
      <c r="B80" s="167" t="s">
        <v>431</v>
      </c>
      <c r="C80" s="159" t="s">
        <v>486</v>
      </c>
      <c r="D80" s="184" t="s">
        <v>487</v>
      </c>
      <c r="E80" s="146" t="s">
        <v>484</v>
      </c>
      <c r="F80" s="101">
        <v>0</v>
      </c>
      <c r="G80" s="92">
        <v>44095</v>
      </c>
      <c r="H80" s="49">
        <v>44097</v>
      </c>
      <c r="I80" s="49" t="s">
        <v>297</v>
      </c>
      <c r="J80" s="49" t="s">
        <v>298</v>
      </c>
      <c r="K80" s="87" t="s">
        <v>299</v>
      </c>
      <c r="L80" s="165" t="s">
        <v>488</v>
      </c>
      <c r="M80" s="103"/>
      <c r="N80" s="26"/>
      <c r="O80" s="4"/>
    </row>
    <row r="81" spans="1:15" s="129" customFormat="1" ht="16.5" customHeight="1">
      <c r="A81" s="93"/>
      <c r="B81" s="154" t="s">
        <v>405</v>
      </c>
      <c r="C81" s="161" t="s">
        <v>489</v>
      </c>
      <c r="D81" s="169" t="s">
        <v>490</v>
      </c>
      <c r="E81" s="125" t="s">
        <v>484</v>
      </c>
      <c r="F81" s="107">
        <v>10</v>
      </c>
      <c r="G81" s="100">
        <v>44103</v>
      </c>
      <c r="H81" s="39"/>
      <c r="I81" s="39"/>
      <c r="J81" s="34" t="s">
        <v>298</v>
      </c>
      <c r="K81" s="181" t="s">
        <v>299</v>
      </c>
      <c r="L81" s="148" t="s">
        <v>491</v>
      </c>
      <c r="M81" s="105"/>
      <c r="N81" s="94"/>
      <c r="O81" s="95"/>
    </row>
    <row r="82" spans="1:15" s="130" customFormat="1" ht="16.5" customHeight="1">
      <c r="A82" s="108"/>
      <c r="B82" s="156" t="s">
        <v>293</v>
      </c>
      <c r="C82" s="157" t="s">
        <v>465</v>
      </c>
      <c r="D82" s="142" t="s">
        <v>492</v>
      </c>
      <c r="E82" s="124" t="s">
        <v>484</v>
      </c>
      <c r="F82" s="109">
        <v>0</v>
      </c>
      <c r="G82" s="110">
        <v>44099</v>
      </c>
      <c r="H82" s="43">
        <v>44102</v>
      </c>
      <c r="I82" s="43" t="s">
        <v>297</v>
      </c>
      <c r="J82" s="43"/>
      <c r="K82" s="87" t="s">
        <v>299</v>
      </c>
      <c r="L82" s="148" t="s">
        <v>493</v>
      </c>
      <c r="M82" s="111"/>
      <c r="N82" s="112"/>
      <c r="O82" s="113"/>
    </row>
    <row r="83" spans="1:15" s="130" customFormat="1" ht="16.5" customHeight="1">
      <c r="A83" s="108"/>
      <c r="B83" s="156" t="s">
        <v>494</v>
      </c>
      <c r="C83" s="157" t="s">
        <v>495</v>
      </c>
      <c r="D83" s="142" t="s">
        <v>496</v>
      </c>
      <c r="E83" s="124" t="s">
        <v>484</v>
      </c>
      <c r="F83" s="109">
        <v>108</v>
      </c>
      <c r="G83" s="110"/>
      <c r="H83" s="43">
        <v>44131</v>
      </c>
      <c r="I83" s="43" t="s">
        <v>297</v>
      </c>
      <c r="J83" s="43" t="s">
        <v>374</v>
      </c>
      <c r="K83" s="175"/>
      <c r="L83" s="148" t="s">
        <v>497</v>
      </c>
      <c r="M83" s="111"/>
      <c r="N83" s="112"/>
      <c r="O83" s="113"/>
    </row>
    <row r="84" spans="1:15" s="129" customFormat="1" ht="16.5" customHeight="1">
      <c r="A84" s="93"/>
      <c r="B84" s="154" t="s">
        <v>428</v>
      </c>
      <c r="C84" s="161" t="s">
        <v>489</v>
      </c>
      <c r="D84" s="169" t="s">
        <v>498</v>
      </c>
      <c r="E84" s="126" t="s">
        <v>484</v>
      </c>
      <c r="F84" s="107">
        <v>0</v>
      </c>
      <c r="G84" s="100">
        <v>44130</v>
      </c>
      <c r="H84" s="39">
        <v>44131</v>
      </c>
      <c r="I84" s="39" t="s">
        <v>297</v>
      </c>
      <c r="J84" s="39"/>
      <c r="K84" s="181" t="s">
        <v>299</v>
      </c>
      <c r="L84" s="148" t="s">
        <v>493</v>
      </c>
      <c r="M84" s="105"/>
      <c r="N84" s="94"/>
      <c r="O84" s="95"/>
    </row>
    <row r="85" spans="1:15" s="129" customFormat="1" ht="16.5" customHeight="1">
      <c r="A85" s="93"/>
      <c r="B85" s="154" t="s">
        <v>499</v>
      </c>
      <c r="C85" s="161" t="s">
        <v>489</v>
      </c>
      <c r="D85" s="169" t="s">
        <v>500</v>
      </c>
      <c r="E85" s="126" t="s">
        <v>484</v>
      </c>
      <c r="F85" s="107">
        <v>0</v>
      </c>
      <c r="G85" s="100">
        <v>44130</v>
      </c>
      <c r="H85" s="39">
        <v>44131</v>
      </c>
      <c r="I85" s="39" t="s">
        <v>297</v>
      </c>
      <c r="J85" s="39"/>
      <c r="K85" s="181" t="s">
        <v>299</v>
      </c>
      <c r="L85" s="165" t="s">
        <v>488</v>
      </c>
      <c r="M85" s="105"/>
      <c r="N85" s="94"/>
      <c r="O85" s="95"/>
    </row>
    <row r="86" spans="1:15" s="129" customFormat="1" ht="16.5" customHeight="1">
      <c r="A86" s="93"/>
      <c r="B86" s="154" t="s">
        <v>394</v>
      </c>
      <c r="C86" s="161" t="s">
        <v>495</v>
      </c>
      <c r="D86" s="169" t="s">
        <v>501</v>
      </c>
      <c r="E86" s="126" t="s">
        <v>484</v>
      </c>
      <c r="F86" s="107">
        <v>30</v>
      </c>
      <c r="G86" s="100">
        <v>44133</v>
      </c>
      <c r="H86" s="39"/>
      <c r="I86" s="39"/>
      <c r="J86" s="39"/>
      <c r="K86" s="181" t="s">
        <v>299</v>
      </c>
      <c r="L86" s="165" t="s">
        <v>502</v>
      </c>
      <c r="M86" s="105"/>
      <c r="N86" s="94"/>
      <c r="O86" s="95"/>
    </row>
    <row r="87" spans="1:15" s="130" customFormat="1" ht="16.5" customHeight="1">
      <c r="A87" s="108"/>
      <c r="B87" s="156"/>
      <c r="C87" s="157" t="s">
        <v>503</v>
      </c>
      <c r="D87" s="142" t="s">
        <v>504</v>
      </c>
      <c r="E87" s="124"/>
      <c r="F87" s="109"/>
      <c r="G87" s="110"/>
      <c r="H87" s="43">
        <v>44131</v>
      </c>
      <c r="I87" s="43" t="s">
        <v>297</v>
      </c>
      <c r="J87" s="43"/>
      <c r="K87" s="175"/>
      <c r="L87" s="247" t="s">
        <v>505</v>
      </c>
      <c r="M87" s="111"/>
      <c r="N87" s="112"/>
      <c r="O87" s="113"/>
    </row>
    <row r="88" spans="1:15" s="130" customFormat="1" ht="16.5" customHeight="1">
      <c r="A88" s="108"/>
      <c r="B88" s="156"/>
      <c r="C88" s="157" t="s">
        <v>506</v>
      </c>
      <c r="D88" s="142" t="s">
        <v>504</v>
      </c>
      <c r="E88" s="124"/>
      <c r="F88" s="109"/>
      <c r="G88" s="110"/>
      <c r="H88" s="43">
        <v>44144</v>
      </c>
      <c r="I88" s="43" t="s">
        <v>297</v>
      </c>
      <c r="J88" s="43"/>
      <c r="K88" s="175"/>
      <c r="L88" s="247" t="s">
        <v>505</v>
      </c>
      <c r="M88" s="111"/>
      <c r="N88" s="112"/>
      <c r="O88" s="113"/>
    </row>
    <row r="89" spans="1:15" s="130" customFormat="1" ht="16.5" customHeight="1">
      <c r="A89" s="108"/>
      <c r="B89" s="156" t="s">
        <v>343</v>
      </c>
      <c r="C89" s="157" t="s">
        <v>507</v>
      </c>
      <c r="D89" s="142" t="s">
        <v>508</v>
      </c>
      <c r="E89" s="124" t="s">
        <v>484</v>
      </c>
      <c r="F89" s="109">
        <v>1000</v>
      </c>
      <c r="G89" s="110">
        <v>44188</v>
      </c>
      <c r="H89" s="43"/>
      <c r="I89" s="43"/>
      <c r="J89" s="43" t="s">
        <v>298</v>
      </c>
      <c r="K89" s="175" t="s">
        <v>299</v>
      </c>
      <c r="L89" s="165" t="s">
        <v>488</v>
      </c>
      <c r="M89" s="111"/>
      <c r="N89" s="112"/>
      <c r="O89" s="113"/>
    </row>
    <row r="90" spans="1:15" s="130" customFormat="1" ht="16.5" customHeight="1">
      <c r="A90" s="108"/>
      <c r="B90" s="156" t="s">
        <v>325</v>
      </c>
      <c r="C90" s="157" t="s">
        <v>482</v>
      </c>
      <c r="D90" s="142" t="s">
        <v>509</v>
      </c>
      <c r="E90" s="124" t="s">
        <v>484</v>
      </c>
      <c r="F90" s="109">
        <v>100</v>
      </c>
      <c r="G90" s="110">
        <v>44560</v>
      </c>
      <c r="H90" s="43">
        <v>44200</v>
      </c>
      <c r="I90" s="43" t="s">
        <v>360</v>
      </c>
      <c r="J90" s="43"/>
      <c r="K90" s="175" t="s">
        <v>299</v>
      </c>
      <c r="L90" s="165" t="s">
        <v>510</v>
      </c>
      <c r="M90" s="111"/>
      <c r="N90" s="112"/>
      <c r="O90" s="113"/>
    </row>
    <row r="91" spans="1:15" s="129" customFormat="1" ht="16.5" customHeight="1">
      <c r="A91" s="93"/>
      <c r="B91" s="154" t="s">
        <v>511</v>
      </c>
      <c r="C91" s="161" t="s">
        <v>512</v>
      </c>
      <c r="D91" s="169" t="s">
        <v>513</v>
      </c>
      <c r="E91" s="126" t="s">
        <v>484</v>
      </c>
      <c r="F91" s="107">
        <v>20.25</v>
      </c>
      <c r="G91" s="100">
        <v>44221</v>
      </c>
      <c r="H91" s="39"/>
      <c r="I91" s="39"/>
      <c r="J91" s="39" t="s">
        <v>361</v>
      </c>
      <c r="K91" s="181" t="s">
        <v>299</v>
      </c>
      <c r="L91" s="165" t="s">
        <v>514</v>
      </c>
      <c r="M91" s="105"/>
      <c r="N91" s="94"/>
      <c r="O91" s="95"/>
    </row>
    <row r="92" spans="1:15" s="129" customFormat="1" ht="16.5" customHeight="1">
      <c r="A92" s="93"/>
      <c r="B92" s="154" t="s">
        <v>325</v>
      </c>
      <c r="C92" s="161" t="s">
        <v>482</v>
      </c>
      <c r="D92" s="169" t="s">
        <v>515</v>
      </c>
      <c r="E92" s="126" t="s">
        <v>484</v>
      </c>
      <c r="F92" s="107">
        <v>100</v>
      </c>
      <c r="G92" s="100">
        <v>44229</v>
      </c>
      <c r="H92" s="39">
        <v>44230</v>
      </c>
      <c r="I92" s="39" t="s">
        <v>360</v>
      </c>
      <c r="J92" s="39" t="s">
        <v>516</v>
      </c>
      <c r="K92" s="181" t="s">
        <v>299</v>
      </c>
      <c r="L92" s="165" t="s">
        <v>510</v>
      </c>
      <c r="M92" s="105"/>
      <c r="N92" s="94"/>
      <c r="O92" s="95"/>
    </row>
    <row r="93" spans="1:15" s="129" customFormat="1" ht="16.5" customHeight="1">
      <c r="A93" s="93"/>
      <c r="B93" s="154" t="s">
        <v>517</v>
      </c>
      <c r="C93" s="161" t="s">
        <v>486</v>
      </c>
      <c r="D93" s="169" t="s">
        <v>518</v>
      </c>
      <c r="E93" s="126" t="s">
        <v>484</v>
      </c>
      <c r="F93" s="107">
        <v>50</v>
      </c>
      <c r="G93" s="100">
        <v>44236</v>
      </c>
      <c r="H93" s="39">
        <v>44237</v>
      </c>
      <c r="I93" s="39" t="s">
        <v>297</v>
      </c>
      <c r="J93" s="39" t="s">
        <v>298</v>
      </c>
      <c r="K93" s="181" t="s">
        <v>299</v>
      </c>
      <c r="L93" s="165" t="s">
        <v>519</v>
      </c>
      <c r="M93" s="105"/>
      <c r="N93" s="94"/>
      <c r="O93" s="95"/>
    </row>
    <row r="94" spans="1:15" s="129" customFormat="1" ht="16.5" customHeight="1">
      <c r="A94" s="93"/>
      <c r="B94" s="154" t="s">
        <v>520</v>
      </c>
      <c r="C94" s="161" t="s">
        <v>376</v>
      </c>
      <c r="D94" s="169" t="s">
        <v>521</v>
      </c>
      <c r="E94" s="126" t="s">
        <v>484</v>
      </c>
      <c r="F94" s="107">
        <v>500</v>
      </c>
      <c r="G94" s="100">
        <v>44259</v>
      </c>
      <c r="H94" s="39">
        <v>44263</v>
      </c>
      <c r="I94" s="39" t="s">
        <v>297</v>
      </c>
      <c r="J94" s="39" t="s">
        <v>339</v>
      </c>
      <c r="K94" s="181" t="s">
        <v>299</v>
      </c>
      <c r="L94" s="165" t="s">
        <v>522</v>
      </c>
      <c r="M94" s="105"/>
      <c r="N94" s="94"/>
      <c r="O94" s="95"/>
    </row>
    <row r="95" spans="1:15" s="129" customFormat="1" ht="16.5" customHeight="1">
      <c r="A95" s="93"/>
      <c r="B95" s="154" t="s">
        <v>315</v>
      </c>
      <c r="C95" s="161" t="s">
        <v>482</v>
      </c>
      <c r="D95" s="169" t="s">
        <v>523</v>
      </c>
      <c r="E95" s="126" t="s">
        <v>484</v>
      </c>
      <c r="F95" s="107">
        <v>325</v>
      </c>
      <c r="G95" s="100">
        <v>44327</v>
      </c>
      <c r="H95" s="39">
        <v>44328</v>
      </c>
      <c r="I95" s="39" t="s">
        <v>360</v>
      </c>
      <c r="J95" s="39" t="s">
        <v>516</v>
      </c>
      <c r="K95" s="181" t="s">
        <v>299</v>
      </c>
      <c r="L95" s="165" t="s">
        <v>524</v>
      </c>
      <c r="M95" s="105"/>
      <c r="N95" s="94"/>
      <c r="O95" s="95"/>
    </row>
    <row r="96" spans="1:15" s="129" customFormat="1" ht="16.5" customHeight="1">
      <c r="A96" s="93"/>
      <c r="B96" s="154" t="s">
        <v>315</v>
      </c>
      <c r="C96" s="161" t="s">
        <v>482</v>
      </c>
      <c r="D96" s="169" t="s">
        <v>525</v>
      </c>
      <c r="E96" s="126" t="s">
        <v>484</v>
      </c>
      <c r="F96" s="107">
        <v>125</v>
      </c>
      <c r="G96" s="100">
        <v>44358</v>
      </c>
      <c r="H96" s="39">
        <v>44362</v>
      </c>
      <c r="I96" s="39" t="s">
        <v>360</v>
      </c>
      <c r="J96" s="39" t="s">
        <v>516</v>
      </c>
      <c r="K96" s="181" t="s">
        <v>299</v>
      </c>
      <c r="L96" s="165" t="s">
        <v>526</v>
      </c>
      <c r="M96" s="105"/>
      <c r="N96" s="94"/>
      <c r="O96" s="95"/>
    </row>
    <row r="97" spans="1:15" s="130" customFormat="1" ht="16.5" customHeight="1">
      <c r="A97" s="108"/>
      <c r="B97" s="156" t="s">
        <v>405</v>
      </c>
      <c r="C97" s="157" t="s">
        <v>489</v>
      </c>
      <c r="D97" s="142" t="s">
        <v>527</v>
      </c>
      <c r="E97" s="124" t="s">
        <v>484</v>
      </c>
      <c r="F97" s="109">
        <v>50</v>
      </c>
      <c r="G97" s="110">
        <v>44365</v>
      </c>
      <c r="H97" s="43">
        <v>44368</v>
      </c>
      <c r="I97" s="43" t="s">
        <v>297</v>
      </c>
      <c r="J97" s="43"/>
      <c r="K97" s="175" t="s">
        <v>299</v>
      </c>
      <c r="L97" s="247" t="s">
        <v>526</v>
      </c>
      <c r="M97" s="111"/>
      <c r="N97" s="112"/>
      <c r="O97" s="113"/>
    </row>
    <row r="98" spans="1:15" s="129" customFormat="1" ht="16.5" customHeight="1">
      <c r="A98" s="93"/>
      <c r="B98" s="154" t="s">
        <v>528</v>
      </c>
      <c r="C98" s="161" t="s">
        <v>465</v>
      </c>
      <c r="D98" s="169" t="s">
        <v>529</v>
      </c>
      <c r="E98" s="126" t="s">
        <v>484</v>
      </c>
      <c r="F98" s="107">
        <v>232</v>
      </c>
      <c r="G98" s="100">
        <v>44368</v>
      </c>
      <c r="H98" s="39">
        <v>44369</v>
      </c>
      <c r="I98" s="39" t="s">
        <v>297</v>
      </c>
      <c r="J98" s="39"/>
      <c r="K98" s="181" t="s">
        <v>299</v>
      </c>
      <c r="L98" s="165" t="s">
        <v>530</v>
      </c>
      <c r="M98" s="105"/>
      <c r="N98" s="94"/>
      <c r="O98" s="95"/>
    </row>
    <row r="99" spans="1:15" s="129" customFormat="1" ht="16.5" customHeight="1">
      <c r="A99" s="93"/>
      <c r="B99" s="154" t="s">
        <v>330</v>
      </c>
      <c r="C99" s="161" t="s">
        <v>531</v>
      </c>
      <c r="D99" s="169" t="s">
        <v>532</v>
      </c>
      <c r="E99" s="126" t="s">
        <v>484</v>
      </c>
      <c r="F99" s="107"/>
      <c r="G99" s="100"/>
      <c r="H99" s="39"/>
      <c r="I99" s="39"/>
      <c r="J99" s="39"/>
      <c r="K99" s="176"/>
      <c r="L99" s="165" t="s">
        <v>533</v>
      </c>
      <c r="M99" s="105"/>
      <c r="N99" s="94"/>
      <c r="O99" s="95"/>
    </row>
    <row r="100" spans="1:15" s="129" customFormat="1" ht="16.5" customHeight="1">
      <c r="A100" s="93"/>
      <c r="B100" s="154" t="s">
        <v>534</v>
      </c>
      <c r="C100" s="161" t="s">
        <v>535</v>
      </c>
      <c r="D100" s="169" t="s">
        <v>536</v>
      </c>
      <c r="E100" s="126" t="s">
        <v>200</v>
      </c>
      <c r="F100" s="107">
        <v>4000</v>
      </c>
      <c r="G100" s="100">
        <v>44421</v>
      </c>
      <c r="H100" s="39"/>
      <c r="I100" s="39"/>
      <c r="J100" s="39"/>
      <c r="K100" s="176"/>
      <c r="L100" s="165" t="s">
        <v>537</v>
      </c>
      <c r="M100" s="105"/>
      <c r="N100" s="94"/>
      <c r="O100" s="95"/>
    </row>
    <row r="101" spans="1:15" s="130" customFormat="1" ht="16.5" customHeight="1">
      <c r="A101" s="108"/>
      <c r="B101" s="156" t="s">
        <v>330</v>
      </c>
      <c r="C101" s="157" t="s">
        <v>531</v>
      </c>
      <c r="D101" s="142" t="s">
        <v>538</v>
      </c>
      <c r="E101" s="124" t="s">
        <v>484</v>
      </c>
      <c r="F101" s="109">
        <v>100</v>
      </c>
      <c r="G101" s="110">
        <v>44438</v>
      </c>
      <c r="H101" s="43">
        <v>44440</v>
      </c>
      <c r="I101" s="43" t="s">
        <v>338</v>
      </c>
      <c r="J101" s="43"/>
      <c r="K101" s="175" t="s">
        <v>299</v>
      </c>
      <c r="L101" s="247" t="s">
        <v>539</v>
      </c>
      <c r="M101" s="111"/>
      <c r="N101" s="112"/>
      <c r="O101" s="113"/>
    </row>
    <row r="102" spans="1:15" s="129" customFormat="1" ht="16.5" customHeight="1">
      <c r="A102" s="93"/>
      <c r="B102" s="154" t="s">
        <v>315</v>
      </c>
      <c r="C102" s="161" t="s">
        <v>540</v>
      </c>
      <c r="D102" s="169" t="s">
        <v>541</v>
      </c>
      <c r="E102" s="126" t="s">
        <v>484</v>
      </c>
      <c r="F102" s="107">
        <v>10</v>
      </c>
      <c r="G102" s="100">
        <v>44489</v>
      </c>
      <c r="H102" s="39"/>
      <c r="I102" s="39"/>
      <c r="J102" s="39"/>
      <c r="K102" s="176" t="s">
        <v>299</v>
      </c>
      <c r="L102" s="165" t="s">
        <v>542</v>
      </c>
      <c r="M102" s="105"/>
      <c r="N102" s="94"/>
      <c r="O102" s="95"/>
    </row>
    <row r="103" spans="1:15" s="129" customFormat="1" ht="16.5" customHeight="1">
      <c r="A103" s="93"/>
      <c r="B103" s="154"/>
      <c r="C103" s="161" t="s">
        <v>482</v>
      </c>
      <c r="D103" s="169" t="s">
        <v>543</v>
      </c>
      <c r="E103" s="126" t="s">
        <v>484</v>
      </c>
      <c r="F103" s="107">
        <v>1325</v>
      </c>
      <c r="G103" s="100">
        <v>44524</v>
      </c>
      <c r="H103" s="39"/>
      <c r="I103" s="39"/>
      <c r="J103" s="39" t="s">
        <v>298</v>
      </c>
      <c r="K103" s="176" t="s">
        <v>299</v>
      </c>
      <c r="L103" s="165" t="s">
        <v>544</v>
      </c>
      <c r="M103" s="105"/>
      <c r="N103" s="94"/>
      <c r="O103" s="95"/>
    </row>
    <row r="104" spans="1:15" s="129" customFormat="1" ht="16.5" customHeight="1">
      <c r="A104" s="93"/>
      <c r="B104" s="154" t="s">
        <v>315</v>
      </c>
      <c r="C104" s="161" t="s">
        <v>540</v>
      </c>
      <c r="D104" s="169" t="s">
        <v>541</v>
      </c>
      <c r="E104" s="126" t="s">
        <v>484</v>
      </c>
      <c r="F104" s="107">
        <v>10</v>
      </c>
      <c r="G104" s="100">
        <v>44545</v>
      </c>
      <c r="H104" s="39"/>
      <c r="I104" s="39"/>
      <c r="J104" s="39"/>
      <c r="K104" s="176" t="s">
        <v>299</v>
      </c>
      <c r="L104" s="165" t="s">
        <v>542</v>
      </c>
      <c r="M104" s="105"/>
      <c r="N104" s="94"/>
      <c r="O104" s="95"/>
    </row>
    <row r="105" spans="1:15" s="129" customFormat="1" ht="16.5" customHeight="1">
      <c r="A105" s="93"/>
      <c r="B105" s="154" t="s">
        <v>376</v>
      </c>
      <c r="C105" s="161" t="s">
        <v>545</v>
      </c>
      <c r="D105" s="169" t="s">
        <v>546</v>
      </c>
      <c r="E105" s="126" t="s">
        <v>484</v>
      </c>
      <c r="F105" s="107">
        <v>80</v>
      </c>
      <c r="G105" s="100">
        <v>44565</v>
      </c>
      <c r="H105" s="39"/>
      <c r="I105" s="39"/>
      <c r="J105" s="39"/>
      <c r="K105" s="176" t="s">
        <v>299</v>
      </c>
      <c r="L105" s="165" t="s">
        <v>402</v>
      </c>
      <c r="M105" s="105"/>
      <c r="N105" s="94"/>
      <c r="O105" s="95"/>
    </row>
    <row r="106" spans="1:15" s="129" customFormat="1" ht="16.5" customHeight="1">
      <c r="A106" s="93"/>
      <c r="B106" s="154" t="s">
        <v>376</v>
      </c>
      <c r="C106" s="161" t="s">
        <v>482</v>
      </c>
      <c r="D106" s="169" t="s">
        <v>547</v>
      </c>
      <c r="E106" s="126" t="s">
        <v>484</v>
      </c>
      <c r="F106" s="107">
        <v>3000</v>
      </c>
      <c r="G106" s="100">
        <v>44606</v>
      </c>
      <c r="H106" s="63">
        <v>44613</v>
      </c>
      <c r="I106" s="63" t="s">
        <v>297</v>
      </c>
      <c r="J106" s="39"/>
      <c r="K106" s="176" t="s">
        <v>299</v>
      </c>
      <c r="L106" s="165" t="s">
        <v>542</v>
      </c>
      <c r="M106" s="105"/>
      <c r="N106" s="94"/>
      <c r="O106" s="95"/>
    </row>
    <row r="107" spans="1:15" s="129" customFormat="1" ht="16.5" customHeight="1">
      <c r="A107" s="93"/>
      <c r="B107" s="154" t="s">
        <v>520</v>
      </c>
      <c r="C107" s="161" t="s">
        <v>376</v>
      </c>
      <c r="D107" s="169" t="s">
        <v>548</v>
      </c>
      <c r="E107" s="126" t="s">
        <v>484</v>
      </c>
      <c r="F107" s="107">
        <v>40</v>
      </c>
      <c r="G107" s="100">
        <v>44627</v>
      </c>
      <c r="H107" s="34">
        <v>44628</v>
      </c>
      <c r="I107" s="34" t="s">
        <v>297</v>
      </c>
      <c r="J107" s="39" t="s">
        <v>549</v>
      </c>
      <c r="K107" s="176" t="s">
        <v>299</v>
      </c>
      <c r="L107" s="165" t="s">
        <v>550</v>
      </c>
      <c r="M107" s="105"/>
      <c r="N107" s="94"/>
      <c r="O107" s="95"/>
    </row>
    <row r="108" spans="1:15" s="130" customFormat="1" ht="16.5" customHeight="1">
      <c r="A108" s="108"/>
      <c r="B108" s="156" t="s">
        <v>343</v>
      </c>
      <c r="C108" s="157" t="s">
        <v>507</v>
      </c>
      <c r="D108" s="142" t="s">
        <v>508</v>
      </c>
      <c r="E108" s="124" t="s">
        <v>484</v>
      </c>
      <c r="F108" s="109">
        <v>100</v>
      </c>
      <c r="G108" s="110">
        <v>44647</v>
      </c>
      <c r="H108" s="49"/>
      <c r="I108" s="49"/>
      <c r="J108" s="43"/>
      <c r="K108" s="175" t="s">
        <v>299</v>
      </c>
      <c r="L108" s="247" t="s">
        <v>551</v>
      </c>
      <c r="M108" s="111"/>
      <c r="N108" s="112"/>
      <c r="O108" s="113"/>
    </row>
    <row r="109" spans="1:15" s="130" customFormat="1" ht="16.5" customHeight="1">
      <c r="A109" s="108"/>
      <c r="B109" s="156" t="s">
        <v>43</v>
      </c>
      <c r="C109" s="157" t="s">
        <v>531</v>
      </c>
      <c r="D109" s="142" t="s">
        <v>552</v>
      </c>
      <c r="E109" s="124" t="s">
        <v>484</v>
      </c>
      <c r="F109" s="109">
        <v>10</v>
      </c>
      <c r="G109" s="110">
        <v>44648</v>
      </c>
      <c r="H109" s="49"/>
      <c r="I109" s="49"/>
      <c r="J109" s="43"/>
      <c r="K109" s="175" t="s">
        <v>299</v>
      </c>
      <c r="L109" s="247" t="s">
        <v>551</v>
      </c>
      <c r="M109" s="111"/>
      <c r="N109" s="112"/>
      <c r="O109" s="113"/>
    </row>
    <row r="110" spans="1:15" s="130" customFormat="1" ht="16.5" customHeight="1">
      <c r="A110" s="108"/>
      <c r="B110" s="156" t="s">
        <v>335</v>
      </c>
      <c r="C110" s="157" t="s">
        <v>545</v>
      </c>
      <c r="D110" s="142" t="s">
        <v>553</v>
      </c>
      <c r="E110" s="124" t="s">
        <v>484</v>
      </c>
      <c r="F110" s="109">
        <v>110</v>
      </c>
      <c r="G110" s="110">
        <v>44649</v>
      </c>
      <c r="H110" s="49"/>
      <c r="I110" s="49"/>
      <c r="J110" s="43"/>
      <c r="K110" s="175" t="s">
        <v>299</v>
      </c>
      <c r="L110" s="247" t="s">
        <v>533</v>
      </c>
      <c r="M110" s="111"/>
      <c r="N110" s="112"/>
      <c r="O110" s="113"/>
    </row>
    <row r="111" spans="1:15" s="130" customFormat="1" ht="16.5" customHeight="1">
      <c r="A111" s="108"/>
      <c r="B111" s="156" t="s">
        <v>394</v>
      </c>
      <c r="C111" s="157" t="s">
        <v>507</v>
      </c>
      <c r="D111" s="142" t="s">
        <v>554</v>
      </c>
      <c r="E111" s="124" t="s">
        <v>484</v>
      </c>
      <c r="F111" s="109">
        <v>100</v>
      </c>
      <c r="G111" s="110">
        <v>44686</v>
      </c>
      <c r="H111" s="49">
        <v>44688</v>
      </c>
      <c r="I111" s="49" t="s">
        <v>338</v>
      </c>
      <c r="J111" s="43"/>
      <c r="K111" s="175" t="s">
        <v>299</v>
      </c>
      <c r="L111" s="247" t="s">
        <v>551</v>
      </c>
      <c r="M111" s="111"/>
      <c r="N111" s="112"/>
      <c r="O111" s="113"/>
    </row>
    <row r="112" spans="1:15" s="130" customFormat="1" ht="16.5" customHeight="1">
      <c r="A112" s="108"/>
      <c r="B112" s="156" t="s">
        <v>335</v>
      </c>
      <c r="C112" s="157" t="s">
        <v>555</v>
      </c>
      <c r="D112" s="142" t="s">
        <v>556</v>
      </c>
      <c r="E112" s="124" t="s">
        <v>484</v>
      </c>
      <c r="F112" s="109">
        <v>3586</v>
      </c>
      <c r="G112" s="110">
        <v>44701</v>
      </c>
      <c r="H112" s="49">
        <v>44704</v>
      </c>
      <c r="I112" s="49" t="s">
        <v>360</v>
      </c>
      <c r="J112" s="43"/>
      <c r="K112" s="175" t="s">
        <v>299</v>
      </c>
      <c r="L112" s="247" t="s">
        <v>557</v>
      </c>
      <c r="M112" s="111"/>
      <c r="N112" s="112"/>
      <c r="O112" s="113"/>
    </row>
    <row r="113" spans="1:15" s="130" customFormat="1" ht="16.5" customHeight="1">
      <c r="A113" s="108"/>
      <c r="B113" s="156" t="s">
        <v>558</v>
      </c>
      <c r="C113" s="157" t="s">
        <v>559</v>
      </c>
      <c r="D113" s="142" t="s">
        <v>560</v>
      </c>
      <c r="E113" s="124" t="s">
        <v>484</v>
      </c>
      <c r="F113" s="109">
        <v>772.5</v>
      </c>
      <c r="G113" s="110">
        <v>44712</v>
      </c>
      <c r="H113" s="49">
        <v>44715</v>
      </c>
      <c r="I113" s="49" t="s">
        <v>360</v>
      </c>
      <c r="J113" s="43" t="s">
        <v>374</v>
      </c>
      <c r="K113" s="175" t="s">
        <v>299</v>
      </c>
      <c r="L113" s="247" t="s">
        <v>402</v>
      </c>
      <c r="M113" s="111"/>
      <c r="N113" s="112"/>
      <c r="O113" s="113"/>
    </row>
    <row r="114" spans="1:15" s="130" customFormat="1" ht="16.5" customHeight="1">
      <c r="A114" s="108"/>
      <c r="B114" s="156" t="s">
        <v>325</v>
      </c>
      <c r="C114" s="157" t="s">
        <v>486</v>
      </c>
      <c r="D114" s="142" t="s">
        <v>561</v>
      </c>
      <c r="E114" s="124" t="s">
        <v>484</v>
      </c>
      <c r="F114" s="109">
        <v>50</v>
      </c>
      <c r="G114" s="110">
        <v>44715</v>
      </c>
      <c r="H114" s="49">
        <v>44721</v>
      </c>
      <c r="I114" s="49" t="s">
        <v>297</v>
      </c>
      <c r="J114" s="43"/>
      <c r="K114" s="175" t="s">
        <v>299</v>
      </c>
      <c r="L114" s="247" t="s">
        <v>562</v>
      </c>
      <c r="M114" s="111"/>
      <c r="N114" s="112"/>
      <c r="O114" s="113"/>
    </row>
    <row r="115" spans="1:15" s="130" customFormat="1" ht="16.5" customHeight="1">
      <c r="A115" s="108"/>
      <c r="B115" s="156" t="s">
        <v>325</v>
      </c>
      <c r="C115" s="157" t="s">
        <v>545</v>
      </c>
      <c r="D115" s="142" t="s">
        <v>563</v>
      </c>
      <c r="E115" s="124" t="s">
        <v>484</v>
      </c>
      <c r="F115" s="109">
        <v>250</v>
      </c>
      <c r="G115" s="110">
        <v>44722</v>
      </c>
      <c r="H115" s="49">
        <v>44725</v>
      </c>
      <c r="I115" s="49" t="s">
        <v>297</v>
      </c>
      <c r="J115" s="43"/>
      <c r="K115" s="175" t="s">
        <v>299</v>
      </c>
      <c r="L115" s="247" t="s">
        <v>562</v>
      </c>
      <c r="M115" s="111"/>
      <c r="N115" s="112"/>
      <c r="O115" s="113"/>
    </row>
    <row r="116" spans="1:15" s="130" customFormat="1" ht="16.5" customHeight="1">
      <c r="A116" s="108"/>
      <c r="B116" s="156" t="s">
        <v>335</v>
      </c>
      <c r="C116" s="157" t="s">
        <v>555</v>
      </c>
      <c r="D116" s="142" t="s">
        <v>564</v>
      </c>
      <c r="E116" s="124" t="s">
        <v>484</v>
      </c>
      <c r="F116" s="109">
        <v>2965</v>
      </c>
      <c r="G116" s="110">
        <v>44732</v>
      </c>
      <c r="H116" s="49"/>
      <c r="I116" s="49" t="s">
        <v>335</v>
      </c>
      <c r="J116" s="43"/>
      <c r="K116" s="175" t="s">
        <v>299</v>
      </c>
      <c r="L116" s="247" t="s">
        <v>562</v>
      </c>
      <c r="M116" s="111"/>
      <c r="N116" s="112"/>
      <c r="O116" s="113"/>
    </row>
    <row r="117" spans="1:15" s="130" customFormat="1" ht="16.5" customHeight="1">
      <c r="A117" s="108"/>
      <c r="B117" s="156" t="s">
        <v>330</v>
      </c>
      <c r="C117" s="157" t="s">
        <v>565</v>
      </c>
      <c r="D117" s="142" t="s">
        <v>566</v>
      </c>
      <c r="E117" s="124" t="s">
        <v>484</v>
      </c>
      <c r="F117" s="109">
        <v>49295</v>
      </c>
      <c r="G117" s="110">
        <v>44743</v>
      </c>
      <c r="H117" s="49"/>
      <c r="I117" s="49"/>
      <c r="J117" s="43" t="s">
        <v>298</v>
      </c>
      <c r="K117" s="175" t="s">
        <v>299</v>
      </c>
      <c r="L117" s="247" t="s">
        <v>550</v>
      </c>
      <c r="M117" s="111"/>
      <c r="N117" s="112"/>
      <c r="O117" s="113"/>
    </row>
    <row r="118" spans="1:15" s="130" customFormat="1" ht="16.5" customHeight="1">
      <c r="A118" s="108"/>
      <c r="B118" s="156"/>
      <c r="C118" s="157" t="s">
        <v>567</v>
      </c>
      <c r="D118" s="142" t="s">
        <v>568</v>
      </c>
      <c r="E118" s="124" t="s">
        <v>484</v>
      </c>
      <c r="F118" s="109">
        <v>0.9</v>
      </c>
      <c r="G118" s="110">
        <v>44790</v>
      </c>
      <c r="H118" s="49">
        <v>44791</v>
      </c>
      <c r="I118" s="49" t="s">
        <v>297</v>
      </c>
      <c r="J118" s="43" t="s">
        <v>339</v>
      </c>
      <c r="K118" s="175" t="s">
        <v>299</v>
      </c>
      <c r="L118" s="247" t="s">
        <v>402</v>
      </c>
      <c r="M118" s="111"/>
      <c r="N118" s="112"/>
      <c r="O118" s="113"/>
    </row>
    <row r="119" spans="1:15" s="130" customFormat="1" ht="16.5" customHeight="1">
      <c r="A119" s="108"/>
      <c r="B119" s="156" t="s">
        <v>569</v>
      </c>
      <c r="C119" s="157" t="s">
        <v>545</v>
      </c>
      <c r="D119" s="142" t="s">
        <v>570</v>
      </c>
      <c r="E119" s="124" t="s">
        <v>484</v>
      </c>
      <c r="F119" s="109">
        <v>20</v>
      </c>
      <c r="G119" s="110">
        <v>44790</v>
      </c>
      <c r="H119" s="49">
        <v>44792</v>
      </c>
      <c r="I119" s="49" t="s">
        <v>297</v>
      </c>
      <c r="J119" s="43" t="s">
        <v>388</v>
      </c>
      <c r="K119" s="175" t="s">
        <v>299</v>
      </c>
      <c r="L119" s="247" t="s">
        <v>402</v>
      </c>
      <c r="M119" s="111"/>
      <c r="N119" s="112"/>
      <c r="O119" s="113"/>
    </row>
    <row r="120" spans="1:15" s="129" customFormat="1" ht="16.5" customHeight="1">
      <c r="A120" s="93"/>
      <c r="B120" s="154" t="s">
        <v>571</v>
      </c>
      <c r="C120" s="161" t="s">
        <v>486</v>
      </c>
      <c r="D120" s="169" t="s">
        <v>572</v>
      </c>
      <c r="E120" s="126" t="s">
        <v>484</v>
      </c>
      <c r="F120" s="107">
        <v>2500</v>
      </c>
      <c r="G120" s="100">
        <v>44831</v>
      </c>
      <c r="H120" s="34"/>
      <c r="I120" s="34"/>
      <c r="J120" s="39"/>
      <c r="K120" s="176" t="s">
        <v>299</v>
      </c>
      <c r="L120" s="165" t="s">
        <v>519</v>
      </c>
      <c r="M120" s="105"/>
      <c r="N120" s="94"/>
      <c r="O120" s="95"/>
    </row>
    <row r="121" spans="1:15" s="129" customFormat="1" ht="16.5" customHeight="1">
      <c r="A121" s="93"/>
      <c r="B121" s="154" t="s">
        <v>376</v>
      </c>
      <c r="C121" s="161" t="s">
        <v>344</v>
      </c>
      <c r="D121" s="169" t="s">
        <v>446</v>
      </c>
      <c r="E121" s="126" t="s">
        <v>484</v>
      </c>
      <c r="F121" s="107">
        <v>300</v>
      </c>
      <c r="G121" s="100">
        <v>44847</v>
      </c>
      <c r="H121" s="34">
        <v>44848</v>
      </c>
      <c r="I121" s="34" t="s">
        <v>360</v>
      </c>
      <c r="J121" s="39" t="s">
        <v>361</v>
      </c>
      <c r="K121" s="176" t="s">
        <v>299</v>
      </c>
      <c r="L121" s="165" t="s">
        <v>402</v>
      </c>
      <c r="M121" s="105"/>
      <c r="N121" s="94"/>
      <c r="O121" s="95"/>
    </row>
    <row r="122" spans="1:15" s="130" customFormat="1" ht="16.5" customHeight="1">
      <c r="A122" s="108"/>
      <c r="B122" s="156" t="s">
        <v>428</v>
      </c>
      <c r="C122" s="157" t="s">
        <v>545</v>
      </c>
      <c r="D122" s="142" t="s">
        <v>573</v>
      </c>
      <c r="E122" s="124" t="s">
        <v>574</v>
      </c>
      <c r="F122" s="109">
        <v>50</v>
      </c>
      <c r="G122" s="110">
        <v>44859</v>
      </c>
      <c r="H122" s="49">
        <v>44860</v>
      </c>
      <c r="I122" s="49" t="s">
        <v>297</v>
      </c>
      <c r="J122" s="43"/>
      <c r="K122" s="175" t="s">
        <v>299</v>
      </c>
      <c r="L122" s="165" t="s">
        <v>519</v>
      </c>
      <c r="M122" s="111"/>
      <c r="N122" s="112"/>
      <c r="O122" s="113"/>
    </row>
    <row r="123" spans="1:15" s="129" customFormat="1" ht="16.5" customHeight="1">
      <c r="A123" s="93"/>
      <c r="B123" s="154"/>
      <c r="C123" s="161" t="s">
        <v>486</v>
      </c>
      <c r="D123" s="169" t="s">
        <v>575</v>
      </c>
      <c r="E123" s="126" t="s">
        <v>484</v>
      </c>
      <c r="F123" s="107">
        <v>800</v>
      </c>
      <c r="G123" s="100">
        <v>44882</v>
      </c>
      <c r="H123" s="34"/>
      <c r="I123" s="34"/>
      <c r="J123" s="39" t="s">
        <v>388</v>
      </c>
      <c r="K123" s="176" t="s">
        <v>299</v>
      </c>
      <c r="L123" s="165" t="s">
        <v>519</v>
      </c>
      <c r="M123" s="105"/>
      <c r="N123" s="94"/>
      <c r="O123" s="95"/>
    </row>
    <row r="124" spans="1:15" s="129" customFormat="1" ht="16.5" customHeight="1">
      <c r="A124" s="93"/>
      <c r="B124" s="154" t="s">
        <v>576</v>
      </c>
      <c r="C124" s="161" t="s">
        <v>577</v>
      </c>
      <c r="D124" s="169" t="s">
        <v>578</v>
      </c>
      <c r="E124" s="126" t="s">
        <v>484</v>
      </c>
      <c r="F124" s="107">
        <v>200</v>
      </c>
      <c r="G124" s="100">
        <v>44908</v>
      </c>
      <c r="H124" s="34">
        <v>44909</v>
      </c>
      <c r="I124" s="34" t="s">
        <v>297</v>
      </c>
      <c r="J124" s="39" t="s">
        <v>333</v>
      </c>
      <c r="K124" s="176" t="s">
        <v>299</v>
      </c>
      <c r="L124" s="165" t="s">
        <v>519</v>
      </c>
      <c r="M124" s="105"/>
      <c r="N124" s="94"/>
      <c r="O124" s="95"/>
    </row>
    <row r="125" spans="1:15" s="129" customFormat="1" ht="16.5" customHeight="1">
      <c r="A125" s="108" t="s">
        <v>579</v>
      </c>
      <c r="B125" s="156" t="s">
        <v>441</v>
      </c>
      <c r="C125" s="157" t="s">
        <v>545</v>
      </c>
      <c r="D125" s="142" t="s">
        <v>580</v>
      </c>
      <c r="E125" s="124" t="s">
        <v>484</v>
      </c>
      <c r="F125" s="109">
        <v>50</v>
      </c>
      <c r="G125" s="110">
        <v>44914</v>
      </c>
      <c r="H125" s="49"/>
      <c r="I125" s="49" t="s">
        <v>360</v>
      </c>
      <c r="J125" s="43" t="s">
        <v>299</v>
      </c>
      <c r="K125" s="175" t="s">
        <v>299</v>
      </c>
      <c r="L125" s="247" t="s">
        <v>430</v>
      </c>
      <c r="M125" s="105"/>
      <c r="N125" s="94"/>
      <c r="O125" s="95"/>
    </row>
    <row r="126" spans="1:15" s="130" customFormat="1" ht="16.5" customHeight="1">
      <c r="A126" s="108"/>
      <c r="B126" s="156" t="s">
        <v>431</v>
      </c>
      <c r="C126" s="157" t="s">
        <v>486</v>
      </c>
      <c r="D126" s="142" t="s">
        <v>581</v>
      </c>
      <c r="E126" s="124" t="s">
        <v>484</v>
      </c>
      <c r="F126" s="109">
        <v>500</v>
      </c>
      <c r="G126" s="110">
        <v>44918</v>
      </c>
      <c r="H126" s="49"/>
      <c r="I126" s="49"/>
      <c r="J126" s="43" t="s">
        <v>388</v>
      </c>
      <c r="K126" s="175" t="s">
        <v>299</v>
      </c>
      <c r="L126" s="165" t="s">
        <v>519</v>
      </c>
      <c r="M126" s="111"/>
      <c r="N126" s="112"/>
      <c r="O126" s="113"/>
    </row>
    <row r="127" spans="1:15" s="130" customFormat="1" ht="16.5" customHeight="1">
      <c r="A127" s="108"/>
      <c r="B127" s="156" t="s">
        <v>394</v>
      </c>
      <c r="C127" s="157" t="s">
        <v>507</v>
      </c>
      <c r="D127" s="142" t="s">
        <v>582</v>
      </c>
      <c r="E127" s="124" t="s">
        <v>484</v>
      </c>
      <c r="F127" s="109">
        <v>1100</v>
      </c>
      <c r="G127" s="110">
        <v>44935</v>
      </c>
      <c r="H127" s="49">
        <v>44937</v>
      </c>
      <c r="I127" s="49" t="s">
        <v>338</v>
      </c>
      <c r="J127" s="43" t="s">
        <v>388</v>
      </c>
      <c r="K127" s="175" t="s">
        <v>299</v>
      </c>
      <c r="L127" s="165"/>
      <c r="M127" s="111"/>
      <c r="N127" s="112"/>
      <c r="O127" s="113"/>
    </row>
    <row r="128" spans="1:15" s="130" customFormat="1" ht="16.5" customHeight="1">
      <c r="A128" s="108" t="s">
        <v>583</v>
      </c>
      <c r="B128" s="156" t="s">
        <v>584</v>
      </c>
      <c r="C128" s="157" t="s">
        <v>495</v>
      </c>
      <c r="D128" s="142" t="s">
        <v>585</v>
      </c>
      <c r="E128" s="124" t="s">
        <v>484</v>
      </c>
      <c r="F128" s="109">
        <v>100</v>
      </c>
      <c r="G128" s="110">
        <v>44944</v>
      </c>
      <c r="H128" s="49"/>
      <c r="I128" s="49"/>
      <c r="J128" s="43" t="s">
        <v>333</v>
      </c>
      <c r="K128" s="175" t="s">
        <v>299</v>
      </c>
      <c r="L128" s="165" t="s">
        <v>586</v>
      </c>
      <c r="M128" s="111"/>
      <c r="N128" s="112"/>
      <c r="O128" s="113"/>
    </row>
    <row r="129" spans="1:15" s="129" customFormat="1" ht="16.5" customHeight="1">
      <c r="A129" s="93" t="s">
        <v>587</v>
      </c>
      <c r="B129" s="154" t="s">
        <v>588</v>
      </c>
      <c r="C129" s="161" t="s">
        <v>495</v>
      </c>
      <c r="D129" s="169" t="s">
        <v>589</v>
      </c>
      <c r="E129" s="126" t="s">
        <v>484</v>
      </c>
      <c r="F129" s="107">
        <v>150</v>
      </c>
      <c r="G129" s="100">
        <v>44980</v>
      </c>
      <c r="H129" s="34">
        <v>44981</v>
      </c>
      <c r="I129" s="34" t="s">
        <v>297</v>
      </c>
      <c r="J129" s="39" t="s">
        <v>333</v>
      </c>
      <c r="K129" s="176" t="s">
        <v>299</v>
      </c>
      <c r="L129" s="165" t="s">
        <v>519</v>
      </c>
      <c r="M129" s="105"/>
      <c r="N129" s="94"/>
      <c r="O129" s="95"/>
    </row>
    <row r="130" spans="1:15" s="129" customFormat="1" ht="16.5" customHeight="1">
      <c r="A130" s="93"/>
      <c r="B130" s="154" t="s">
        <v>441</v>
      </c>
      <c r="C130" s="161" t="s">
        <v>486</v>
      </c>
      <c r="D130" s="169" t="s">
        <v>590</v>
      </c>
      <c r="E130" s="126" t="s">
        <v>484</v>
      </c>
      <c r="F130" s="107">
        <v>500</v>
      </c>
      <c r="G130" s="100">
        <v>44991</v>
      </c>
      <c r="H130" s="34">
        <v>44994</v>
      </c>
      <c r="I130" s="34" t="s">
        <v>297</v>
      </c>
      <c r="J130" s="39" t="s">
        <v>388</v>
      </c>
      <c r="K130" s="176" t="s">
        <v>299</v>
      </c>
      <c r="L130" s="165" t="s">
        <v>519</v>
      </c>
      <c r="M130" s="105"/>
      <c r="N130" s="94"/>
      <c r="O130" s="95"/>
    </row>
    <row r="131" spans="1:15" s="129" customFormat="1" ht="16.5" customHeight="1">
      <c r="A131" s="93"/>
      <c r="B131" s="154" t="s">
        <v>301</v>
      </c>
      <c r="C131" s="161" t="s">
        <v>489</v>
      </c>
      <c r="D131" s="169" t="s">
        <v>591</v>
      </c>
      <c r="E131" s="126" t="s">
        <v>484</v>
      </c>
      <c r="F131" s="107">
        <v>50</v>
      </c>
      <c r="G131" s="100">
        <v>45007</v>
      </c>
      <c r="H131" s="34"/>
      <c r="I131" s="34" t="s">
        <v>297</v>
      </c>
      <c r="J131" s="39" t="s">
        <v>388</v>
      </c>
      <c r="K131" s="176" t="s">
        <v>299</v>
      </c>
      <c r="L131" s="165" t="s">
        <v>519</v>
      </c>
      <c r="M131" s="105"/>
      <c r="N131" s="94"/>
      <c r="O131" s="95"/>
    </row>
    <row r="132" spans="1:15" s="129" customFormat="1" ht="16.5" customHeight="1">
      <c r="A132" s="93"/>
      <c r="B132" s="154" t="s">
        <v>592</v>
      </c>
      <c r="C132" s="161" t="s">
        <v>486</v>
      </c>
      <c r="D132" s="169" t="s">
        <v>593</v>
      </c>
      <c r="E132" s="126" t="s">
        <v>484</v>
      </c>
      <c r="F132" s="107">
        <v>250</v>
      </c>
      <c r="G132" s="100">
        <v>45016</v>
      </c>
      <c r="H132" s="34">
        <v>45020</v>
      </c>
      <c r="I132" s="34" t="s">
        <v>297</v>
      </c>
      <c r="J132" s="39" t="s">
        <v>388</v>
      </c>
      <c r="K132" s="176" t="s">
        <v>299</v>
      </c>
      <c r="L132" s="165" t="s">
        <v>384</v>
      </c>
      <c r="M132" s="105"/>
      <c r="N132" s="94"/>
      <c r="O132" s="95"/>
    </row>
    <row r="133" spans="1:15" s="129" customFormat="1" ht="16.5" customHeight="1">
      <c r="A133" s="93"/>
      <c r="B133" s="154" t="s">
        <v>592</v>
      </c>
      <c r="C133" s="161" t="s">
        <v>486</v>
      </c>
      <c r="D133" s="169" t="s">
        <v>593</v>
      </c>
      <c r="E133" s="126" t="s">
        <v>484</v>
      </c>
      <c r="F133" s="107">
        <v>250</v>
      </c>
      <c r="G133" s="100">
        <v>45022</v>
      </c>
      <c r="H133" s="34"/>
      <c r="I133" s="34"/>
      <c r="J133" s="39" t="s">
        <v>388</v>
      </c>
      <c r="K133" s="176" t="s">
        <v>299</v>
      </c>
      <c r="L133" s="165" t="s">
        <v>384</v>
      </c>
      <c r="M133" s="105"/>
      <c r="N133" s="94"/>
      <c r="O133" s="95"/>
    </row>
    <row r="134" spans="1:15" s="129" customFormat="1" ht="16.5" customHeight="1">
      <c r="A134" s="93"/>
      <c r="B134" s="154" t="s">
        <v>594</v>
      </c>
      <c r="C134" s="161" t="s">
        <v>595</v>
      </c>
      <c r="D134" s="169" t="s">
        <v>596</v>
      </c>
      <c r="E134" s="126" t="s">
        <v>484</v>
      </c>
      <c r="F134" s="107">
        <v>150</v>
      </c>
      <c r="G134" s="100">
        <v>45043</v>
      </c>
      <c r="H134" s="34">
        <v>45048</v>
      </c>
      <c r="I134" s="34" t="s">
        <v>297</v>
      </c>
      <c r="J134" s="39" t="s">
        <v>388</v>
      </c>
      <c r="K134" s="176" t="s">
        <v>299</v>
      </c>
      <c r="L134" s="165" t="s">
        <v>597</v>
      </c>
      <c r="M134" s="105"/>
      <c r="N134" s="94"/>
      <c r="O134" s="95"/>
    </row>
    <row r="135" spans="1:15" s="129" customFormat="1" ht="16.5" customHeight="1">
      <c r="A135" s="93"/>
      <c r="B135" s="154" t="s">
        <v>330</v>
      </c>
      <c r="C135" s="161" t="s">
        <v>531</v>
      </c>
      <c r="D135" s="169" t="s">
        <v>598</v>
      </c>
      <c r="E135" s="126" t="s">
        <v>484</v>
      </c>
      <c r="F135" s="107">
        <v>50</v>
      </c>
      <c r="G135" s="100">
        <v>45058</v>
      </c>
      <c r="H135" s="34">
        <v>45061</v>
      </c>
      <c r="I135" s="34" t="s">
        <v>360</v>
      </c>
      <c r="J135" s="39" t="s">
        <v>299</v>
      </c>
      <c r="K135" s="39" t="s">
        <v>299</v>
      </c>
      <c r="L135" s="165" t="s">
        <v>599</v>
      </c>
      <c r="M135" s="105"/>
      <c r="N135" s="94"/>
      <c r="O135" s="95"/>
    </row>
    <row r="136" spans="1:15" s="129" customFormat="1" ht="16.5" customHeight="1">
      <c r="A136" s="93"/>
      <c r="B136" s="154" t="s">
        <v>431</v>
      </c>
      <c r="C136" s="161" t="s">
        <v>486</v>
      </c>
      <c r="D136" s="169" t="s">
        <v>600</v>
      </c>
      <c r="E136" s="126" t="s">
        <v>484</v>
      </c>
      <c r="F136" s="107">
        <v>500</v>
      </c>
      <c r="G136" s="100">
        <v>45064</v>
      </c>
      <c r="H136" s="34"/>
      <c r="I136" s="34"/>
      <c r="J136" s="39" t="s">
        <v>388</v>
      </c>
      <c r="K136" s="176" t="s">
        <v>392</v>
      </c>
      <c r="L136" s="165" t="s">
        <v>601</v>
      </c>
      <c r="M136" s="105"/>
      <c r="N136" s="94"/>
      <c r="O136" s="95"/>
    </row>
    <row r="137" spans="1:15" s="129" customFormat="1" ht="16.5" customHeight="1">
      <c r="A137" s="93"/>
      <c r="B137" s="154" t="s">
        <v>602</v>
      </c>
      <c r="C137" s="161" t="s">
        <v>489</v>
      </c>
      <c r="D137" s="169" t="s">
        <v>603</v>
      </c>
      <c r="E137" s="126" t="s">
        <v>484</v>
      </c>
      <c r="F137" s="107">
        <v>100</v>
      </c>
      <c r="G137" s="100">
        <v>45071</v>
      </c>
      <c r="H137" s="34"/>
      <c r="I137" s="34"/>
      <c r="J137" s="39"/>
      <c r="K137" s="176" t="s">
        <v>392</v>
      </c>
      <c r="L137" s="165" t="s">
        <v>599</v>
      </c>
      <c r="M137" s="105"/>
      <c r="N137" s="94"/>
      <c r="O137" s="95"/>
    </row>
    <row r="138" spans="1:15" s="129" customFormat="1" ht="16.5" customHeight="1">
      <c r="A138" s="93"/>
      <c r="B138" s="154" t="s">
        <v>343</v>
      </c>
      <c r="C138" s="161" t="s">
        <v>604</v>
      </c>
      <c r="D138" s="169" t="s">
        <v>605</v>
      </c>
      <c r="E138" s="126" t="s">
        <v>484</v>
      </c>
      <c r="F138" s="107">
        <v>1320</v>
      </c>
      <c r="G138" s="100">
        <v>45082</v>
      </c>
      <c r="H138" s="34">
        <v>45084</v>
      </c>
      <c r="I138" s="34" t="s">
        <v>297</v>
      </c>
      <c r="J138" s="39"/>
      <c r="K138" s="176" t="s">
        <v>392</v>
      </c>
      <c r="L138" s="165" t="s">
        <v>606</v>
      </c>
      <c r="M138" s="105"/>
      <c r="N138" s="94"/>
      <c r="O138" s="95"/>
    </row>
    <row r="139" spans="1:15" s="129" customFormat="1" ht="16.5" customHeight="1">
      <c r="A139" s="93"/>
      <c r="B139" s="154" t="s">
        <v>354</v>
      </c>
      <c r="C139" s="161" t="s">
        <v>607</v>
      </c>
      <c r="D139" s="169" t="s">
        <v>608</v>
      </c>
      <c r="E139" s="126" t="s">
        <v>484</v>
      </c>
      <c r="F139" s="107">
        <v>100</v>
      </c>
      <c r="G139" s="100">
        <v>45118</v>
      </c>
      <c r="H139" s="34">
        <v>45119</v>
      </c>
      <c r="I139" s="34" t="s">
        <v>297</v>
      </c>
      <c r="J139" s="39" t="s">
        <v>392</v>
      </c>
      <c r="K139" s="176" t="s">
        <v>392</v>
      </c>
      <c r="L139" s="165" t="s">
        <v>599</v>
      </c>
      <c r="M139" s="105"/>
      <c r="N139" s="94"/>
      <c r="O139" s="95"/>
    </row>
    <row r="140" spans="1:15" s="129" customFormat="1" ht="16.5" customHeight="1">
      <c r="A140" s="93"/>
      <c r="B140" s="154" t="s">
        <v>592</v>
      </c>
      <c r="C140" s="161" t="s">
        <v>486</v>
      </c>
      <c r="D140" s="169" t="s">
        <v>609</v>
      </c>
      <c r="E140" s="126" t="s">
        <v>484</v>
      </c>
      <c r="F140" s="107">
        <v>500</v>
      </c>
      <c r="G140" s="100">
        <v>45146</v>
      </c>
      <c r="H140" s="34">
        <v>45148</v>
      </c>
      <c r="I140" s="34" t="s">
        <v>297</v>
      </c>
      <c r="J140" s="39" t="s">
        <v>388</v>
      </c>
      <c r="K140" s="176" t="s">
        <v>392</v>
      </c>
      <c r="L140" s="165" t="s">
        <v>610</v>
      </c>
      <c r="M140" s="105"/>
      <c r="N140" s="94"/>
      <c r="O140" s="95"/>
    </row>
    <row r="141" spans="1:15" s="129" customFormat="1" ht="16.5" customHeight="1">
      <c r="A141" s="93"/>
      <c r="B141" s="154" t="s">
        <v>611</v>
      </c>
      <c r="C141" s="161" t="s">
        <v>577</v>
      </c>
      <c r="D141" s="169" t="s">
        <v>612</v>
      </c>
      <c r="E141" s="126" t="s">
        <v>484</v>
      </c>
      <c r="F141" s="107">
        <v>15</v>
      </c>
      <c r="G141" s="100">
        <v>45159</v>
      </c>
      <c r="H141" s="34">
        <v>45161</v>
      </c>
      <c r="I141" s="34" t="s">
        <v>297</v>
      </c>
      <c r="J141" s="39" t="s">
        <v>333</v>
      </c>
      <c r="K141" s="176" t="s">
        <v>392</v>
      </c>
      <c r="L141" s="165" t="s">
        <v>610</v>
      </c>
      <c r="M141" s="105"/>
      <c r="N141" s="94"/>
      <c r="O141" s="95"/>
    </row>
    <row r="142" spans="1:15" s="129" customFormat="1" ht="16.5" customHeight="1">
      <c r="A142" s="93"/>
      <c r="B142" s="154" t="s">
        <v>335</v>
      </c>
      <c r="C142" s="161" t="s">
        <v>613</v>
      </c>
      <c r="D142" s="169" t="s">
        <v>614</v>
      </c>
      <c r="E142" s="126" t="s">
        <v>484</v>
      </c>
      <c r="F142" s="107">
        <v>0</v>
      </c>
      <c r="G142" s="100">
        <v>45180</v>
      </c>
      <c r="H142" s="34">
        <v>45182</v>
      </c>
      <c r="I142" s="34" t="s">
        <v>360</v>
      </c>
      <c r="J142" s="39" t="s">
        <v>361</v>
      </c>
      <c r="K142" s="176" t="s">
        <v>392</v>
      </c>
      <c r="L142" s="165" t="s">
        <v>610</v>
      </c>
      <c r="M142" s="105"/>
      <c r="N142" s="94"/>
      <c r="O142" s="95"/>
    </row>
    <row r="143" spans="1:15" s="129" customFormat="1" ht="16.5" customHeight="1">
      <c r="A143" s="93"/>
      <c r="B143" s="154" t="s">
        <v>615</v>
      </c>
      <c r="C143" s="161" t="s">
        <v>489</v>
      </c>
      <c r="D143" s="169" t="s">
        <v>616</v>
      </c>
      <c r="E143" s="126" t="s">
        <v>484</v>
      </c>
      <c r="F143" s="107">
        <v>50</v>
      </c>
      <c r="G143" s="100">
        <v>45245</v>
      </c>
      <c r="H143" s="34"/>
      <c r="I143" s="34"/>
      <c r="J143" s="39" t="s">
        <v>298</v>
      </c>
      <c r="K143" s="176" t="s">
        <v>392</v>
      </c>
      <c r="L143" s="165" t="s">
        <v>599</v>
      </c>
      <c r="M143" s="105"/>
      <c r="N143" s="94"/>
      <c r="O143" s="95"/>
    </row>
    <row r="144" spans="1:15" s="129" customFormat="1" ht="16.5" customHeight="1">
      <c r="A144" s="93"/>
      <c r="B144" s="154" t="s">
        <v>441</v>
      </c>
      <c r="C144" s="161" t="s">
        <v>545</v>
      </c>
      <c r="D144" s="169" t="s">
        <v>617</v>
      </c>
      <c r="E144" s="126" t="s">
        <v>484</v>
      </c>
      <c r="F144" s="107">
        <v>50</v>
      </c>
      <c r="G144" s="100">
        <v>45250</v>
      </c>
      <c r="H144" s="34">
        <v>45254</v>
      </c>
      <c r="I144" s="34" t="s">
        <v>360</v>
      </c>
      <c r="J144" s="39"/>
      <c r="K144" s="176" t="s">
        <v>392</v>
      </c>
      <c r="L144" s="165" t="s">
        <v>610</v>
      </c>
      <c r="M144" s="105"/>
      <c r="N144" s="94"/>
      <c r="O144" s="95"/>
    </row>
    <row r="145" spans="1:15" s="129" customFormat="1" ht="16.5" customHeight="1">
      <c r="A145" s="93"/>
      <c r="B145" s="154"/>
      <c r="C145" s="161" t="s">
        <v>618</v>
      </c>
      <c r="D145" s="169" t="s">
        <v>619</v>
      </c>
      <c r="E145" s="126" t="s">
        <v>484</v>
      </c>
      <c r="F145" s="107">
        <v>4</v>
      </c>
      <c r="G145" s="100">
        <v>45275</v>
      </c>
      <c r="H145" s="34">
        <v>45278</v>
      </c>
      <c r="I145" s="34" t="s">
        <v>297</v>
      </c>
      <c r="J145" s="39" t="s">
        <v>339</v>
      </c>
      <c r="K145" s="176" t="s">
        <v>392</v>
      </c>
      <c r="L145" s="165" t="s">
        <v>610</v>
      </c>
      <c r="M145" s="105"/>
      <c r="N145" s="94"/>
      <c r="O145" s="95"/>
    </row>
    <row r="146" spans="1:15" s="129" customFormat="1" ht="16.5" customHeight="1">
      <c r="A146" s="93"/>
      <c r="B146" s="154" t="s">
        <v>301</v>
      </c>
      <c r="C146" s="161" t="s">
        <v>489</v>
      </c>
      <c r="D146" s="169" t="s">
        <v>620</v>
      </c>
      <c r="E146" s="126" t="s">
        <v>484</v>
      </c>
      <c r="F146" s="107">
        <v>100</v>
      </c>
      <c r="G146" s="100">
        <v>45286</v>
      </c>
      <c r="H146" s="34">
        <v>45287</v>
      </c>
      <c r="I146" s="34" t="s">
        <v>297</v>
      </c>
      <c r="J146" s="39" t="s">
        <v>621</v>
      </c>
      <c r="K146" s="176" t="s">
        <v>392</v>
      </c>
      <c r="L146" s="165" t="s">
        <v>599</v>
      </c>
      <c r="M146" s="105"/>
      <c r="N146" s="94"/>
      <c r="O146" s="95"/>
    </row>
    <row r="147" spans="1:15" s="129" customFormat="1" ht="16.5" customHeight="1">
      <c r="A147" s="93" t="s">
        <v>622</v>
      </c>
      <c r="B147" s="154" t="s">
        <v>335</v>
      </c>
      <c r="C147" s="161" t="s">
        <v>623</v>
      </c>
      <c r="D147" s="169" t="s">
        <v>624</v>
      </c>
      <c r="E147" s="126" t="s">
        <v>484</v>
      </c>
      <c r="F147" s="107">
        <v>10</v>
      </c>
      <c r="G147" s="100">
        <v>45481</v>
      </c>
      <c r="H147" s="34">
        <v>45482</v>
      </c>
      <c r="I147" s="34" t="s">
        <v>297</v>
      </c>
      <c r="J147" s="39" t="s">
        <v>625</v>
      </c>
      <c r="K147" s="176" t="s">
        <v>392</v>
      </c>
      <c r="L147" s="165" t="s">
        <v>430</v>
      </c>
      <c r="M147" s="105"/>
      <c r="N147" s="94"/>
      <c r="O147" s="95"/>
    </row>
    <row r="148" spans="1:15" s="129" customFormat="1" ht="16.5" customHeight="1">
      <c r="A148" s="93"/>
      <c r="B148" s="154" t="s">
        <v>626</v>
      </c>
      <c r="C148" s="161" t="s">
        <v>565</v>
      </c>
      <c r="D148" s="169" t="s">
        <v>627</v>
      </c>
      <c r="E148" s="126" t="s">
        <v>484</v>
      </c>
      <c r="F148" s="107">
        <v>500</v>
      </c>
      <c r="G148" s="100">
        <v>45488</v>
      </c>
      <c r="H148" s="34">
        <v>45489</v>
      </c>
      <c r="I148" s="34" t="s">
        <v>297</v>
      </c>
      <c r="J148" s="39" t="s">
        <v>298</v>
      </c>
      <c r="K148" s="176" t="s">
        <v>392</v>
      </c>
      <c r="L148" s="165" t="s">
        <v>430</v>
      </c>
      <c r="M148" s="105"/>
      <c r="N148" s="94"/>
      <c r="O148" s="95"/>
    </row>
    <row r="149" spans="1:15" s="129" customFormat="1" ht="16.5" customHeight="1">
      <c r="A149" s="93" t="s">
        <v>628</v>
      </c>
      <c r="B149" s="154" t="s">
        <v>335</v>
      </c>
      <c r="C149" s="161" t="s">
        <v>565</v>
      </c>
      <c r="D149" s="169" t="s">
        <v>629</v>
      </c>
      <c r="E149" s="126" t="s">
        <v>484</v>
      </c>
      <c r="F149" s="107">
        <v>1000</v>
      </c>
      <c r="G149" s="100">
        <v>45512</v>
      </c>
      <c r="H149" s="34">
        <v>45514</v>
      </c>
      <c r="I149" s="34" t="s">
        <v>338</v>
      </c>
      <c r="J149" s="39" t="s">
        <v>298</v>
      </c>
      <c r="K149" s="176" t="s">
        <v>392</v>
      </c>
      <c r="L149" s="165" t="s">
        <v>430</v>
      </c>
      <c r="M149" s="105"/>
      <c r="N149" s="94"/>
      <c r="O149" s="95"/>
    </row>
    <row r="150" spans="1:15" s="129" customFormat="1" ht="16.5" customHeight="1">
      <c r="A150" s="93"/>
      <c r="B150" s="154" t="s">
        <v>630</v>
      </c>
      <c r="C150" s="161" t="s">
        <v>531</v>
      </c>
      <c r="D150" s="169" t="s">
        <v>631</v>
      </c>
      <c r="E150" s="126" t="s">
        <v>484</v>
      </c>
      <c r="F150" s="107">
        <v>100</v>
      </c>
      <c r="G150" s="100">
        <v>45525</v>
      </c>
      <c r="H150" s="34">
        <v>45526</v>
      </c>
      <c r="I150" s="34" t="s">
        <v>360</v>
      </c>
      <c r="J150" s="39" t="s">
        <v>299</v>
      </c>
      <c r="K150" s="176" t="s">
        <v>392</v>
      </c>
      <c r="L150" s="165" t="s">
        <v>599</v>
      </c>
      <c r="M150" s="105"/>
      <c r="N150" s="94"/>
      <c r="O150" s="95"/>
    </row>
    <row r="151" spans="1:15" s="129" customFormat="1" ht="16.5" customHeight="1">
      <c r="A151" s="93"/>
      <c r="B151" s="154"/>
      <c r="C151" s="161" t="s">
        <v>607</v>
      </c>
      <c r="D151" s="169" t="s">
        <v>632</v>
      </c>
      <c r="E151" s="126" t="s">
        <v>484</v>
      </c>
      <c r="F151" s="107">
        <v>100</v>
      </c>
      <c r="G151" s="100">
        <v>45526</v>
      </c>
      <c r="H151" s="34"/>
      <c r="I151" s="34"/>
      <c r="J151" s="39" t="s">
        <v>299</v>
      </c>
      <c r="K151" s="176" t="s">
        <v>392</v>
      </c>
      <c r="L151" s="165" t="s">
        <v>599</v>
      </c>
      <c r="M151" s="105"/>
      <c r="N151" s="94"/>
      <c r="O151" s="95"/>
    </row>
    <row r="152" spans="1:15" s="129" customFormat="1" ht="16.5" customHeight="1">
      <c r="A152" s="93"/>
      <c r="B152" s="154"/>
      <c r="C152" s="161" t="s">
        <v>633</v>
      </c>
      <c r="D152" s="169" t="s">
        <v>634</v>
      </c>
      <c r="E152" s="126" t="s">
        <v>484</v>
      </c>
      <c r="F152" s="107">
        <v>220</v>
      </c>
      <c r="G152" s="100">
        <v>45588</v>
      </c>
      <c r="H152" s="34"/>
      <c r="I152" s="34"/>
      <c r="J152" s="39"/>
      <c r="K152" s="176" t="s">
        <v>392</v>
      </c>
      <c r="L152" s="165"/>
      <c r="M152" s="105"/>
      <c r="N152" s="94"/>
      <c r="O152" s="95"/>
    </row>
    <row r="153" spans="1:15" s="129" customFormat="1" ht="16.5" customHeight="1">
      <c r="A153" s="93"/>
      <c r="B153" s="154" t="s">
        <v>335</v>
      </c>
      <c r="C153" s="161" t="s">
        <v>613</v>
      </c>
      <c r="D153" s="169" t="s">
        <v>635</v>
      </c>
      <c r="E153" s="126" t="s">
        <v>484</v>
      </c>
      <c r="F153" s="107">
        <v>0.01</v>
      </c>
      <c r="G153" s="100">
        <v>45593</v>
      </c>
      <c r="H153" s="34">
        <v>45596</v>
      </c>
      <c r="I153" s="34" t="s">
        <v>360</v>
      </c>
      <c r="J153" s="39"/>
      <c r="K153" s="176" t="s">
        <v>392</v>
      </c>
      <c r="L153" s="165" t="s">
        <v>402</v>
      </c>
      <c r="M153" s="105"/>
      <c r="N153" s="94"/>
      <c r="O153" s="95"/>
    </row>
    <row r="154" spans="1:15" s="129" customFormat="1" ht="16.5" customHeight="1">
      <c r="A154" s="93"/>
      <c r="B154" s="154" t="s">
        <v>335</v>
      </c>
      <c r="C154" s="161" t="s">
        <v>604</v>
      </c>
      <c r="D154" s="169" t="s">
        <v>636</v>
      </c>
      <c r="E154" s="126" t="s">
        <v>484</v>
      </c>
      <c r="F154" s="107">
        <v>400</v>
      </c>
      <c r="G154" s="100">
        <v>45595</v>
      </c>
      <c r="H154" s="34"/>
      <c r="I154" s="34"/>
      <c r="J154" s="39"/>
      <c r="K154" s="176" t="s">
        <v>392</v>
      </c>
      <c r="L154" s="165" t="s">
        <v>610</v>
      </c>
      <c r="M154" s="105"/>
      <c r="N154" s="94"/>
      <c r="O154" s="95"/>
    </row>
    <row r="155" spans="1:15" s="129" customFormat="1" ht="16.5" customHeight="1">
      <c r="A155" s="93" t="s">
        <v>628</v>
      </c>
      <c r="B155" s="154" t="s">
        <v>335</v>
      </c>
      <c r="C155" s="161" t="s">
        <v>565</v>
      </c>
      <c r="D155" s="169" t="s">
        <v>637</v>
      </c>
      <c r="E155" s="126" t="s">
        <v>484</v>
      </c>
      <c r="F155" s="107">
        <v>5000</v>
      </c>
      <c r="G155" s="100">
        <v>45621</v>
      </c>
      <c r="H155" s="34"/>
      <c r="I155" s="34"/>
      <c r="J155" s="39"/>
      <c r="K155" s="176"/>
      <c r="L155" s="165" t="s">
        <v>599</v>
      </c>
      <c r="M155" s="105"/>
      <c r="N155" s="94"/>
      <c r="O155" s="95"/>
    </row>
    <row r="156" spans="1:15" s="129" customFormat="1" ht="16.5" customHeight="1">
      <c r="A156" s="93"/>
      <c r="B156" s="154" t="s">
        <v>343</v>
      </c>
      <c r="C156" s="161" t="s">
        <v>358</v>
      </c>
      <c r="D156" s="169" t="s">
        <v>638</v>
      </c>
      <c r="E156" s="126" t="s">
        <v>484</v>
      </c>
      <c r="F156" s="107">
        <v>180000</v>
      </c>
      <c r="G156" s="100">
        <v>45673</v>
      </c>
      <c r="H156" s="34">
        <v>45681</v>
      </c>
      <c r="I156" s="34" t="s">
        <v>639</v>
      </c>
      <c r="J156" s="39" t="s">
        <v>361</v>
      </c>
      <c r="K156" s="176"/>
      <c r="L156" s="165" t="s">
        <v>640</v>
      </c>
      <c r="M156" s="105"/>
      <c r="N156" s="94"/>
      <c r="O156" s="95"/>
    </row>
    <row r="157" spans="1:15" s="129" customFormat="1" ht="16.5" customHeight="1">
      <c r="A157" s="93"/>
      <c r="B157" s="154" t="s">
        <v>335</v>
      </c>
      <c r="C157" s="161" t="s">
        <v>613</v>
      </c>
      <c r="D157" s="169" t="s">
        <v>641</v>
      </c>
      <c r="E157" s="126" t="s">
        <v>484</v>
      </c>
      <c r="F157" s="107">
        <v>140552</v>
      </c>
      <c r="G157" s="100">
        <v>45674</v>
      </c>
      <c r="H157" s="34">
        <v>45680</v>
      </c>
      <c r="I157" s="34" t="s">
        <v>338</v>
      </c>
      <c r="J157" s="39" t="s">
        <v>333</v>
      </c>
      <c r="K157" s="176"/>
      <c r="L157" s="165" t="s">
        <v>642</v>
      </c>
      <c r="M157" s="105"/>
      <c r="N157" s="94"/>
      <c r="O157" s="95"/>
    </row>
    <row r="158" spans="1:15" s="129" customFormat="1" ht="16.5" customHeight="1">
      <c r="A158" s="93"/>
      <c r="B158" s="154"/>
      <c r="C158" s="161" t="s">
        <v>643</v>
      </c>
      <c r="D158" s="169" t="s">
        <v>644</v>
      </c>
      <c r="E158" s="126" t="s">
        <v>484</v>
      </c>
      <c r="F158" s="107">
        <v>1</v>
      </c>
      <c r="G158" s="100">
        <v>45677</v>
      </c>
      <c r="H158" s="34">
        <v>45678</v>
      </c>
      <c r="I158" s="34" t="s">
        <v>297</v>
      </c>
      <c r="J158" s="39" t="s">
        <v>392</v>
      </c>
      <c r="K158" s="176"/>
      <c r="L158" s="165" t="s">
        <v>645</v>
      </c>
      <c r="M158" s="105"/>
      <c r="N158" s="94"/>
      <c r="O158" s="95"/>
    </row>
    <row r="159" spans="1:15" s="129" customFormat="1" ht="16.5" customHeight="1">
      <c r="A159" s="93"/>
      <c r="B159" s="154"/>
      <c r="C159" s="161" t="s">
        <v>607</v>
      </c>
      <c r="D159" s="169" t="s">
        <v>646</v>
      </c>
      <c r="E159" s="126" t="s">
        <v>484</v>
      </c>
      <c r="F159" s="107">
        <v>300</v>
      </c>
      <c r="G159" s="100">
        <v>45691</v>
      </c>
      <c r="H159" s="34">
        <v>45692</v>
      </c>
      <c r="I159" s="34" t="s">
        <v>297</v>
      </c>
      <c r="J159" s="39" t="s">
        <v>392</v>
      </c>
      <c r="K159" s="176"/>
      <c r="L159" s="165" t="s">
        <v>599</v>
      </c>
      <c r="M159" s="105"/>
      <c r="N159" s="94"/>
      <c r="O159" s="95"/>
    </row>
    <row r="160" spans="1:15" s="129" customFormat="1" ht="16.5" customHeight="1">
      <c r="A160" s="93"/>
      <c r="B160" s="154" t="s">
        <v>647</v>
      </c>
      <c r="C160" s="161" t="s">
        <v>358</v>
      </c>
      <c r="D160" s="169" t="s">
        <v>648</v>
      </c>
      <c r="E160" s="126" t="s">
        <v>484</v>
      </c>
      <c r="F160" s="107">
        <f>9560.56+20120+18450</f>
        <v>48130.559999999998</v>
      </c>
      <c r="G160" s="100">
        <v>45691</v>
      </c>
      <c r="H160" s="34">
        <v>45692</v>
      </c>
      <c r="I160" s="34" t="s">
        <v>360</v>
      </c>
      <c r="J160" s="39" t="s">
        <v>361</v>
      </c>
      <c r="K160" s="176"/>
      <c r="L160" s="165" t="s">
        <v>649</v>
      </c>
      <c r="M160" s="105"/>
      <c r="N160" s="94"/>
      <c r="O160" s="95"/>
    </row>
    <row r="161" spans="1:15" s="129" customFormat="1" ht="16.5" customHeight="1">
      <c r="A161" s="93"/>
      <c r="B161" s="154" t="s">
        <v>602</v>
      </c>
      <c r="C161" s="161" t="s">
        <v>489</v>
      </c>
      <c r="D161" s="169" t="s">
        <v>650</v>
      </c>
      <c r="E161" s="126" t="s">
        <v>484</v>
      </c>
      <c r="F161" s="107">
        <v>100</v>
      </c>
      <c r="G161" s="100">
        <v>45691</v>
      </c>
      <c r="H161" s="34">
        <v>45692</v>
      </c>
      <c r="I161" s="34" t="s">
        <v>297</v>
      </c>
      <c r="J161" s="39"/>
      <c r="K161" s="176"/>
      <c r="L161" s="165" t="s">
        <v>640</v>
      </c>
      <c r="M161" s="105"/>
      <c r="N161" s="94"/>
      <c r="O161" s="95"/>
    </row>
    <row r="162" spans="1:15" s="129" customFormat="1" ht="16.5" customHeight="1">
      <c r="A162" s="93"/>
      <c r="B162" s="154" t="s">
        <v>335</v>
      </c>
      <c r="C162" s="161" t="s">
        <v>565</v>
      </c>
      <c r="D162" s="169" t="s">
        <v>651</v>
      </c>
      <c r="E162" s="126" t="s">
        <v>484</v>
      </c>
      <c r="F162" s="107">
        <v>424</v>
      </c>
      <c r="G162" s="100">
        <v>45726</v>
      </c>
      <c r="H162" s="34">
        <v>45727</v>
      </c>
      <c r="I162" s="34" t="s">
        <v>297</v>
      </c>
      <c r="J162" s="39" t="s">
        <v>392</v>
      </c>
      <c r="K162" s="176"/>
      <c r="L162" s="165" t="s">
        <v>440</v>
      </c>
      <c r="M162" s="105"/>
      <c r="N162" s="94"/>
      <c r="O162" s="95"/>
    </row>
    <row r="163" spans="1:15" s="129" customFormat="1" ht="16.5" customHeight="1">
      <c r="A163" s="93"/>
      <c r="B163" s="154" t="s">
        <v>325</v>
      </c>
      <c r="C163" s="161" t="s">
        <v>495</v>
      </c>
      <c r="D163" s="169" t="s">
        <v>652</v>
      </c>
      <c r="E163" s="126" t="s">
        <v>484</v>
      </c>
      <c r="F163" s="107">
        <v>113</v>
      </c>
      <c r="G163" s="100">
        <v>45749</v>
      </c>
      <c r="H163" s="34">
        <v>45755</v>
      </c>
      <c r="I163" s="34" t="s">
        <v>297</v>
      </c>
      <c r="J163" s="39" t="s">
        <v>299</v>
      </c>
      <c r="K163" s="176"/>
      <c r="L163" s="165" t="s">
        <v>653</v>
      </c>
      <c r="M163" s="105"/>
      <c r="N163" s="94"/>
      <c r="O163" s="95"/>
    </row>
    <row r="164" spans="1:15" s="129" customFormat="1" ht="16.5" customHeight="1">
      <c r="A164" s="93" t="s">
        <v>654</v>
      </c>
      <c r="B164" s="154" t="s">
        <v>655</v>
      </c>
      <c r="C164" s="161" t="s">
        <v>495</v>
      </c>
      <c r="D164" s="169" t="s">
        <v>656</v>
      </c>
      <c r="E164" s="126" t="s">
        <v>484</v>
      </c>
      <c r="F164" s="107">
        <v>100</v>
      </c>
      <c r="G164" s="100">
        <v>45777</v>
      </c>
      <c r="H164" s="34">
        <v>45784</v>
      </c>
      <c r="I164" s="34" t="s">
        <v>297</v>
      </c>
      <c r="J164" s="39" t="s">
        <v>333</v>
      </c>
      <c r="K164" s="176"/>
      <c r="L164" s="165" t="s">
        <v>379</v>
      </c>
      <c r="M164" s="105"/>
      <c r="N164" s="94"/>
      <c r="O164" s="95"/>
    </row>
    <row r="165" spans="1:15" s="130" customFormat="1" ht="16.5" customHeight="1">
      <c r="A165" s="108"/>
      <c r="B165" s="156" t="s">
        <v>376</v>
      </c>
      <c r="C165" s="157" t="s">
        <v>657</v>
      </c>
      <c r="D165" s="142" t="s">
        <v>658</v>
      </c>
      <c r="E165" s="124" t="s">
        <v>484</v>
      </c>
      <c r="F165" s="109">
        <v>2500</v>
      </c>
      <c r="G165" s="110">
        <v>45792</v>
      </c>
      <c r="H165" s="49"/>
      <c r="I165" s="49"/>
      <c r="J165" s="43"/>
      <c r="K165" s="175"/>
      <c r="L165" s="247" t="s">
        <v>402</v>
      </c>
      <c r="M165" s="111"/>
      <c r="N165" s="112"/>
      <c r="O165" s="113"/>
    </row>
    <row r="166" spans="1:15" s="130" customFormat="1" ht="16.5" customHeight="1">
      <c r="A166" s="108"/>
      <c r="B166" s="154" t="s">
        <v>647</v>
      </c>
      <c r="C166" s="161" t="s">
        <v>358</v>
      </c>
      <c r="D166" s="169" t="s">
        <v>659</v>
      </c>
      <c r="E166" s="126" t="s">
        <v>484</v>
      </c>
      <c r="F166" s="107">
        <v>9300</v>
      </c>
      <c r="G166" s="100">
        <v>45805</v>
      </c>
      <c r="H166" s="34">
        <v>45807</v>
      </c>
      <c r="I166" s="34" t="s">
        <v>360</v>
      </c>
      <c r="J166" s="39" t="s">
        <v>361</v>
      </c>
      <c r="K166" s="176"/>
      <c r="L166" s="165" t="s">
        <v>649</v>
      </c>
      <c r="M166" s="111"/>
      <c r="N166" s="112"/>
      <c r="O166" s="113"/>
    </row>
    <row r="167" spans="1:15" s="130" customFormat="1" ht="16.5" customHeight="1">
      <c r="A167" s="108"/>
      <c r="B167" s="154" t="s">
        <v>660</v>
      </c>
      <c r="C167" s="161" t="s">
        <v>595</v>
      </c>
      <c r="D167" s="169" t="s">
        <v>661</v>
      </c>
      <c r="E167" s="126" t="s">
        <v>484</v>
      </c>
      <c r="F167" s="107">
        <v>100</v>
      </c>
      <c r="G167" s="100">
        <v>45806</v>
      </c>
      <c r="H167" s="34">
        <v>45807</v>
      </c>
      <c r="I167" s="34" t="s">
        <v>297</v>
      </c>
      <c r="J167" s="39"/>
      <c r="K167" s="176"/>
      <c r="L167" s="165" t="s">
        <v>599</v>
      </c>
      <c r="M167" s="111"/>
      <c r="N167" s="112"/>
      <c r="O167" s="113"/>
    </row>
    <row r="168" spans="1:15" s="130" customFormat="1" ht="16.5" customHeight="1">
      <c r="A168" s="108"/>
      <c r="B168" s="154" t="s">
        <v>662</v>
      </c>
      <c r="C168" s="161" t="s">
        <v>495</v>
      </c>
      <c r="D168" s="169" t="s">
        <v>663</v>
      </c>
      <c r="E168" s="126" t="s">
        <v>484</v>
      </c>
      <c r="F168" s="107">
        <v>86.61</v>
      </c>
      <c r="G168" s="100">
        <v>45812</v>
      </c>
      <c r="H168" s="34">
        <v>45818</v>
      </c>
      <c r="I168" s="34" t="s">
        <v>297</v>
      </c>
      <c r="J168" s="39" t="s">
        <v>392</v>
      </c>
      <c r="K168" s="176" t="s">
        <v>392</v>
      </c>
      <c r="L168" s="165" t="s">
        <v>664</v>
      </c>
      <c r="M168" s="111"/>
      <c r="N168" s="112"/>
      <c r="O168" s="113"/>
    </row>
    <row r="169" spans="1:15" s="130" customFormat="1" ht="16.5" customHeight="1">
      <c r="A169" s="108"/>
      <c r="B169" s="154" t="s">
        <v>662</v>
      </c>
      <c r="C169" s="161" t="s">
        <v>495</v>
      </c>
      <c r="D169" s="169" t="s">
        <v>663</v>
      </c>
      <c r="E169" s="126" t="s">
        <v>484</v>
      </c>
      <c r="F169" s="107">
        <v>46.61</v>
      </c>
      <c r="G169" s="100">
        <v>45819</v>
      </c>
      <c r="H169" s="34">
        <v>45821</v>
      </c>
      <c r="I169" s="34" t="s">
        <v>297</v>
      </c>
      <c r="J169" s="39" t="s">
        <v>392</v>
      </c>
      <c r="K169" s="176" t="s">
        <v>392</v>
      </c>
      <c r="L169" s="165" t="s">
        <v>665</v>
      </c>
      <c r="M169" s="111"/>
      <c r="N169" s="112"/>
      <c r="O169" s="113"/>
    </row>
    <row r="170" spans="1:15" s="130" customFormat="1" ht="16.5" customHeight="1">
      <c r="A170" s="108"/>
      <c r="B170" s="154" t="s">
        <v>428</v>
      </c>
      <c r="C170" s="161" t="s">
        <v>666</v>
      </c>
      <c r="D170" s="169" t="s">
        <v>667</v>
      </c>
      <c r="E170" s="126" t="s">
        <v>484</v>
      </c>
      <c r="F170" s="107">
        <v>20</v>
      </c>
      <c r="G170" s="100">
        <v>45831</v>
      </c>
      <c r="H170" s="34">
        <v>45832</v>
      </c>
      <c r="I170" s="34" t="s">
        <v>297</v>
      </c>
      <c r="J170" s="39" t="s">
        <v>392</v>
      </c>
      <c r="K170" s="176"/>
      <c r="L170" s="165" t="s">
        <v>668</v>
      </c>
      <c r="M170" s="111"/>
      <c r="N170" s="112"/>
      <c r="O170" s="113"/>
    </row>
    <row r="171" spans="1:15" s="129" customFormat="1" ht="16.899999999999999">
      <c r="A171" s="93"/>
      <c r="B171" s="154" t="s">
        <v>376</v>
      </c>
      <c r="C171" s="161" t="s">
        <v>633</v>
      </c>
      <c r="D171" s="169" t="s">
        <v>669</v>
      </c>
      <c r="E171" s="126" t="s">
        <v>484</v>
      </c>
      <c r="F171" s="107">
        <v>78</v>
      </c>
      <c r="G171" s="100">
        <v>45889</v>
      </c>
      <c r="H171" s="34">
        <v>45890</v>
      </c>
      <c r="I171" s="34" t="s">
        <v>360</v>
      </c>
      <c r="J171" s="39" t="s">
        <v>374</v>
      </c>
      <c r="K171" s="176"/>
      <c r="L171" s="165" t="s">
        <v>364</v>
      </c>
      <c r="M171" s="105"/>
      <c r="N171" s="94"/>
      <c r="O171" s="95"/>
    </row>
    <row r="172" spans="1:15" s="129" customFormat="1" ht="16.899999999999999">
      <c r="A172" s="93"/>
      <c r="B172" s="154"/>
      <c r="C172" s="161" t="s">
        <v>607</v>
      </c>
      <c r="D172" s="169" t="s">
        <v>670</v>
      </c>
      <c r="E172" s="126" t="s">
        <v>484</v>
      </c>
      <c r="F172" s="107">
        <v>453</v>
      </c>
      <c r="G172" s="100">
        <v>45903</v>
      </c>
      <c r="H172" s="34">
        <v>45908</v>
      </c>
      <c r="I172" s="34" t="s">
        <v>297</v>
      </c>
      <c r="J172" s="39" t="s">
        <v>392</v>
      </c>
      <c r="K172" s="176"/>
      <c r="L172" s="165" t="s">
        <v>379</v>
      </c>
      <c r="M172" s="105"/>
      <c r="N172" s="94"/>
      <c r="O172" s="95"/>
    </row>
    <row r="173" spans="1:15" s="129" customFormat="1" ht="16.899999999999999">
      <c r="A173" s="93"/>
      <c r="B173" s="154"/>
      <c r="C173" s="161" t="s">
        <v>633</v>
      </c>
      <c r="D173" s="169" t="s">
        <v>671</v>
      </c>
      <c r="E173" s="126" t="s">
        <v>484</v>
      </c>
      <c r="F173" s="107">
        <v>844</v>
      </c>
      <c r="G173" s="100">
        <v>45968</v>
      </c>
      <c r="H173" s="34"/>
      <c r="I173" s="34"/>
      <c r="J173" s="39" t="s">
        <v>392</v>
      </c>
      <c r="K173" s="176"/>
      <c r="L173" s="165" t="s">
        <v>379</v>
      </c>
      <c r="M173" s="105"/>
      <c r="N173" s="94"/>
      <c r="O173" s="95"/>
    </row>
    <row r="174" spans="1:15" s="130" customFormat="1" ht="16.899999999999999">
      <c r="A174" s="108"/>
      <c r="B174" s="156"/>
      <c r="C174" s="157" t="s">
        <v>672</v>
      </c>
      <c r="D174" s="142" t="s">
        <v>673</v>
      </c>
      <c r="E174" s="124" t="s">
        <v>484</v>
      </c>
      <c r="F174" s="109">
        <v>8</v>
      </c>
      <c r="G174" s="110">
        <v>45975</v>
      </c>
      <c r="H174" s="49">
        <v>45978</v>
      </c>
      <c r="I174" s="49" t="s">
        <v>297</v>
      </c>
      <c r="J174" s="43" t="s">
        <v>392</v>
      </c>
      <c r="K174" s="175"/>
      <c r="L174" s="165" t="s">
        <v>379</v>
      </c>
      <c r="M174" s="111"/>
      <c r="N174" s="112"/>
      <c r="O174" s="113"/>
    </row>
    <row r="175" spans="1:15" s="129" customFormat="1" ht="16.899999999999999">
      <c r="A175" s="93"/>
      <c r="B175" s="154" t="s">
        <v>558</v>
      </c>
      <c r="C175" s="161" t="s">
        <v>607</v>
      </c>
      <c r="D175" s="169" t="s">
        <v>674</v>
      </c>
      <c r="E175" s="126" t="s">
        <v>484</v>
      </c>
      <c r="F175" s="107">
        <v>1219</v>
      </c>
      <c r="G175" s="100">
        <v>45975</v>
      </c>
      <c r="H175" s="34">
        <v>45978</v>
      </c>
      <c r="I175" s="34" t="s">
        <v>360</v>
      </c>
      <c r="J175" s="39" t="s">
        <v>299</v>
      </c>
      <c r="K175" s="176"/>
      <c r="L175" s="165" t="s">
        <v>379</v>
      </c>
      <c r="M175" s="105"/>
      <c r="N175" s="94"/>
      <c r="O175" s="95"/>
    </row>
    <row r="176" spans="1:15" s="129" customFormat="1" ht="16.899999999999999">
      <c r="A176" s="93"/>
      <c r="B176" s="154" t="s">
        <v>335</v>
      </c>
      <c r="C176" s="161" t="s">
        <v>613</v>
      </c>
      <c r="D176" s="169" t="s">
        <v>675</v>
      </c>
      <c r="E176" s="126" t="s">
        <v>484</v>
      </c>
      <c r="F176" s="107">
        <v>3084</v>
      </c>
      <c r="G176" s="100">
        <v>45999</v>
      </c>
      <c r="H176" s="34">
        <v>46002</v>
      </c>
      <c r="I176" s="34" t="s">
        <v>676</v>
      </c>
      <c r="J176" s="39" t="s">
        <v>392</v>
      </c>
      <c r="K176" s="176"/>
      <c r="L176" s="165" t="s">
        <v>599</v>
      </c>
      <c r="M176" s="105"/>
      <c r="N176" s="94"/>
      <c r="O176" s="95"/>
    </row>
    <row r="177" spans="1:15" s="129" customFormat="1" ht="16.899999999999999">
      <c r="A177" s="93"/>
      <c r="B177" s="154"/>
      <c r="C177" s="161" t="s">
        <v>677</v>
      </c>
      <c r="D177" s="169" t="s">
        <v>678</v>
      </c>
      <c r="E177" s="126" t="s">
        <v>484</v>
      </c>
      <c r="F177" s="107">
        <v>2250</v>
      </c>
      <c r="G177" s="100">
        <v>46009</v>
      </c>
      <c r="H177" s="34"/>
      <c r="I177" s="34"/>
      <c r="J177" s="39" t="s">
        <v>625</v>
      </c>
      <c r="K177" s="176"/>
      <c r="L177" s="165" t="s">
        <v>379</v>
      </c>
      <c r="M177" s="105"/>
      <c r="N177" s="94"/>
      <c r="O177" s="95"/>
    </row>
    <row r="178" spans="1:15" s="129" customFormat="1" ht="16.899999999999999">
      <c r="A178" s="93"/>
      <c r="B178" s="154" t="s">
        <v>315</v>
      </c>
      <c r="C178" s="161" t="s">
        <v>613</v>
      </c>
      <c r="D178" s="169" t="s">
        <v>679</v>
      </c>
      <c r="E178" s="126" t="s">
        <v>484</v>
      </c>
      <c r="F178" s="107">
        <v>5039</v>
      </c>
      <c r="G178" s="100">
        <v>46052</v>
      </c>
      <c r="H178" s="34">
        <v>46055</v>
      </c>
      <c r="I178" s="34" t="s">
        <v>360</v>
      </c>
      <c r="J178" s="39"/>
      <c r="K178" s="176"/>
      <c r="L178" s="165" t="s">
        <v>680</v>
      </c>
      <c r="M178" s="105"/>
      <c r="N178" s="94"/>
      <c r="O178" s="95"/>
    </row>
    <row r="179" spans="1:15" s="129" customFormat="1" ht="16.899999999999999">
      <c r="A179" s="93"/>
      <c r="B179" s="156" t="s">
        <v>335</v>
      </c>
      <c r="C179" s="157" t="s">
        <v>613</v>
      </c>
      <c r="D179" s="142" t="s">
        <v>681</v>
      </c>
      <c r="E179" s="124" t="s">
        <v>484</v>
      </c>
      <c r="F179" s="109">
        <v>360</v>
      </c>
      <c r="G179" s="110">
        <v>46059</v>
      </c>
      <c r="H179" s="49">
        <v>46063</v>
      </c>
      <c r="I179" s="49" t="s">
        <v>360</v>
      </c>
      <c r="J179" s="43" t="s">
        <v>392</v>
      </c>
      <c r="K179" s="175"/>
      <c r="L179" s="165" t="s">
        <v>379</v>
      </c>
      <c r="M179" s="105"/>
      <c r="N179" s="94"/>
      <c r="O179" s="95"/>
    </row>
    <row r="180" spans="1:15" s="129" customFormat="1" ht="16.899999999999999">
      <c r="A180" s="93"/>
      <c r="B180" s="156" t="s">
        <v>682</v>
      </c>
      <c r="C180" s="157" t="s">
        <v>607</v>
      </c>
      <c r="D180" s="142" t="s">
        <v>683</v>
      </c>
      <c r="E180" s="124" t="s">
        <v>484</v>
      </c>
      <c r="F180" s="109">
        <v>22</v>
      </c>
      <c r="G180" s="110">
        <v>46072</v>
      </c>
      <c r="H180" s="49"/>
      <c r="I180" s="49"/>
      <c r="J180" s="43"/>
      <c r="K180" s="175"/>
      <c r="L180" s="165" t="s">
        <v>379</v>
      </c>
      <c r="M180" s="105"/>
      <c r="N180" s="94"/>
      <c r="O180" s="95"/>
    </row>
    <row r="181" spans="1:15" s="129" customFormat="1" ht="16.899999999999999">
      <c r="A181" s="93"/>
      <c r="B181" s="154" t="s">
        <v>335</v>
      </c>
      <c r="C181" s="161" t="s">
        <v>623</v>
      </c>
      <c r="D181" s="169" t="s">
        <v>684</v>
      </c>
      <c r="E181" s="126" t="s">
        <v>484</v>
      </c>
      <c r="F181" s="107">
        <v>1100</v>
      </c>
      <c r="G181" s="100">
        <v>46072</v>
      </c>
      <c r="H181" s="34">
        <v>46077</v>
      </c>
      <c r="I181" s="34" t="s">
        <v>360</v>
      </c>
      <c r="J181" s="39" t="s">
        <v>299</v>
      </c>
      <c r="K181" s="176"/>
      <c r="L181" s="165" t="s">
        <v>599</v>
      </c>
      <c r="M181" s="105"/>
      <c r="N181" s="94"/>
      <c r="O181" s="95"/>
    </row>
    <row r="182" spans="1:15" s="129" customFormat="1" ht="16.899999999999999">
      <c r="A182" s="93"/>
      <c r="B182" s="154" t="s">
        <v>109</v>
      </c>
      <c r="C182" s="161" t="s">
        <v>213</v>
      </c>
      <c r="D182" s="169" t="s">
        <v>685</v>
      </c>
      <c r="E182" s="126" t="s">
        <v>200</v>
      </c>
      <c r="F182" s="107">
        <v>975</v>
      </c>
      <c r="G182" s="100">
        <v>46099</v>
      </c>
      <c r="H182" s="34"/>
      <c r="I182" s="34"/>
      <c r="J182" s="39" t="s">
        <v>686</v>
      </c>
      <c r="K182" s="176"/>
      <c r="L182" s="165" t="s">
        <v>379</v>
      </c>
      <c r="M182" s="105"/>
      <c r="N182" s="94"/>
      <c r="O182" s="95"/>
    </row>
    <row r="183" spans="1:15" s="129" customFormat="1" ht="16.899999999999999">
      <c r="A183" s="93"/>
      <c r="B183" s="154" t="s">
        <v>90</v>
      </c>
      <c r="C183" s="161" t="s">
        <v>230</v>
      </c>
      <c r="D183" s="169" t="s">
        <v>687</v>
      </c>
      <c r="E183" s="126" t="s">
        <v>200</v>
      </c>
      <c r="F183" s="107">
        <v>0</v>
      </c>
      <c r="G183" s="100">
        <v>46093</v>
      </c>
      <c r="H183" s="34"/>
      <c r="I183" s="34"/>
      <c r="J183" s="39" t="s">
        <v>215</v>
      </c>
      <c r="K183" s="176"/>
      <c r="L183" s="165" t="s">
        <v>688</v>
      </c>
      <c r="M183" s="105"/>
      <c r="N183" s="94"/>
      <c r="O183" s="95"/>
    </row>
    <row r="184" spans="1:15" s="129" customFormat="1" ht="16.899999999999999">
      <c r="A184" s="93"/>
      <c r="B184" s="154" t="s">
        <v>689</v>
      </c>
      <c r="C184" s="161" t="s">
        <v>690</v>
      </c>
      <c r="D184" s="169" t="s">
        <v>691</v>
      </c>
      <c r="E184" s="126" t="s">
        <v>200</v>
      </c>
      <c r="F184" s="107">
        <v>50</v>
      </c>
      <c r="G184" s="100">
        <v>46114</v>
      </c>
      <c r="H184" s="34"/>
      <c r="I184" s="34"/>
      <c r="J184" s="39" t="s">
        <v>692</v>
      </c>
      <c r="K184" s="176"/>
      <c r="L184" s="165" t="s">
        <v>693</v>
      </c>
      <c r="M184" s="105"/>
      <c r="N184" s="94"/>
      <c r="O184" s="95"/>
    </row>
    <row r="185" spans="1:15" ht="38.25" customHeight="1">
      <c r="A185" s="50"/>
      <c r="B185" s="155"/>
      <c r="C185" s="155"/>
      <c r="D185" s="55" t="s">
        <v>263</v>
      </c>
      <c r="E185" s="116" t="s">
        <v>282</v>
      </c>
      <c r="F185" s="51"/>
      <c r="G185" s="47"/>
      <c r="H185" s="47"/>
      <c r="I185" s="47"/>
      <c r="J185" s="51"/>
      <c r="K185" s="174"/>
      <c r="L185" s="54"/>
      <c r="M185" s="103"/>
      <c r="O185" s="4"/>
    </row>
    <row r="186" spans="1:15" ht="16.5" customHeight="1">
      <c r="A186" s="151"/>
      <c r="B186" s="156"/>
      <c r="C186" s="157" t="s">
        <v>694</v>
      </c>
      <c r="D186" s="142" t="s">
        <v>504</v>
      </c>
      <c r="E186" s="124" t="s">
        <v>695</v>
      </c>
      <c r="F186" s="109">
        <v>1</v>
      </c>
      <c r="G186" s="49">
        <v>44134</v>
      </c>
      <c r="H186" s="49">
        <v>44137</v>
      </c>
      <c r="I186" s="49" t="s">
        <v>297</v>
      </c>
      <c r="J186" s="5"/>
      <c r="K186" s="175" t="s">
        <v>299</v>
      </c>
      <c r="L186" s="37"/>
      <c r="M186" s="103"/>
      <c r="O186" s="4"/>
    </row>
    <row r="187" spans="1:15" s="130" customFormat="1" ht="16.5" customHeight="1">
      <c r="A187" s="108"/>
      <c r="B187" s="156" t="s">
        <v>330</v>
      </c>
      <c r="C187" s="157" t="s">
        <v>531</v>
      </c>
      <c r="D187" s="142" t="s">
        <v>696</v>
      </c>
      <c r="E187" s="124" t="s">
        <v>695</v>
      </c>
      <c r="F187" s="109">
        <v>500</v>
      </c>
      <c r="G187" s="110">
        <v>44356</v>
      </c>
      <c r="H187" s="43">
        <v>44356</v>
      </c>
      <c r="I187" s="49" t="s">
        <v>297</v>
      </c>
      <c r="J187" s="43"/>
      <c r="K187" s="175" t="s">
        <v>299</v>
      </c>
      <c r="L187" s="247" t="s">
        <v>697</v>
      </c>
      <c r="M187" s="111"/>
      <c r="N187" s="112"/>
      <c r="O187" s="113"/>
    </row>
    <row r="188" spans="1:15" s="130" customFormat="1" ht="16.5" customHeight="1">
      <c r="A188" s="108"/>
      <c r="B188" s="156" t="s">
        <v>84</v>
      </c>
      <c r="C188" s="157" t="s">
        <v>531</v>
      </c>
      <c r="D188" s="142" t="s">
        <v>698</v>
      </c>
      <c r="E188" s="124" t="s">
        <v>695</v>
      </c>
      <c r="F188" s="109">
        <v>500</v>
      </c>
      <c r="G188" s="110">
        <v>44356</v>
      </c>
      <c r="H188" s="43">
        <v>44356</v>
      </c>
      <c r="I188" s="49" t="s">
        <v>297</v>
      </c>
      <c r="J188" s="43"/>
      <c r="K188" s="175" t="s">
        <v>299</v>
      </c>
      <c r="L188" s="247" t="s">
        <v>697</v>
      </c>
      <c r="M188" s="111"/>
      <c r="N188" s="112"/>
      <c r="O188" s="113"/>
    </row>
    <row r="189" spans="1:15" s="130" customFormat="1" ht="16.5" customHeight="1">
      <c r="A189" s="108"/>
      <c r="B189" s="156" t="s">
        <v>699</v>
      </c>
      <c r="C189" s="157" t="s">
        <v>531</v>
      </c>
      <c r="D189" s="142" t="s">
        <v>700</v>
      </c>
      <c r="E189" s="124" t="s">
        <v>695</v>
      </c>
      <c r="F189" s="109">
        <v>100</v>
      </c>
      <c r="G189" s="110">
        <v>44662</v>
      </c>
      <c r="H189" s="49"/>
      <c r="I189" s="49"/>
      <c r="J189" s="43"/>
      <c r="K189" s="175" t="s">
        <v>299</v>
      </c>
      <c r="L189" s="247" t="s">
        <v>551</v>
      </c>
      <c r="M189" s="111"/>
      <c r="N189" s="112"/>
      <c r="O189" s="113"/>
    </row>
    <row r="190" spans="1:15" s="130" customFormat="1" ht="16.5" customHeight="1">
      <c r="A190" s="108"/>
      <c r="B190" s="156" t="s">
        <v>701</v>
      </c>
      <c r="C190" s="157" t="s">
        <v>531</v>
      </c>
      <c r="D190" s="142" t="s">
        <v>702</v>
      </c>
      <c r="E190" s="124" t="s">
        <v>695</v>
      </c>
      <c r="F190" s="109">
        <v>100</v>
      </c>
      <c r="G190" s="110">
        <v>44697</v>
      </c>
      <c r="H190" s="49"/>
      <c r="I190" s="49"/>
      <c r="J190" s="43"/>
      <c r="K190" s="175" t="s">
        <v>299</v>
      </c>
      <c r="L190" s="247" t="s">
        <v>551</v>
      </c>
      <c r="M190" s="111"/>
      <c r="N190" s="112"/>
      <c r="O190" s="113"/>
    </row>
    <row r="191" spans="1:15" s="129" customFormat="1" ht="16.5" customHeight="1">
      <c r="A191" s="93"/>
      <c r="B191" s="154" t="s">
        <v>703</v>
      </c>
      <c r="C191" s="161" t="s">
        <v>704</v>
      </c>
      <c r="D191" s="169" t="s">
        <v>705</v>
      </c>
      <c r="E191" s="126" t="s">
        <v>706</v>
      </c>
      <c r="F191" s="326">
        <v>500</v>
      </c>
      <c r="G191" s="100">
        <v>44845</v>
      </c>
      <c r="H191" s="34">
        <v>44848</v>
      </c>
      <c r="I191" s="34" t="s">
        <v>360</v>
      </c>
      <c r="J191" s="39"/>
      <c r="K191" s="176" t="s">
        <v>299</v>
      </c>
      <c r="L191" s="165" t="s">
        <v>707</v>
      </c>
      <c r="M191" s="105"/>
      <c r="N191" s="94"/>
      <c r="O191" s="95"/>
    </row>
    <row r="192" spans="1:15" s="130" customFormat="1" ht="16.5" customHeight="1">
      <c r="A192" s="108"/>
      <c r="B192" s="156"/>
      <c r="C192" s="157" t="s">
        <v>708</v>
      </c>
      <c r="D192" s="142" t="s">
        <v>709</v>
      </c>
      <c r="E192" s="124" t="s">
        <v>695</v>
      </c>
      <c r="F192" s="633">
        <v>189</v>
      </c>
      <c r="G192" s="110">
        <v>46055</v>
      </c>
      <c r="H192" s="49"/>
      <c r="I192" s="49"/>
      <c r="J192" s="43"/>
      <c r="K192" s="175" t="s">
        <v>392</v>
      </c>
      <c r="L192" s="247" t="s">
        <v>710</v>
      </c>
      <c r="M192" s="111"/>
      <c r="N192" s="112"/>
      <c r="O192" s="113"/>
    </row>
    <row r="193" spans="1:15" ht="38.25" customHeight="1">
      <c r="A193" s="50"/>
      <c r="B193" s="155"/>
      <c r="C193" s="155"/>
      <c r="D193" s="114" t="s">
        <v>287</v>
      </c>
      <c r="E193" s="116"/>
      <c r="F193" s="143"/>
      <c r="G193" s="47"/>
      <c r="H193" s="47"/>
      <c r="I193" s="47"/>
      <c r="J193" s="51"/>
      <c r="K193" s="174"/>
      <c r="L193" s="54"/>
      <c r="M193" s="104"/>
      <c r="N193" s="24"/>
      <c r="O193" s="74"/>
    </row>
    <row r="194" spans="1:15" s="129" customFormat="1" ht="16.5" customHeight="1">
      <c r="A194" s="93"/>
      <c r="B194" s="224" t="s">
        <v>43</v>
      </c>
      <c r="C194" s="233" t="s">
        <v>711</v>
      </c>
      <c r="D194" s="231" t="s">
        <v>712</v>
      </c>
      <c r="E194" s="234" t="s">
        <v>287</v>
      </c>
      <c r="F194" s="235"/>
      <c r="G194" s="258">
        <v>44347</v>
      </c>
      <c r="H194" s="219">
        <v>44349</v>
      </c>
      <c r="I194" s="219" t="s">
        <v>360</v>
      </c>
      <c r="J194" s="71" t="s">
        <v>374</v>
      </c>
      <c r="K194" s="71"/>
      <c r="L194" s="268" t="s">
        <v>713</v>
      </c>
      <c r="M194" s="236"/>
      <c r="N194" s="94"/>
      <c r="O194" s="95"/>
    </row>
    <row r="195" spans="1:15" ht="38.25" customHeight="1">
      <c r="A195" s="50"/>
      <c r="B195" s="155"/>
      <c r="C195" s="155"/>
      <c r="D195" s="55" t="s">
        <v>277</v>
      </c>
      <c r="E195" s="116" t="s">
        <v>285</v>
      </c>
      <c r="F195" s="51"/>
      <c r="G195" s="47"/>
      <c r="H195" s="47"/>
      <c r="I195" s="47"/>
      <c r="J195" s="51"/>
      <c r="K195" s="174"/>
      <c r="L195" s="54"/>
      <c r="M195" s="103"/>
      <c r="O195" s="4"/>
    </row>
    <row r="196" spans="1:15" s="129" customFormat="1" ht="16.5" customHeight="1">
      <c r="A196" s="93"/>
      <c r="B196" s="224" t="s">
        <v>376</v>
      </c>
      <c r="C196" s="233" t="s">
        <v>412</v>
      </c>
      <c r="D196" s="231" t="s">
        <v>413</v>
      </c>
      <c r="E196" s="234" t="s">
        <v>277</v>
      </c>
      <c r="F196" s="235">
        <v>300</v>
      </c>
      <c r="G196" s="258">
        <v>45211</v>
      </c>
      <c r="H196" s="219"/>
      <c r="I196" s="219"/>
      <c r="J196" s="71" t="s">
        <v>333</v>
      </c>
      <c r="K196" s="71"/>
      <c r="L196" s="268" t="s">
        <v>414</v>
      </c>
      <c r="M196" s="236"/>
      <c r="N196" s="94"/>
      <c r="O196" s="95"/>
    </row>
    <row r="197" spans="1:15" ht="38.25" customHeight="1">
      <c r="A197" s="150"/>
      <c r="B197" s="158"/>
      <c r="C197" s="162"/>
      <c r="D197" s="106" t="s">
        <v>268</v>
      </c>
      <c r="E197" s="117"/>
      <c r="F197" s="57"/>
      <c r="G197" s="47"/>
      <c r="H197" s="47"/>
      <c r="I197" s="47"/>
      <c r="J197" s="58"/>
      <c r="K197" s="177"/>
      <c r="L197" s="59"/>
      <c r="M197" s="90"/>
      <c r="N197" s="26"/>
      <c r="O197" s="26"/>
    </row>
    <row r="198" spans="1:15" ht="13.5" customHeight="1">
      <c r="A198" s="30"/>
      <c r="B198" s="159"/>
      <c r="C198" s="163"/>
      <c r="D198" s="21"/>
      <c r="E198" s="118"/>
      <c r="F198" s="28"/>
      <c r="G198" s="48">
        <v>10</v>
      </c>
      <c r="H198" s="48"/>
      <c r="I198" s="48"/>
      <c r="J198" s="48"/>
      <c r="K198" s="178"/>
      <c r="L198" s="38"/>
    </row>
    <row r="199" spans="1:15" ht="16.5" customHeight="1">
      <c r="C199" s="156"/>
      <c r="D199" s="5"/>
      <c r="E199" s="119"/>
      <c r="F199" s="83"/>
      <c r="G199" s="5"/>
      <c r="H199" s="5"/>
      <c r="I199" s="5"/>
      <c r="J199" s="34"/>
      <c r="K199" s="26"/>
      <c r="L199" s="90"/>
    </row>
    <row r="200" spans="1:15" ht="38.25" customHeight="1">
      <c r="A200" s="50"/>
      <c r="B200" s="155"/>
      <c r="C200" s="155"/>
      <c r="D200" s="55" t="s">
        <v>276</v>
      </c>
      <c r="E200" s="116" t="s">
        <v>283</v>
      </c>
      <c r="F200" s="51"/>
      <c r="G200" s="47"/>
      <c r="H200" s="47"/>
      <c r="I200" s="47"/>
      <c r="J200" s="51"/>
      <c r="K200" s="174"/>
      <c r="L200" s="54"/>
      <c r="M200" s="104"/>
      <c r="N200" s="24"/>
      <c r="O200" s="74"/>
    </row>
    <row r="201" spans="1:15" ht="38.25" customHeight="1">
      <c r="D201" s="55" t="s">
        <v>263</v>
      </c>
      <c r="E201" s="116" t="s">
        <v>282</v>
      </c>
    </row>
    <row r="202" spans="1:15" ht="38.25" customHeight="1">
      <c r="D202" s="55" t="s">
        <v>279</v>
      </c>
      <c r="E202" s="116" t="s">
        <v>284</v>
      </c>
    </row>
    <row r="203" spans="1:15" ht="38.25" customHeight="1">
      <c r="D203" s="55" t="s">
        <v>277</v>
      </c>
      <c r="E203" s="116" t="s">
        <v>285</v>
      </c>
    </row>
    <row r="204" spans="1:15" ht="38.25" customHeight="1">
      <c r="D204" s="114" t="s">
        <v>287</v>
      </c>
      <c r="E204" s="116"/>
    </row>
    <row r="1850" spans="3:3" ht="13.5" customHeight="1">
      <c r="C1850" s="159" t="s">
        <v>714</v>
      </c>
    </row>
    <row r="1916" spans="12:12">
      <c r="L1916" t="s">
        <v>0</v>
      </c>
    </row>
    <row r="1954" spans="6:7">
      <c r="F1954">
        <f>31000+5950+4100+5975</f>
        <v>47025</v>
      </c>
    </row>
    <row r="1955" spans="6:7">
      <c r="F1955" s="183">
        <f>2707.25-1501.1</f>
        <v>1206.1500000000001</v>
      </c>
    </row>
    <row r="1958" spans="6:7">
      <c r="G1958" t="s">
        <v>289</v>
      </c>
    </row>
  </sheetData>
  <autoFilter ref="C1:C1958" xr:uid="{00000000-0009-0000-0000-000001000000}"/>
  <phoneticPr fontId="1" type="noConversion"/>
  <pageMargins left="0.70866141732283472" right="0.70866141732283472" top="0.70866141732283472" bottom="0.70866141732283472" header="0.31496062992125984" footer="0.31496062992125984"/>
  <pageSetup paperSize="9" scale="58" orientation="landscape" r:id="rId1"/>
  <colBreaks count="2" manualBreakCount="2">
    <brk id="15" max="1048575" man="1"/>
    <brk id="16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FC774"/>
  <sheetViews>
    <sheetView zoomScaleNormal="100" workbookViewId="0">
      <selection sqref="A1:XFD3"/>
    </sheetView>
  </sheetViews>
  <sheetFormatPr defaultRowHeight="13.5"/>
  <cols>
    <col min="2" max="2" width="15.234375" customWidth="1"/>
    <col min="3" max="3" width="20.3515625" customWidth="1"/>
    <col min="4" max="4" width="40.52734375" customWidth="1"/>
    <col min="5" max="5" width="8.87890625" customWidth="1"/>
    <col min="6" max="6" width="9.64453125" customWidth="1"/>
    <col min="7" max="11" width="9" customWidth="1"/>
    <col min="12" max="12" width="8.87890625" customWidth="1"/>
    <col min="13" max="13" width="10.52734375" customWidth="1"/>
    <col min="14" max="14" width="26.41015625" bestFit="1" customWidth="1"/>
    <col min="15" max="15" width="9.52734375" customWidth="1"/>
    <col min="16" max="16" width="27.41015625" customWidth="1"/>
    <col min="17" max="17" width="17.1171875" customWidth="1"/>
    <col min="18" max="18" width="40.234375" customWidth="1"/>
  </cols>
  <sheetData>
    <row r="1" spans="1:18" ht="75.75" customHeight="1">
      <c r="A1" s="440"/>
      <c r="B1" s="440"/>
      <c r="C1" s="440"/>
      <c r="D1" s="441" t="s">
        <v>296</v>
      </c>
      <c r="E1" s="144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</row>
    <row r="2" spans="1:18" s="373" customFormat="1" ht="15.75">
      <c r="A2" s="353" t="s">
        <v>715</v>
      </c>
      <c r="B2" s="289" t="s">
        <v>716</v>
      </c>
      <c r="C2" s="289" t="s">
        <v>717</v>
      </c>
      <c r="D2" s="224" t="s">
        <v>718</v>
      </c>
      <c r="E2" s="196" t="s">
        <v>32</v>
      </c>
      <c r="F2" s="272">
        <v>50660</v>
      </c>
      <c r="G2" s="424">
        <v>45575</v>
      </c>
      <c r="H2" s="424">
        <v>45649</v>
      </c>
      <c r="I2" s="424">
        <v>46018</v>
      </c>
      <c r="J2" s="424">
        <v>45659</v>
      </c>
      <c r="K2" s="424">
        <v>45659</v>
      </c>
      <c r="L2" s="424" t="s">
        <v>38</v>
      </c>
      <c r="M2" s="289" t="s">
        <v>719</v>
      </c>
      <c r="N2" s="452" t="s">
        <v>720</v>
      </c>
      <c r="O2" s="395">
        <v>45683</v>
      </c>
      <c r="P2" s="196"/>
      <c r="Q2" s="196"/>
    </row>
    <row r="3" spans="1:18" s="373" customFormat="1" ht="15.95" customHeight="1">
      <c r="A3" s="353" t="s">
        <v>721</v>
      </c>
      <c r="B3" s="289" t="s">
        <v>722</v>
      </c>
      <c r="C3" s="289" t="s">
        <v>53</v>
      </c>
      <c r="D3" s="224" t="s">
        <v>723</v>
      </c>
      <c r="E3" s="196" t="s">
        <v>32</v>
      </c>
      <c r="F3" s="272">
        <v>3290.35</v>
      </c>
      <c r="G3" s="424">
        <v>45622</v>
      </c>
      <c r="H3" s="425">
        <v>45299</v>
      </c>
      <c r="I3" s="425">
        <v>45667</v>
      </c>
      <c r="J3" s="424">
        <v>45670</v>
      </c>
      <c r="K3" s="424">
        <v>45674</v>
      </c>
      <c r="L3" s="424" t="s">
        <v>724</v>
      </c>
      <c r="M3" s="289" t="s">
        <v>39</v>
      </c>
      <c r="N3" s="452" t="s">
        <v>725</v>
      </c>
      <c r="O3" s="395">
        <v>45696</v>
      </c>
      <c r="P3" s="196" t="s">
        <v>726</v>
      </c>
      <c r="Q3" s="196"/>
      <c r="R3" s="373" t="s">
        <v>727</v>
      </c>
    </row>
    <row r="4" spans="1:18" s="373" customFormat="1" ht="15.95" customHeight="1">
      <c r="A4" s="353" t="s">
        <v>728</v>
      </c>
      <c r="B4" s="289" t="s">
        <v>729</v>
      </c>
      <c r="C4" s="289" t="s">
        <v>53</v>
      </c>
      <c r="D4" s="224" t="s">
        <v>730</v>
      </c>
      <c r="E4" s="196" t="s">
        <v>32</v>
      </c>
      <c r="F4" s="272">
        <v>5695</v>
      </c>
      <c r="G4" s="424">
        <v>45665</v>
      </c>
      <c r="H4" s="425">
        <v>45674</v>
      </c>
      <c r="I4" s="425">
        <v>45673</v>
      </c>
      <c r="J4" s="424">
        <v>45674</v>
      </c>
      <c r="K4" s="424">
        <v>45677</v>
      </c>
      <c r="L4" s="424" t="s">
        <v>38</v>
      </c>
      <c r="M4" s="289" t="s">
        <v>39</v>
      </c>
      <c r="N4" s="452" t="s">
        <v>731</v>
      </c>
      <c r="O4" s="395">
        <v>45703</v>
      </c>
      <c r="P4" s="196" t="s">
        <v>732</v>
      </c>
      <c r="Q4" s="196"/>
      <c r="R4" s="373" t="s">
        <v>733</v>
      </c>
    </row>
    <row r="5" spans="1:18" s="373" customFormat="1" ht="15.95" customHeight="1">
      <c r="A5" s="353" t="s">
        <v>734</v>
      </c>
      <c r="B5" s="289" t="s">
        <v>735</v>
      </c>
      <c r="C5" s="289" t="s">
        <v>736</v>
      </c>
      <c r="D5" s="224" t="s">
        <v>737</v>
      </c>
      <c r="E5" s="196" t="s">
        <v>32</v>
      </c>
      <c r="F5" s="272">
        <v>549.4</v>
      </c>
      <c r="G5" s="424">
        <v>45660</v>
      </c>
      <c r="H5" s="425">
        <v>45670</v>
      </c>
      <c r="I5" s="425">
        <v>45666</v>
      </c>
      <c r="J5" s="424">
        <v>45667</v>
      </c>
      <c r="K5" s="424">
        <v>45671</v>
      </c>
      <c r="L5" s="424" t="s">
        <v>38</v>
      </c>
      <c r="M5" s="289" t="s">
        <v>39</v>
      </c>
      <c r="N5" s="452" t="s">
        <v>738</v>
      </c>
      <c r="O5" s="395">
        <v>45696</v>
      </c>
      <c r="P5" s="196" t="s">
        <v>739</v>
      </c>
      <c r="Q5" s="196"/>
      <c r="R5" s="373" t="s">
        <v>740</v>
      </c>
    </row>
    <row r="6" spans="1:18" s="373" customFormat="1" ht="15.95" customHeight="1">
      <c r="A6" s="353" t="s">
        <v>741</v>
      </c>
      <c r="B6" s="289" t="s">
        <v>722</v>
      </c>
      <c r="C6" s="289" t="s">
        <v>742</v>
      </c>
      <c r="D6" s="224" t="s">
        <v>743</v>
      </c>
      <c r="E6" s="196" t="s">
        <v>32</v>
      </c>
      <c r="F6" s="272">
        <v>9340.08</v>
      </c>
      <c r="G6" s="424">
        <v>45680</v>
      </c>
      <c r="H6" s="425">
        <v>45688</v>
      </c>
      <c r="I6" s="425">
        <v>45688</v>
      </c>
      <c r="J6" s="424">
        <v>45691</v>
      </c>
      <c r="K6" s="424">
        <v>45692</v>
      </c>
      <c r="L6" s="424" t="s">
        <v>38</v>
      </c>
      <c r="M6" s="289" t="s">
        <v>39</v>
      </c>
      <c r="N6" s="452" t="s">
        <v>744</v>
      </c>
      <c r="O6" s="395">
        <v>45715</v>
      </c>
      <c r="P6" s="196">
        <v>120335</v>
      </c>
      <c r="Q6" s="196"/>
      <c r="R6" s="373" t="s">
        <v>745</v>
      </c>
    </row>
    <row r="7" spans="1:18" s="373" customFormat="1" ht="15.95" customHeight="1">
      <c r="A7" s="353"/>
      <c r="B7" s="289"/>
      <c r="C7" s="289" t="s">
        <v>746</v>
      </c>
      <c r="D7" s="224" t="s">
        <v>747</v>
      </c>
      <c r="E7" s="196" t="s">
        <v>32</v>
      </c>
      <c r="F7" s="272">
        <v>-7120</v>
      </c>
      <c r="G7" s="424"/>
      <c r="H7" s="424"/>
      <c r="I7" s="424"/>
      <c r="J7" s="424"/>
      <c r="K7" s="424"/>
      <c r="L7" s="289"/>
      <c r="M7" s="452"/>
      <c r="N7" s="318">
        <v>63992</v>
      </c>
      <c r="O7" s="196"/>
      <c r="P7" s="196"/>
      <c r="R7" s="373" t="s">
        <v>748</v>
      </c>
    </row>
    <row r="8" spans="1:18" s="373" customFormat="1" ht="15.95" customHeight="1" thickBot="1">
      <c r="A8" s="545" t="s">
        <v>749</v>
      </c>
      <c r="B8" s="540" t="s">
        <v>43</v>
      </c>
      <c r="C8" s="540" t="s">
        <v>67</v>
      </c>
      <c r="D8" s="546" t="s">
        <v>750</v>
      </c>
      <c r="E8" s="547" t="s">
        <v>32</v>
      </c>
      <c r="F8" s="541"/>
      <c r="G8" s="424">
        <v>45610</v>
      </c>
      <c r="H8" s="425" t="s">
        <v>751</v>
      </c>
      <c r="I8" s="425">
        <v>45700</v>
      </c>
      <c r="J8" s="424">
        <v>45701</v>
      </c>
      <c r="K8" s="424">
        <v>45705</v>
      </c>
      <c r="L8" s="424" t="s">
        <v>724</v>
      </c>
      <c r="M8" s="289" t="s">
        <v>47</v>
      </c>
      <c r="N8" s="452" t="s">
        <v>752</v>
      </c>
      <c r="O8" s="499" t="s">
        <v>753</v>
      </c>
      <c r="P8" s="196"/>
      <c r="Q8" s="196"/>
      <c r="R8" s="373" t="s">
        <v>754</v>
      </c>
    </row>
    <row r="9" spans="1:18" s="373" customFormat="1" ht="15.95" customHeight="1">
      <c r="A9" s="353" t="s">
        <v>755</v>
      </c>
      <c r="B9" s="289" t="s">
        <v>756</v>
      </c>
      <c r="C9" s="289" t="s">
        <v>757</v>
      </c>
      <c r="D9" s="224" t="s">
        <v>758</v>
      </c>
      <c r="E9" s="196" t="s">
        <v>32</v>
      </c>
      <c r="F9" s="272">
        <v>28140</v>
      </c>
      <c r="G9" s="424">
        <v>45622</v>
      </c>
      <c r="H9" s="499" t="s">
        <v>759</v>
      </c>
      <c r="I9" s="537">
        <v>45694</v>
      </c>
      <c r="J9" s="424">
        <v>45698</v>
      </c>
      <c r="K9" s="424">
        <v>45699</v>
      </c>
      <c r="L9" s="424" t="s">
        <v>38</v>
      </c>
      <c r="M9" s="289" t="s">
        <v>39</v>
      </c>
      <c r="N9" s="452" t="s">
        <v>760</v>
      </c>
      <c r="O9" s="395">
        <v>45721</v>
      </c>
      <c r="P9" s="196" t="s">
        <v>761</v>
      </c>
      <c r="Q9" s="196"/>
      <c r="R9" s="373" t="s">
        <v>762</v>
      </c>
    </row>
    <row r="10" spans="1:18" s="373" customFormat="1" ht="15.95" customHeight="1">
      <c r="A10" s="353" t="s">
        <v>763</v>
      </c>
      <c r="B10" s="289" t="s">
        <v>165</v>
      </c>
      <c r="C10" s="289" t="s">
        <v>73</v>
      </c>
      <c r="D10" s="224" t="s">
        <v>764</v>
      </c>
      <c r="E10" s="196" t="s">
        <v>32</v>
      </c>
      <c r="F10" s="272">
        <v>690.16</v>
      </c>
      <c r="G10" s="424">
        <v>45629</v>
      </c>
      <c r="H10" s="425">
        <v>45702</v>
      </c>
      <c r="I10" s="425">
        <v>45694</v>
      </c>
      <c r="J10" s="424">
        <v>45699</v>
      </c>
      <c r="K10" s="424">
        <v>45700</v>
      </c>
      <c r="L10" s="424" t="s">
        <v>38</v>
      </c>
      <c r="M10" s="289" t="s">
        <v>39</v>
      </c>
      <c r="N10" s="452" t="s">
        <v>765</v>
      </c>
      <c r="O10" s="395">
        <v>45720</v>
      </c>
      <c r="P10" s="196">
        <v>303431</v>
      </c>
      <c r="Q10" s="196"/>
      <c r="R10" s="373" t="s">
        <v>766</v>
      </c>
    </row>
    <row r="11" spans="1:18" s="373" customFormat="1" ht="15.95" customHeight="1">
      <c r="A11" s="353"/>
      <c r="B11" s="289" t="s">
        <v>43</v>
      </c>
      <c r="C11" s="289" t="s">
        <v>767</v>
      </c>
      <c r="D11" s="224" t="s">
        <v>768</v>
      </c>
      <c r="E11" s="196" t="s">
        <v>32</v>
      </c>
      <c r="F11" s="272">
        <v>440</v>
      </c>
      <c r="G11" s="424">
        <v>45695</v>
      </c>
      <c r="H11" s="425">
        <v>45695</v>
      </c>
      <c r="I11" s="425">
        <v>45695</v>
      </c>
      <c r="J11" s="424">
        <v>45698</v>
      </c>
      <c r="K11" s="424">
        <v>45699</v>
      </c>
      <c r="L11" s="424" t="s">
        <v>38</v>
      </c>
      <c r="M11" s="289" t="s">
        <v>39</v>
      </c>
      <c r="N11" s="452" t="s">
        <v>769</v>
      </c>
      <c r="O11" s="395">
        <v>45725</v>
      </c>
      <c r="P11" s="196"/>
      <c r="Q11" s="196"/>
      <c r="R11" s="373" t="s">
        <v>766</v>
      </c>
    </row>
    <row r="12" spans="1:18" s="373" customFormat="1" ht="16.149999999999999" thickBot="1">
      <c r="A12" s="353" t="s">
        <v>770</v>
      </c>
      <c r="B12" s="289" t="s">
        <v>43</v>
      </c>
      <c r="C12" s="289" t="s">
        <v>67</v>
      </c>
      <c r="D12" s="224" t="s">
        <v>771</v>
      </c>
      <c r="E12" s="196" t="s">
        <v>32</v>
      </c>
      <c r="F12" s="272">
        <v>1045.5</v>
      </c>
      <c r="G12" s="424">
        <v>45665</v>
      </c>
      <c r="H12" s="425" t="s">
        <v>751</v>
      </c>
      <c r="I12" s="425">
        <v>45700</v>
      </c>
      <c r="J12" s="424">
        <v>45701</v>
      </c>
      <c r="K12" s="424">
        <v>45705</v>
      </c>
      <c r="L12" s="424" t="s">
        <v>724</v>
      </c>
      <c r="M12" s="289" t="s">
        <v>47</v>
      </c>
      <c r="N12" s="452" t="s">
        <v>772</v>
      </c>
      <c r="O12" s="395">
        <v>45728</v>
      </c>
      <c r="P12" s="196"/>
      <c r="Q12" s="196"/>
      <c r="R12" s="373" t="s">
        <v>773</v>
      </c>
    </row>
    <row r="13" spans="1:18" s="373" customFormat="1" ht="31.5">
      <c r="A13" s="542" t="s">
        <v>774</v>
      </c>
      <c r="B13" s="538" t="s">
        <v>775</v>
      </c>
      <c r="C13" s="538" t="s">
        <v>736</v>
      </c>
      <c r="D13" s="543" t="s">
        <v>776</v>
      </c>
      <c r="E13" s="544" t="s">
        <v>32</v>
      </c>
      <c r="F13" s="539">
        <v>5847.15</v>
      </c>
      <c r="G13" s="424">
        <v>45672</v>
      </c>
      <c r="H13" s="425">
        <v>45706</v>
      </c>
      <c r="I13" s="425">
        <v>45705</v>
      </c>
      <c r="J13" s="424">
        <v>45707</v>
      </c>
      <c r="K13" s="424">
        <v>45708</v>
      </c>
      <c r="L13" s="424" t="s">
        <v>38</v>
      </c>
      <c r="M13" s="289" t="s">
        <v>39</v>
      </c>
      <c r="N13" s="452" t="s">
        <v>777</v>
      </c>
      <c r="O13" s="395">
        <v>45731</v>
      </c>
      <c r="P13" s="196" t="s">
        <v>778</v>
      </c>
      <c r="Q13" s="196"/>
      <c r="R13" s="373" t="s">
        <v>779</v>
      </c>
    </row>
    <row r="14" spans="1:18" s="373" customFormat="1" ht="15.75">
      <c r="A14" s="353"/>
      <c r="B14" s="289" t="s">
        <v>180</v>
      </c>
      <c r="C14" s="289" t="s">
        <v>53</v>
      </c>
      <c r="D14" s="224" t="s">
        <v>780</v>
      </c>
      <c r="E14" s="196" t="s">
        <v>32</v>
      </c>
      <c r="F14" s="272">
        <v>2890</v>
      </c>
      <c r="G14" s="424">
        <v>45673</v>
      </c>
      <c r="H14" s="425">
        <v>45702</v>
      </c>
      <c r="I14" s="425">
        <v>45701</v>
      </c>
      <c r="J14" s="424">
        <v>45702</v>
      </c>
      <c r="K14" s="424">
        <v>45705</v>
      </c>
      <c r="L14" s="424" t="s">
        <v>38</v>
      </c>
      <c r="M14" s="289" t="s">
        <v>47</v>
      </c>
      <c r="N14" s="452" t="s">
        <v>781</v>
      </c>
      <c r="O14" s="395">
        <v>45728</v>
      </c>
      <c r="P14" s="196" t="s">
        <v>782</v>
      </c>
      <c r="Q14" s="196"/>
      <c r="R14" s="373" t="s">
        <v>783</v>
      </c>
    </row>
    <row r="15" spans="1:18" s="373" customFormat="1" ht="15.75">
      <c r="A15" s="353" t="s">
        <v>784</v>
      </c>
      <c r="B15" s="289" t="s">
        <v>785</v>
      </c>
      <c r="C15" s="289" t="s">
        <v>736</v>
      </c>
      <c r="D15" s="224" t="s">
        <v>786</v>
      </c>
      <c r="E15" s="196" t="s">
        <v>32</v>
      </c>
      <c r="F15" s="272">
        <v>814.3</v>
      </c>
      <c r="G15" s="424">
        <v>45679</v>
      </c>
      <c r="H15" s="425">
        <v>45705</v>
      </c>
      <c r="I15" s="425">
        <v>45709</v>
      </c>
      <c r="J15" s="424">
        <v>45709</v>
      </c>
      <c r="K15" s="424">
        <v>45712</v>
      </c>
      <c r="L15" s="424" t="s">
        <v>38</v>
      </c>
      <c r="M15" s="289" t="s">
        <v>39</v>
      </c>
      <c r="N15" s="452" t="s">
        <v>787</v>
      </c>
      <c r="O15" s="395">
        <v>45735</v>
      </c>
      <c r="P15" s="196" t="s">
        <v>788</v>
      </c>
      <c r="Q15" s="196"/>
      <c r="R15" s="373" t="s">
        <v>789</v>
      </c>
    </row>
    <row r="16" spans="1:18" s="373" customFormat="1" ht="16.5" customHeight="1">
      <c r="A16" s="353"/>
      <c r="B16" s="289" t="s">
        <v>180</v>
      </c>
      <c r="C16" s="289" t="s">
        <v>73</v>
      </c>
      <c r="D16" s="224" t="s">
        <v>790</v>
      </c>
      <c r="E16" s="196" t="s">
        <v>32</v>
      </c>
      <c r="F16" s="272"/>
      <c r="G16" s="424">
        <v>45622</v>
      </c>
      <c r="H16" s="499">
        <v>45672</v>
      </c>
      <c r="I16" s="537" t="s">
        <v>791</v>
      </c>
      <c r="J16" s="424">
        <v>45741</v>
      </c>
      <c r="K16" s="424">
        <v>45742</v>
      </c>
      <c r="L16" s="424" t="s">
        <v>792</v>
      </c>
      <c r="M16" s="289" t="s">
        <v>39</v>
      </c>
      <c r="N16" s="452" t="s">
        <v>793</v>
      </c>
      <c r="O16" s="395" t="s">
        <v>753</v>
      </c>
      <c r="P16" s="196">
        <v>303414</v>
      </c>
      <c r="Q16" s="196"/>
      <c r="R16" s="536" t="s">
        <v>794</v>
      </c>
    </row>
    <row r="17" spans="1:18" s="373" customFormat="1" ht="16.5" customHeight="1">
      <c r="A17" s="353" t="s">
        <v>795</v>
      </c>
      <c r="B17" s="289" t="s">
        <v>796</v>
      </c>
      <c r="C17" s="289" t="s">
        <v>67</v>
      </c>
      <c r="D17" s="224" t="s">
        <v>797</v>
      </c>
      <c r="E17" s="196" t="s">
        <v>32</v>
      </c>
      <c r="F17" s="272">
        <v>1287.75</v>
      </c>
      <c r="G17" s="424">
        <v>45701</v>
      </c>
      <c r="H17" s="425" t="s">
        <v>798</v>
      </c>
      <c r="I17" s="425">
        <v>45728</v>
      </c>
      <c r="J17" s="424">
        <v>45743</v>
      </c>
      <c r="K17" s="424">
        <v>45744</v>
      </c>
      <c r="L17" s="424" t="s">
        <v>724</v>
      </c>
      <c r="M17" s="289" t="s">
        <v>39</v>
      </c>
      <c r="N17" s="452" t="s">
        <v>799</v>
      </c>
      <c r="O17" s="395">
        <v>45759</v>
      </c>
      <c r="P17" s="196"/>
      <c r="Q17" s="196"/>
      <c r="R17" s="373" t="s">
        <v>800</v>
      </c>
    </row>
    <row r="18" spans="1:18" s="373" customFormat="1" ht="16.5" customHeight="1">
      <c r="A18" s="353" t="s">
        <v>784</v>
      </c>
      <c r="B18" s="289" t="s">
        <v>801</v>
      </c>
      <c r="C18" s="289" t="s">
        <v>736</v>
      </c>
      <c r="D18" s="224" t="s">
        <v>802</v>
      </c>
      <c r="E18" s="196" t="s">
        <v>32</v>
      </c>
      <c r="F18" s="272">
        <v>630.70000000000005</v>
      </c>
      <c r="G18" s="424">
        <v>45712</v>
      </c>
      <c r="H18" s="425">
        <v>45727</v>
      </c>
      <c r="I18" s="425">
        <v>45727</v>
      </c>
      <c r="J18" s="424">
        <v>45728</v>
      </c>
      <c r="K18" s="424">
        <v>45730</v>
      </c>
      <c r="L18" s="424" t="s">
        <v>38</v>
      </c>
      <c r="M18" s="289" t="s">
        <v>39</v>
      </c>
      <c r="N18" s="452" t="s">
        <v>803</v>
      </c>
      <c r="O18" s="395">
        <v>45757</v>
      </c>
      <c r="P18" s="196" t="s">
        <v>804</v>
      </c>
      <c r="Q18" s="196"/>
      <c r="R18" s="373" t="s">
        <v>805</v>
      </c>
    </row>
    <row r="19" spans="1:18" s="373" customFormat="1" ht="16.5" customHeight="1">
      <c r="B19" s="289" t="s">
        <v>43</v>
      </c>
      <c r="C19" s="289" t="s">
        <v>767</v>
      </c>
      <c r="D19" s="224" t="s">
        <v>806</v>
      </c>
      <c r="E19" s="196" t="s">
        <v>32</v>
      </c>
      <c r="F19" s="272">
        <v>20289.900000000001</v>
      </c>
      <c r="G19" s="424">
        <v>45579</v>
      </c>
      <c r="H19" s="425">
        <v>45733</v>
      </c>
      <c r="I19" s="424">
        <v>45733</v>
      </c>
      <c r="J19" s="424">
        <v>45737</v>
      </c>
      <c r="K19" s="424">
        <v>45741</v>
      </c>
      <c r="L19" s="424" t="s">
        <v>38</v>
      </c>
      <c r="M19" s="289" t="s">
        <v>146</v>
      </c>
      <c r="N19" s="452" t="s">
        <v>807</v>
      </c>
      <c r="O19" s="395">
        <v>45764</v>
      </c>
      <c r="P19" s="196" t="s">
        <v>808</v>
      </c>
      <c r="Q19" s="196"/>
      <c r="R19" s="373" t="s">
        <v>809</v>
      </c>
    </row>
    <row r="20" spans="1:18" s="373" customFormat="1" ht="16.5" customHeight="1">
      <c r="A20" s="353" t="s">
        <v>810</v>
      </c>
      <c r="B20" s="289" t="s">
        <v>811</v>
      </c>
      <c r="C20" s="289" t="s">
        <v>60</v>
      </c>
      <c r="D20" s="224" t="s">
        <v>812</v>
      </c>
      <c r="E20" s="196" t="s">
        <v>32</v>
      </c>
      <c r="F20" s="272">
        <v>9750.08</v>
      </c>
      <c r="G20" s="424">
        <v>45700</v>
      </c>
      <c r="H20" s="425" t="s">
        <v>798</v>
      </c>
      <c r="I20" s="425">
        <v>45735</v>
      </c>
      <c r="J20" s="424">
        <v>45736</v>
      </c>
      <c r="K20" s="424">
        <v>45740</v>
      </c>
      <c r="L20" s="424" t="s">
        <v>38</v>
      </c>
      <c r="M20" s="289" t="s">
        <v>39</v>
      </c>
      <c r="N20" s="452" t="s">
        <v>813</v>
      </c>
      <c r="O20" s="395">
        <v>45763</v>
      </c>
      <c r="P20" s="196" t="s">
        <v>814</v>
      </c>
      <c r="Q20" s="196"/>
      <c r="R20" s="373" t="s">
        <v>815</v>
      </c>
    </row>
    <row r="21" spans="1:18" s="373" customFormat="1" ht="16.5" customHeight="1" thickBot="1">
      <c r="A21" s="545"/>
      <c r="B21" s="540" t="s">
        <v>180</v>
      </c>
      <c r="C21" s="540" t="s">
        <v>736</v>
      </c>
      <c r="D21" s="546" t="s">
        <v>816</v>
      </c>
      <c r="E21" s="547" t="s">
        <v>32</v>
      </c>
      <c r="F21" s="541">
        <v>7831.05</v>
      </c>
      <c r="G21" s="424">
        <v>45672</v>
      </c>
      <c r="H21" s="425">
        <v>45756</v>
      </c>
      <c r="I21" s="425">
        <v>45761</v>
      </c>
      <c r="J21" s="424">
        <v>45762</v>
      </c>
      <c r="K21" s="424">
        <v>45762</v>
      </c>
      <c r="L21" s="424" t="s">
        <v>38</v>
      </c>
      <c r="M21" s="289" t="s">
        <v>39</v>
      </c>
      <c r="N21" s="452" t="s">
        <v>817</v>
      </c>
      <c r="O21" s="395">
        <v>45788</v>
      </c>
      <c r="P21" s="196" t="s">
        <v>778</v>
      </c>
      <c r="Q21" s="196"/>
      <c r="R21" s="373" t="s">
        <v>818</v>
      </c>
    </row>
    <row r="22" spans="1:18" s="373" customFormat="1" ht="16.5" customHeight="1">
      <c r="A22" s="353" t="s">
        <v>819</v>
      </c>
      <c r="B22" s="289" t="s">
        <v>735</v>
      </c>
      <c r="C22" s="289" t="s">
        <v>736</v>
      </c>
      <c r="D22" s="224" t="s">
        <v>820</v>
      </c>
      <c r="E22" s="196" t="s">
        <v>32</v>
      </c>
      <c r="F22" s="272">
        <v>4874.75</v>
      </c>
      <c r="G22" s="424">
        <v>45727</v>
      </c>
      <c r="H22" s="425">
        <v>45770</v>
      </c>
      <c r="I22" s="425">
        <v>45770</v>
      </c>
      <c r="J22" s="424">
        <v>45772</v>
      </c>
      <c r="K22" s="424">
        <v>45775</v>
      </c>
      <c r="L22" s="424" t="s">
        <v>38</v>
      </c>
      <c r="M22" s="289" t="s">
        <v>39</v>
      </c>
      <c r="N22" s="289" t="s">
        <v>821</v>
      </c>
      <c r="O22" s="395">
        <v>45799</v>
      </c>
      <c r="P22" s="196" t="s">
        <v>822</v>
      </c>
      <c r="Q22" s="196"/>
      <c r="R22" s="373" t="s">
        <v>823</v>
      </c>
    </row>
    <row r="23" spans="1:18" s="557" customFormat="1" ht="63" customHeight="1">
      <c r="A23" s="548" t="s">
        <v>824</v>
      </c>
      <c r="B23" s="549" t="s">
        <v>735</v>
      </c>
      <c r="C23" s="549" t="s">
        <v>736</v>
      </c>
      <c r="D23" s="550" t="s">
        <v>825</v>
      </c>
      <c r="E23" s="551" t="s">
        <v>32</v>
      </c>
      <c r="F23" s="552">
        <v>5278.5</v>
      </c>
      <c r="G23" s="553">
        <v>45728</v>
      </c>
      <c r="H23" s="554">
        <v>45756</v>
      </c>
      <c r="I23" s="554">
        <v>45755</v>
      </c>
      <c r="J23" s="553">
        <v>45756</v>
      </c>
      <c r="K23" s="553">
        <v>45757</v>
      </c>
      <c r="L23" s="553" t="s">
        <v>38</v>
      </c>
      <c r="M23" s="549" t="s">
        <v>39</v>
      </c>
      <c r="N23" s="549" t="s">
        <v>826</v>
      </c>
      <c r="O23" s="555">
        <v>45784</v>
      </c>
      <c r="P23" s="551" t="s">
        <v>827</v>
      </c>
      <c r="Q23" s="551"/>
      <c r="R23" s="556" t="s">
        <v>828</v>
      </c>
    </row>
    <row r="24" spans="1:18" s="386" customFormat="1" ht="16.5" customHeight="1">
      <c r="A24" s="384"/>
      <c r="B24" s="336" t="s">
        <v>134</v>
      </c>
      <c r="C24" s="336" t="s">
        <v>736</v>
      </c>
      <c r="D24" s="467" t="s">
        <v>829</v>
      </c>
      <c r="E24" s="468" t="s">
        <v>32</v>
      </c>
      <c r="F24" s="337">
        <v>7659.56</v>
      </c>
      <c r="G24" s="469">
        <v>45716</v>
      </c>
      <c r="H24" s="470">
        <v>45772</v>
      </c>
      <c r="I24" s="470">
        <v>45786</v>
      </c>
      <c r="J24" s="469">
        <v>45789</v>
      </c>
      <c r="K24" s="469">
        <v>45790</v>
      </c>
      <c r="L24" s="469" t="s">
        <v>38</v>
      </c>
      <c r="M24" s="336" t="s">
        <v>39</v>
      </c>
      <c r="N24" s="336" t="s">
        <v>830</v>
      </c>
      <c r="O24" s="472">
        <v>45802</v>
      </c>
      <c r="P24" s="468" t="s">
        <v>831</v>
      </c>
      <c r="Q24" s="475"/>
      <c r="R24" s="386" t="s">
        <v>832</v>
      </c>
    </row>
    <row r="25" spans="1:18" s="386" customFormat="1" ht="16.5" customHeight="1">
      <c r="A25" s="384" t="s">
        <v>833</v>
      </c>
      <c r="B25" s="336" t="s">
        <v>834</v>
      </c>
      <c r="C25" s="336" t="s">
        <v>736</v>
      </c>
      <c r="D25" s="467" t="s">
        <v>835</v>
      </c>
      <c r="E25" s="468" t="s">
        <v>32</v>
      </c>
      <c r="F25" s="337">
        <v>7216.5</v>
      </c>
      <c r="G25" s="469">
        <v>45748</v>
      </c>
      <c r="H25" s="470">
        <v>45783</v>
      </c>
      <c r="I25" s="470">
        <v>45786</v>
      </c>
      <c r="J25" s="469">
        <v>45789</v>
      </c>
      <c r="K25" s="469">
        <v>45790</v>
      </c>
      <c r="L25" s="469" t="s">
        <v>38</v>
      </c>
      <c r="M25" s="336" t="s">
        <v>39</v>
      </c>
      <c r="N25" s="336" t="s">
        <v>836</v>
      </c>
      <c r="O25" s="472">
        <v>45814</v>
      </c>
      <c r="P25" s="468" t="s">
        <v>837</v>
      </c>
      <c r="Q25" s="475"/>
      <c r="R25" s="386" t="s">
        <v>838</v>
      </c>
    </row>
    <row r="26" spans="1:18" s="386" customFormat="1" ht="16.5" customHeight="1">
      <c r="A26" s="384" t="s">
        <v>839</v>
      </c>
      <c r="B26" s="336" t="s">
        <v>840</v>
      </c>
      <c r="C26" s="336" t="s">
        <v>736</v>
      </c>
      <c r="D26" s="467" t="s">
        <v>841</v>
      </c>
      <c r="E26" s="468" t="s">
        <v>32</v>
      </c>
      <c r="F26" s="337">
        <v>422.45</v>
      </c>
      <c r="G26" s="469">
        <v>45771</v>
      </c>
      <c r="H26" s="470">
        <v>45790</v>
      </c>
      <c r="I26" s="470">
        <v>45790</v>
      </c>
      <c r="J26" s="469">
        <v>45791</v>
      </c>
      <c r="K26" s="469">
        <v>45793</v>
      </c>
      <c r="L26" s="469" t="s">
        <v>38</v>
      </c>
      <c r="M26" s="336" t="s">
        <v>39</v>
      </c>
      <c r="N26" s="336" t="s">
        <v>842</v>
      </c>
      <c r="O26" s="472">
        <v>45820</v>
      </c>
      <c r="P26" s="468" t="s">
        <v>843</v>
      </c>
      <c r="Q26" s="475"/>
      <c r="R26" s="386" t="s">
        <v>844</v>
      </c>
    </row>
    <row r="27" spans="1:18" s="386" customFormat="1" ht="16.5" customHeight="1">
      <c r="A27" s="384" t="s">
        <v>845</v>
      </c>
      <c r="B27" s="336" t="s">
        <v>846</v>
      </c>
      <c r="C27" s="336" t="s">
        <v>847</v>
      </c>
      <c r="D27" s="467" t="s">
        <v>848</v>
      </c>
      <c r="E27" s="468" t="s">
        <v>32</v>
      </c>
      <c r="F27" s="337">
        <v>340</v>
      </c>
      <c r="G27" s="469">
        <v>45770</v>
      </c>
      <c r="H27" s="470">
        <v>45779</v>
      </c>
      <c r="I27" s="470">
        <v>45779</v>
      </c>
      <c r="J27" s="469">
        <v>45784</v>
      </c>
      <c r="K27" s="469">
        <v>45786</v>
      </c>
      <c r="L27" s="469" t="s">
        <v>38</v>
      </c>
      <c r="M27" s="336" t="s">
        <v>146</v>
      </c>
      <c r="N27" s="336" t="s">
        <v>849</v>
      </c>
      <c r="O27" s="472">
        <v>45804</v>
      </c>
      <c r="P27" s="468"/>
      <c r="Q27" s="475"/>
      <c r="R27" s="386" t="s">
        <v>850</v>
      </c>
    </row>
    <row r="28" spans="1:18" s="386" customFormat="1" ht="16.5" customHeight="1">
      <c r="A28" s="384" t="s">
        <v>851</v>
      </c>
      <c r="B28" s="336" t="s">
        <v>722</v>
      </c>
      <c r="C28" s="336" t="s">
        <v>53</v>
      </c>
      <c r="D28" s="467" t="s">
        <v>852</v>
      </c>
      <c r="E28" s="468" t="s">
        <v>32</v>
      </c>
      <c r="F28" s="337">
        <v>127345</v>
      </c>
      <c r="G28" s="469">
        <v>45775</v>
      </c>
      <c r="H28" s="470">
        <v>45779</v>
      </c>
      <c r="I28" s="470">
        <v>45779</v>
      </c>
      <c r="J28" s="469">
        <v>45784</v>
      </c>
      <c r="K28" s="469">
        <v>45786</v>
      </c>
      <c r="L28" s="469" t="s">
        <v>38</v>
      </c>
      <c r="M28" s="336" t="s">
        <v>146</v>
      </c>
      <c r="N28" s="336" t="s">
        <v>853</v>
      </c>
      <c r="O28" s="472">
        <v>45808</v>
      </c>
      <c r="P28" s="468" t="s">
        <v>854</v>
      </c>
      <c r="Q28" s="475"/>
      <c r="R28" s="386" t="s">
        <v>855</v>
      </c>
    </row>
    <row r="29" spans="1:18" s="386" customFormat="1" ht="16.5" customHeight="1">
      <c r="A29" s="384"/>
      <c r="B29" s="336" t="s">
        <v>722</v>
      </c>
      <c r="C29" s="336" t="s">
        <v>53</v>
      </c>
      <c r="D29" s="467" t="s">
        <v>856</v>
      </c>
      <c r="E29" s="468" t="s">
        <v>32</v>
      </c>
      <c r="F29" s="337">
        <v>3400</v>
      </c>
      <c r="G29" s="469">
        <v>45779</v>
      </c>
      <c r="H29" s="470">
        <v>45782</v>
      </c>
      <c r="I29" s="470">
        <v>45779</v>
      </c>
      <c r="J29" s="469">
        <v>45784</v>
      </c>
      <c r="K29" s="469">
        <v>45785</v>
      </c>
      <c r="L29" s="469" t="s">
        <v>724</v>
      </c>
      <c r="M29" s="336" t="s">
        <v>47</v>
      </c>
      <c r="N29" s="336" t="s">
        <v>857</v>
      </c>
      <c r="O29" s="472">
        <v>45809</v>
      </c>
      <c r="P29" s="468" t="s">
        <v>858</v>
      </c>
      <c r="Q29" s="475"/>
      <c r="R29" s="386" t="s">
        <v>859</v>
      </c>
    </row>
    <row r="30" spans="1:18" s="386" customFormat="1" ht="31.5">
      <c r="A30" s="384" t="s">
        <v>860</v>
      </c>
      <c r="B30" s="336" t="s">
        <v>43</v>
      </c>
      <c r="C30" s="336" t="s">
        <v>767</v>
      </c>
      <c r="D30" s="467" t="s">
        <v>806</v>
      </c>
      <c r="E30" s="468" t="s">
        <v>32</v>
      </c>
      <c r="F30" s="337">
        <v>20289.900000000001</v>
      </c>
      <c r="G30" s="469">
        <v>45673</v>
      </c>
      <c r="H30" s="470">
        <v>45797</v>
      </c>
      <c r="I30" s="470">
        <v>45796</v>
      </c>
      <c r="J30" s="469">
        <v>45803</v>
      </c>
      <c r="K30" s="469">
        <v>45804</v>
      </c>
      <c r="L30" s="469" t="s">
        <v>38</v>
      </c>
      <c r="M30" s="336" t="s">
        <v>146</v>
      </c>
      <c r="N30" s="490" t="s">
        <v>861</v>
      </c>
      <c r="O30" s="472">
        <v>45823</v>
      </c>
      <c r="P30" s="468" t="s">
        <v>862</v>
      </c>
      <c r="Q30" s="475"/>
      <c r="R30" s="386" t="s">
        <v>863</v>
      </c>
    </row>
    <row r="31" spans="1:18" s="386" customFormat="1" ht="15.75">
      <c r="A31" s="384" t="s">
        <v>864</v>
      </c>
      <c r="B31" s="336" t="s">
        <v>865</v>
      </c>
      <c r="C31" s="336" t="s">
        <v>736</v>
      </c>
      <c r="D31" s="467" t="s">
        <v>866</v>
      </c>
      <c r="E31" s="468" t="s">
        <v>32</v>
      </c>
      <c r="F31" s="337">
        <v>986</v>
      </c>
      <c r="G31" s="469">
        <v>45750</v>
      </c>
      <c r="H31" s="470">
        <v>45776</v>
      </c>
      <c r="I31" s="470">
        <v>45793</v>
      </c>
      <c r="J31" s="469">
        <v>45796</v>
      </c>
      <c r="K31" s="469">
        <v>45797</v>
      </c>
      <c r="L31" s="469" t="s">
        <v>38</v>
      </c>
      <c r="M31" s="336" t="s">
        <v>39</v>
      </c>
      <c r="N31" s="336" t="s">
        <v>867</v>
      </c>
      <c r="O31" s="472">
        <v>45821</v>
      </c>
      <c r="P31" s="468" t="s">
        <v>868</v>
      </c>
      <c r="Q31" s="475"/>
      <c r="R31" s="386" t="s">
        <v>869</v>
      </c>
    </row>
    <row r="32" spans="1:18" s="386" customFormat="1" ht="15.75">
      <c r="A32" s="384" t="s">
        <v>870</v>
      </c>
      <c r="B32" s="336" t="s">
        <v>43</v>
      </c>
      <c r="C32" s="336" t="s">
        <v>767</v>
      </c>
      <c r="D32" s="467" t="s">
        <v>871</v>
      </c>
      <c r="E32" s="468" t="s">
        <v>32</v>
      </c>
      <c r="F32" s="337">
        <v>6077.8</v>
      </c>
      <c r="G32" s="469">
        <v>45765</v>
      </c>
      <c r="H32" s="470">
        <v>45797</v>
      </c>
      <c r="I32" s="470">
        <v>45796</v>
      </c>
      <c r="J32" s="469">
        <v>45803</v>
      </c>
      <c r="K32" s="469">
        <v>45804</v>
      </c>
      <c r="L32" s="469" t="s">
        <v>38</v>
      </c>
      <c r="M32" s="336" t="s">
        <v>55</v>
      </c>
      <c r="N32" s="336" t="s">
        <v>872</v>
      </c>
      <c r="O32" s="472">
        <v>45821</v>
      </c>
      <c r="P32" s="468" t="s">
        <v>873</v>
      </c>
      <c r="Q32" s="475"/>
      <c r="R32" s="386" t="s">
        <v>874</v>
      </c>
    </row>
    <row r="33" spans="1:18" s="386" customFormat="1" ht="15.75">
      <c r="A33" s="384" t="s">
        <v>875</v>
      </c>
      <c r="B33" s="336" t="s">
        <v>876</v>
      </c>
      <c r="C33" s="336" t="s">
        <v>767</v>
      </c>
      <c r="D33" s="467" t="s">
        <v>877</v>
      </c>
      <c r="E33" s="468" t="s">
        <v>32</v>
      </c>
      <c r="F33" s="337">
        <v>425</v>
      </c>
      <c r="G33" s="469">
        <v>45771</v>
      </c>
      <c r="H33" s="470">
        <v>45789</v>
      </c>
      <c r="I33" s="470">
        <v>45796</v>
      </c>
      <c r="J33" s="469">
        <v>45803</v>
      </c>
      <c r="K33" s="469">
        <v>45804</v>
      </c>
      <c r="L33" s="469" t="s">
        <v>38</v>
      </c>
      <c r="M33" s="336" t="s">
        <v>55</v>
      </c>
      <c r="N33" s="336" t="s">
        <v>878</v>
      </c>
      <c r="O33" s="472">
        <v>45823</v>
      </c>
      <c r="P33" s="468" t="s">
        <v>879</v>
      </c>
      <c r="Q33" s="475"/>
      <c r="R33" s="386" t="s">
        <v>880</v>
      </c>
    </row>
    <row r="34" spans="1:18" s="386" customFormat="1" ht="15.75">
      <c r="A34" s="384" t="s">
        <v>881</v>
      </c>
      <c r="B34" s="336" t="s">
        <v>722</v>
      </c>
      <c r="C34" s="336" t="s">
        <v>746</v>
      </c>
      <c r="D34" s="467" t="s">
        <v>882</v>
      </c>
      <c r="E34" s="468" t="s">
        <v>32</v>
      </c>
      <c r="F34" s="337">
        <v>5443.51</v>
      </c>
      <c r="G34" s="469">
        <v>45775</v>
      </c>
      <c r="H34" s="470">
        <v>45776</v>
      </c>
      <c r="I34" s="470">
        <v>45776</v>
      </c>
      <c r="J34" s="469">
        <v>45777</v>
      </c>
      <c r="K34" s="469">
        <v>45779</v>
      </c>
      <c r="L34" s="469" t="s">
        <v>38</v>
      </c>
      <c r="M34" s="336" t="s">
        <v>883</v>
      </c>
      <c r="N34" s="336" t="s">
        <v>884</v>
      </c>
      <c r="O34" s="472">
        <v>45808</v>
      </c>
      <c r="P34" s="468"/>
      <c r="Q34" s="475"/>
      <c r="R34" s="386" t="s">
        <v>885</v>
      </c>
    </row>
    <row r="35" spans="1:18" s="511" customFormat="1" ht="31.5">
      <c r="A35" s="505" t="s">
        <v>886</v>
      </c>
      <c r="B35" s="506" t="s">
        <v>887</v>
      </c>
      <c r="C35" s="506" t="s">
        <v>888</v>
      </c>
      <c r="D35" s="560" t="s">
        <v>889</v>
      </c>
      <c r="E35" s="507" t="s">
        <v>32</v>
      </c>
      <c r="F35" s="508"/>
      <c r="G35" s="509">
        <v>45786</v>
      </c>
      <c r="H35" s="529">
        <v>45792</v>
      </c>
      <c r="I35" s="529">
        <v>45792</v>
      </c>
      <c r="J35" s="509">
        <v>45819</v>
      </c>
      <c r="K35" s="509">
        <v>45820</v>
      </c>
      <c r="L35" s="509" t="s">
        <v>38</v>
      </c>
      <c r="M35" s="506" t="s">
        <v>39</v>
      </c>
      <c r="N35" s="506" t="s">
        <v>890</v>
      </c>
      <c r="O35" s="510" t="s">
        <v>246</v>
      </c>
      <c r="P35" s="507" t="s">
        <v>891</v>
      </c>
      <c r="Q35" s="417"/>
      <c r="R35" s="561" t="s">
        <v>892</v>
      </c>
    </row>
    <row r="36" spans="1:18" s="381" customFormat="1" ht="26.25" customHeight="1">
      <c r="A36" s="359" t="s">
        <v>893</v>
      </c>
      <c r="B36" s="242" t="s">
        <v>43</v>
      </c>
      <c r="C36" s="242" t="s">
        <v>60</v>
      </c>
      <c r="D36" s="179" t="s">
        <v>894</v>
      </c>
      <c r="E36" s="131" t="s">
        <v>32</v>
      </c>
      <c r="F36" s="286">
        <v>154101</v>
      </c>
      <c r="G36" s="147">
        <v>46017</v>
      </c>
      <c r="H36" s="263">
        <v>45796</v>
      </c>
      <c r="I36" s="263">
        <v>45798</v>
      </c>
      <c r="J36" s="147">
        <v>45803</v>
      </c>
      <c r="K36" s="147">
        <v>45804</v>
      </c>
      <c r="L36" s="147" t="s">
        <v>38</v>
      </c>
      <c r="M36" s="242" t="s">
        <v>47</v>
      </c>
      <c r="N36" s="363" t="s">
        <v>895</v>
      </c>
      <c r="O36" s="394">
        <v>45827</v>
      </c>
      <c r="P36" s="131" t="s">
        <v>896</v>
      </c>
      <c r="Q36" s="132"/>
      <c r="R36" s="381" t="s">
        <v>897</v>
      </c>
    </row>
    <row r="37" spans="1:18" s="381" customFormat="1" ht="15.75">
      <c r="A37" s="359" t="s">
        <v>898</v>
      </c>
      <c r="B37" s="242" t="s">
        <v>43</v>
      </c>
      <c r="C37" s="242" t="s">
        <v>412</v>
      </c>
      <c r="D37" s="179" t="s">
        <v>899</v>
      </c>
      <c r="E37" s="131" t="s">
        <v>32</v>
      </c>
      <c r="F37" s="286">
        <v>5065</v>
      </c>
      <c r="G37" s="147">
        <v>45720</v>
      </c>
      <c r="H37" s="263">
        <v>45842</v>
      </c>
      <c r="I37" s="263">
        <v>45798</v>
      </c>
      <c r="J37" s="147">
        <v>45803</v>
      </c>
      <c r="K37" s="147">
        <v>45804</v>
      </c>
      <c r="L37" s="147" t="s">
        <v>38</v>
      </c>
      <c r="M37" s="242" t="s">
        <v>39</v>
      </c>
      <c r="N37" s="242" t="s">
        <v>900</v>
      </c>
      <c r="O37" s="394">
        <v>45827</v>
      </c>
      <c r="P37" s="131" t="s">
        <v>901</v>
      </c>
      <c r="Q37" s="132"/>
      <c r="R37" s="381" t="s">
        <v>902</v>
      </c>
    </row>
    <row r="38" spans="1:18" s="401" customFormat="1" ht="15.75" customHeight="1">
      <c r="A38" s="418" t="s">
        <v>903</v>
      </c>
      <c r="B38" s="311" t="s">
        <v>796</v>
      </c>
      <c r="C38" s="311" t="s">
        <v>67</v>
      </c>
      <c r="D38" s="266" t="s">
        <v>904</v>
      </c>
      <c r="E38" s="222" t="s">
        <v>32</v>
      </c>
      <c r="F38" s="315">
        <v>1190</v>
      </c>
      <c r="G38" s="444">
        <v>45796</v>
      </c>
      <c r="H38" s="445">
        <v>45803</v>
      </c>
      <c r="I38" s="445">
        <v>45803</v>
      </c>
      <c r="J38" s="444">
        <v>45804</v>
      </c>
      <c r="K38" s="444">
        <v>45806</v>
      </c>
      <c r="L38" s="444" t="s">
        <v>724</v>
      </c>
      <c r="M38" s="311" t="s">
        <v>39</v>
      </c>
      <c r="N38" s="311" t="s">
        <v>905</v>
      </c>
      <c r="O38" s="400">
        <v>45833</v>
      </c>
      <c r="P38" s="222"/>
      <c r="Q38" s="212"/>
      <c r="R38" s="401" t="s">
        <v>906</v>
      </c>
    </row>
    <row r="39" spans="1:18" s="373" customFormat="1" ht="15.75" customHeight="1">
      <c r="A39" s="353"/>
      <c r="B39" s="289"/>
      <c r="C39" s="314" t="s">
        <v>67</v>
      </c>
      <c r="D39" s="218" t="s">
        <v>907</v>
      </c>
      <c r="E39" s="212" t="s">
        <v>32</v>
      </c>
      <c r="F39" s="272">
        <v>-60</v>
      </c>
      <c r="G39" s="424"/>
      <c r="H39" s="425"/>
      <c r="I39" s="425"/>
      <c r="J39" s="424"/>
      <c r="K39" s="424"/>
      <c r="L39" s="424"/>
      <c r="M39" s="289" t="s">
        <v>47</v>
      </c>
      <c r="N39" s="289"/>
      <c r="O39" s="395"/>
      <c r="P39" s="196"/>
      <c r="Q39" s="196"/>
      <c r="R39" s="401" t="s">
        <v>908</v>
      </c>
    </row>
    <row r="40" spans="1:18" s="401" customFormat="1" ht="15.75" customHeight="1">
      <c r="A40" s="418"/>
      <c r="B40" s="311" t="s">
        <v>371</v>
      </c>
      <c r="C40" s="311" t="s">
        <v>736</v>
      </c>
      <c r="D40" s="266" t="s">
        <v>909</v>
      </c>
      <c r="E40" s="222" t="s">
        <v>32</v>
      </c>
      <c r="F40" s="315">
        <v>795.86</v>
      </c>
      <c r="G40" s="444">
        <v>45793</v>
      </c>
      <c r="H40" s="445">
        <v>45814</v>
      </c>
      <c r="I40" s="445">
        <v>45814</v>
      </c>
      <c r="J40" s="444">
        <v>45817</v>
      </c>
      <c r="K40" s="444">
        <v>45818</v>
      </c>
      <c r="L40" s="444" t="s">
        <v>38</v>
      </c>
      <c r="M40" s="311" t="s">
        <v>146</v>
      </c>
      <c r="N40" s="311" t="s">
        <v>910</v>
      </c>
      <c r="O40" s="400">
        <v>45843</v>
      </c>
      <c r="P40" s="222" t="s">
        <v>911</v>
      </c>
      <c r="Q40" s="212"/>
      <c r="R40" s="401" t="s">
        <v>912</v>
      </c>
    </row>
    <row r="41" spans="1:18" s="412" customFormat="1" ht="15.75" customHeight="1">
      <c r="A41" s="364"/>
      <c r="B41" s="314" t="s">
        <v>913</v>
      </c>
      <c r="C41" s="314" t="s">
        <v>914</v>
      </c>
      <c r="D41" s="218" t="s">
        <v>915</v>
      </c>
      <c r="E41" s="212" t="s">
        <v>32</v>
      </c>
      <c r="F41" s="292">
        <v>9000</v>
      </c>
      <c r="G41" s="448">
        <v>45813</v>
      </c>
      <c r="H41" s="449" t="s">
        <v>916</v>
      </c>
      <c r="I41" s="449"/>
      <c r="J41" s="448"/>
      <c r="K41" s="448"/>
      <c r="L41" s="448"/>
      <c r="M41" s="314" t="s">
        <v>39</v>
      </c>
      <c r="N41" s="314" t="s">
        <v>917</v>
      </c>
      <c r="O41" s="436">
        <v>45842</v>
      </c>
      <c r="P41" s="212"/>
      <c r="Q41" s="212"/>
      <c r="R41" s="401" t="s">
        <v>918</v>
      </c>
    </row>
    <row r="42" spans="1:18" s="382" customFormat="1" ht="15.75" customHeight="1">
      <c r="A42" s="384" t="s">
        <v>919</v>
      </c>
      <c r="B42" s="336" t="s">
        <v>920</v>
      </c>
      <c r="C42" s="336" t="s">
        <v>736</v>
      </c>
      <c r="D42" s="467" t="s">
        <v>921</v>
      </c>
      <c r="E42" s="468" t="s">
        <v>32</v>
      </c>
      <c r="F42" s="337">
        <f>(7473+41)*0.85</f>
        <v>6386.9</v>
      </c>
      <c r="G42" s="261">
        <v>45828</v>
      </c>
      <c r="H42" s="320">
        <v>45835</v>
      </c>
      <c r="I42" s="320">
        <v>45835</v>
      </c>
      <c r="J42" s="261">
        <v>45838</v>
      </c>
      <c r="K42" s="261">
        <v>45839</v>
      </c>
      <c r="L42" s="261" t="s">
        <v>38</v>
      </c>
      <c r="M42" s="262" t="s">
        <v>39</v>
      </c>
      <c r="N42" s="262" t="s">
        <v>922</v>
      </c>
      <c r="O42" s="437">
        <v>45865</v>
      </c>
      <c r="P42" s="76" t="s">
        <v>923</v>
      </c>
      <c r="Q42" s="196"/>
      <c r="R42" s="583" t="s">
        <v>924</v>
      </c>
    </row>
    <row r="43" spans="1:18" s="386" customFormat="1" ht="15.75" customHeight="1">
      <c r="A43" s="384" t="s">
        <v>925</v>
      </c>
      <c r="B43" s="336" t="s">
        <v>722</v>
      </c>
      <c r="C43" s="336" t="s">
        <v>746</v>
      </c>
      <c r="D43" s="467" t="s">
        <v>926</v>
      </c>
      <c r="E43" s="468" t="s">
        <v>32</v>
      </c>
      <c r="F43" s="337">
        <v>13607</v>
      </c>
      <c r="G43" s="469">
        <v>45770</v>
      </c>
      <c r="H43" s="470">
        <v>45828</v>
      </c>
      <c r="I43" s="470">
        <v>45827</v>
      </c>
      <c r="J43" s="469">
        <v>45827</v>
      </c>
      <c r="K43" s="469">
        <v>45828</v>
      </c>
      <c r="L43" s="469" t="s">
        <v>38</v>
      </c>
      <c r="M43" s="336" t="s">
        <v>883</v>
      </c>
      <c r="N43" s="336" t="s">
        <v>927</v>
      </c>
      <c r="O43" s="472">
        <v>45856</v>
      </c>
      <c r="P43" s="468">
        <v>120689</v>
      </c>
      <c r="Q43" s="475"/>
      <c r="R43" s="386" t="s">
        <v>928</v>
      </c>
    </row>
    <row r="44" spans="1:18" s="386" customFormat="1" ht="15.75" customHeight="1">
      <c r="A44" s="384" t="s">
        <v>929</v>
      </c>
      <c r="B44" s="336" t="s">
        <v>930</v>
      </c>
      <c r="C44" s="336" t="s">
        <v>931</v>
      </c>
      <c r="D44" s="467" t="s">
        <v>932</v>
      </c>
      <c r="E44" s="468" t="s">
        <v>32</v>
      </c>
      <c r="F44" s="337">
        <v>13770</v>
      </c>
      <c r="G44" s="469">
        <v>45790</v>
      </c>
      <c r="H44" s="470">
        <v>45831</v>
      </c>
      <c r="I44" s="470">
        <v>45825</v>
      </c>
      <c r="J44" s="469">
        <v>45826</v>
      </c>
      <c r="K44" s="469">
        <v>45831</v>
      </c>
      <c r="L44" s="469" t="s">
        <v>38</v>
      </c>
      <c r="M44" s="336" t="s">
        <v>47</v>
      </c>
      <c r="N44" s="336" t="s">
        <v>933</v>
      </c>
      <c r="O44" s="472">
        <v>45854</v>
      </c>
      <c r="P44" s="468" t="s">
        <v>934</v>
      </c>
      <c r="Q44" s="475"/>
      <c r="R44" s="386" t="s">
        <v>935</v>
      </c>
    </row>
    <row r="45" spans="1:18" s="386" customFormat="1" ht="15.75" customHeight="1">
      <c r="A45" s="384" t="s">
        <v>936</v>
      </c>
      <c r="B45" s="336" t="s">
        <v>937</v>
      </c>
      <c r="C45" s="336" t="s">
        <v>931</v>
      </c>
      <c r="D45" s="467" t="s">
        <v>938</v>
      </c>
      <c r="E45" s="468" t="s">
        <v>32</v>
      </c>
      <c r="F45" s="337">
        <v>1062.5</v>
      </c>
      <c r="G45" s="469">
        <v>45826</v>
      </c>
      <c r="H45" s="470">
        <v>45838</v>
      </c>
      <c r="I45" s="470">
        <v>45835</v>
      </c>
      <c r="J45" s="469">
        <v>45838</v>
      </c>
      <c r="K45" s="469">
        <v>45839</v>
      </c>
      <c r="L45" s="469" t="s">
        <v>38</v>
      </c>
      <c r="M45" s="336" t="s">
        <v>39</v>
      </c>
      <c r="N45" s="336" t="s">
        <v>939</v>
      </c>
      <c r="O45" s="472">
        <v>45864</v>
      </c>
      <c r="P45" s="468" t="s">
        <v>940</v>
      </c>
      <c r="Q45" s="475"/>
      <c r="R45" s="386" t="s">
        <v>941</v>
      </c>
    </row>
    <row r="46" spans="1:18" s="386" customFormat="1" ht="47.25">
      <c r="A46" s="384" t="s">
        <v>942</v>
      </c>
      <c r="B46" s="336" t="s">
        <v>943</v>
      </c>
      <c r="C46" s="336" t="s">
        <v>412</v>
      </c>
      <c r="D46" s="467" t="s">
        <v>944</v>
      </c>
      <c r="E46" s="468" t="s">
        <v>32</v>
      </c>
      <c r="F46" s="337">
        <v>90000</v>
      </c>
      <c r="G46" s="469">
        <v>45712</v>
      </c>
      <c r="H46" s="470">
        <v>45838</v>
      </c>
      <c r="I46" s="470">
        <v>45841</v>
      </c>
      <c r="J46" s="469">
        <v>45845</v>
      </c>
      <c r="K46" s="469">
        <v>45846</v>
      </c>
      <c r="L46" s="469" t="s">
        <v>38</v>
      </c>
      <c r="M46" s="336" t="s">
        <v>39</v>
      </c>
      <c r="N46" s="490" t="s">
        <v>945</v>
      </c>
      <c r="O46" s="491" t="s">
        <v>946</v>
      </c>
      <c r="P46" s="468"/>
      <c r="Q46" s="468"/>
      <c r="R46" s="485" t="s">
        <v>947</v>
      </c>
    </row>
    <row r="47" spans="1:18" s="386" customFormat="1" ht="15.75" customHeight="1">
      <c r="A47" s="384" t="s">
        <v>948</v>
      </c>
      <c r="B47" s="336" t="s">
        <v>937</v>
      </c>
      <c r="C47" s="336" t="s">
        <v>949</v>
      </c>
      <c r="D47" s="467" t="s">
        <v>950</v>
      </c>
      <c r="E47" s="468" t="s">
        <v>32</v>
      </c>
      <c r="F47" s="337">
        <v>14140.6</v>
      </c>
      <c r="G47" s="469">
        <v>45839</v>
      </c>
      <c r="H47" s="470">
        <v>45842</v>
      </c>
      <c r="I47" s="470">
        <v>45841</v>
      </c>
      <c r="J47" s="469">
        <v>45845</v>
      </c>
      <c r="K47" s="469">
        <v>45846</v>
      </c>
      <c r="L47" s="469" t="s">
        <v>38</v>
      </c>
      <c r="M47" s="336" t="s">
        <v>47</v>
      </c>
      <c r="N47" s="336" t="s">
        <v>951</v>
      </c>
      <c r="O47" s="472">
        <v>45871</v>
      </c>
      <c r="P47" s="468"/>
      <c r="Q47" s="475"/>
      <c r="R47" s="386" t="s">
        <v>952</v>
      </c>
    </row>
    <row r="48" spans="1:18" s="386" customFormat="1" ht="15.75" customHeight="1">
      <c r="A48" s="384" t="s">
        <v>953</v>
      </c>
      <c r="B48" s="336" t="s">
        <v>954</v>
      </c>
      <c r="C48" s="336" t="s">
        <v>767</v>
      </c>
      <c r="D48" s="467" t="s">
        <v>955</v>
      </c>
      <c r="E48" s="468" t="s">
        <v>32</v>
      </c>
      <c r="F48" s="337">
        <v>23550</v>
      </c>
      <c r="G48" s="469">
        <v>45790</v>
      </c>
      <c r="H48" s="470">
        <v>45840</v>
      </c>
      <c r="I48" s="470">
        <v>45852</v>
      </c>
      <c r="J48" s="469">
        <v>45852</v>
      </c>
      <c r="K48" s="469">
        <v>45853</v>
      </c>
      <c r="L48" s="469" t="s">
        <v>38</v>
      </c>
      <c r="M48" s="336" t="s">
        <v>146</v>
      </c>
      <c r="N48" s="336" t="s">
        <v>956</v>
      </c>
      <c r="O48" s="472">
        <v>45878</v>
      </c>
      <c r="P48" s="468" t="s">
        <v>957</v>
      </c>
      <c r="Q48" s="475"/>
      <c r="R48" s="386" t="s">
        <v>958</v>
      </c>
    </row>
    <row r="49" spans="1:18" s="386" customFormat="1" ht="15.75" customHeight="1">
      <c r="A49" s="384" t="s">
        <v>784</v>
      </c>
      <c r="B49" s="336" t="s">
        <v>722</v>
      </c>
      <c r="C49" s="336" t="s">
        <v>959</v>
      </c>
      <c r="D49" s="467" t="s">
        <v>960</v>
      </c>
      <c r="E49" s="468" t="s">
        <v>32</v>
      </c>
      <c r="F49" s="337">
        <v>12660</v>
      </c>
      <c r="G49" s="469">
        <v>45849</v>
      </c>
      <c r="H49" s="470">
        <v>45887</v>
      </c>
      <c r="I49" s="470">
        <v>45870</v>
      </c>
      <c r="J49" s="469">
        <v>45873</v>
      </c>
      <c r="K49" s="469">
        <v>45874</v>
      </c>
      <c r="L49" s="469" t="s">
        <v>724</v>
      </c>
      <c r="M49" s="336" t="s">
        <v>47</v>
      </c>
      <c r="N49" s="336" t="s">
        <v>961</v>
      </c>
      <c r="O49" s="472">
        <v>45899</v>
      </c>
      <c r="P49" s="468" t="s">
        <v>962</v>
      </c>
      <c r="Q49" s="475"/>
    </row>
    <row r="50" spans="1:18" s="478" customFormat="1" ht="15.75" customHeight="1">
      <c r="A50" s="473" t="s">
        <v>893</v>
      </c>
      <c r="B50" s="347" t="s">
        <v>43</v>
      </c>
      <c r="C50" s="347" t="s">
        <v>60</v>
      </c>
      <c r="D50" s="474" t="s">
        <v>963</v>
      </c>
      <c r="E50" s="475" t="s">
        <v>32</v>
      </c>
      <c r="F50" s="348">
        <v>4800</v>
      </c>
      <c r="G50" s="476">
        <v>46017</v>
      </c>
      <c r="H50" s="487" t="s">
        <v>964</v>
      </c>
      <c r="I50" s="487" t="s">
        <v>965</v>
      </c>
      <c r="J50" s="476"/>
      <c r="K50" s="476"/>
      <c r="L50" s="476"/>
      <c r="M50" s="347" t="s">
        <v>47</v>
      </c>
      <c r="N50" s="587" t="s">
        <v>966</v>
      </c>
      <c r="O50" s="477">
        <v>45928</v>
      </c>
      <c r="P50" s="475"/>
      <c r="Q50" s="475"/>
      <c r="R50" s="478" t="s">
        <v>967</v>
      </c>
    </row>
    <row r="51" spans="1:18" s="386" customFormat="1" ht="15.75" customHeight="1">
      <c r="A51" s="384" t="s">
        <v>968</v>
      </c>
      <c r="B51" s="336" t="s">
        <v>969</v>
      </c>
      <c r="C51" s="336" t="s">
        <v>60</v>
      </c>
      <c r="D51" s="467" t="s">
        <v>970</v>
      </c>
      <c r="E51" s="468" t="s">
        <v>32</v>
      </c>
      <c r="F51" s="337">
        <v>9000</v>
      </c>
      <c r="G51" s="469">
        <v>45835</v>
      </c>
      <c r="H51" s="470">
        <v>45865</v>
      </c>
      <c r="I51" s="470">
        <v>45874</v>
      </c>
      <c r="J51" s="469">
        <v>45875</v>
      </c>
      <c r="K51" s="469">
        <v>45877</v>
      </c>
      <c r="L51" s="469" t="s">
        <v>38</v>
      </c>
      <c r="M51" s="336" t="s">
        <v>39</v>
      </c>
      <c r="N51" s="336" t="s">
        <v>971</v>
      </c>
      <c r="O51" s="472">
        <v>45903</v>
      </c>
      <c r="P51" s="468" t="s">
        <v>972</v>
      </c>
      <c r="Q51" s="475"/>
      <c r="R51" s="478" t="s">
        <v>973</v>
      </c>
    </row>
    <row r="52" spans="1:18" s="478" customFormat="1" ht="15.75" customHeight="1">
      <c r="A52" s="473" t="s">
        <v>974</v>
      </c>
      <c r="B52" s="347" t="s">
        <v>165</v>
      </c>
      <c r="C52" s="347" t="s">
        <v>975</v>
      </c>
      <c r="D52" s="474" t="s">
        <v>976</v>
      </c>
      <c r="E52" s="475" t="s">
        <v>32</v>
      </c>
      <c r="F52" s="348">
        <v>27150</v>
      </c>
      <c r="G52" s="476">
        <v>45847</v>
      </c>
      <c r="H52" s="487" t="s">
        <v>977</v>
      </c>
      <c r="I52" s="487" t="s">
        <v>965</v>
      </c>
      <c r="J52" s="476"/>
      <c r="K52" s="476"/>
      <c r="L52" s="476"/>
      <c r="M52" s="347" t="s">
        <v>47</v>
      </c>
      <c r="N52" s="347" t="s">
        <v>978</v>
      </c>
      <c r="O52" s="477">
        <v>45910</v>
      </c>
      <c r="P52" s="475"/>
      <c r="Q52" s="475"/>
      <c r="R52" s="478" t="s">
        <v>979</v>
      </c>
    </row>
    <row r="53" spans="1:18" s="386" customFormat="1" ht="15.75" customHeight="1">
      <c r="A53" s="384" t="s">
        <v>980</v>
      </c>
      <c r="B53" s="336" t="s">
        <v>981</v>
      </c>
      <c r="C53" s="336" t="s">
        <v>53</v>
      </c>
      <c r="D53" s="467" t="s">
        <v>982</v>
      </c>
      <c r="E53" s="468" t="s">
        <v>32</v>
      </c>
      <c r="F53" s="337">
        <v>18845.349999999999</v>
      </c>
      <c r="G53" s="469">
        <v>45874</v>
      </c>
      <c r="H53" s="470">
        <v>45877</v>
      </c>
      <c r="I53" s="470">
        <v>45876</v>
      </c>
      <c r="J53" s="469">
        <v>45877</v>
      </c>
      <c r="K53" s="469">
        <v>45881</v>
      </c>
      <c r="L53" s="469" t="s">
        <v>38</v>
      </c>
      <c r="M53" s="336" t="s">
        <v>47</v>
      </c>
      <c r="N53" s="336" t="s">
        <v>983</v>
      </c>
      <c r="O53" s="472">
        <v>45910</v>
      </c>
      <c r="P53" s="468" t="s">
        <v>984</v>
      </c>
      <c r="Q53" s="468"/>
      <c r="R53" s="386" t="s">
        <v>985</v>
      </c>
    </row>
    <row r="54" spans="1:18" s="412" customFormat="1" ht="15.75" customHeight="1">
      <c r="A54" s="364" t="s">
        <v>986</v>
      </c>
      <c r="B54" s="314" t="s">
        <v>987</v>
      </c>
      <c r="C54" s="314" t="s">
        <v>53</v>
      </c>
      <c r="D54" s="218" t="s">
        <v>988</v>
      </c>
      <c r="E54" s="212" t="s">
        <v>32</v>
      </c>
      <c r="F54" s="292">
        <v>14140.6</v>
      </c>
      <c r="G54" s="448">
        <v>45894</v>
      </c>
      <c r="H54" s="449" t="s">
        <v>964</v>
      </c>
      <c r="I54" s="449"/>
      <c r="J54" s="448"/>
      <c r="K54" s="448"/>
      <c r="L54" s="448"/>
      <c r="M54" s="314" t="s">
        <v>47</v>
      </c>
      <c r="N54" s="314" t="s">
        <v>989</v>
      </c>
      <c r="O54" s="436">
        <v>45925</v>
      </c>
      <c r="P54" s="212" t="s">
        <v>990</v>
      </c>
      <c r="Q54" s="212"/>
      <c r="R54" s="386" t="s">
        <v>991</v>
      </c>
    </row>
    <row r="55" spans="1:18" s="401" customFormat="1" ht="15.75" customHeight="1">
      <c r="A55" s="418" t="s">
        <v>992</v>
      </c>
      <c r="B55" s="311" t="s">
        <v>993</v>
      </c>
      <c r="C55" s="311" t="s">
        <v>736</v>
      </c>
      <c r="D55" s="266" t="s">
        <v>994</v>
      </c>
      <c r="E55" s="222" t="s">
        <v>32</v>
      </c>
      <c r="F55" s="315">
        <v>7219.9</v>
      </c>
      <c r="G55" s="444">
        <v>45797</v>
      </c>
      <c r="H55" s="445">
        <v>45884</v>
      </c>
      <c r="I55" s="445">
        <v>45890</v>
      </c>
      <c r="J55" s="444">
        <v>45894</v>
      </c>
      <c r="K55" s="444">
        <v>45895</v>
      </c>
      <c r="L55" s="444" t="s">
        <v>724</v>
      </c>
      <c r="M55" s="311" t="s">
        <v>47</v>
      </c>
      <c r="N55" s="311" t="s">
        <v>995</v>
      </c>
      <c r="O55" s="400">
        <v>45919</v>
      </c>
      <c r="P55" s="222" t="s">
        <v>996</v>
      </c>
      <c r="Q55" s="212"/>
      <c r="R55" s="401" t="s">
        <v>997</v>
      </c>
    </row>
    <row r="56" spans="1:18" s="401" customFormat="1" ht="15.75" customHeight="1">
      <c r="A56" s="418"/>
      <c r="B56" s="311" t="s">
        <v>913</v>
      </c>
      <c r="C56" s="311" t="s">
        <v>736</v>
      </c>
      <c r="D56" s="266" t="s">
        <v>998</v>
      </c>
      <c r="E56" s="222" t="s">
        <v>32</v>
      </c>
      <c r="F56" s="315">
        <v>6298.5</v>
      </c>
      <c r="G56" s="444">
        <v>45804</v>
      </c>
      <c r="H56" s="445">
        <v>45888</v>
      </c>
      <c r="I56" s="445">
        <v>45890</v>
      </c>
      <c r="J56" s="444">
        <v>45891</v>
      </c>
      <c r="K56" s="444">
        <v>45894</v>
      </c>
      <c r="L56" s="444" t="s">
        <v>38</v>
      </c>
      <c r="M56" s="311" t="s">
        <v>39</v>
      </c>
      <c r="N56" s="311" t="s">
        <v>999</v>
      </c>
      <c r="O56" s="400">
        <v>45919</v>
      </c>
      <c r="P56" s="222" t="s">
        <v>1000</v>
      </c>
      <c r="Q56" s="212"/>
      <c r="R56" s="401" t="s">
        <v>1001</v>
      </c>
    </row>
    <row r="57" spans="1:18" s="401" customFormat="1" ht="15.75" customHeight="1">
      <c r="A57" s="418" t="s">
        <v>1002</v>
      </c>
      <c r="B57" s="311" t="s">
        <v>801</v>
      </c>
      <c r="C57" s="311" t="s">
        <v>757</v>
      </c>
      <c r="D57" s="266" t="s">
        <v>1003</v>
      </c>
      <c r="E57" s="222" t="s">
        <v>32</v>
      </c>
      <c r="F57" s="315">
        <v>30496.3</v>
      </c>
      <c r="G57" s="444">
        <v>45855</v>
      </c>
      <c r="H57" s="445">
        <v>45898</v>
      </c>
      <c r="I57" s="445">
        <v>45891</v>
      </c>
      <c r="J57" s="444">
        <v>45894</v>
      </c>
      <c r="K57" s="444">
        <v>45895</v>
      </c>
      <c r="L57" s="444" t="s">
        <v>38</v>
      </c>
      <c r="M57" s="311" t="s">
        <v>39</v>
      </c>
      <c r="N57" s="311" t="s">
        <v>1004</v>
      </c>
      <c r="O57" s="400">
        <v>45921</v>
      </c>
      <c r="P57" s="222" t="s">
        <v>1005</v>
      </c>
      <c r="Q57" s="222"/>
      <c r="R57" s="401" t="s">
        <v>1006</v>
      </c>
    </row>
    <row r="58" spans="1:18" s="382" customFormat="1" ht="15.75" customHeight="1" thickBot="1">
      <c r="A58" s="414" t="s">
        <v>1007</v>
      </c>
      <c r="B58" s="296" t="s">
        <v>1008</v>
      </c>
      <c r="C58" s="296" t="s">
        <v>736</v>
      </c>
      <c r="D58" s="532" t="s">
        <v>1009</v>
      </c>
      <c r="E58" s="533" t="s">
        <v>32</v>
      </c>
      <c r="F58" s="316">
        <v>6905.4</v>
      </c>
      <c r="G58" s="261">
        <v>45874</v>
      </c>
      <c r="H58" s="320">
        <v>45918</v>
      </c>
      <c r="I58" s="320">
        <v>45915</v>
      </c>
      <c r="J58" s="261">
        <v>45917</v>
      </c>
      <c r="K58" s="261">
        <v>45918</v>
      </c>
      <c r="L58" s="261" t="s">
        <v>38</v>
      </c>
      <c r="M58" s="262" t="s">
        <v>39</v>
      </c>
      <c r="N58" s="262" t="s">
        <v>1010</v>
      </c>
      <c r="O58" s="437">
        <v>45941</v>
      </c>
      <c r="P58" s="76" t="s">
        <v>1011</v>
      </c>
      <c r="Q58" s="196"/>
      <c r="R58" s="382" t="s">
        <v>1012</v>
      </c>
    </row>
    <row r="59" spans="1:18" s="401" customFormat="1" ht="15.75" customHeight="1">
      <c r="A59" s="418" t="s">
        <v>1013</v>
      </c>
      <c r="B59" s="311" t="s">
        <v>811</v>
      </c>
      <c r="C59" s="311" t="s">
        <v>959</v>
      </c>
      <c r="D59" s="266" t="s">
        <v>1014</v>
      </c>
      <c r="E59" s="222" t="s">
        <v>32</v>
      </c>
      <c r="F59" s="315">
        <v>26976.45</v>
      </c>
      <c r="G59" s="444">
        <v>45847</v>
      </c>
      <c r="H59" s="445">
        <v>45891</v>
      </c>
      <c r="I59" s="445">
        <v>45895</v>
      </c>
      <c r="J59" s="444">
        <v>45896</v>
      </c>
      <c r="K59" s="444">
        <v>45901</v>
      </c>
      <c r="L59" s="444" t="s">
        <v>38</v>
      </c>
      <c r="M59" s="311" t="s">
        <v>39</v>
      </c>
      <c r="N59" s="311" t="s">
        <v>1015</v>
      </c>
      <c r="O59" s="400">
        <v>45925</v>
      </c>
      <c r="P59" s="222" t="s">
        <v>1016</v>
      </c>
      <c r="Q59" s="212"/>
      <c r="R59" s="401" t="s">
        <v>1017</v>
      </c>
    </row>
    <row r="60" spans="1:18" s="412" customFormat="1" ht="15.75" customHeight="1">
      <c r="A60" s="364" t="s">
        <v>1018</v>
      </c>
      <c r="B60" s="314" t="s">
        <v>1019</v>
      </c>
      <c r="C60" s="314" t="s">
        <v>67</v>
      </c>
      <c r="D60" s="218" t="s">
        <v>1020</v>
      </c>
      <c r="E60" s="212" t="s">
        <v>32</v>
      </c>
      <c r="F60" s="292">
        <v>2142</v>
      </c>
      <c r="G60" s="448">
        <v>45903</v>
      </c>
      <c r="H60" s="449">
        <v>45905</v>
      </c>
      <c r="I60" s="449">
        <v>45905</v>
      </c>
      <c r="J60" s="448">
        <v>45908</v>
      </c>
      <c r="K60" s="448">
        <v>45909</v>
      </c>
      <c r="L60" s="448" t="s">
        <v>38</v>
      </c>
      <c r="M60" s="314" t="s">
        <v>47</v>
      </c>
      <c r="N60" s="314" t="s">
        <v>1021</v>
      </c>
      <c r="O60" s="436">
        <v>45934</v>
      </c>
      <c r="P60" s="212"/>
      <c r="Q60" s="212"/>
      <c r="R60" s="401" t="s">
        <v>1022</v>
      </c>
    </row>
    <row r="61" spans="1:18" s="416" customFormat="1" ht="15.75" customHeight="1">
      <c r="A61" s="415" t="s">
        <v>1023</v>
      </c>
      <c r="B61" s="354" t="s">
        <v>43</v>
      </c>
      <c r="C61" s="354" t="s">
        <v>1024</v>
      </c>
      <c r="D61" s="531" t="s">
        <v>1025</v>
      </c>
      <c r="E61" s="417" t="s">
        <v>32</v>
      </c>
      <c r="F61" s="283"/>
      <c r="G61" s="442">
        <v>45910</v>
      </c>
      <c r="H61" s="524"/>
      <c r="I61" s="524"/>
      <c r="J61" s="442">
        <v>45926</v>
      </c>
      <c r="K61" s="442"/>
      <c r="L61" s="442"/>
      <c r="M61" s="354" t="s">
        <v>1026</v>
      </c>
      <c r="N61" s="354"/>
      <c r="O61" s="454"/>
      <c r="P61" s="417" t="s">
        <v>1027</v>
      </c>
      <c r="Q61" s="417"/>
    </row>
    <row r="62" spans="1:18" s="381" customFormat="1" ht="15.75" customHeight="1">
      <c r="A62" s="359"/>
      <c r="B62" s="242" t="s">
        <v>371</v>
      </c>
      <c r="C62" s="242" t="s">
        <v>959</v>
      </c>
      <c r="D62" s="179" t="s">
        <v>1028</v>
      </c>
      <c r="E62" s="131" t="s">
        <v>32</v>
      </c>
      <c r="F62" s="286">
        <v>9897</v>
      </c>
      <c r="G62" s="147">
        <v>45890</v>
      </c>
      <c r="H62" s="263">
        <v>45924</v>
      </c>
      <c r="I62" s="263">
        <v>45923</v>
      </c>
      <c r="J62" s="147">
        <v>45926</v>
      </c>
      <c r="K62" s="147">
        <v>45930</v>
      </c>
      <c r="L62" s="147" t="s">
        <v>38</v>
      </c>
      <c r="M62" s="242" t="s">
        <v>39</v>
      </c>
      <c r="N62" s="242" t="s">
        <v>1029</v>
      </c>
      <c r="O62" s="394">
        <v>45952</v>
      </c>
      <c r="P62" s="131" t="s">
        <v>1030</v>
      </c>
      <c r="Q62" s="132"/>
      <c r="R62" s="381" t="s">
        <v>1031</v>
      </c>
    </row>
    <row r="63" spans="1:18" s="386" customFormat="1" ht="15.75" customHeight="1">
      <c r="A63" s="384" t="s">
        <v>1032</v>
      </c>
      <c r="B63" s="336" t="s">
        <v>722</v>
      </c>
      <c r="C63" s="336" t="s">
        <v>959</v>
      </c>
      <c r="D63" s="467" t="s">
        <v>1033</v>
      </c>
      <c r="E63" s="468" t="s">
        <v>32</v>
      </c>
      <c r="F63" s="337">
        <v>1921</v>
      </c>
      <c r="G63" s="469">
        <v>45922</v>
      </c>
      <c r="H63" s="470">
        <v>45932</v>
      </c>
      <c r="I63" s="470">
        <v>45932</v>
      </c>
      <c r="J63" s="470">
        <v>45932</v>
      </c>
      <c r="K63" s="469">
        <v>45943</v>
      </c>
      <c r="L63" s="469" t="s">
        <v>38</v>
      </c>
      <c r="M63" s="336" t="s">
        <v>39</v>
      </c>
      <c r="N63" s="336" t="s">
        <v>1034</v>
      </c>
      <c r="O63" s="472">
        <v>45961</v>
      </c>
      <c r="P63" s="468" t="s">
        <v>1035</v>
      </c>
      <c r="Q63" s="196"/>
      <c r="R63" s="381" t="s">
        <v>1036</v>
      </c>
    </row>
    <row r="64" spans="1:18" s="386" customFormat="1" ht="15.75" customHeight="1">
      <c r="A64" s="384" t="s">
        <v>1037</v>
      </c>
      <c r="B64" s="336" t="s">
        <v>43</v>
      </c>
      <c r="C64" s="336" t="s">
        <v>67</v>
      </c>
      <c r="D64" s="467" t="s">
        <v>1038</v>
      </c>
      <c r="E64" s="468" t="s">
        <v>32</v>
      </c>
      <c r="F64" s="337">
        <v>8453.25</v>
      </c>
      <c r="G64" s="469">
        <v>45923</v>
      </c>
      <c r="H64" s="470">
        <v>45926</v>
      </c>
      <c r="I64" s="470">
        <v>45926</v>
      </c>
      <c r="J64" s="469">
        <v>45943</v>
      </c>
      <c r="K64" s="469">
        <v>45945</v>
      </c>
      <c r="L64" s="469" t="s">
        <v>724</v>
      </c>
      <c r="M64" s="336" t="s">
        <v>47</v>
      </c>
      <c r="N64" s="336" t="s">
        <v>1039</v>
      </c>
      <c r="O64" s="472">
        <v>45963</v>
      </c>
      <c r="P64" s="468"/>
      <c r="Q64" s="468"/>
      <c r="R64" s="386" t="s">
        <v>1040</v>
      </c>
    </row>
    <row r="65" spans="1:16383" s="386" customFormat="1" ht="15.75" customHeight="1">
      <c r="A65" s="384" t="s">
        <v>870</v>
      </c>
      <c r="B65" s="336" t="s">
        <v>796</v>
      </c>
      <c r="C65" s="336" t="s">
        <v>67</v>
      </c>
      <c r="D65" s="467" t="s">
        <v>1041</v>
      </c>
      <c r="E65" s="468" t="s">
        <v>32</v>
      </c>
      <c r="F65" s="337">
        <v>482.8</v>
      </c>
      <c r="G65" s="469">
        <v>45931</v>
      </c>
      <c r="H65" s="470"/>
      <c r="I65" s="470">
        <v>45926</v>
      </c>
      <c r="J65" s="469">
        <v>45943</v>
      </c>
      <c r="K65" s="469">
        <v>45945</v>
      </c>
      <c r="L65" s="469" t="s">
        <v>724</v>
      </c>
      <c r="M65" s="336" t="s">
        <v>47</v>
      </c>
      <c r="N65" s="336" t="s">
        <v>1039</v>
      </c>
      <c r="O65" s="472">
        <v>45963</v>
      </c>
      <c r="P65" s="468"/>
      <c r="Q65" s="468"/>
      <c r="R65" s="386" t="s">
        <v>1042</v>
      </c>
    </row>
    <row r="66" spans="1:16383" s="386" customFormat="1" ht="15.75" customHeight="1">
      <c r="A66" s="384" t="s">
        <v>1043</v>
      </c>
      <c r="B66" s="336" t="s">
        <v>796</v>
      </c>
      <c r="C66" s="336" t="s">
        <v>67</v>
      </c>
      <c r="D66" s="467" t="s">
        <v>1044</v>
      </c>
      <c r="E66" s="468" t="s">
        <v>32</v>
      </c>
      <c r="F66" s="337">
        <v>3660</v>
      </c>
      <c r="G66" s="469">
        <v>45943</v>
      </c>
      <c r="H66" s="470">
        <v>45944</v>
      </c>
      <c r="I66" s="470">
        <v>45946</v>
      </c>
      <c r="J66" s="469">
        <v>45950</v>
      </c>
      <c r="K66" s="469">
        <v>45951</v>
      </c>
      <c r="L66" s="469" t="s">
        <v>38</v>
      </c>
      <c r="M66" s="336" t="s">
        <v>47</v>
      </c>
      <c r="N66" s="336" t="s">
        <v>1045</v>
      </c>
      <c r="O66" s="472">
        <v>45975</v>
      </c>
      <c r="P66" s="468"/>
      <c r="Q66" s="468"/>
      <c r="R66" s="386" t="s">
        <v>1046</v>
      </c>
    </row>
    <row r="67" spans="1:16383" s="370" customFormat="1" ht="31.5">
      <c r="A67" s="418" t="s">
        <v>1047</v>
      </c>
      <c r="B67" s="311" t="s">
        <v>1048</v>
      </c>
      <c r="C67" s="311" t="s">
        <v>60</v>
      </c>
      <c r="D67" s="266" t="s">
        <v>1049</v>
      </c>
      <c r="E67" s="222" t="s">
        <v>32</v>
      </c>
      <c r="F67" s="315">
        <v>300</v>
      </c>
      <c r="G67" s="444">
        <v>45883</v>
      </c>
      <c r="H67" s="445">
        <v>45943</v>
      </c>
      <c r="I67" s="445">
        <v>45951</v>
      </c>
      <c r="J67" s="444">
        <v>45954</v>
      </c>
      <c r="K67" s="444">
        <v>45957</v>
      </c>
      <c r="L67" s="444" t="s">
        <v>38</v>
      </c>
      <c r="M67" s="311" t="s">
        <v>146</v>
      </c>
      <c r="N67" s="311" t="s">
        <v>1050</v>
      </c>
      <c r="O67" s="400">
        <v>45977</v>
      </c>
      <c r="P67" s="222"/>
      <c r="Q67" s="401" t="s">
        <v>1051</v>
      </c>
      <c r="R67" s="401"/>
      <c r="S67" s="401"/>
      <c r="T67" s="401"/>
      <c r="U67" s="401"/>
      <c r="V67" s="401"/>
      <c r="W67" s="401"/>
      <c r="X67" s="401"/>
      <c r="Y67" s="401"/>
      <c r="Z67" s="401"/>
      <c r="AA67" s="401"/>
      <c r="AB67" s="401"/>
      <c r="AC67" s="401"/>
      <c r="AD67" s="401"/>
      <c r="AE67" s="401"/>
      <c r="AF67" s="401"/>
      <c r="AG67" s="401"/>
      <c r="AH67" s="401"/>
      <c r="AI67" s="401"/>
      <c r="AJ67" s="401"/>
      <c r="AK67" s="401"/>
      <c r="AL67" s="401"/>
      <c r="AM67" s="401"/>
      <c r="AN67" s="401"/>
      <c r="AO67" s="401"/>
      <c r="AP67" s="401"/>
      <c r="AQ67" s="401"/>
      <c r="AR67" s="401"/>
      <c r="AS67" s="401"/>
      <c r="AT67" s="401"/>
      <c r="AU67" s="401"/>
      <c r="AV67" s="401"/>
      <c r="AW67" s="401"/>
      <c r="AX67" s="401"/>
      <c r="AY67" s="401"/>
      <c r="AZ67" s="401"/>
      <c r="BA67" s="401"/>
      <c r="BB67" s="401"/>
      <c r="BC67" s="401"/>
      <c r="BD67" s="401"/>
      <c r="BE67" s="401"/>
      <c r="BF67" s="401"/>
      <c r="BG67" s="401"/>
      <c r="BH67" s="401"/>
      <c r="BI67" s="401"/>
      <c r="BJ67" s="401"/>
      <c r="BK67" s="401"/>
      <c r="BL67" s="401"/>
      <c r="BM67" s="401"/>
      <c r="BN67" s="401"/>
      <c r="BO67" s="401"/>
      <c r="BP67" s="401"/>
      <c r="BQ67" s="401"/>
      <c r="BR67" s="401"/>
      <c r="BS67" s="401"/>
      <c r="BT67" s="401"/>
      <c r="BU67" s="401"/>
      <c r="BV67" s="401"/>
      <c r="BW67" s="401"/>
      <c r="BX67" s="401"/>
      <c r="BY67" s="401"/>
      <c r="BZ67" s="401"/>
      <c r="CA67" s="401"/>
      <c r="CB67" s="401"/>
      <c r="CC67" s="401"/>
      <c r="CD67" s="401"/>
      <c r="CE67" s="401"/>
      <c r="CF67" s="401"/>
      <c r="CG67" s="401"/>
      <c r="CH67" s="401"/>
      <c r="CI67" s="401"/>
      <c r="CJ67" s="401"/>
      <c r="CK67" s="401"/>
      <c r="CL67" s="401"/>
      <c r="CM67" s="401"/>
      <c r="CN67" s="401"/>
      <c r="CO67" s="401"/>
      <c r="CP67" s="401"/>
      <c r="CQ67" s="401"/>
      <c r="CR67" s="401"/>
      <c r="CS67" s="401"/>
      <c r="CT67" s="401"/>
      <c r="CU67" s="401"/>
      <c r="CV67" s="401"/>
      <c r="CW67" s="401"/>
      <c r="CX67" s="401"/>
      <c r="CY67" s="401"/>
      <c r="CZ67" s="401"/>
      <c r="DA67" s="401"/>
      <c r="DB67" s="401"/>
      <c r="DC67" s="401"/>
      <c r="DD67" s="401"/>
      <c r="DE67" s="401"/>
      <c r="DF67" s="401"/>
      <c r="DG67" s="401"/>
      <c r="DH67" s="401"/>
      <c r="DI67" s="401"/>
      <c r="DJ67" s="401"/>
      <c r="DK67" s="401"/>
      <c r="DL67" s="401"/>
      <c r="DM67" s="401"/>
      <c r="DN67" s="401"/>
      <c r="DO67" s="401"/>
      <c r="DP67" s="401"/>
      <c r="DQ67" s="401"/>
      <c r="DR67" s="401"/>
      <c r="DS67" s="401"/>
      <c r="DT67" s="401"/>
      <c r="DU67" s="401"/>
      <c r="DV67" s="401"/>
      <c r="DW67" s="401"/>
      <c r="DX67" s="401"/>
      <c r="DY67" s="401"/>
      <c r="DZ67" s="401"/>
      <c r="EA67" s="401"/>
      <c r="EB67" s="401"/>
      <c r="EC67" s="401"/>
      <c r="ED67" s="401"/>
      <c r="EE67" s="401"/>
      <c r="EF67" s="401"/>
      <c r="EG67" s="401"/>
      <c r="EH67" s="401"/>
      <c r="EI67" s="401"/>
      <c r="EJ67" s="401"/>
      <c r="EK67" s="401"/>
      <c r="EL67" s="401"/>
      <c r="EM67" s="401"/>
      <c r="EN67" s="401"/>
      <c r="EO67" s="401"/>
      <c r="EP67" s="401"/>
      <c r="EQ67" s="401"/>
      <c r="ER67" s="401"/>
      <c r="ES67" s="401"/>
      <c r="ET67" s="401"/>
      <c r="EU67" s="401"/>
      <c r="EV67" s="401"/>
      <c r="EW67" s="401"/>
      <c r="EX67" s="401"/>
      <c r="EY67" s="401"/>
      <c r="EZ67" s="401"/>
      <c r="FA67" s="401"/>
      <c r="FB67" s="401"/>
      <c r="FC67" s="401"/>
      <c r="FD67" s="401"/>
      <c r="FE67" s="401"/>
      <c r="FF67" s="401"/>
      <c r="FG67" s="401"/>
      <c r="FH67" s="401"/>
      <c r="FI67" s="401"/>
      <c r="FJ67" s="401"/>
      <c r="FK67" s="401"/>
      <c r="FL67" s="401"/>
      <c r="FM67" s="401"/>
      <c r="FN67" s="401"/>
      <c r="FO67" s="401"/>
      <c r="FP67" s="401"/>
      <c r="FQ67" s="401"/>
      <c r="FR67" s="401"/>
      <c r="FS67" s="401"/>
      <c r="FT67" s="401"/>
      <c r="FU67" s="401"/>
      <c r="FV67" s="401"/>
      <c r="FW67" s="401"/>
      <c r="FX67" s="401"/>
      <c r="FY67" s="401"/>
      <c r="FZ67" s="401"/>
      <c r="GA67" s="401"/>
      <c r="GB67" s="401"/>
      <c r="GC67" s="401"/>
      <c r="GD67" s="401"/>
      <c r="GE67" s="401"/>
      <c r="GF67" s="401"/>
      <c r="GG67" s="401"/>
      <c r="GH67" s="401"/>
      <c r="GI67" s="401"/>
      <c r="GJ67" s="401"/>
      <c r="GK67" s="401"/>
      <c r="GL67" s="401"/>
      <c r="GM67" s="401"/>
      <c r="GN67" s="401"/>
      <c r="GO67" s="401"/>
      <c r="GP67" s="401"/>
      <c r="GQ67" s="401"/>
      <c r="GR67" s="401"/>
      <c r="GS67" s="401"/>
      <c r="GT67" s="401"/>
      <c r="GU67" s="401"/>
      <c r="GV67" s="401"/>
      <c r="GW67" s="401"/>
      <c r="GX67" s="401"/>
      <c r="GY67" s="401"/>
      <c r="GZ67" s="401"/>
      <c r="HA67" s="401"/>
      <c r="HB67" s="401"/>
      <c r="HC67" s="401"/>
      <c r="HD67" s="401"/>
      <c r="HE67" s="401"/>
      <c r="HF67" s="401"/>
      <c r="HG67" s="401"/>
      <c r="HH67" s="401"/>
      <c r="HI67" s="401"/>
      <c r="HJ67" s="401"/>
      <c r="HK67" s="401"/>
      <c r="HL67" s="401"/>
      <c r="HM67" s="401"/>
      <c r="HN67" s="401"/>
      <c r="HO67" s="401"/>
      <c r="HP67" s="401"/>
      <c r="HQ67" s="401"/>
      <c r="HR67" s="401"/>
      <c r="HS67" s="401"/>
      <c r="HT67" s="401"/>
      <c r="HU67" s="401"/>
      <c r="HV67" s="401"/>
      <c r="HW67" s="401"/>
      <c r="HX67" s="401"/>
      <c r="HY67" s="401"/>
      <c r="HZ67" s="401"/>
      <c r="IA67" s="401"/>
      <c r="IB67" s="401"/>
      <c r="IC67" s="401"/>
      <c r="ID67" s="401"/>
      <c r="IE67" s="401"/>
      <c r="IF67" s="401"/>
      <c r="IG67" s="401"/>
      <c r="IH67" s="401"/>
      <c r="II67" s="401"/>
      <c r="IJ67" s="401"/>
      <c r="IK67" s="401"/>
      <c r="IL67" s="401"/>
      <c r="IM67" s="401"/>
      <c r="IN67" s="401"/>
      <c r="IO67" s="401"/>
      <c r="IP67" s="401"/>
      <c r="IQ67" s="401"/>
      <c r="IR67" s="401"/>
      <c r="IS67" s="401"/>
      <c r="IT67" s="401"/>
      <c r="IU67" s="401"/>
      <c r="IV67" s="401"/>
      <c r="IW67" s="401"/>
      <c r="IX67" s="401"/>
      <c r="IY67" s="401"/>
      <c r="IZ67" s="401"/>
      <c r="JA67" s="401"/>
      <c r="JB67" s="401"/>
      <c r="JC67" s="401"/>
      <c r="JD67" s="401"/>
      <c r="JE67" s="401"/>
      <c r="JF67" s="401"/>
      <c r="JG67" s="401"/>
      <c r="JH67" s="401"/>
      <c r="JI67" s="401"/>
      <c r="JJ67" s="401"/>
      <c r="JK67" s="401"/>
      <c r="JL67" s="401"/>
      <c r="JM67" s="401"/>
      <c r="JN67" s="401"/>
      <c r="JO67" s="401"/>
      <c r="JP67" s="401"/>
      <c r="JQ67" s="401"/>
      <c r="JR67" s="401"/>
      <c r="JS67" s="401"/>
      <c r="JT67" s="401"/>
      <c r="JU67" s="401"/>
      <c r="JV67" s="401"/>
      <c r="JW67" s="401"/>
      <c r="JX67" s="401"/>
      <c r="JY67" s="401"/>
      <c r="JZ67" s="401"/>
      <c r="KA67" s="401"/>
      <c r="KB67" s="401"/>
      <c r="KC67" s="401"/>
      <c r="KD67" s="401"/>
      <c r="KE67" s="401"/>
      <c r="KF67" s="401"/>
      <c r="KG67" s="401"/>
      <c r="KH67" s="401"/>
      <c r="KI67" s="401"/>
      <c r="KJ67" s="401"/>
      <c r="KK67" s="401"/>
      <c r="KL67" s="401"/>
      <c r="KM67" s="401"/>
      <c r="KN67" s="401"/>
      <c r="KO67" s="401"/>
      <c r="KP67" s="401"/>
      <c r="KQ67" s="401"/>
      <c r="KR67" s="401"/>
      <c r="KS67" s="401"/>
      <c r="KT67" s="401"/>
      <c r="KU67" s="401"/>
      <c r="KV67" s="401"/>
      <c r="KW67" s="401"/>
      <c r="KX67" s="401"/>
      <c r="KY67" s="401"/>
      <c r="KZ67" s="401"/>
      <c r="LA67" s="401"/>
      <c r="LB67" s="401"/>
      <c r="LC67" s="401"/>
      <c r="LD67" s="401"/>
      <c r="LE67" s="401"/>
      <c r="LF67" s="401"/>
      <c r="LG67" s="401"/>
      <c r="LH67" s="401"/>
      <c r="LI67" s="401"/>
      <c r="LJ67" s="401"/>
      <c r="LK67" s="401"/>
      <c r="LL67" s="401"/>
      <c r="LM67" s="401"/>
      <c r="LN67" s="401"/>
      <c r="LO67" s="401"/>
      <c r="LP67" s="401"/>
      <c r="LQ67" s="401"/>
      <c r="LR67" s="401"/>
      <c r="LS67" s="401"/>
      <c r="LT67" s="401"/>
      <c r="LU67" s="401"/>
      <c r="LV67" s="401"/>
      <c r="LW67" s="401"/>
      <c r="LX67" s="401"/>
      <c r="LY67" s="401"/>
      <c r="LZ67" s="401"/>
      <c r="MA67" s="401"/>
      <c r="MB67" s="401"/>
      <c r="MC67" s="401"/>
      <c r="MD67" s="401"/>
      <c r="ME67" s="401"/>
      <c r="MF67" s="401"/>
      <c r="MG67" s="401"/>
      <c r="MH67" s="401"/>
      <c r="MI67" s="401"/>
      <c r="MJ67" s="401"/>
      <c r="MK67" s="401"/>
      <c r="ML67" s="401"/>
      <c r="MM67" s="401"/>
      <c r="MN67" s="401"/>
      <c r="MO67" s="401"/>
      <c r="MP67" s="401"/>
      <c r="MQ67" s="401"/>
      <c r="MR67" s="401"/>
      <c r="MS67" s="401"/>
      <c r="MT67" s="401"/>
      <c r="MU67" s="401"/>
      <c r="MV67" s="401"/>
      <c r="MW67" s="401"/>
      <c r="MX67" s="401"/>
      <c r="MY67" s="401"/>
      <c r="MZ67" s="401"/>
      <c r="NA67" s="401"/>
      <c r="NB67" s="401"/>
      <c r="NC67" s="401"/>
      <c r="ND67" s="401"/>
      <c r="NE67" s="401"/>
      <c r="NF67" s="401"/>
      <c r="NG67" s="401"/>
      <c r="NH67" s="401"/>
      <c r="NI67" s="401"/>
      <c r="NJ67" s="401"/>
      <c r="NK67" s="401"/>
      <c r="NL67" s="401"/>
      <c r="NM67" s="401"/>
      <c r="NN67" s="401"/>
      <c r="NO67" s="401"/>
      <c r="NP67" s="401"/>
      <c r="NQ67" s="401"/>
      <c r="NR67" s="401"/>
      <c r="NS67" s="401"/>
      <c r="NT67" s="401"/>
      <c r="NU67" s="401"/>
      <c r="NV67" s="401"/>
      <c r="NW67" s="401"/>
      <c r="NX67" s="401"/>
      <c r="NY67" s="401"/>
      <c r="NZ67" s="401"/>
      <c r="OA67" s="401"/>
      <c r="OB67" s="401"/>
      <c r="OC67" s="401"/>
      <c r="OD67" s="401"/>
      <c r="OE67" s="401"/>
      <c r="OF67" s="401"/>
      <c r="OG67" s="401"/>
      <c r="OH67" s="401"/>
      <c r="OI67" s="401"/>
      <c r="OJ67" s="401"/>
      <c r="OK67" s="401"/>
      <c r="OL67" s="401"/>
      <c r="OM67" s="401"/>
      <c r="ON67" s="401"/>
      <c r="OO67" s="401"/>
      <c r="OP67" s="401"/>
      <c r="OQ67" s="401"/>
      <c r="OR67" s="401"/>
      <c r="OS67" s="401"/>
      <c r="OT67" s="401"/>
      <c r="OU67" s="401"/>
      <c r="OV67" s="401"/>
      <c r="OW67" s="401"/>
      <c r="OX67" s="401"/>
      <c r="OY67" s="401"/>
      <c r="OZ67" s="401"/>
      <c r="PA67" s="401"/>
      <c r="PB67" s="401"/>
      <c r="PC67" s="401"/>
      <c r="PD67" s="401"/>
      <c r="PE67" s="401"/>
      <c r="PF67" s="401"/>
      <c r="PG67" s="401"/>
      <c r="PH67" s="401"/>
      <c r="PI67" s="401"/>
      <c r="PJ67" s="401"/>
      <c r="PK67" s="401"/>
      <c r="PL67" s="401"/>
      <c r="PM67" s="401"/>
      <c r="PN67" s="401"/>
      <c r="PO67" s="401"/>
      <c r="PP67" s="401"/>
      <c r="PQ67" s="401"/>
      <c r="PR67" s="401"/>
      <c r="PS67" s="401"/>
      <c r="PT67" s="401"/>
      <c r="PU67" s="401"/>
      <c r="PV67" s="401"/>
      <c r="PW67" s="401"/>
      <c r="PX67" s="401"/>
      <c r="PY67" s="401"/>
      <c r="PZ67" s="401"/>
      <c r="QA67" s="401"/>
      <c r="QB67" s="401"/>
      <c r="QC67" s="401"/>
      <c r="QD67" s="401"/>
      <c r="QE67" s="401"/>
      <c r="QF67" s="401"/>
      <c r="QG67" s="401"/>
      <c r="QH67" s="401"/>
      <c r="QI67" s="401"/>
      <c r="QJ67" s="401"/>
      <c r="QK67" s="401"/>
      <c r="QL67" s="401"/>
      <c r="QM67" s="401"/>
      <c r="QN67" s="401"/>
      <c r="QO67" s="401"/>
      <c r="QP67" s="401"/>
      <c r="QQ67" s="401"/>
      <c r="QR67" s="401"/>
      <c r="QS67" s="401"/>
      <c r="QT67" s="401"/>
      <c r="QU67" s="401"/>
      <c r="QV67" s="401"/>
      <c r="QW67" s="401"/>
      <c r="QX67" s="401"/>
      <c r="QY67" s="401"/>
      <c r="QZ67" s="401"/>
      <c r="RA67" s="401"/>
      <c r="RB67" s="401"/>
      <c r="RC67" s="401"/>
      <c r="RD67" s="401"/>
      <c r="RE67" s="401"/>
      <c r="RF67" s="401"/>
      <c r="RG67" s="401"/>
      <c r="RH67" s="401"/>
      <c r="RI67" s="401"/>
      <c r="RJ67" s="401"/>
      <c r="RK67" s="401"/>
      <c r="RL67" s="401"/>
      <c r="RM67" s="401"/>
      <c r="RN67" s="401"/>
      <c r="RO67" s="401"/>
      <c r="RP67" s="401"/>
      <c r="RQ67" s="401"/>
      <c r="RR67" s="401"/>
      <c r="RS67" s="401"/>
      <c r="RT67" s="401"/>
      <c r="RU67" s="401"/>
      <c r="RV67" s="401"/>
      <c r="RW67" s="401"/>
      <c r="RX67" s="401"/>
      <c r="RY67" s="401"/>
      <c r="RZ67" s="401"/>
      <c r="SA67" s="401"/>
      <c r="SB67" s="401"/>
      <c r="SC67" s="401"/>
      <c r="SD67" s="401"/>
      <c r="SE67" s="401"/>
      <c r="SF67" s="401"/>
      <c r="SG67" s="401"/>
      <c r="SH67" s="401"/>
      <c r="SI67" s="401"/>
      <c r="SJ67" s="401"/>
      <c r="SK67" s="401"/>
      <c r="SL67" s="401"/>
      <c r="SM67" s="401"/>
      <c r="SN67" s="401"/>
      <c r="SO67" s="401"/>
      <c r="SP67" s="401"/>
      <c r="SQ67" s="401"/>
      <c r="SR67" s="401"/>
      <c r="SS67" s="401"/>
      <c r="ST67" s="401"/>
      <c r="SU67" s="401"/>
      <c r="SV67" s="401"/>
      <c r="SW67" s="401"/>
      <c r="SX67" s="401"/>
      <c r="SY67" s="401"/>
      <c r="SZ67" s="401"/>
      <c r="TA67" s="401"/>
      <c r="TB67" s="401"/>
      <c r="TC67" s="401"/>
      <c r="TD67" s="401"/>
      <c r="TE67" s="401"/>
      <c r="TF67" s="401"/>
      <c r="TG67" s="401"/>
      <c r="TH67" s="401"/>
      <c r="TI67" s="401"/>
      <c r="TJ67" s="401"/>
      <c r="TK67" s="401"/>
      <c r="TL67" s="401"/>
      <c r="TM67" s="401"/>
      <c r="TN67" s="401"/>
      <c r="TO67" s="401"/>
      <c r="TP67" s="401"/>
      <c r="TQ67" s="401"/>
      <c r="TR67" s="401"/>
      <c r="TS67" s="401"/>
      <c r="TT67" s="401"/>
      <c r="TU67" s="401"/>
      <c r="TV67" s="401"/>
      <c r="TW67" s="401"/>
      <c r="TX67" s="401"/>
      <c r="TY67" s="401"/>
      <c r="TZ67" s="401"/>
      <c r="UA67" s="401"/>
      <c r="UB67" s="401"/>
      <c r="UC67" s="401"/>
      <c r="UD67" s="401"/>
      <c r="UE67" s="401"/>
      <c r="UF67" s="401"/>
      <c r="UG67" s="401"/>
      <c r="UH67" s="401"/>
      <c r="UI67" s="401"/>
      <c r="UJ67" s="401"/>
      <c r="UK67" s="401"/>
      <c r="UL67" s="401"/>
      <c r="UM67" s="401"/>
      <c r="UN67" s="401"/>
      <c r="UO67" s="401"/>
      <c r="UP67" s="401"/>
      <c r="UQ67" s="401"/>
      <c r="UR67" s="401"/>
      <c r="US67" s="401"/>
      <c r="UT67" s="401"/>
      <c r="UU67" s="401"/>
      <c r="UV67" s="401"/>
      <c r="UW67" s="401"/>
      <c r="UX67" s="401"/>
      <c r="UY67" s="401"/>
      <c r="UZ67" s="401"/>
      <c r="VA67" s="401"/>
      <c r="VB67" s="401"/>
      <c r="VC67" s="401"/>
      <c r="VD67" s="401"/>
      <c r="VE67" s="401"/>
      <c r="VF67" s="401"/>
      <c r="VG67" s="401"/>
      <c r="VH67" s="401"/>
      <c r="VI67" s="401"/>
      <c r="VJ67" s="401"/>
      <c r="VK67" s="401"/>
      <c r="VL67" s="401"/>
      <c r="VM67" s="401"/>
      <c r="VN67" s="401"/>
      <c r="VO67" s="401"/>
      <c r="VP67" s="401"/>
      <c r="VQ67" s="401"/>
      <c r="VR67" s="401"/>
      <c r="VS67" s="401"/>
      <c r="VT67" s="401"/>
      <c r="VU67" s="401"/>
      <c r="VV67" s="401"/>
      <c r="VW67" s="401"/>
      <c r="VX67" s="401"/>
      <c r="VY67" s="401"/>
      <c r="VZ67" s="401"/>
      <c r="WA67" s="401"/>
      <c r="WB67" s="401"/>
      <c r="WC67" s="401"/>
      <c r="WD67" s="401"/>
      <c r="WE67" s="401"/>
      <c r="WF67" s="401"/>
      <c r="WG67" s="401"/>
      <c r="WH67" s="401"/>
      <c r="WI67" s="401"/>
      <c r="WJ67" s="401"/>
      <c r="WK67" s="401"/>
      <c r="WL67" s="401"/>
      <c r="WM67" s="401"/>
      <c r="WN67" s="401"/>
      <c r="WO67" s="401"/>
      <c r="WP67" s="401"/>
      <c r="WQ67" s="401"/>
      <c r="WR67" s="401"/>
      <c r="WS67" s="401"/>
      <c r="WT67" s="401"/>
      <c r="WU67" s="401"/>
      <c r="WV67" s="401"/>
      <c r="WW67" s="401"/>
      <c r="WX67" s="401"/>
      <c r="WY67" s="401"/>
      <c r="WZ67" s="401"/>
      <c r="XA67" s="401"/>
      <c r="XB67" s="401"/>
      <c r="XC67" s="401"/>
      <c r="XD67" s="401"/>
      <c r="XE67" s="401"/>
      <c r="XF67" s="401"/>
      <c r="XG67" s="401"/>
      <c r="XH67" s="401"/>
      <c r="XI67" s="401"/>
      <c r="XJ67" s="401"/>
      <c r="XK67" s="401"/>
      <c r="XL67" s="401"/>
      <c r="XM67" s="401"/>
      <c r="XN67" s="401"/>
      <c r="XO67" s="401"/>
      <c r="XP67" s="401"/>
      <c r="XQ67" s="401"/>
      <c r="XR67" s="401"/>
      <c r="XS67" s="401"/>
      <c r="XT67" s="401"/>
      <c r="XU67" s="401"/>
      <c r="XV67" s="401"/>
      <c r="XW67" s="401"/>
      <c r="XX67" s="401"/>
      <c r="XY67" s="401"/>
      <c r="XZ67" s="401"/>
      <c r="YA67" s="401"/>
      <c r="YB67" s="401"/>
      <c r="YC67" s="401"/>
      <c r="YD67" s="401"/>
      <c r="YE67" s="401"/>
      <c r="YF67" s="401"/>
      <c r="YG67" s="401"/>
      <c r="YH67" s="401"/>
      <c r="YI67" s="401"/>
      <c r="YJ67" s="401"/>
      <c r="YK67" s="401"/>
      <c r="YL67" s="401"/>
      <c r="YM67" s="401"/>
      <c r="YN67" s="401"/>
      <c r="YO67" s="401"/>
      <c r="YP67" s="401"/>
      <c r="YQ67" s="401"/>
      <c r="YR67" s="401"/>
      <c r="YS67" s="401"/>
      <c r="YT67" s="401"/>
      <c r="YU67" s="401"/>
      <c r="YV67" s="401"/>
      <c r="YW67" s="401"/>
      <c r="YX67" s="401"/>
      <c r="YY67" s="401"/>
      <c r="YZ67" s="401"/>
      <c r="ZA67" s="401"/>
      <c r="ZB67" s="401"/>
      <c r="ZC67" s="401"/>
      <c r="ZD67" s="401"/>
      <c r="ZE67" s="401"/>
      <c r="ZF67" s="401"/>
      <c r="ZG67" s="401"/>
      <c r="ZH67" s="401"/>
      <c r="ZI67" s="401"/>
      <c r="ZJ67" s="401"/>
      <c r="ZK67" s="401"/>
      <c r="ZL67" s="401"/>
      <c r="ZM67" s="401"/>
      <c r="ZN67" s="401"/>
      <c r="ZO67" s="401"/>
      <c r="ZP67" s="401"/>
      <c r="ZQ67" s="401"/>
      <c r="ZR67" s="401"/>
      <c r="ZS67" s="401"/>
      <c r="ZT67" s="401"/>
      <c r="ZU67" s="401"/>
      <c r="ZV67" s="401"/>
      <c r="ZW67" s="401"/>
      <c r="ZX67" s="401"/>
      <c r="ZY67" s="401"/>
      <c r="ZZ67" s="401"/>
      <c r="AAA67" s="401"/>
      <c r="AAB67" s="401"/>
      <c r="AAC67" s="401"/>
      <c r="AAD67" s="401"/>
      <c r="AAE67" s="401"/>
      <c r="AAF67" s="401"/>
      <c r="AAG67" s="401"/>
      <c r="AAH67" s="401"/>
      <c r="AAI67" s="401"/>
      <c r="AAJ67" s="401"/>
      <c r="AAK67" s="401"/>
      <c r="AAL67" s="401"/>
      <c r="AAM67" s="401"/>
      <c r="AAN67" s="401"/>
      <c r="AAO67" s="401"/>
      <c r="AAP67" s="401"/>
      <c r="AAQ67" s="401"/>
      <c r="AAR67" s="401"/>
      <c r="AAS67" s="401"/>
      <c r="AAT67" s="401"/>
      <c r="AAU67" s="401"/>
      <c r="AAV67" s="401"/>
      <c r="AAW67" s="401"/>
      <c r="AAX67" s="401"/>
      <c r="AAY67" s="401"/>
      <c r="AAZ67" s="401"/>
      <c r="ABA67" s="401"/>
      <c r="ABB67" s="401"/>
      <c r="ABC67" s="401"/>
      <c r="ABD67" s="401"/>
      <c r="ABE67" s="401"/>
      <c r="ABF67" s="401"/>
      <c r="ABG67" s="401"/>
      <c r="ABH67" s="401"/>
      <c r="ABI67" s="401"/>
      <c r="ABJ67" s="401"/>
      <c r="ABK67" s="401"/>
      <c r="ABL67" s="401"/>
      <c r="ABM67" s="401"/>
      <c r="ABN67" s="401"/>
      <c r="ABO67" s="401"/>
      <c r="ABP67" s="401"/>
      <c r="ABQ67" s="401"/>
      <c r="ABR67" s="401"/>
      <c r="ABS67" s="401"/>
      <c r="ABT67" s="401"/>
      <c r="ABU67" s="401"/>
      <c r="ABV67" s="401"/>
      <c r="ABW67" s="401"/>
      <c r="ABX67" s="401"/>
      <c r="ABY67" s="401"/>
      <c r="ABZ67" s="401"/>
      <c r="ACA67" s="401"/>
      <c r="ACB67" s="401"/>
      <c r="ACC67" s="401"/>
      <c r="ACD67" s="401"/>
      <c r="ACE67" s="401"/>
      <c r="ACF67" s="401"/>
      <c r="ACG67" s="401"/>
      <c r="ACH67" s="401"/>
      <c r="ACI67" s="401"/>
      <c r="ACJ67" s="401"/>
      <c r="ACK67" s="401"/>
      <c r="ACL67" s="401"/>
      <c r="ACM67" s="401"/>
      <c r="ACN67" s="401"/>
      <c r="ACO67" s="401"/>
      <c r="ACP67" s="401"/>
      <c r="ACQ67" s="401"/>
      <c r="ACR67" s="401"/>
      <c r="ACS67" s="401"/>
      <c r="ACT67" s="401"/>
      <c r="ACU67" s="401"/>
      <c r="ACV67" s="401"/>
      <c r="ACW67" s="401"/>
      <c r="ACX67" s="401"/>
      <c r="ACY67" s="401"/>
      <c r="ACZ67" s="401"/>
      <c r="ADA67" s="401"/>
      <c r="ADB67" s="401"/>
      <c r="ADC67" s="401"/>
      <c r="ADD67" s="401"/>
      <c r="ADE67" s="401"/>
      <c r="ADF67" s="401"/>
      <c r="ADG67" s="401"/>
      <c r="ADH67" s="401"/>
      <c r="ADI67" s="401"/>
      <c r="ADJ67" s="401"/>
      <c r="ADK67" s="401"/>
      <c r="ADL67" s="401"/>
      <c r="ADM67" s="401"/>
      <c r="ADN67" s="401"/>
      <c r="ADO67" s="401"/>
      <c r="ADP67" s="401"/>
      <c r="ADQ67" s="401"/>
      <c r="ADR67" s="401"/>
      <c r="ADS67" s="401"/>
      <c r="ADT67" s="401"/>
      <c r="ADU67" s="401"/>
      <c r="ADV67" s="401"/>
      <c r="ADW67" s="401"/>
      <c r="ADX67" s="401"/>
      <c r="ADY67" s="401"/>
      <c r="ADZ67" s="401"/>
      <c r="AEA67" s="401"/>
      <c r="AEB67" s="401"/>
      <c r="AEC67" s="401"/>
      <c r="AED67" s="401"/>
      <c r="AEE67" s="401"/>
      <c r="AEF67" s="401"/>
      <c r="AEG67" s="401"/>
      <c r="AEH67" s="401"/>
      <c r="AEI67" s="401"/>
      <c r="AEJ67" s="401"/>
      <c r="AEK67" s="401"/>
      <c r="AEL67" s="401"/>
      <c r="AEM67" s="401"/>
      <c r="AEN67" s="401"/>
      <c r="AEO67" s="401"/>
      <c r="AEP67" s="401"/>
      <c r="AEQ67" s="401"/>
      <c r="AER67" s="401"/>
      <c r="AES67" s="401"/>
      <c r="AET67" s="401"/>
      <c r="AEU67" s="401"/>
      <c r="AEV67" s="401"/>
      <c r="AEW67" s="401"/>
      <c r="AEX67" s="401"/>
      <c r="AEY67" s="401"/>
      <c r="AEZ67" s="401"/>
      <c r="AFA67" s="401"/>
      <c r="AFB67" s="401"/>
      <c r="AFC67" s="401"/>
      <c r="AFD67" s="401"/>
      <c r="AFE67" s="401"/>
      <c r="AFF67" s="401"/>
      <c r="AFG67" s="401"/>
      <c r="AFH67" s="401"/>
      <c r="AFI67" s="401"/>
      <c r="AFJ67" s="401"/>
      <c r="AFK67" s="401"/>
      <c r="AFL67" s="401"/>
      <c r="AFM67" s="401"/>
      <c r="AFN67" s="401"/>
      <c r="AFO67" s="401"/>
      <c r="AFP67" s="401"/>
      <c r="AFQ67" s="401"/>
      <c r="AFR67" s="401"/>
      <c r="AFS67" s="401"/>
      <c r="AFT67" s="401"/>
      <c r="AFU67" s="401"/>
      <c r="AFV67" s="401"/>
      <c r="AFW67" s="401"/>
      <c r="AFX67" s="401"/>
      <c r="AFY67" s="401"/>
      <c r="AFZ67" s="401"/>
      <c r="AGA67" s="401"/>
      <c r="AGB67" s="401"/>
      <c r="AGC67" s="401"/>
      <c r="AGD67" s="401"/>
      <c r="AGE67" s="401"/>
      <c r="AGF67" s="401"/>
      <c r="AGG67" s="401"/>
      <c r="AGH67" s="401"/>
      <c r="AGI67" s="401"/>
      <c r="AGJ67" s="401"/>
      <c r="AGK67" s="401"/>
      <c r="AGL67" s="401"/>
      <c r="AGM67" s="401"/>
      <c r="AGN67" s="401"/>
      <c r="AGO67" s="401"/>
      <c r="AGP67" s="401"/>
      <c r="AGQ67" s="401"/>
      <c r="AGR67" s="401"/>
      <c r="AGS67" s="401"/>
      <c r="AGT67" s="401"/>
      <c r="AGU67" s="401"/>
      <c r="AGV67" s="401"/>
      <c r="AGW67" s="401"/>
      <c r="AGX67" s="401"/>
      <c r="AGY67" s="401"/>
      <c r="AGZ67" s="401"/>
      <c r="AHA67" s="401"/>
      <c r="AHB67" s="401"/>
      <c r="AHC67" s="401"/>
      <c r="AHD67" s="401"/>
      <c r="AHE67" s="401"/>
      <c r="AHF67" s="401"/>
      <c r="AHG67" s="401"/>
      <c r="AHH67" s="401"/>
      <c r="AHI67" s="401"/>
      <c r="AHJ67" s="401"/>
      <c r="AHK67" s="401"/>
      <c r="AHL67" s="401"/>
      <c r="AHM67" s="401"/>
      <c r="AHN67" s="401"/>
      <c r="AHO67" s="401"/>
      <c r="AHP67" s="401"/>
      <c r="AHQ67" s="401"/>
      <c r="AHR67" s="401"/>
      <c r="AHS67" s="401"/>
      <c r="AHT67" s="401"/>
      <c r="AHU67" s="401"/>
      <c r="AHV67" s="401"/>
      <c r="AHW67" s="401"/>
      <c r="AHX67" s="401"/>
      <c r="AHY67" s="401"/>
      <c r="AHZ67" s="401"/>
      <c r="AIA67" s="401"/>
      <c r="AIB67" s="401"/>
      <c r="AIC67" s="401"/>
      <c r="AID67" s="401"/>
      <c r="AIE67" s="401"/>
      <c r="AIF67" s="401"/>
      <c r="AIG67" s="401"/>
      <c r="AIH67" s="401"/>
      <c r="AII67" s="401"/>
      <c r="AIJ67" s="401"/>
      <c r="AIK67" s="401"/>
      <c r="AIL67" s="401"/>
      <c r="AIM67" s="401"/>
      <c r="AIN67" s="401"/>
      <c r="AIO67" s="401"/>
      <c r="AIP67" s="401"/>
      <c r="AIQ67" s="401"/>
      <c r="AIR67" s="401"/>
      <c r="AIS67" s="401"/>
      <c r="AIT67" s="401"/>
      <c r="AIU67" s="401"/>
      <c r="AIV67" s="401"/>
      <c r="AIW67" s="401"/>
      <c r="AIX67" s="401"/>
      <c r="AIY67" s="401"/>
      <c r="AIZ67" s="401"/>
      <c r="AJA67" s="401"/>
      <c r="AJB67" s="401"/>
      <c r="AJC67" s="401"/>
      <c r="AJD67" s="401"/>
      <c r="AJE67" s="401"/>
      <c r="AJF67" s="401"/>
      <c r="AJG67" s="401"/>
      <c r="AJH67" s="401"/>
      <c r="AJI67" s="401"/>
      <c r="AJJ67" s="401"/>
      <c r="AJK67" s="401"/>
      <c r="AJL67" s="401"/>
      <c r="AJM67" s="401"/>
      <c r="AJN67" s="401"/>
      <c r="AJO67" s="401"/>
      <c r="AJP67" s="401"/>
      <c r="AJQ67" s="401"/>
      <c r="AJR67" s="401"/>
      <c r="AJS67" s="401"/>
      <c r="AJT67" s="401"/>
      <c r="AJU67" s="401"/>
      <c r="AJV67" s="401"/>
      <c r="AJW67" s="401"/>
      <c r="AJX67" s="401"/>
      <c r="AJY67" s="401"/>
      <c r="AJZ67" s="401"/>
      <c r="AKA67" s="401"/>
      <c r="AKB67" s="401"/>
      <c r="AKC67" s="401"/>
      <c r="AKD67" s="401"/>
      <c r="AKE67" s="401"/>
      <c r="AKF67" s="401"/>
      <c r="AKG67" s="401"/>
      <c r="AKH67" s="401"/>
      <c r="AKI67" s="401"/>
      <c r="AKJ67" s="401"/>
      <c r="AKK67" s="401"/>
      <c r="AKL67" s="401"/>
      <c r="AKM67" s="401"/>
      <c r="AKN67" s="401"/>
      <c r="AKO67" s="401"/>
      <c r="AKP67" s="401"/>
      <c r="AKQ67" s="401"/>
      <c r="AKR67" s="401"/>
      <c r="AKS67" s="401"/>
      <c r="AKT67" s="401"/>
      <c r="AKU67" s="401"/>
      <c r="AKV67" s="401"/>
      <c r="AKW67" s="401"/>
      <c r="AKX67" s="401"/>
      <c r="AKY67" s="401"/>
      <c r="AKZ67" s="401"/>
      <c r="ALA67" s="401"/>
      <c r="ALB67" s="401"/>
      <c r="ALC67" s="401"/>
      <c r="ALD67" s="401"/>
      <c r="ALE67" s="401"/>
      <c r="ALF67" s="401"/>
      <c r="ALG67" s="401"/>
      <c r="ALH67" s="401"/>
      <c r="ALI67" s="401"/>
      <c r="ALJ67" s="401"/>
      <c r="ALK67" s="401"/>
      <c r="ALL67" s="401"/>
      <c r="ALM67" s="401"/>
      <c r="ALN67" s="401"/>
      <c r="ALO67" s="401"/>
      <c r="ALP67" s="401"/>
      <c r="ALQ67" s="401"/>
      <c r="ALR67" s="401"/>
      <c r="ALS67" s="401"/>
      <c r="ALT67" s="401"/>
      <c r="ALU67" s="401"/>
      <c r="ALV67" s="401"/>
      <c r="ALW67" s="401"/>
      <c r="ALX67" s="401"/>
      <c r="ALY67" s="401"/>
      <c r="ALZ67" s="401"/>
      <c r="AMA67" s="401"/>
      <c r="AMB67" s="401"/>
      <c r="AMC67" s="401"/>
      <c r="AMD67" s="401"/>
      <c r="AME67" s="401"/>
      <c r="AMF67" s="401"/>
      <c r="AMG67" s="401"/>
      <c r="AMH67" s="401"/>
      <c r="AMI67" s="401"/>
      <c r="AMJ67" s="401"/>
      <c r="AMK67" s="401"/>
      <c r="AML67" s="401"/>
      <c r="AMM67" s="401"/>
      <c r="AMN67" s="401"/>
      <c r="AMO67" s="401"/>
      <c r="AMP67" s="401"/>
      <c r="AMQ67" s="401"/>
      <c r="AMR67" s="401"/>
      <c r="AMS67" s="401"/>
      <c r="AMT67" s="401"/>
      <c r="AMU67" s="401"/>
      <c r="AMV67" s="401"/>
      <c r="AMW67" s="401"/>
      <c r="AMX67" s="401"/>
      <c r="AMY67" s="401"/>
      <c r="AMZ67" s="401"/>
      <c r="ANA67" s="401"/>
      <c r="ANB67" s="401"/>
      <c r="ANC67" s="401"/>
      <c r="AND67" s="401"/>
      <c r="ANE67" s="401"/>
      <c r="ANF67" s="401"/>
      <c r="ANG67" s="401"/>
      <c r="ANH67" s="401"/>
      <c r="ANI67" s="401"/>
      <c r="ANJ67" s="401"/>
      <c r="ANK67" s="401"/>
      <c r="ANL67" s="401"/>
      <c r="ANM67" s="401"/>
      <c r="ANN67" s="401"/>
      <c r="ANO67" s="401"/>
      <c r="ANP67" s="401"/>
      <c r="ANQ67" s="401"/>
      <c r="ANR67" s="401"/>
      <c r="ANS67" s="401"/>
      <c r="ANT67" s="401"/>
      <c r="ANU67" s="401"/>
      <c r="ANV67" s="401"/>
      <c r="ANW67" s="401"/>
      <c r="ANX67" s="401"/>
      <c r="ANY67" s="401"/>
      <c r="ANZ67" s="401"/>
      <c r="AOA67" s="401"/>
      <c r="AOB67" s="401"/>
      <c r="AOC67" s="401"/>
      <c r="AOD67" s="401"/>
      <c r="AOE67" s="401"/>
      <c r="AOF67" s="401"/>
      <c r="AOG67" s="401"/>
      <c r="AOH67" s="401"/>
      <c r="AOI67" s="401"/>
      <c r="AOJ67" s="401"/>
      <c r="AOK67" s="401"/>
      <c r="AOL67" s="401"/>
      <c r="AOM67" s="401"/>
      <c r="AON67" s="401"/>
      <c r="AOO67" s="401"/>
      <c r="AOP67" s="401"/>
      <c r="AOQ67" s="401"/>
      <c r="AOR67" s="401"/>
      <c r="AOS67" s="401"/>
      <c r="AOT67" s="401"/>
      <c r="AOU67" s="401"/>
      <c r="AOV67" s="401"/>
      <c r="AOW67" s="401"/>
      <c r="AOX67" s="401"/>
      <c r="AOY67" s="401"/>
      <c r="AOZ67" s="401"/>
      <c r="APA67" s="401"/>
      <c r="APB67" s="401"/>
      <c r="APC67" s="401"/>
      <c r="APD67" s="401"/>
      <c r="APE67" s="401"/>
      <c r="APF67" s="401"/>
      <c r="APG67" s="401"/>
      <c r="APH67" s="401"/>
      <c r="API67" s="401"/>
      <c r="APJ67" s="401"/>
      <c r="APK67" s="401"/>
      <c r="APL67" s="401"/>
      <c r="APM67" s="401"/>
      <c r="APN67" s="401"/>
      <c r="APO67" s="401"/>
      <c r="APP67" s="401"/>
      <c r="APQ67" s="401"/>
      <c r="APR67" s="401"/>
      <c r="APS67" s="401"/>
      <c r="APT67" s="401"/>
      <c r="APU67" s="401"/>
      <c r="APV67" s="401"/>
      <c r="APW67" s="401"/>
      <c r="APX67" s="401"/>
      <c r="APY67" s="401"/>
      <c r="APZ67" s="401"/>
      <c r="AQA67" s="401"/>
      <c r="AQB67" s="401"/>
      <c r="AQC67" s="401"/>
      <c r="AQD67" s="401"/>
      <c r="AQE67" s="401"/>
      <c r="AQF67" s="401"/>
      <c r="AQG67" s="401"/>
      <c r="AQH67" s="401"/>
      <c r="AQI67" s="401"/>
      <c r="AQJ67" s="401"/>
      <c r="AQK67" s="401"/>
      <c r="AQL67" s="401"/>
      <c r="AQM67" s="401"/>
      <c r="AQN67" s="401"/>
      <c r="AQO67" s="401"/>
      <c r="AQP67" s="401"/>
      <c r="AQQ67" s="401"/>
      <c r="AQR67" s="401"/>
      <c r="AQS67" s="401"/>
      <c r="AQT67" s="401"/>
      <c r="AQU67" s="401"/>
      <c r="AQV67" s="401"/>
      <c r="AQW67" s="401"/>
      <c r="AQX67" s="401"/>
      <c r="AQY67" s="401"/>
      <c r="AQZ67" s="401"/>
      <c r="ARA67" s="401"/>
      <c r="ARB67" s="401"/>
      <c r="ARC67" s="401"/>
      <c r="ARD67" s="401"/>
      <c r="ARE67" s="401"/>
      <c r="ARF67" s="401"/>
      <c r="ARG67" s="401"/>
      <c r="ARH67" s="401"/>
      <c r="ARI67" s="401"/>
      <c r="ARJ67" s="401"/>
      <c r="ARK67" s="401"/>
      <c r="ARL67" s="401"/>
      <c r="ARM67" s="401"/>
      <c r="ARN67" s="401"/>
      <c r="ARO67" s="401"/>
      <c r="ARP67" s="401"/>
      <c r="ARQ67" s="401"/>
      <c r="ARR67" s="401"/>
      <c r="ARS67" s="401"/>
      <c r="ART67" s="401"/>
      <c r="ARU67" s="401"/>
      <c r="ARV67" s="401"/>
      <c r="ARW67" s="401"/>
      <c r="ARX67" s="401"/>
      <c r="ARY67" s="401"/>
      <c r="ARZ67" s="401"/>
      <c r="ASA67" s="401"/>
      <c r="ASB67" s="401"/>
      <c r="ASC67" s="401"/>
      <c r="ASD67" s="401"/>
      <c r="ASE67" s="401"/>
      <c r="ASF67" s="401"/>
      <c r="ASG67" s="401"/>
      <c r="ASH67" s="401"/>
      <c r="ASI67" s="401"/>
      <c r="ASJ67" s="401"/>
      <c r="ASK67" s="401"/>
      <c r="ASL67" s="401"/>
      <c r="ASM67" s="401"/>
      <c r="ASN67" s="401"/>
      <c r="ASO67" s="401"/>
      <c r="ASP67" s="401"/>
      <c r="ASQ67" s="401"/>
      <c r="ASR67" s="401"/>
      <c r="ASS67" s="401"/>
      <c r="AST67" s="401"/>
      <c r="ASU67" s="401"/>
      <c r="ASV67" s="401"/>
      <c r="ASW67" s="401"/>
      <c r="ASX67" s="401"/>
      <c r="ASY67" s="401"/>
      <c r="ASZ67" s="401"/>
      <c r="ATA67" s="401"/>
      <c r="ATB67" s="401"/>
      <c r="ATC67" s="401"/>
      <c r="ATD67" s="401"/>
      <c r="ATE67" s="401"/>
      <c r="ATF67" s="401"/>
      <c r="ATG67" s="401"/>
      <c r="ATH67" s="401"/>
      <c r="ATI67" s="401"/>
      <c r="ATJ67" s="401"/>
      <c r="ATK67" s="401"/>
      <c r="ATL67" s="401"/>
      <c r="ATM67" s="401"/>
      <c r="ATN67" s="401"/>
      <c r="ATO67" s="401"/>
      <c r="ATP67" s="401"/>
      <c r="ATQ67" s="401"/>
      <c r="ATR67" s="401"/>
      <c r="ATS67" s="401"/>
      <c r="ATT67" s="401"/>
      <c r="ATU67" s="401"/>
      <c r="ATV67" s="401"/>
      <c r="ATW67" s="401"/>
      <c r="ATX67" s="401"/>
      <c r="ATY67" s="401"/>
      <c r="ATZ67" s="401"/>
      <c r="AUA67" s="401"/>
      <c r="AUB67" s="401"/>
      <c r="AUC67" s="401"/>
      <c r="AUD67" s="401"/>
      <c r="AUE67" s="401"/>
      <c r="AUF67" s="401"/>
      <c r="AUG67" s="401"/>
      <c r="AUH67" s="401"/>
      <c r="AUI67" s="401"/>
      <c r="AUJ67" s="401"/>
      <c r="AUK67" s="401"/>
      <c r="AUL67" s="401"/>
      <c r="AUM67" s="401"/>
      <c r="AUN67" s="401"/>
      <c r="AUO67" s="401"/>
      <c r="AUP67" s="401"/>
      <c r="AUQ67" s="401"/>
      <c r="AUR67" s="401"/>
      <c r="AUS67" s="401"/>
      <c r="AUT67" s="401"/>
      <c r="AUU67" s="401"/>
      <c r="AUV67" s="401"/>
      <c r="AUW67" s="401"/>
      <c r="AUX67" s="401"/>
      <c r="AUY67" s="401"/>
      <c r="AUZ67" s="401"/>
      <c r="AVA67" s="401"/>
      <c r="AVB67" s="401"/>
      <c r="AVC67" s="401"/>
      <c r="AVD67" s="401"/>
      <c r="AVE67" s="401"/>
      <c r="AVF67" s="401"/>
      <c r="AVG67" s="401"/>
      <c r="AVH67" s="401"/>
      <c r="AVI67" s="401"/>
      <c r="AVJ67" s="401"/>
      <c r="AVK67" s="401"/>
      <c r="AVL67" s="401"/>
      <c r="AVM67" s="401"/>
      <c r="AVN67" s="401"/>
      <c r="AVO67" s="401"/>
      <c r="AVP67" s="401"/>
      <c r="AVQ67" s="401"/>
      <c r="AVR67" s="401"/>
      <c r="AVS67" s="401"/>
      <c r="AVT67" s="401"/>
      <c r="AVU67" s="401"/>
      <c r="AVV67" s="401"/>
      <c r="AVW67" s="401"/>
      <c r="AVX67" s="401"/>
      <c r="AVY67" s="401"/>
      <c r="AVZ67" s="401"/>
      <c r="AWA67" s="401"/>
      <c r="AWB67" s="401"/>
      <c r="AWC67" s="401"/>
      <c r="AWD67" s="401"/>
      <c r="AWE67" s="401"/>
      <c r="AWF67" s="401"/>
      <c r="AWG67" s="401"/>
      <c r="AWH67" s="401"/>
      <c r="AWI67" s="401"/>
      <c r="AWJ67" s="401"/>
      <c r="AWK67" s="401"/>
      <c r="AWL67" s="401"/>
      <c r="AWM67" s="401"/>
      <c r="AWN67" s="401"/>
      <c r="AWO67" s="401"/>
      <c r="AWP67" s="401"/>
      <c r="AWQ67" s="401"/>
      <c r="AWR67" s="401"/>
      <c r="AWS67" s="401"/>
      <c r="AWT67" s="401"/>
      <c r="AWU67" s="401"/>
      <c r="AWV67" s="401"/>
      <c r="AWW67" s="401"/>
      <c r="AWX67" s="401"/>
      <c r="AWY67" s="401"/>
      <c r="AWZ67" s="401"/>
      <c r="AXA67" s="401"/>
      <c r="AXB67" s="401"/>
      <c r="AXC67" s="401"/>
      <c r="AXD67" s="401"/>
      <c r="AXE67" s="401"/>
      <c r="AXF67" s="401"/>
      <c r="AXG67" s="401"/>
      <c r="AXH67" s="401"/>
      <c r="AXI67" s="401"/>
      <c r="AXJ67" s="401"/>
      <c r="AXK67" s="401"/>
      <c r="AXL67" s="401"/>
      <c r="AXM67" s="401"/>
      <c r="AXN67" s="401"/>
      <c r="AXO67" s="401"/>
      <c r="AXP67" s="401"/>
      <c r="AXQ67" s="401"/>
      <c r="AXR67" s="401"/>
      <c r="AXS67" s="401"/>
      <c r="AXT67" s="401"/>
      <c r="AXU67" s="401"/>
      <c r="AXV67" s="401"/>
      <c r="AXW67" s="401"/>
      <c r="AXX67" s="401"/>
      <c r="AXY67" s="401"/>
      <c r="AXZ67" s="401"/>
      <c r="AYA67" s="401"/>
      <c r="AYB67" s="401"/>
      <c r="AYC67" s="401"/>
      <c r="AYD67" s="401"/>
      <c r="AYE67" s="401"/>
      <c r="AYF67" s="401"/>
      <c r="AYG67" s="401"/>
      <c r="AYH67" s="401"/>
      <c r="AYI67" s="401"/>
      <c r="AYJ67" s="401"/>
      <c r="AYK67" s="401"/>
      <c r="AYL67" s="401"/>
      <c r="AYM67" s="401"/>
      <c r="AYN67" s="401"/>
      <c r="AYO67" s="401"/>
      <c r="AYP67" s="401"/>
      <c r="AYQ67" s="401"/>
      <c r="AYR67" s="401"/>
      <c r="AYS67" s="401"/>
      <c r="AYT67" s="401"/>
      <c r="AYU67" s="401"/>
      <c r="AYV67" s="401"/>
      <c r="AYW67" s="401"/>
      <c r="AYX67" s="401"/>
      <c r="AYY67" s="401"/>
      <c r="AYZ67" s="401"/>
      <c r="AZA67" s="401"/>
      <c r="AZB67" s="401"/>
      <c r="AZC67" s="401"/>
      <c r="AZD67" s="401"/>
      <c r="AZE67" s="401"/>
      <c r="AZF67" s="401"/>
      <c r="AZG67" s="401"/>
      <c r="AZH67" s="401"/>
      <c r="AZI67" s="401"/>
      <c r="AZJ67" s="401"/>
      <c r="AZK67" s="401"/>
      <c r="AZL67" s="401"/>
      <c r="AZM67" s="401"/>
      <c r="AZN67" s="401"/>
      <c r="AZO67" s="401"/>
      <c r="AZP67" s="401"/>
      <c r="AZQ67" s="401"/>
      <c r="AZR67" s="401"/>
      <c r="AZS67" s="401"/>
      <c r="AZT67" s="401"/>
      <c r="AZU67" s="401"/>
      <c r="AZV67" s="401"/>
      <c r="AZW67" s="401"/>
      <c r="AZX67" s="401"/>
      <c r="AZY67" s="401"/>
      <c r="AZZ67" s="401"/>
      <c r="BAA67" s="401"/>
      <c r="BAB67" s="401"/>
      <c r="BAC67" s="401"/>
      <c r="BAD67" s="401"/>
      <c r="BAE67" s="401"/>
      <c r="BAF67" s="401"/>
      <c r="BAG67" s="401"/>
      <c r="BAH67" s="401"/>
      <c r="BAI67" s="401"/>
      <c r="BAJ67" s="401"/>
      <c r="BAK67" s="401"/>
      <c r="BAL67" s="401"/>
      <c r="BAM67" s="401"/>
      <c r="BAN67" s="401"/>
      <c r="BAO67" s="401"/>
      <c r="BAP67" s="401"/>
      <c r="BAQ67" s="401"/>
      <c r="BAR67" s="401"/>
      <c r="BAS67" s="401"/>
      <c r="BAT67" s="401"/>
      <c r="BAU67" s="401"/>
      <c r="BAV67" s="401"/>
      <c r="BAW67" s="401"/>
      <c r="BAX67" s="401"/>
      <c r="BAY67" s="401"/>
      <c r="BAZ67" s="401"/>
      <c r="BBA67" s="401"/>
      <c r="BBB67" s="401"/>
      <c r="BBC67" s="401"/>
      <c r="BBD67" s="401"/>
      <c r="BBE67" s="401"/>
      <c r="BBF67" s="401"/>
      <c r="BBG67" s="401"/>
      <c r="BBH67" s="401"/>
      <c r="BBI67" s="401"/>
      <c r="BBJ67" s="401"/>
      <c r="BBK67" s="401"/>
      <c r="BBL67" s="401"/>
      <c r="BBM67" s="401"/>
      <c r="BBN67" s="401"/>
      <c r="BBO67" s="401"/>
      <c r="BBP67" s="401"/>
      <c r="BBQ67" s="401"/>
      <c r="BBR67" s="401"/>
      <c r="BBS67" s="401"/>
      <c r="BBT67" s="401"/>
      <c r="BBU67" s="401"/>
      <c r="BBV67" s="401"/>
      <c r="BBW67" s="401"/>
      <c r="BBX67" s="401"/>
      <c r="BBY67" s="401"/>
      <c r="BBZ67" s="401"/>
      <c r="BCA67" s="401"/>
      <c r="BCB67" s="401"/>
      <c r="BCC67" s="401"/>
      <c r="BCD67" s="401"/>
      <c r="BCE67" s="401"/>
      <c r="BCF67" s="401"/>
      <c r="BCG67" s="401"/>
      <c r="BCH67" s="401"/>
      <c r="BCI67" s="401"/>
      <c r="BCJ67" s="401"/>
      <c r="BCK67" s="401"/>
      <c r="BCL67" s="401"/>
      <c r="BCM67" s="401"/>
      <c r="BCN67" s="401"/>
      <c r="BCO67" s="401"/>
      <c r="BCP67" s="401"/>
      <c r="BCQ67" s="401"/>
      <c r="BCR67" s="401"/>
      <c r="BCS67" s="401"/>
      <c r="BCT67" s="401"/>
      <c r="BCU67" s="401"/>
      <c r="BCV67" s="401"/>
      <c r="BCW67" s="401"/>
      <c r="BCX67" s="401"/>
      <c r="BCY67" s="401"/>
      <c r="BCZ67" s="401"/>
      <c r="BDA67" s="401"/>
      <c r="BDB67" s="401"/>
      <c r="BDC67" s="401"/>
      <c r="BDD67" s="401"/>
      <c r="BDE67" s="401"/>
      <c r="BDF67" s="401"/>
      <c r="BDG67" s="401"/>
      <c r="BDH67" s="401"/>
      <c r="BDI67" s="401"/>
      <c r="BDJ67" s="401"/>
      <c r="BDK67" s="401"/>
      <c r="BDL67" s="401"/>
      <c r="BDM67" s="401"/>
      <c r="BDN67" s="401"/>
      <c r="BDO67" s="401"/>
      <c r="BDP67" s="401"/>
      <c r="BDQ67" s="401"/>
      <c r="BDR67" s="401"/>
      <c r="BDS67" s="401"/>
      <c r="BDT67" s="401"/>
      <c r="BDU67" s="401"/>
      <c r="BDV67" s="401"/>
      <c r="BDW67" s="401"/>
      <c r="BDX67" s="401"/>
      <c r="BDY67" s="401"/>
      <c r="BDZ67" s="401"/>
      <c r="BEA67" s="401"/>
      <c r="BEB67" s="401"/>
      <c r="BEC67" s="401"/>
      <c r="BED67" s="401"/>
      <c r="BEE67" s="401"/>
      <c r="BEF67" s="401"/>
      <c r="BEG67" s="401"/>
      <c r="BEH67" s="401"/>
      <c r="BEI67" s="401"/>
      <c r="BEJ67" s="401"/>
      <c r="BEK67" s="401"/>
      <c r="BEL67" s="401"/>
      <c r="BEM67" s="401"/>
      <c r="BEN67" s="401"/>
      <c r="BEO67" s="401"/>
      <c r="BEP67" s="401"/>
      <c r="BEQ67" s="401"/>
      <c r="BER67" s="401"/>
      <c r="BES67" s="401"/>
      <c r="BET67" s="401"/>
      <c r="BEU67" s="401"/>
      <c r="BEV67" s="401"/>
      <c r="BEW67" s="401"/>
      <c r="BEX67" s="401"/>
      <c r="BEY67" s="401"/>
      <c r="BEZ67" s="401"/>
      <c r="BFA67" s="401"/>
      <c r="BFB67" s="401"/>
      <c r="BFC67" s="401"/>
      <c r="BFD67" s="401"/>
      <c r="BFE67" s="401"/>
      <c r="BFF67" s="401"/>
      <c r="BFG67" s="401"/>
      <c r="BFH67" s="401"/>
      <c r="BFI67" s="401"/>
      <c r="BFJ67" s="401"/>
      <c r="BFK67" s="401"/>
      <c r="BFL67" s="401"/>
      <c r="BFM67" s="401"/>
      <c r="BFN67" s="401"/>
      <c r="BFO67" s="401"/>
      <c r="BFP67" s="401"/>
      <c r="BFQ67" s="401"/>
      <c r="BFR67" s="401"/>
      <c r="BFS67" s="401"/>
      <c r="BFT67" s="401"/>
      <c r="BFU67" s="401"/>
      <c r="BFV67" s="401"/>
      <c r="BFW67" s="401"/>
      <c r="BFX67" s="401"/>
      <c r="BFY67" s="401"/>
      <c r="BFZ67" s="401"/>
      <c r="BGA67" s="401"/>
      <c r="BGB67" s="401"/>
      <c r="BGC67" s="401"/>
      <c r="BGD67" s="401"/>
      <c r="BGE67" s="401"/>
      <c r="BGF67" s="401"/>
      <c r="BGG67" s="401"/>
      <c r="BGH67" s="401"/>
      <c r="BGI67" s="401"/>
      <c r="BGJ67" s="401"/>
      <c r="BGK67" s="401"/>
      <c r="BGL67" s="401"/>
      <c r="BGM67" s="401"/>
      <c r="BGN67" s="401"/>
      <c r="BGO67" s="401"/>
      <c r="BGP67" s="401"/>
      <c r="BGQ67" s="401"/>
      <c r="BGR67" s="401"/>
      <c r="BGS67" s="401"/>
      <c r="BGT67" s="401"/>
      <c r="BGU67" s="401"/>
      <c r="BGV67" s="401"/>
      <c r="BGW67" s="401"/>
      <c r="BGX67" s="401"/>
      <c r="BGY67" s="401"/>
      <c r="BGZ67" s="401"/>
      <c r="BHA67" s="401"/>
      <c r="BHB67" s="401"/>
      <c r="BHC67" s="401"/>
      <c r="BHD67" s="401"/>
      <c r="BHE67" s="401"/>
      <c r="BHF67" s="401"/>
      <c r="BHG67" s="401"/>
      <c r="BHH67" s="401"/>
      <c r="BHI67" s="401"/>
      <c r="BHJ67" s="401"/>
      <c r="BHK67" s="401"/>
      <c r="BHL67" s="401"/>
      <c r="BHM67" s="401"/>
      <c r="BHN67" s="401"/>
      <c r="BHO67" s="401"/>
      <c r="BHP67" s="401"/>
      <c r="BHQ67" s="401"/>
      <c r="BHR67" s="401"/>
      <c r="BHS67" s="401"/>
      <c r="BHT67" s="401"/>
      <c r="BHU67" s="401"/>
      <c r="BHV67" s="401"/>
      <c r="BHW67" s="401"/>
      <c r="BHX67" s="401"/>
      <c r="BHY67" s="401"/>
      <c r="BHZ67" s="401"/>
      <c r="BIA67" s="401"/>
      <c r="BIB67" s="401"/>
      <c r="BIC67" s="401"/>
      <c r="BID67" s="401"/>
      <c r="BIE67" s="401"/>
      <c r="BIF67" s="401"/>
      <c r="BIG67" s="401"/>
      <c r="BIH67" s="401"/>
      <c r="BII67" s="401"/>
      <c r="BIJ67" s="401"/>
      <c r="BIK67" s="401"/>
      <c r="BIL67" s="401"/>
      <c r="BIM67" s="401"/>
      <c r="BIN67" s="401"/>
      <c r="BIO67" s="401"/>
      <c r="BIP67" s="401"/>
      <c r="BIQ67" s="401"/>
      <c r="BIR67" s="401"/>
      <c r="BIS67" s="401"/>
      <c r="BIT67" s="401"/>
      <c r="BIU67" s="401"/>
      <c r="BIV67" s="401"/>
      <c r="BIW67" s="401"/>
      <c r="BIX67" s="401"/>
      <c r="BIY67" s="401"/>
      <c r="BIZ67" s="401"/>
      <c r="BJA67" s="401"/>
      <c r="BJB67" s="401"/>
      <c r="BJC67" s="401"/>
      <c r="BJD67" s="401"/>
      <c r="BJE67" s="401"/>
      <c r="BJF67" s="401"/>
      <c r="BJG67" s="401"/>
      <c r="BJH67" s="401"/>
      <c r="BJI67" s="401"/>
      <c r="BJJ67" s="401"/>
      <c r="BJK67" s="401"/>
      <c r="BJL67" s="401"/>
      <c r="BJM67" s="401"/>
      <c r="BJN67" s="401"/>
      <c r="BJO67" s="401"/>
      <c r="BJP67" s="401"/>
      <c r="BJQ67" s="401"/>
      <c r="BJR67" s="401"/>
      <c r="BJS67" s="401"/>
      <c r="BJT67" s="401"/>
      <c r="BJU67" s="401"/>
      <c r="BJV67" s="401"/>
      <c r="BJW67" s="401"/>
      <c r="BJX67" s="401"/>
      <c r="BJY67" s="401"/>
      <c r="BJZ67" s="401"/>
      <c r="BKA67" s="401"/>
      <c r="BKB67" s="401"/>
      <c r="BKC67" s="401"/>
      <c r="BKD67" s="401"/>
      <c r="BKE67" s="401"/>
      <c r="BKF67" s="401"/>
      <c r="BKG67" s="401"/>
      <c r="BKH67" s="401"/>
      <c r="BKI67" s="401"/>
      <c r="BKJ67" s="401"/>
      <c r="BKK67" s="401"/>
      <c r="BKL67" s="401"/>
      <c r="BKM67" s="401"/>
      <c r="BKN67" s="401"/>
      <c r="BKO67" s="401"/>
      <c r="BKP67" s="401"/>
      <c r="BKQ67" s="401"/>
      <c r="BKR67" s="401"/>
      <c r="BKS67" s="401"/>
      <c r="BKT67" s="401"/>
      <c r="BKU67" s="401"/>
      <c r="BKV67" s="401"/>
      <c r="BKW67" s="401"/>
      <c r="BKX67" s="401"/>
      <c r="BKY67" s="401"/>
      <c r="BKZ67" s="401"/>
      <c r="BLA67" s="401"/>
      <c r="BLB67" s="401"/>
      <c r="BLC67" s="401"/>
      <c r="BLD67" s="401"/>
      <c r="BLE67" s="401"/>
      <c r="BLF67" s="401"/>
      <c r="BLG67" s="401"/>
      <c r="BLH67" s="401"/>
      <c r="BLI67" s="401"/>
      <c r="BLJ67" s="401"/>
      <c r="BLK67" s="401"/>
      <c r="BLL67" s="401"/>
      <c r="BLM67" s="401"/>
      <c r="BLN67" s="401"/>
      <c r="BLO67" s="401"/>
      <c r="BLP67" s="401"/>
      <c r="BLQ67" s="401"/>
      <c r="BLR67" s="401"/>
      <c r="BLS67" s="401"/>
      <c r="BLT67" s="401"/>
      <c r="BLU67" s="401"/>
      <c r="BLV67" s="401"/>
      <c r="BLW67" s="401"/>
      <c r="BLX67" s="401"/>
      <c r="BLY67" s="401"/>
      <c r="BLZ67" s="401"/>
      <c r="BMA67" s="401"/>
      <c r="BMB67" s="401"/>
      <c r="BMC67" s="401"/>
      <c r="BMD67" s="401"/>
      <c r="BME67" s="401"/>
      <c r="BMF67" s="401"/>
      <c r="BMG67" s="401"/>
      <c r="BMH67" s="401"/>
      <c r="BMI67" s="401"/>
      <c r="BMJ67" s="401"/>
      <c r="BMK67" s="401"/>
      <c r="BML67" s="401"/>
      <c r="BMM67" s="401"/>
      <c r="BMN67" s="401"/>
      <c r="BMO67" s="401"/>
      <c r="BMP67" s="401"/>
      <c r="BMQ67" s="401"/>
      <c r="BMR67" s="401"/>
      <c r="BMS67" s="401"/>
      <c r="BMT67" s="401"/>
      <c r="BMU67" s="401"/>
      <c r="BMV67" s="401"/>
      <c r="BMW67" s="401"/>
      <c r="BMX67" s="401"/>
      <c r="BMY67" s="401"/>
      <c r="BMZ67" s="401"/>
      <c r="BNA67" s="401"/>
      <c r="BNB67" s="401"/>
      <c r="BNC67" s="401"/>
      <c r="BND67" s="401"/>
      <c r="BNE67" s="401"/>
      <c r="BNF67" s="401"/>
      <c r="BNG67" s="401"/>
      <c r="BNH67" s="401"/>
      <c r="BNI67" s="401"/>
      <c r="BNJ67" s="401"/>
      <c r="BNK67" s="401"/>
      <c r="BNL67" s="401"/>
      <c r="BNM67" s="401"/>
      <c r="BNN67" s="401"/>
      <c r="BNO67" s="401"/>
      <c r="BNP67" s="401"/>
      <c r="BNQ67" s="401"/>
      <c r="BNR67" s="401"/>
      <c r="BNS67" s="401"/>
      <c r="BNT67" s="401"/>
      <c r="BNU67" s="401"/>
      <c r="BNV67" s="401"/>
      <c r="BNW67" s="401"/>
      <c r="BNX67" s="401"/>
      <c r="BNY67" s="401"/>
      <c r="BNZ67" s="401"/>
      <c r="BOA67" s="401"/>
      <c r="BOB67" s="401"/>
      <c r="BOC67" s="401"/>
      <c r="BOD67" s="401"/>
      <c r="BOE67" s="401"/>
      <c r="BOF67" s="401"/>
      <c r="BOG67" s="401"/>
      <c r="BOH67" s="401"/>
      <c r="BOI67" s="401"/>
      <c r="BOJ67" s="401"/>
      <c r="BOK67" s="401"/>
      <c r="BOL67" s="401"/>
      <c r="BOM67" s="401"/>
      <c r="BON67" s="401"/>
      <c r="BOO67" s="401"/>
      <c r="BOP67" s="401"/>
      <c r="BOQ67" s="401"/>
      <c r="BOR67" s="401"/>
      <c r="BOS67" s="401"/>
      <c r="BOT67" s="401"/>
      <c r="BOU67" s="401"/>
      <c r="BOV67" s="401"/>
      <c r="BOW67" s="401"/>
      <c r="BOX67" s="401"/>
      <c r="BOY67" s="401"/>
      <c r="BOZ67" s="401"/>
      <c r="BPA67" s="401"/>
      <c r="BPB67" s="401"/>
      <c r="BPC67" s="401"/>
      <c r="BPD67" s="401"/>
      <c r="BPE67" s="401"/>
      <c r="BPF67" s="401"/>
      <c r="BPG67" s="401"/>
      <c r="BPH67" s="401"/>
      <c r="BPI67" s="401"/>
      <c r="BPJ67" s="401"/>
      <c r="BPK67" s="401"/>
      <c r="BPL67" s="401"/>
      <c r="BPM67" s="401"/>
      <c r="BPN67" s="401"/>
      <c r="BPO67" s="401"/>
      <c r="BPP67" s="401"/>
      <c r="BPQ67" s="401"/>
      <c r="BPR67" s="401"/>
      <c r="BPS67" s="401"/>
      <c r="BPT67" s="401"/>
      <c r="BPU67" s="401"/>
      <c r="BPV67" s="401"/>
      <c r="BPW67" s="401"/>
      <c r="BPX67" s="401"/>
      <c r="BPY67" s="401"/>
      <c r="BPZ67" s="401"/>
      <c r="BQA67" s="401"/>
      <c r="BQB67" s="401"/>
      <c r="BQC67" s="401"/>
      <c r="BQD67" s="401"/>
      <c r="BQE67" s="401"/>
      <c r="BQF67" s="401"/>
      <c r="BQG67" s="401"/>
      <c r="BQH67" s="401"/>
      <c r="BQI67" s="401"/>
      <c r="BQJ67" s="401"/>
      <c r="BQK67" s="401"/>
      <c r="BQL67" s="401"/>
      <c r="BQM67" s="401"/>
      <c r="BQN67" s="401"/>
      <c r="BQO67" s="401"/>
      <c r="BQP67" s="401"/>
      <c r="BQQ67" s="401"/>
      <c r="BQR67" s="401"/>
      <c r="BQS67" s="401"/>
      <c r="BQT67" s="401"/>
      <c r="BQU67" s="401"/>
      <c r="BQV67" s="401"/>
      <c r="BQW67" s="401"/>
      <c r="BQX67" s="401"/>
      <c r="BQY67" s="401"/>
      <c r="BQZ67" s="401"/>
      <c r="BRA67" s="401"/>
      <c r="BRB67" s="401"/>
      <c r="BRC67" s="401"/>
      <c r="BRD67" s="401"/>
      <c r="BRE67" s="401"/>
      <c r="BRF67" s="401"/>
      <c r="BRG67" s="401"/>
      <c r="BRH67" s="401"/>
      <c r="BRI67" s="401"/>
      <c r="BRJ67" s="401"/>
      <c r="BRK67" s="401"/>
      <c r="BRL67" s="401"/>
      <c r="BRM67" s="401"/>
      <c r="BRN67" s="401"/>
      <c r="BRO67" s="401"/>
      <c r="BRP67" s="401"/>
      <c r="BRQ67" s="401"/>
      <c r="BRR67" s="401"/>
      <c r="BRS67" s="401"/>
      <c r="BRT67" s="401"/>
      <c r="BRU67" s="401"/>
      <c r="BRV67" s="401"/>
      <c r="BRW67" s="401"/>
      <c r="BRX67" s="401"/>
      <c r="BRY67" s="401"/>
      <c r="BRZ67" s="401"/>
      <c r="BSA67" s="401"/>
      <c r="BSB67" s="401"/>
      <c r="BSC67" s="401"/>
      <c r="BSD67" s="401"/>
      <c r="BSE67" s="401"/>
      <c r="BSF67" s="401"/>
      <c r="BSG67" s="401"/>
      <c r="BSH67" s="401"/>
      <c r="BSI67" s="401"/>
      <c r="BSJ67" s="401"/>
      <c r="BSK67" s="401"/>
      <c r="BSL67" s="401"/>
      <c r="BSM67" s="401"/>
      <c r="BSN67" s="401"/>
      <c r="BSO67" s="401"/>
      <c r="BSP67" s="401"/>
      <c r="BSQ67" s="401"/>
      <c r="BSR67" s="401"/>
      <c r="BSS67" s="401"/>
      <c r="BST67" s="401"/>
      <c r="BSU67" s="401"/>
      <c r="BSV67" s="401"/>
      <c r="BSW67" s="401"/>
      <c r="BSX67" s="401"/>
      <c r="BSY67" s="401"/>
      <c r="BSZ67" s="401"/>
      <c r="BTA67" s="401"/>
      <c r="BTB67" s="401"/>
      <c r="BTC67" s="401"/>
      <c r="BTD67" s="401"/>
      <c r="BTE67" s="401"/>
      <c r="BTF67" s="401"/>
      <c r="BTG67" s="401"/>
      <c r="BTH67" s="401"/>
      <c r="BTI67" s="401"/>
      <c r="BTJ67" s="401"/>
      <c r="BTK67" s="401"/>
      <c r="BTL67" s="401"/>
      <c r="BTM67" s="401"/>
      <c r="BTN67" s="401"/>
      <c r="BTO67" s="401"/>
      <c r="BTP67" s="401"/>
      <c r="BTQ67" s="401"/>
      <c r="BTR67" s="401"/>
      <c r="BTS67" s="401"/>
      <c r="BTT67" s="401"/>
      <c r="BTU67" s="401"/>
      <c r="BTV67" s="401"/>
      <c r="BTW67" s="401"/>
      <c r="BTX67" s="401"/>
      <c r="BTY67" s="401"/>
      <c r="BTZ67" s="401"/>
      <c r="BUA67" s="401"/>
      <c r="BUB67" s="401"/>
      <c r="BUC67" s="401"/>
      <c r="BUD67" s="401"/>
      <c r="BUE67" s="401"/>
      <c r="BUF67" s="401"/>
      <c r="BUG67" s="401"/>
      <c r="BUH67" s="401"/>
      <c r="BUI67" s="401"/>
      <c r="BUJ67" s="401"/>
      <c r="BUK67" s="401"/>
      <c r="BUL67" s="401"/>
      <c r="BUM67" s="401"/>
      <c r="BUN67" s="401"/>
      <c r="BUO67" s="401"/>
      <c r="BUP67" s="401"/>
      <c r="BUQ67" s="401"/>
      <c r="BUR67" s="401"/>
      <c r="BUS67" s="401"/>
      <c r="BUT67" s="401"/>
      <c r="BUU67" s="401"/>
      <c r="BUV67" s="401"/>
      <c r="BUW67" s="401"/>
      <c r="BUX67" s="401"/>
      <c r="BUY67" s="401"/>
      <c r="BUZ67" s="401"/>
      <c r="BVA67" s="401"/>
      <c r="BVB67" s="401"/>
      <c r="BVC67" s="401"/>
      <c r="BVD67" s="401"/>
      <c r="BVE67" s="401"/>
      <c r="BVF67" s="401"/>
      <c r="BVG67" s="401"/>
      <c r="BVH67" s="401"/>
      <c r="BVI67" s="401"/>
      <c r="BVJ67" s="401"/>
      <c r="BVK67" s="401"/>
      <c r="BVL67" s="401"/>
      <c r="BVM67" s="401"/>
      <c r="BVN67" s="401"/>
      <c r="BVO67" s="401"/>
      <c r="BVP67" s="401"/>
      <c r="BVQ67" s="401"/>
      <c r="BVR67" s="401"/>
      <c r="BVS67" s="401"/>
      <c r="BVT67" s="401"/>
      <c r="BVU67" s="401"/>
      <c r="BVV67" s="401"/>
      <c r="BVW67" s="401"/>
      <c r="BVX67" s="401"/>
      <c r="BVY67" s="401"/>
      <c r="BVZ67" s="401"/>
      <c r="BWA67" s="401"/>
      <c r="BWB67" s="401"/>
      <c r="BWC67" s="401"/>
      <c r="BWD67" s="401"/>
      <c r="BWE67" s="401"/>
      <c r="BWF67" s="401"/>
      <c r="BWG67" s="401"/>
      <c r="BWH67" s="401"/>
      <c r="BWI67" s="401"/>
      <c r="BWJ67" s="401"/>
      <c r="BWK67" s="401"/>
      <c r="BWL67" s="401"/>
      <c r="BWM67" s="401"/>
      <c r="BWN67" s="401"/>
      <c r="BWO67" s="401"/>
      <c r="BWP67" s="401"/>
      <c r="BWQ67" s="401"/>
      <c r="BWR67" s="401"/>
      <c r="BWS67" s="401"/>
      <c r="BWT67" s="401"/>
      <c r="BWU67" s="401"/>
      <c r="BWV67" s="401"/>
      <c r="BWW67" s="401"/>
      <c r="BWX67" s="401"/>
      <c r="BWY67" s="401"/>
      <c r="BWZ67" s="401"/>
      <c r="BXA67" s="401"/>
      <c r="BXB67" s="401"/>
      <c r="BXC67" s="401"/>
      <c r="BXD67" s="401"/>
      <c r="BXE67" s="401"/>
      <c r="BXF67" s="401"/>
      <c r="BXG67" s="401"/>
      <c r="BXH67" s="401"/>
      <c r="BXI67" s="401"/>
      <c r="BXJ67" s="401"/>
      <c r="BXK67" s="401"/>
      <c r="BXL67" s="401"/>
      <c r="BXM67" s="401"/>
      <c r="BXN67" s="401"/>
      <c r="BXO67" s="401"/>
      <c r="BXP67" s="401"/>
      <c r="BXQ67" s="401"/>
      <c r="BXR67" s="401"/>
      <c r="BXS67" s="401"/>
      <c r="BXT67" s="401"/>
      <c r="BXU67" s="401"/>
      <c r="BXV67" s="401"/>
      <c r="BXW67" s="401"/>
      <c r="BXX67" s="401"/>
      <c r="BXY67" s="401"/>
      <c r="BXZ67" s="401"/>
      <c r="BYA67" s="401"/>
      <c r="BYB67" s="401"/>
      <c r="BYC67" s="401"/>
      <c r="BYD67" s="401"/>
      <c r="BYE67" s="401"/>
      <c r="BYF67" s="401"/>
      <c r="BYG67" s="401"/>
      <c r="BYH67" s="401"/>
      <c r="BYI67" s="401"/>
      <c r="BYJ67" s="401"/>
      <c r="BYK67" s="401"/>
      <c r="BYL67" s="401"/>
      <c r="BYM67" s="401"/>
      <c r="BYN67" s="401"/>
      <c r="BYO67" s="401"/>
      <c r="BYP67" s="401"/>
      <c r="BYQ67" s="401"/>
      <c r="BYR67" s="401"/>
      <c r="BYS67" s="401"/>
      <c r="BYT67" s="401"/>
      <c r="BYU67" s="401"/>
      <c r="BYV67" s="401"/>
      <c r="BYW67" s="401"/>
      <c r="BYX67" s="401"/>
      <c r="BYY67" s="401"/>
      <c r="BYZ67" s="401"/>
      <c r="BZA67" s="401"/>
      <c r="BZB67" s="401"/>
      <c r="BZC67" s="401"/>
      <c r="BZD67" s="401"/>
      <c r="BZE67" s="401"/>
      <c r="BZF67" s="401"/>
      <c r="BZG67" s="401"/>
      <c r="BZH67" s="401"/>
      <c r="BZI67" s="401"/>
      <c r="BZJ67" s="401"/>
      <c r="BZK67" s="401"/>
      <c r="BZL67" s="401"/>
      <c r="BZM67" s="401"/>
      <c r="BZN67" s="401"/>
      <c r="BZO67" s="401"/>
      <c r="BZP67" s="401"/>
      <c r="BZQ67" s="401"/>
      <c r="BZR67" s="401"/>
      <c r="BZS67" s="401"/>
      <c r="BZT67" s="401"/>
      <c r="BZU67" s="401"/>
      <c r="BZV67" s="401"/>
      <c r="BZW67" s="401"/>
      <c r="BZX67" s="401"/>
      <c r="BZY67" s="401"/>
      <c r="BZZ67" s="401"/>
      <c r="CAA67" s="401"/>
      <c r="CAB67" s="401"/>
      <c r="CAC67" s="401"/>
      <c r="CAD67" s="401"/>
      <c r="CAE67" s="401"/>
      <c r="CAF67" s="401"/>
      <c r="CAG67" s="401"/>
      <c r="CAH67" s="401"/>
      <c r="CAI67" s="401"/>
      <c r="CAJ67" s="401"/>
      <c r="CAK67" s="401"/>
      <c r="CAL67" s="401"/>
      <c r="CAM67" s="401"/>
      <c r="CAN67" s="401"/>
      <c r="CAO67" s="401"/>
      <c r="CAP67" s="401"/>
      <c r="CAQ67" s="401"/>
      <c r="CAR67" s="401"/>
      <c r="CAS67" s="401"/>
      <c r="CAT67" s="401"/>
      <c r="CAU67" s="401"/>
      <c r="CAV67" s="401"/>
      <c r="CAW67" s="401"/>
      <c r="CAX67" s="401"/>
      <c r="CAY67" s="401"/>
      <c r="CAZ67" s="401"/>
      <c r="CBA67" s="401"/>
      <c r="CBB67" s="401"/>
      <c r="CBC67" s="401"/>
      <c r="CBD67" s="401"/>
      <c r="CBE67" s="401"/>
      <c r="CBF67" s="401"/>
      <c r="CBG67" s="401"/>
      <c r="CBH67" s="401"/>
      <c r="CBI67" s="401"/>
      <c r="CBJ67" s="401"/>
      <c r="CBK67" s="401"/>
      <c r="CBL67" s="401"/>
      <c r="CBM67" s="401"/>
      <c r="CBN67" s="401"/>
      <c r="CBO67" s="401"/>
      <c r="CBP67" s="401"/>
      <c r="CBQ67" s="401"/>
      <c r="CBR67" s="401"/>
      <c r="CBS67" s="401"/>
      <c r="CBT67" s="401"/>
      <c r="CBU67" s="401"/>
      <c r="CBV67" s="401"/>
      <c r="CBW67" s="401"/>
      <c r="CBX67" s="401"/>
      <c r="CBY67" s="401"/>
      <c r="CBZ67" s="401"/>
      <c r="CCA67" s="401"/>
      <c r="CCB67" s="401"/>
      <c r="CCC67" s="401"/>
      <c r="CCD67" s="401"/>
      <c r="CCE67" s="401"/>
      <c r="CCF67" s="401"/>
      <c r="CCG67" s="401"/>
      <c r="CCH67" s="401"/>
      <c r="CCI67" s="401"/>
      <c r="CCJ67" s="401"/>
      <c r="CCK67" s="401"/>
      <c r="CCL67" s="401"/>
      <c r="CCM67" s="401"/>
      <c r="CCN67" s="401"/>
      <c r="CCO67" s="401"/>
      <c r="CCP67" s="401"/>
      <c r="CCQ67" s="401"/>
      <c r="CCR67" s="401"/>
      <c r="CCS67" s="401"/>
      <c r="CCT67" s="401"/>
      <c r="CCU67" s="401"/>
      <c r="CCV67" s="401"/>
      <c r="CCW67" s="401"/>
      <c r="CCX67" s="401"/>
      <c r="CCY67" s="401"/>
      <c r="CCZ67" s="401"/>
      <c r="CDA67" s="401"/>
      <c r="CDB67" s="401"/>
      <c r="CDC67" s="401"/>
      <c r="CDD67" s="401"/>
      <c r="CDE67" s="401"/>
      <c r="CDF67" s="401"/>
      <c r="CDG67" s="401"/>
      <c r="CDH67" s="401"/>
      <c r="CDI67" s="401"/>
      <c r="CDJ67" s="401"/>
      <c r="CDK67" s="401"/>
      <c r="CDL67" s="401"/>
      <c r="CDM67" s="401"/>
      <c r="CDN67" s="401"/>
      <c r="CDO67" s="401"/>
      <c r="CDP67" s="401"/>
      <c r="CDQ67" s="401"/>
      <c r="CDR67" s="401"/>
      <c r="CDS67" s="401"/>
      <c r="CDT67" s="401"/>
      <c r="CDU67" s="401"/>
      <c r="CDV67" s="401"/>
      <c r="CDW67" s="401"/>
      <c r="CDX67" s="401"/>
      <c r="CDY67" s="401"/>
      <c r="CDZ67" s="401"/>
      <c r="CEA67" s="401"/>
      <c r="CEB67" s="401"/>
      <c r="CEC67" s="401"/>
      <c r="CED67" s="401"/>
      <c r="CEE67" s="401"/>
      <c r="CEF67" s="401"/>
      <c r="CEG67" s="401"/>
      <c r="CEH67" s="401"/>
      <c r="CEI67" s="401"/>
      <c r="CEJ67" s="401"/>
      <c r="CEK67" s="401"/>
      <c r="CEL67" s="401"/>
      <c r="CEM67" s="401"/>
      <c r="CEN67" s="401"/>
      <c r="CEO67" s="401"/>
      <c r="CEP67" s="401"/>
      <c r="CEQ67" s="401"/>
      <c r="CER67" s="401"/>
      <c r="CES67" s="401"/>
      <c r="CET67" s="401"/>
      <c r="CEU67" s="401"/>
      <c r="CEV67" s="401"/>
      <c r="CEW67" s="401"/>
      <c r="CEX67" s="401"/>
      <c r="CEY67" s="401"/>
      <c r="CEZ67" s="401"/>
      <c r="CFA67" s="401"/>
      <c r="CFB67" s="401"/>
      <c r="CFC67" s="401"/>
      <c r="CFD67" s="401"/>
      <c r="CFE67" s="401"/>
      <c r="CFF67" s="401"/>
      <c r="CFG67" s="401"/>
      <c r="CFH67" s="401"/>
      <c r="CFI67" s="401"/>
      <c r="CFJ67" s="401"/>
      <c r="CFK67" s="401"/>
      <c r="CFL67" s="401"/>
      <c r="CFM67" s="401"/>
      <c r="CFN67" s="401"/>
      <c r="CFO67" s="401"/>
      <c r="CFP67" s="401"/>
      <c r="CFQ67" s="401"/>
      <c r="CFR67" s="401"/>
      <c r="CFS67" s="401"/>
      <c r="CFT67" s="401"/>
      <c r="CFU67" s="401"/>
      <c r="CFV67" s="401"/>
      <c r="CFW67" s="401"/>
      <c r="CFX67" s="401"/>
      <c r="CFY67" s="401"/>
      <c r="CFZ67" s="401"/>
      <c r="CGA67" s="401"/>
      <c r="CGB67" s="401"/>
      <c r="CGC67" s="401"/>
      <c r="CGD67" s="401"/>
      <c r="CGE67" s="401"/>
      <c r="CGF67" s="401"/>
      <c r="CGG67" s="401"/>
      <c r="CGH67" s="401"/>
      <c r="CGI67" s="401"/>
      <c r="CGJ67" s="401"/>
      <c r="CGK67" s="401"/>
      <c r="CGL67" s="401"/>
      <c r="CGM67" s="401"/>
      <c r="CGN67" s="401"/>
      <c r="CGO67" s="401"/>
      <c r="CGP67" s="401"/>
      <c r="CGQ67" s="401"/>
      <c r="CGR67" s="401"/>
      <c r="CGS67" s="401"/>
      <c r="CGT67" s="401"/>
      <c r="CGU67" s="401"/>
      <c r="CGV67" s="401"/>
      <c r="CGW67" s="401"/>
      <c r="CGX67" s="401"/>
      <c r="CGY67" s="401"/>
      <c r="CGZ67" s="401"/>
      <c r="CHA67" s="401"/>
      <c r="CHB67" s="401"/>
      <c r="CHC67" s="401"/>
      <c r="CHD67" s="401"/>
      <c r="CHE67" s="401"/>
      <c r="CHF67" s="401"/>
      <c r="CHG67" s="401"/>
      <c r="CHH67" s="401"/>
      <c r="CHI67" s="401"/>
      <c r="CHJ67" s="401"/>
      <c r="CHK67" s="401"/>
      <c r="CHL67" s="401"/>
      <c r="CHM67" s="401"/>
      <c r="CHN67" s="401"/>
      <c r="CHO67" s="401"/>
      <c r="CHP67" s="401"/>
      <c r="CHQ67" s="401"/>
      <c r="CHR67" s="401"/>
      <c r="CHS67" s="401"/>
      <c r="CHT67" s="401"/>
      <c r="CHU67" s="401"/>
      <c r="CHV67" s="401"/>
      <c r="CHW67" s="401"/>
      <c r="CHX67" s="401"/>
      <c r="CHY67" s="401"/>
      <c r="CHZ67" s="401"/>
      <c r="CIA67" s="401"/>
      <c r="CIB67" s="401"/>
      <c r="CIC67" s="401"/>
      <c r="CID67" s="401"/>
      <c r="CIE67" s="401"/>
      <c r="CIF67" s="401"/>
      <c r="CIG67" s="401"/>
      <c r="CIH67" s="401"/>
      <c r="CII67" s="401"/>
      <c r="CIJ67" s="401"/>
      <c r="CIK67" s="401"/>
      <c r="CIL67" s="401"/>
      <c r="CIM67" s="401"/>
      <c r="CIN67" s="401"/>
      <c r="CIO67" s="401"/>
      <c r="CIP67" s="401"/>
      <c r="CIQ67" s="401"/>
      <c r="CIR67" s="401"/>
      <c r="CIS67" s="401"/>
      <c r="CIT67" s="401"/>
      <c r="CIU67" s="401"/>
      <c r="CIV67" s="401"/>
      <c r="CIW67" s="401"/>
      <c r="CIX67" s="401"/>
      <c r="CIY67" s="401"/>
      <c r="CIZ67" s="401"/>
      <c r="CJA67" s="401"/>
      <c r="CJB67" s="401"/>
      <c r="CJC67" s="401"/>
      <c r="CJD67" s="401"/>
      <c r="CJE67" s="401"/>
      <c r="CJF67" s="401"/>
      <c r="CJG67" s="401"/>
      <c r="CJH67" s="401"/>
      <c r="CJI67" s="401"/>
      <c r="CJJ67" s="401"/>
      <c r="CJK67" s="401"/>
      <c r="CJL67" s="401"/>
      <c r="CJM67" s="401"/>
      <c r="CJN67" s="401"/>
      <c r="CJO67" s="401"/>
      <c r="CJP67" s="401"/>
      <c r="CJQ67" s="401"/>
      <c r="CJR67" s="401"/>
      <c r="CJS67" s="401"/>
      <c r="CJT67" s="401"/>
      <c r="CJU67" s="401"/>
      <c r="CJV67" s="401"/>
      <c r="CJW67" s="401"/>
      <c r="CJX67" s="401"/>
      <c r="CJY67" s="401"/>
      <c r="CJZ67" s="401"/>
      <c r="CKA67" s="401"/>
      <c r="CKB67" s="401"/>
      <c r="CKC67" s="401"/>
      <c r="CKD67" s="401"/>
      <c r="CKE67" s="401"/>
      <c r="CKF67" s="401"/>
      <c r="CKG67" s="401"/>
      <c r="CKH67" s="401"/>
      <c r="CKI67" s="401"/>
      <c r="CKJ67" s="401"/>
      <c r="CKK67" s="401"/>
      <c r="CKL67" s="401"/>
      <c r="CKM67" s="401"/>
      <c r="CKN67" s="401"/>
      <c r="CKO67" s="401"/>
      <c r="CKP67" s="401"/>
      <c r="CKQ67" s="401"/>
      <c r="CKR67" s="401"/>
      <c r="CKS67" s="401"/>
      <c r="CKT67" s="401"/>
      <c r="CKU67" s="401"/>
      <c r="CKV67" s="401"/>
      <c r="CKW67" s="401"/>
      <c r="CKX67" s="401"/>
      <c r="CKY67" s="401"/>
      <c r="CKZ67" s="401"/>
      <c r="CLA67" s="401"/>
      <c r="CLB67" s="401"/>
      <c r="CLC67" s="401"/>
      <c r="CLD67" s="401"/>
      <c r="CLE67" s="401"/>
      <c r="CLF67" s="401"/>
      <c r="CLG67" s="401"/>
      <c r="CLH67" s="401"/>
      <c r="CLI67" s="401"/>
      <c r="CLJ67" s="401"/>
      <c r="CLK67" s="401"/>
      <c r="CLL67" s="401"/>
      <c r="CLM67" s="401"/>
      <c r="CLN67" s="401"/>
      <c r="CLO67" s="401"/>
      <c r="CLP67" s="401"/>
      <c r="CLQ67" s="401"/>
      <c r="CLR67" s="401"/>
      <c r="CLS67" s="401"/>
      <c r="CLT67" s="401"/>
      <c r="CLU67" s="401"/>
      <c r="CLV67" s="401"/>
      <c r="CLW67" s="401"/>
      <c r="CLX67" s="401"/>
      <c r="CLY67" s="401"/>
      <c r="CLZ67" s="401"/>
      <c r="CMA67" s="401"/>
      <c r="CMB67" s="401"/>
      <c r="CMC67" s="401"/>
      <c r="CMD67" s="401"/>
      <c r="CME67" s="401"/>
      <c r="CMF67" s="401"/>
      <c r="CMG67" s="401"/>
      <c r="CMH67" s="401"/>
      <c r="CMI67" s="401"/>
      <c r="CMJ67" s="401"/>
      <c r="CMK67" s="401"/>
      <c r="CML67" s="401"/>
      <c r="CMM67" s="401"/>
      <c r="CMN67" s="401"/>
      <c r="CMO67" s="401"/>
      <c r="CMP67" s="401"/>
      <c r="CMQ67" s="401"/>
      <c r="CMR67" s="401"/>
      <c r="CMS67" s="401"/>
      <c r="CMT67" s="401"/>
      <c r="CMU67" s="401"/>
      <c r="CMV67" s="401"/>
      <c r="CMW67" s="401"/>
      <c r="CMX67" s="401"/>
      <c r="CMY67" s="401"/>
      <c r="CMZ67" s="401"/>
      <c r="CNA67" s="401"/>
      <c r="CNB67" s="401"/>
      <c r="CNC67" s="401"/>
      <c r="CND67" s="401"/>
      <c r="CNE67" s="401"/>
      <c r="CNF67" s="401"/>
      <c r="CNG67" s="401"/>
      <c r="CNH67" s="401"/>
      <c r="CNI67" s="401"/>
      <c r="CNJ67" s="401"/>
      <c r="CNK67" s="401"/>
      <c r="CNL67" s="401"/>
      <c r="CNM67" s="401"/>
      <c r="CNN67" s="401"/>
      <c r="CNO67" s="401"/>
      <c r="CNP67" s="401"/>
      <c r="CNQ67" s="401"/>
      <c r="CNR67" s="401"/>
      <c r="CNS67" s="401"/>
      <c r="CNT67" s="401"/>
      <c r="CNU67" s="401"/>
      <c r="CNV67" s="401"/>
      <c r="CNW67" s="401"/>
      <c r="CNX67" s="401"/>
      <c r="CNY67" s="401"/>
      <c r="CNZ67" s="401"/>
      <c r="COA67" s="401"/>
      <c r="COB67" s="401"/>
      <c r="COC67" s="401"/>
      <c r="COD67" s="401"/>
      <c r="COE67" s="401"/>
      <c r="COF67" s="401"/>
      <c r="COG67" s="401"/>
      <c r="COH67" s="401"/>
      <c r="COI67" s="401"/>
      <c r="COJ67" s="401"/>
      <c r="COK67" s="401"/>
      <c r="COL67" s="401"/>
      <c r="COM67" s="401"/>
      <c r="CON67" s="401"/>
      <c r="COO67" s="401"/>
      <c r="COP67" s="401"/>
      <c r="COQ67" s="401"/>
      <c r="COR67" s="401"/>
      <c r="COS67" s="401"/>
      <c r="COT67" s="401"/>
      <c r="COU67" s="401"/>
      <c r="COV67" s="401"/>
      <c r="COW67" s="401"/>
      <c r="COX67" s="401"/>
      <c r="COY67" s="401"/>
      <c r="COZ67" s="401"/>
      <c r="CPA67" s="401"/>
      <c r="CPB67" s="401"/>
      <c r="CPC67" s="401"/>
      <c r="CPD67" s="401"/>
      <c r="CPE67" s="401"/>
      <c r="CPF67" s="401"/>
      <c r="CPG67" s="401"/>
      <c r="CPH67" s="401"/>
      <c r="CPI67" s="401"/>
      <c r="CPJ67" s="401"/>
      <c r="CPK67" s="401"/>
      <c r="CPL67" s="401"/>
      <c r="CPM67" s="401"/>
      <c r="CPN67" s="401"/>
      <c r="CPO67" s="401"/>
      <c r="CPP67" s="401"/>
      <c r="CPQ67" s="401"/>
      <c r="CPR67" s="401"/>
      <c r="CPS67" s="401"/>
      <c r="CPT67" s="401"/>
      <c r="CPU67" s="401"/>
      <c r="CPV67" s="401"/>
      <c r="CPW67" s="401"/>
      <c r="CPX67" s="401"/>
      <c r="CPY67" s="401"/>
      <c r="CPZ67" s="401"/>
      <c r="CQA67" s="401"/>
      <c r="CQB67" s="401"/>
      <c r="CQC67" s="401"/>
      <c r="CQD67" s="401"/>
      <c r="CQE67" s="401"/>
      <c r="CQF67" s="401"/>
      <c r="CQG67" s="401"/>
      <c r="CQH67" s="401"/>
      <c r="CQI67" s="401"/>
      <c r="CQJ67" s="401"/>
      <c r="CQK67" s="401"/>
      <c r="CQL67" s="401"/>
      <c r="CQM67" s="401"/>
      <c r="CQN67" s="401"/>
      <c r="CQO67" s="401"/>
      <c r="CQP67" s="401"/>
      <c r="CQQ67" s="401"/>
      <c r="CQR67" s="401"/>
      <c r="CQS67" s="401"/>
      <c r="CQT67" s="401"/>
      <c r="CQU67" s="401"/>
      <c r="CQV67" s="401"/>
      <c r="CQW67" s="401"/>
      <c r="CQX67" s="401"/>
      <c r="CQY67" s="401"/>
      <c r="CQZ67" s="401"/>
      <c r="CRA67" s="401"/>
      <c r="CRB67" s="401"/>
      <c r="CRC67" s="401"/>
      <c r="CRD67" s="401"/>
      <c r="CRE67" s="401"/>
      <c r="CRF67" s="401"/>
      <c r="CRG67" s="401"/>
      <c r="CRH67" s="401"/>
      <c r="CRI67" s="401"/>
      <c r="CRJ67" s="401"/>
      <c r="CRK67" s="401"/>
      <c r="CRL67" s="401"/>
      <c r="CRM67" s="401"/>
      <c r="CRN67" s="401"/>
      <c r="CRO67" s="401"/>
      <c r="CRP67" s="401"/>
      <c r="CRQ67" s="401"/>
      <c r="CRR67" s="401"/>
      <c r="CRS67" s="401"/>
      <c r="CRT67" s="401"/>
      <c r="CRU67" s="401"/>
      <c r="CRV67" s="401"/>
      <c r="CRW67" s="401"/>
      <c r="CRX67" s="401"/>
      <c r="CRY67" s="401"/>
      <c r="CRZ67" s="401"/>
      <c r="CSA67" s="401"/>
      <c r="CSB67" s="401"/>
      <c r="CSC67" s="401"/>
      <c r="CSD67" s="401"/>
      <c r="CSE67" s="401"/>
      <c r="CSF67" s="401"/>
      <c r="CSG67" s="401"/>
      <c r="CSH67" s="401"/>
      <c r="CSI67" s="401"/>
      <c r="CSJ67" s="401"/>
      <c r="CSK67" s="401"/>
      <c r="CSL67" s="401"/>
      <c r="CSM67" s="401"/>
      <c r="CSN67" s="401"/>
      <c r="CSO67" s="401"/>
      <c r="CSP67" s="401"/>
      <c r="CSQ67" s="401"/>
      <c r="CSR67" s="401"/>
      <c r="CSS67" s="401"/>
      <c r="CST67" s="401"/>
      <c r="CSU67" s="401"/>
      <c r="CSV67" s="401"/>
      <c r="CSW67" s="401"/>
      <c r="CSX67" s="401"/>
      <c r="CSY67" s="401"/>
      <c r="CSZ67" s="401"/>
      <c r="CTA67" s="401"/>
      <c r="CTB67" s="401"/>
      <c r="CTC67" s="401"/>
      <c r="CTD67" s="401"/>
      <c r="CTE67" s="401"/>
      <c r="CTF67" s="401"/>
      <c r="CTG67" s="401"/>
      <c r="CTH67" s="401"/>
      <c r="CTI67" s="401"/>
      <c r="CTJ67" s="401"/>
      <c r="CTK67" s="401"/>
      <c r="CTL67" s="401"/>
      <c r="CTM67" s="401"/>
      <c r="CTN67" s="401"/>
      <c r="CTO67" s="401"/>
      <c r="CTP67" s="401"/>
      <c r="CTQ67" s="401"/>
      <c r="CTR67" s="401"/>
      <c r="CTS67" s="401"/>
      <c r="CTT67" s="401"/>
      <c r="CTU67" s="401"/>
      <c r="CTV67" s="401"/>
      <c r="CTW67" s="401"/>
      <c r="CTX67" s="401"/>
      <c r="CTY67" s="401"/>
      <c r="CTZ67" s="401"/>
      <c r="CUA67" s="401"/>
      <c r="CUB67" s="401"/>
      <c r="CUC67" s="401"/>
      <c r="CUD67" s="401"/>
      <c r="CUE67" s="401"/>
      <c r="CUF67" s="401"/>
      <c r="CUG67" s="401"/>
      <c r="CUH67" s="401"/>
      <c r="CUI67" s="401"/>
      <c r="CUJ67" s="401"/>
      <c r="CUK67" s="401"/>
      <c r="CUL67" s="401"/>
      <c r="CUM67" s="401"/>
      <c r="CUN67" s="401"/>
      <c r="CUO67" s="401"/>
      <c r="CUP67" s="401"/>
      <c r="CUQ67" s="401"/>
      <c r="CUR67" s="401"/>
      <c r="CUS67" s="401"/>
      <c r="CUT67" s="401"/>
      <c r="CUU67" s="401"/>
      <c r="CUV67" s="401"/>
      <c r="CUW67" s="401"/>
      <c r="CUX67" s="401"/>
      <c r="CUY67" s="401"/>
      <c r="CUZ67" s="401"/>
      <c r="CVA67" s="401"/>
      <c r="CVB67" s="401"/>
      <c r="CVC67" s="401"/>
      <c r="CVD67" s="401"/>
      <c r="CVE67" s="401"/>
      <c r="CVF67" s="401"/>
      <c r="CVG67" s="401"/>
      <c r="CVH67" s="401"/>
      <c r="CVI67" s="401"/>
      <c r="CVJ67" s="401"/>
      <c r="CVK67" s="401"/>
      <c r="CVL67" s="401"/>
      <c r="CVM67" s="401"/>
      <c r="CVN67" s="401"/>
      <c r="CVO67" s="401"/>
      <c r="CVP67" s="401"/>
      <c r="CVQ67" s="401"/>
      <c r="CVR67" s="401"/>
      <c r="CVS67" s="401"/>
      <c r="CVT67" s="401"/>
      <c r="CVU67" s="401"/>
      <c r="CVV67" s="401"/>
      <c r="CVW67" s="401"/>
      <c r="CVX67" s="401"/>
      <c r="CVY67" s="401"/>
      <c r="CVZ67" s="401"/>
      <c r="CWA67" s="401"/>
      <c r="CWB67" s="401"/>
      <c r="CWC67" s="401"/>
      <c r="CWD67" s="401"/>
      <c r="CWE67" s="401"/>
      <c r="CWF67" s="401"/>
      <c r="CWG67" s="401"/>
      <c r="CWH67" s="401"/>
      <c r="CWI67" s="401"/>
      <c r="CWJ67" s="401"/>
      <c r="CWK67" s="401"/>
      <c r="CWL67" s="401"/>
      <c r="CWM67" s="401"/>
      <c r="CWN67" s="401"/>
      <c r="CWO67" s="401"/>
      <c r="CWP67" s="401"/>
      <c r="CWQ67" s="401"/>
      <c r="CWR67" s="401"/>
      <c r="CWS67" s="401"/>
      <c r="CWT67" s="401"/>
      <c r="CWU67" s="401"/>
      <c r="CWV67" s="401"/>
      <c r="CWW67" s="401"/>
      <c r="CWX67" s="401"/>
      <c r="CWY67" s="401"/>
      <c r="CWZ67" s="401"/>
      <c r="CXA67" s="401"/>
      <c r="CXB67" s="401"/>
      <c r="CXC67" s="401"/>
      <c r="CXD67" s="401"/>
      <c r="CXE67" s="401"/>
      <c r="CXF67" s="401"/>
      <c r="CXG67" s="401"/>
      <c r="CXH67" s="401"/>
      <c r="CXI67" s="401"/>
      <c r="CXJ67" s="401"/>
      <c r="CXK67" s="401"/>
      <c r="CXL67" s="401"/>
      <c r="CXM67" s="401"/>
      <c r="CXN67" s="401"/>
      <c r="CXO67" s="401"/>
      <c r="CXP67" s="401"/>
      <c r="CXQ67" s="401"/>
      <c r="CXR67" s="401"/>
      <c r="CXS67" s="401"/>
      <c r="CXT67" s="401"/>
      <c r="CXU67" s="401"/>
      <c r="CXV67" s="401"/>
      <c r="CXW67" s="401"/>
      <c r="CXX67" s="401"/>
      <c r="CXY67" s="401"/>
      <c r="CXZ67" s="401"/>
      <c r="CYA67" s="401"/>
      <c r="CYB67" s="401"/>
      <c r="CYC67" s="401"/>
      <c r="CYD67" s="401"/>
      <c r="CYE67" s="401"/>
      <c r="CYF67" s="401"/>
      <c r="CYG67" s="401"/>
      <c r="CYH67" s="401"/>
      <c r="CYI67" s="401"/>
      <c r="CYJ67" s="401"/>
      <c r="CYK67" s="401"/>
      <c r="CYL67" s="401"/>
      <c r="CYM67" s="401"/>
      <c r="CYN67" s="401"/>
      <c r="CYO67" s="401"/>
      <c r="CYP67" s="401"/>
      <c r="CYQ67" s="401"/>
      <c r="CYR67" s="401"/>
      <c r="CYS67" s="401"/>
      <c r="CYT67" s="401"/>
      <c r="CYU67" s="401"/>
      <c r="CYV67" s="401"/>
      <c r="CYW67" s="401"/>
      <c r="CYX67" s="401"/>
      <c r="CYY67" s="401"/>
      <c r="CYZ67" s="401"/>
      <c r="CZA67" s="401"/>
      <c r="CZB67" s="401"/>
      <c r="CZC67" s="401"/>
      <c r="CZD67" s="401"/>
      <c r="CZE67" s="401"/>
      <c r="CZF67" s="401"/>
      <c r="CZG67" s="401"/>
      <c r="CZH67" s="401"/>
      <c r="CZI67" s="401"/>
      <c r="CZJ67" s="401"/>
      <c r="CZK67" s="401"/>
      <c r="CZL67" s="401"/>
      <c r="CZM67" s="401"/>
      <c r="CZN67" s="401"/>
      <c r="CZO67" s="401"/>
      <c r="CZP67" s="401"/>
      <c r="CZQ67" s="401"/>
      <c r="CZR67" s="401"/>
      <c r="CZS67" s="401"/>
      <c r="CZT67" s="401"/>
      <c r="CZU67" s="401"/>
      <c r="CZV67" s="401"/>
      <c r="CZW67" s="401"/>
      <c r="CZX67" s="401"/>
      <c r="CZY67" s="401"/>
      <c r="CZZ67" s="401"/>
      <c r="DAA67" s="401"/>
      <c r="DAB67" s="401"/>
      <c r="DAC67" s="401"/>
      <c r="DAD67" s="401"/>
      <c r="DAE67" s="401"/>
      <c r="DAF67" s="401"/>
      <c r="DAG67" s="401"/>
      <c r="DAH67" s="401"/>
      <c r="DAI67" s="401"/>
      <c r="DAJ67" s="401"/>
      <c r="DAK67" s="401"/>
      <c r="DAL67" s="401"/>
      <c r="DAM67" s="401"/>
      <c r="DAN67" s="401"/>
      <c r="DAO67" s="401"/>
      <c r="DAP67" s="401"/>
      <c r="DAQ67" s="401"/>
      <c r="DAR67" s="401"/>
      <c r="DAS67" s="401"/>
      <c r="DAT67" s="401"/>
      <c r="DAU67" s="401"/>
      <c r="DAV67" s="401"/>
      <c r="DAW67" s="401"/>
      <c r="DAX67" s="401"/>
      <c r="DAY67" s="401"/>
      <c r="DAZ67" s="401"/>
      <c r="DBA67" s="401"/>
      <c r="DBB67" s="401"/>
      <c r="DBC67" s="401"/>
      <c r="DBD67" s="401"/>
      <c r="DBE67" s="401"/>
      <c r="DBF67" s="401"/>
      <c r="DBG67" s="401"/>
      <c r="DBH67" s="401"/>
      <c r="DBI67" s="401"/>
      <c r="DBJ67" s="401"/>
      <c r="DBK67" s="401"/>
      <c r="DBL67" s="401"/>
      <c r="DBM67" s="401"/>
      <c r="DBN67" s="401"/>
      <c r="DBO67" s="401"/>
      <c r="DBP67" s="401"/>
      <c r="DBQ67" s="401"/>
      <c r="DBR67" s="401"/>
      <c r="DBS67" s="401"/>
      <c r="DBT67" s="401"/>
      <c r="DBU67" s="401"/>
      <c r="DBV67" s="401"/>
      <c r="DBW67" s="401"/>
      <c r="DBX67" s="401"/>
      <c r="DBY67" s="401"/>
      <c r="DBZ67" s="401"/>
      <c r="DCA67" s="401"/>
      <c r="DCB67" s="401"/>
      <c r="DCC67" s="401"/>
      <c r="DCD67" s="401"/>
      <c r="DCE67" s="401"/>
      <c r="DCF67" s="401"/>
      <c r="DCG67" s="401"/>
      <c r="DCH67" s="401"/>
      <c r="DCI67" s="401"/>
      <c r="DCJ67" s="401"/>
      <c r="DCK67" s="401"/>
      <c r="DCL67" s="401"/>
      <c r="DCM67" s="401"/>
      <c r="DCN67" s="401"/>
      <c r="DCO67" s="401"/>
      <c r="DCP67" s="401"/>
      <c r="DCQ67" s="401"/>
      <c r="DCR67" s="401"/>
      <c r="DCS67" s="401"/>
      <c r="DCT67" s="401"/>
      <c r="DCU67" s="401"/>
      <c r="DCV67" s="401"/>
      <c r="DCW67" s="401"/>
      <c r="DCX67" s="401"/>
      <c r="DCY67" s="401"/>
      <c r="DCZ67" s="401"/>
      <c r="DDA67" s="401"/>
      <c r="DDB67" s="401"/>
      <c r="DDC67" s="401"/>
      <c r="DDD67" s="401"/>
      <c r="DDE67" s="401"/>
      <c r="DDF67" s="401"/>
      <c r="DDG67" s="401"/>
      <c r="DDH67" s="401"/>
      <c r="DDI67" s="401"/>
      <c r="DDJ67" s="401"/>
      <c r="DDK67" s="401"/>
      <c r="DDL67" s="401"/>
      <c r="DDM67" s="401"/>
      <c r="DDN67" s="401"/>
      <c r="DDO67" s="401"/>
      <c r="DDP67" s="401"/>
      <c r="DDQ67" s="401"/>
      <c r="DDR67" s="401"/>
      <c r="DDS67" s="401"/>
      <c r="DDT67" s="401"/>
      <c r="DDU67" s="401"/>
      <c r="DDV67" s="401"/>
      <c r="DDW67" s="401"/>
      <c r="DDX67" s="401"/>
      <c r="DDY67" s="401"/>
      <c r="DDZ67" s="401"/>
      <c r="DEA67" s="401"/>
      <c r="DEB67" s="401"/>
      <c r="DEC67" s="401"/>
      <c r="DED67" s="401"/>
      <c r="DEE67" s="401"/>
      <c r="DEF67" s="401"/>
      <c r="DEG67" s="401"/>
      <c r="DEH67" s="401"/>
      <c r="DEI67" s="401"/>
      <c r="DEJ67" s="401"/>
      <c r="DEK67" s="401"/>
      <c r="DEL67" s="401"/>
      <c r="DEM67" s="401"/>
      <c r="DEN67" s="401"/>
      <c r="DEO67" s="401"/>
      <c r="DEP67" s="401"/>
      <c r="DEQ67" s="401"/>
      <c r="DER67" s="401"/>
      <c r="DES67" s="401"/>
      <c r="DET67" s="401"/>
      <c r="DEU67" s="401"/>
      <c r="DEV67" s="401"/>
      <c r="DEW67" s="401"/>
      <c r="DEX67" s="401"/>
      <c r="DEY67" s="401"/>
      <c r="DEZ67" s="401"/>
      <c r="DFA67" s="401"/>
      <c r="DFB67" s="401"/>
      <c r="DFC67" s="401"/>
      <c r="DFD67" s="401"/>
      <c r="DFE67" s="401"/>
      <c r="DFF67" s="401"/>
      <c r="DFG67" s="401"/>
      <c r="DFH67" s="401"/>
      <c r="DFI67" s="401"/>
      <c r="DFJ67" s="401"/>
      <c r="DFK67" s="401"/>
      <c r="DFL67" s="401"/>
      <c r="DFM67" s="401"/>
      <c r="DFN67" s="401"/>
      <c r="DFO67" s="401"/>
      <c r="DFP67" s="401"/>
      <c r="DFQ67" s="401"/>
      <c r="DFR67" s="401"/>
      <c r="DFS67" s="401"/>
      <c r="DFT67" s="401"/>
      <c r="DFU67" s="401"/>
      <c r="DFV67" s="401"/>
      <c r="DFW67" s="401"/>
      <c r="DFX67" s="401"/>
      <c r="DFY67" s="401"/>
      <c r="DFZ67" s="401"/>
      <c r="DGA67" s="401"/>
      <c r="DGB67" s="401"/>
      <c r="DGC67" s="401"/>
      <c r="DGD67" s="401"/>
      <c r="DGE67" s="401"/>
      <c r="DGF67" s="401"/>
      <c r="DGG67" s="401"/>
      <c r="DGH67" s="401"/>
      <c r="DGI67" s="401"/>
      <c r="DGJ67" s="401"/>
      <c r="DGK67" s="401"/>
      <c r="DGL67" s="401"/>
      <c r="DGM67" s="401"/>
      <c r="DGN67" s="401"/>
      <c r="DGO67" s="401"/>
      <c r="DGP67" s="401"/>
      <c r="DGQ67" s="401"/>
      <c r="DGR67" s="401"/>
      <c r="DGS67" s="401"/>
      <c r="DGT67" s="401"/>
      <c r="DGU67" s="401"/>
      <c r="DGV67" s="401"/>
      <c r="DGW67" s="401"/>
      <c r="DGX67" s="401"/>
      <c r="DGY67" s="401"/>
      <c r="DGZ67" s="401"/>
      <c r="DHA67" s="401"/>
      <c r="DHB67" s="401"/>
      <c r="DHC67" s="401"/>
      <c r="DHD67" s="401"/>
      <c r="DHE67" s="401"/>
      <c r="DHF67" s="401"/>
      <c r="DHG67" s="401"/>
      <c r="DHH67" s="401"/>
      <c r="DHI67" s="401"/>
      <c r="DHJ67" s="401"/>
      <c r="DHK67" s="401"/>
      <c r="DHL67" s="401"/>
      <c r="DHM67" s="401"/>
      <c r="DHN67" s="401"/>
      <c r="DHO67" s="401"/>
      <c r="DHP67" s="401"/>
      <c r="DHQ67" s="401"/>
      <c r="DHR67" s="401"/>
      <c r="DHS67" s="401"/>
      <c r="DHT67" s="401"/>
      <c r="DHU67" s="401"/>
      <c r="DHV67" s="401"/>
      <c r="DHW67" s="401"/>
      <c r="DHX67" s="401"/>
      <c r="DHY67" s="401"/>
      <c r="DHZ67" s="401"/>
      <c r="DIA67" s="401"/>
      <c r="DIB67" s="401"/>
      <c r="DIC67" s="401"/>
      <c r="DID67" s="401"/>
      <c r="DIE67" s="401"/>
      <c r="DIF67" s="401"/>
      <c r="DIG67" s="401"/>
      <c r="DIH67" s="401"/>
      <c r="DII67" s="401"/>
      <c r="DIJ67" s="401"/>
      <c r="DIK67" s="401"/>
      <c r="DIL67" s="401"/>
      <c r="DIM67" s="401"/>
      <c r="DIN67" s="401"/>
      <c r="DIO67" s="401"/>
      <c r="DIP67" s="401"/>
      <c r="DIQ67" s="401"/>
      <c r="DIR67" s="401"/>
      <c r="DIS67" s="401"/>
      <c r="DIT67" s="401"/>
      <c r="DIU67" s="401"/>
      <c r="DIV67" s="401"/>
      <c r="DIW67" s="401"/>
      <c r="DIX67" s="401"/>
      <c r="DIY67" s="401"/>
      <c r="DIZ67" s="401"/>
      <c r="DJA67" s="401"/>
      <c r="DJB67" s="401"/>
      <c r="DJC67" s="401"/>
      <c r="DJD67" s="401"/>
      <c r="DJE67" s="401"/>
      <c r="DJF67" s="401"/>
      <c r="DJG67" s="401"/>
      <c r="DJH67" s="401"/>
      <c r="DJI67" s="401"/>
      <c r="DJJ67" s="401"/>
      <c r="DJK67" s="401"/>
      <c r="DJL67" s="401"/>
      <c r="DJM67" s="401"/>
      <c r="DJN67" s="401"/>
      <c r="DJO67" s="401"/>
      <c r="DJP67" s="401"/>
      <c r="DJQ67" s="401"/>
      <c r="DJR67" s="401"/>
      <c r="DJS67" s="401"/>
      <c r="DJT67" s="401"/>
      <c r="DJU67" s="401"/>
      <c r="DJV67" s="401"/>
      <c r="DJW67" s="401"/>
      <c r="DJX67" s="401"/>
      <c r="DJY67" s="401"/>
      <c r="DJZ67" s="401"/>
      <c r="DKA67" s="401"/>
      <c r="DKB67" s="401"/>
      <c r="DKC67" s="401"/>
      <c r="DKD67" s="401"/>
      <c r="DKE67" s="401"/>
      <c r="DKF67" s="401"/>
      <c r="DKG67" s="401"/>
      <c r="DKH67" s="401"/>
      <c r="DKI67" s="401"/>
      <c r="DKJ67" s="401"/>
      <c r="DKK67" s="401"/>
      <c r="DKL67" s="401"/>
      <c r="DKM67" s="401"/>
      <c r="DKN67" s="401"/>
      <c r="DKO67" s="401"/>
      <c r="DKP67" s="401"/>
      <c r="DKQ67" s="401"/>
      <c r="DKR67" s="401"/>
      <c r="DKS67" s="401"/>
      <c r="DKT67" s="401"/>
      <c r="DKU67" s="401"/>
      <c r="DKV67" s="401"/>
      <c r="DKW67" s="401"/>
      <c r="DKX67" s="401"/>
      <c r="DKY67" s="401"/>
      <c r="DKZ67" s="401"/>
      <c r="DLA67" s="401"/>
      <c r="DLB67" s="401"/>
      <c r="DLC67" s="401"/>
      <c r="DLD67" s="401"/>
      <c r="DLE67" s="401"/>
      <c r="DLF67" s="401"/>
      <c r="DLG67" s="401"/>
      <c r="DLH67" s="401"/>
      <c r="DLI67" s="401"/>
      <c r="DLJ67" s="401"/>
      <c r="DLK67" s="401"/>
      <c r="DLL67" s="401"/>
      <c r="DLM67" s="401"/>
      <c r="DLN67" s="401"/>
      <c r="DLO67" s="401"/>
      <c r="DLP67" s="401"/>
      <c r="DLQ67" s="401"/>
      <c r="DLR67" s="401"/>
      <c r="DLS67" s="401"/>
      <c r="DLT67" s="401"/>
      <c r="DLU67" s="401"/>
      <c r="DLV67" s="401"/>
      <c r="DLW67" s="401"/>
      <c r="DLX67" s="401"/>
      <c r="DLY67" s="401"/>
      <c r="DLZ67" s="401"/>
      <c r="DMA67" s="401"/>
      <c r="DMB67" s="401"/>
      <c r="DMC67" s="401"/>
      <c r="DMD67" s="401"/>
      <c r="DME67" s="401"/>
      <c r="DMF67" s="401"/>
      <c r="DMG67" s="401"/>
      <c r="DMH67" s="401"/>
      <c r="DMI67" s="401"/>
      <c r="DMJ67" s="401"/>
      <c r="DMK67" s="401"/>
      <c r="DML67" s="401"/>
      <c r="DMM67" s="401"/>
      <c r="DMN67" s="401"/>
      <c r="DMO67" s="401"/>
      <c r="DMP67" s="401"/>
      <c r="DMQ67" s="401"/>
      <c r="DMR67" s="401"/>
      <c r="DMS67" s="401"/>
      <c r="DMT67" s="401"/>
      <c r="DMU67" s="401"/>
      <c r="DMV67" s="401"/>
      <c r="DMW67" s="401"/>
      <c r="DMX67" s="401"/>
      <c r="DMY67" s="401"/>
      <c r="DMZ67" s="401"/>
      <c r="DNA67" s="401"/>
      <c r="DNB67" s="401"/>
      <c r="DNC67" s="401"/>
      <c r="DND67" s="401"/>
      <c r="DNE67" s="401"/>
      <c r="DNF67" s="401"/>
      <c r="DNG67" s="401"/>
      <c r="DNH67" s="401"/>
      <c r="DNI67" s="401"/>
      <c r="DNJ67" s="401"/>
      <c r="DNK67" s="401"/>
      <c r="DNL67" s="401"/>
      <c r="DNM67" s="401"/>
      <c r="DNN67" s="401"/>
      <c r="DNO67" s="401"/>
      <c r="DNP67" s="401"/>
      <c r="DNQ67" s="401"/>
      <c r="DNR67" s="401"/>
      <c r="DNS67" s="401"/>
      <c r="DNT67" s="401"/>
      <c r="DNU67" s="401"/>
      <c r="DNV67" s="401"/>
      <c r="DNW67" s="401"/>
      <c r="DNX67" s="401"/>
      <c r="DNY67" s="401"/>
      <c r="DNZ67" s="401"/>
      <c r="DOA67" s="401"/>
      <c r="DOB67" s="401"/>
      <c r="DOC67" s="401"/>
      <c r="DOD67" s="401"/>
      <c r="DOE67" s="401"/>
      <c r="DOF67" s="401"/>
      <c r="DOG67" s="401"/>
      <c r="DOH67" s="401"/>
      <c r="DOI67" s="401"/>
      <c r="DOJ67" s="401"/>
      <c r="DOK67" s="401"/>
      <c r="DOL67" s="401"/>
      <c r="DOM67" s="401"/>
      <c r="DON67" s="401"/>
      <c r="DOO67" s="401"/>
      <c r="DOP67" s="401"/>
      <c r="DOQ67" s="401"/>
      <c r="DOR67" s="401"/>
      <c r="DOS67" s="401"/>
      <c r="DOT67" s="401"/>
      <c r="DOU67" s="401"/>
      <c r="DOV67" s="401"/>
      <c r="DOW67" s="401"/>
      <c r="DOX67" s="401"/>
      <c r="DOY67" s="401"/>
      <c r="DOZ67" s="401"/>
      <c r="DPA67" s="401"/>
      <c r="DPB67" s="401"/>
      <c r="DPC67" s="401"/>
      <c r="DPD67" s="401"/>
      <c r="DPE67" s="401"/>
      <c r="DPF67" s="401"/>
      <c r="DPG67" s="401"/>
      <c r="DPH67" s="401"/>
      <c r="DPI67" s="401"/>
      <c r="DPJ67" s="401"/>
      <c r="DPK67" s="401"/>
      <c r="DPL67" s="401"/>
      <c r="DPM67" s="401"/>
      <c r="DPN67" s="401"/>
      <c r="DPO67" s="401"/>
      <c r="DPP67" s="401"/>
      <c r="DPQ67" s="401"/>
      <c r="DPR67" s="401"/>
      <c r="DPS67" s="401"/>
      <c r="DPT67" s="401"/>
      <c r="DPU67" s="401"/>
      <c r="DPV67" s="401"/>
      <c r="DPW67" s="401"/>
      <c r="DPX67" s="401"/>
      <c r="DPY67" s="401"/>
      <c r="DPZ67" s="401"/>
      <c r="DQA67" s="401"/>
      <c r="DQB67" s="401"/>
      <c r="DQC67" s="401"/>
      <c r="DQD67" s="401"/>
      <c r="DQE67" s="401"/>
      <c r="DQF67" s="401"/>
      <c r="DQG67" s="401"/>
      <c r="DQH67" s="401"/>
      <c r="DQI67" s="401"/>
      <c r="DQJ67" s="401"/>
      <c r="DQK67" s="401"/>
      <c r="DQL67" s="401"/>
      <c r="DQM67" s="401"/>
      <c r="DQN67" s="401"/>
      <c r="DQO67" s="401"/>
      <c r="DQP67" s="401"/>
      <c r="DQQ67" s="401"/>
      <c r="DQR67" s="401"/>
      <c r="DQS67" s="401"/>
      <c r="DQT67" s="401"/>
      <c r="DQU67" s="401"/>
      <c r="DQV67" s="401"/>
      <c r="DQW67" s="401"/>
      <c r="DQX67" s="401"/>
      <c r="DQY67" s="401"/>
      <c r="DQZ67" s="401"/>
      <c r="DRA67" s="401"/>
      <c r="DRB67" s="401"/>
      <c r="DRC67" s="401"/>
      <c r="DRD67" s="401"/>
      <c r="DRE67" s="401"/>
      <c r="DRF67" s="401"/>
      <c r="DRG67" s="401"/>
      <c r="DRH67" s="401"/>
      <c r="DRI67" s="401"/>
      <c r="DRJ67" s="401"/>
      <c r="DRK67" s="401"/>
      <c r="DRL67" s="401"/>
      <c r="DRM67" s="401"/>
      <c r="DRN67" s="401"/>
      <c r="DRO67" s="401"/>
      <c r="DRP67" s="401"/>
      <c r="DRQ67" s="401"/>
      <c r="DRR67" s="401"/>
      <c r="DRS67" s="401"/>
      <c r="DRT67" s="401"/>
      <c r="DRU67" s="401"/>
      <c r="DRV67" s="401"/>
      <c r="DRW67" s="401"/>
      <c r="DRX67" s="401"/>
      <c r="DRY67" s="401"/>
      <c r="DRZ67" s="401"/>
      <c r="DSA67" s="401"/>
      <c r="DSB67" s="401"/>
      <c r="DSC67" s="401"/>
      <c r="DSD67" s="401"/>
      <c r="DSE67" s="401"/>
      <c r="DSF67" s="401"/>
      <c r="DSG67" s="401"/>
      <c r="DSH67" s="401"/>
      <c r="DSI67" s="401"/>
      <c r="DSJ67" s="401"/>
      <c r="DSK67" s="401"/>
      <c r="DSL67" s="401"/>
      <c r="DSM67" s="401"/>
      <c r="DSN67" s="401"/>
      <c r="DSO67" s="401"/>
      <c r="DSP67" s="401"/>
      <c r="DSQ67" s="401"/>
      <c r="DSR67" s="401"/>
      <c r="DSS67" s="401"/>
      <c r="DST67" s="401"/>
      <c r="DSU67" s="401"/>
      <c r="DSV67" s="401"/>
      <c r="DSW67" s="401"/>
      <c r="DSX67" s="401"/>
      <c r="DSY67" s="401"/>
      <c r="DSZ67" s="401"/>
      <c r="DTA67" s="401"/>
      <c r="DTB67" s="401"/>
      <c r="DTC67" s="401"/>
      <c r="DTD67" s="401"/>
      <c r="DTE67" s="401"/>
      <c r="DTF67" s="401"/>
      <c r="DTG67" s="401"/>
      <c r="DTH67" s="401"/>
      <c r="DTI67" s="401"/>
      <c r="DTJ67" s="401"/>
      <c r="DTK67" s="401"/>
      <c r="DTL67" s="401"/>
      <c r="DTM67" s="401"/>
      <c r="DTN67" s="401"/>
      <c r="DTO67" s="401"/>
      <c r="DTP67" s="401"/>
      <c r="DTQ67" s="401"/>
      <c r="DTR67" s="401"/>
      <c r="DTS67" s="401"/>
      <c r="DTT67" s="401"/>
      <c r="DTU67" s="401"/>
      <c r="DTV67" s="401"/>
      <c r="DTW67" s="401"/>
      <c r="DTX67" s="401"/>
      <c r="DTY67" s="401"/>
      <c r="DTZ67" s="401"/>
      <c r="DUA67" s="401"/>
      <c r="DUB67" s="401"/>
      <c r="DUC67" s="401"/>
      <c r="DUD67" s="401"/>
      <c r="DUE67" s="401"/>
      <c r="DUF67" s="401"/>
      <c r="DUG67" s="401"/>
      <c r="DUH67" s="401"/>
      <c r="DUI67" s="401"/>
      <c r="DUJ67" s="401"/>
      <c r="DUK67" s="401"/>
      <c r="DUL67" s="401"/>
      <c r="DUM67" s="401"/>
      <c r="DUN67" s="401"/>
      <c r="DUO67" s="401"/>
      <c r="DUP67" s="401"/>
      <c r="DUQ67" s="401"/>
      <c r="DUR67" s="401"/>
      <c r="DUS67" s="401"/>
      <c r="DUT67" s="401"/>
      <c r="DUU67" s="401"/>
      <c r="DUV67" s="401"/>
      <c r="DUW67" s="401"/>
      <c r="DUX67" s="401"/>
      <c r="DUY67" s="401"/>
      <c r="DUZ67" s="401"/>
      <c r="DVA67" s="401"/>
      <c r="DVB67" s="401"/>
      <c r="DVC67" s="401"/>
      <c r="DVD67" s="401"/>
      <c r="DVE67" s="401"/>
      <c r="DVF67" s="401"/>
      <c r="DVG67" s="401"/>
      <c r="DVH67" s="401"/>
      <c r="DVI67" s="401"/>
      <c r="DVJ67" s="401"/>
      <c r="DVK67" s="401"/>
      <c r="DVL67" s="401"/>
      <c r="DVM67" s="401"/>
      <c r="DVN67" s="401"/>
      <c r="DVO67" s="401"/>
      <c r="DVP67" s="401"/>
      <c r="DVQ67" s="401"/>
      <c r="DVR67" s="401"/>
      <c r="DVS67" s="401"/>
      <c r="DVT67" s="401"/>
      <c r="DVU67" s="401"/>
      <c r="DVV67" s="401"/>
      <c r="DVW67" s="401"/>
      <c r="DVX67" s="401"/>
      <c r="DVY67" s="401"/>
      <c r="DVZ67" s="401"/>
      <c r="DWA67" s="401"/>
      <c r="DWB67" s="401"/>
      <c r="DWC67" s="401"/>
      <c r="DWD67" s="401"/>
      <c r="DWE67" s="401"/>
      <c r="DWF67" s="401"/>
      <c r="DWG67" s="401"/>
      <c r="DWH67" s="401"/>
      <c r="DWI67" s="401"/>
      <c r="DWJ67" s="401"/>
      <c r="DWK67" s="401"/>
      <c r="DWL67" s="401"/>
      <c r="DWM67" s="401"/>
      <c r="DWN67" s="401"/>
      <c r="DWO67" s="401"/>
      <c r="DWP67" s="401"/>
      <c r="DWQ67" s="401"/>
      <c r="DWR67" s="401"/>
      <c r="DWS67" s="401"/>
      <c r="DWT67" s="401"/>
      <c r="DWU67" s="401"/>
      <c r="DWV67" s="401"/>
      <c r="DWW67" s="401"/>
      <c r="DWX67" s="401"/>
      <c r="DWY67" s="401"/>
      <c r="DWZ67" s="401"/>
      <c r="DXA67" s="401"/>
      <c r="DXB67" s="401"/>
      <c r="DXC67" s="401"/>
      <c r="DXD67" s="401"/>
      <c r="DXE67" s="401"/>
      <c r="DXF67" s="401"/>
      <c r="DXG67" s="401"/>
      <c r="DXH67" s="401"/>
      <c r="DXI67" s="401"/>
      <c r="DXJ67" s="401"/>
      <c r="DXK67" s="401"/>
      <c r="DXL67" s="401"/>
      <c r="DXM67" s="401"/>
      <c r="DXN67" s="401"/>
      <c r="DXO67" s="401"/>
      <c r="DXP67" s="401"/>
      <c r="DXQ67" s="401"/>
      <c r="DXR67" s="401"/>
      <c r="DXS67" s="401"/>
      <c r="DXT67" s="401"/>
      <c r="DXU67" s="401"/>
      <c r="DXV67" s="401"/>
      <c r="DXW67" s="401"/>
      <c r="DXX67" s="401"/>
      <c r="DXY67" s="401"/>
      <c r="DXZ67" s="401"/>
      <c r="DYA67" s="401"/>
      <c r="DYB67" s="401"/>
      <c r="DYC67" s="401"/>
      <c r="DYD67" s="401"/>
      <c r="DYE67" s="401"/>
      <c r="DYF67" s="401"/>
      <c r="DYG67" s="401"/>
      <c r="DYH67" s="401"/>
      <c r="DYI67" s="401"/>
      <c r="DYJ67" s="401"/>
      <c r="DYK67" s="401"/>
      <c r="DYL67" s="401"/>
      <c r="DYM67" s="401"/>
      <c r="DYN67" s="401"/>
      <c r="DYO67" s="401"/>
      <c r="DYP67" s="401"/>
      <c r="DYQ67" s="401"/>
      <c r="DYR67" s="401"/>
      <c r="DYS67" s="401"/>
      <c r="DYT67" s="401"/>
      <c r="DYU67" s="401"/>
      <c r="DYV67" s="401"/>
      <c r="DYW67" s="401"/>
      <c r="DYX67" s="401"/>
      <c r="DYY67" s="401"/>
      <c r="DYZ67" s="401"/>
      <c r="DZA67" s="401"/>
      <c r="DZB67" s="401"/>
      <c r="DZC67" s="401"/>
      <c r="DZD67" s="401"/>
      <c r="DZE67" s="401"/>
      <c r="DZF67" s="401"/>
      <c r="DZG67" s="401"/>
      <c r="DZH67" s="401"/>
      <c r="DZI67" s="401"/>
      <c r="DZJ67" s="401"/>
      <c r="DZK67" s="401"/>
      <c r="DZL67" s="401"/>
      <c r="DZM67" s="401"/>
      <c r="DZN67" s="401"/>
      <c r="DZO67" s="401"/>
      <c r="DZP67" s="401"/>
      <c r="DZQ67" s="401"/>
      <c r="DZR67" s="401"/>
      <c r="DZS67" s="401"/>
      <c r="DZT67" s="401"/>
      <c r="DZU67" s="401"/>
      <c r="DZV67" s="401"/>
      <c r="DZW67" s="401"/>
      <c r="DZX67" s="401"/>
      <c r="DZY67" s="401"/>
      <c r="DZZ67" s="401"/>
      <c r="EAA67" s="401"/>
      <c r="EAB67" s="401"/>
      <c r="EAC67" s="401"/>
      <c r="EAD67" s="401"/>
      <c r="EAE67" s="401"/>
      <c r="EAF67" s="401"/>
      <c r="EAG67" s="401"/>
      <c r="EAH67" s="401"/>
      <c r="EAI67" s="401"/>
      <c r="EAJ67" s="401"/>
      <c r="EAK67" s="401"/>
      <c r="EAL67" s="401"/>
      <c r="EAM67" s="401"/>
      <c r="EAN67" s="401"/>
      <c r="EAO67" s="401"/>
      <c r="EAP67" s="401"/>
      <c r="EAQ67" s="401"/>
      <c r="EAR67" s="401"/>
      <c r="EAS67" s="401"/>
      <c r="EAT67" s="401"/>
      <c r="EAU67" s="401"/>
      <c r="EAV67" s="401"/>
      <c r="EAW67" s="401"/>
      <c r="EAX67" s="401"/>
      <c r="EAY67" s="401"/>
      <c r="EAZ67" s="401"/>
      <c r="EBA67" s="401"/>
      <c r="EBB67" s="401"/>
      <c r="EBC67" s="401"/>
      <c r="EBD67" s="401"/>
      <c r="EBE67" s="401"/>
      <c r="EBF67" s="401"/>
      <c r="EBG67" s="401"/>
      <c r="EBH67" s="401"/>
      <c r="EBI67" s="401"/>
      <c r="EBJ67" s="401"/>
      <c r="EBK67" s="401"/>
      <c r="EBL67" s="401"/>
      <c r="EBM67" s="401"/>
      <c r="EBN67" s="401"/>
      <c r="EBO67" s="401"/>
      <c r="EBP67" s="401"/>
      <c r="EBQ67" s="401"/>
      <c r="EBR67" s="401"/>
      <c r="EBS67" s="401"/>
      <c r="EBT67" s="401"/>
      <c r="EBU67" s="401"/>
      <c r="EBV67" s="401"/>
      <c r="EBW67" s="401"/>
      <c r="EBX67" s="401"/>
      <c r="EBY67" s="401"/>
      <c r="EBZ67" s="401"/>
      <c r="ECA67" s="401"/>
      <c r="ECB67" s="401"/>
      <c r="ECC67" s="401"/>
      <c r="ECD67" s="401"/>
      <c r="ECE67" s="401"/>
      <c r="ECF67" s="401"/>
      <c r="ECG67" s="401"/>
      <c r="ECH67" s="401"/>
      <c r="ECI67" s="401"/>
      <c r="ECJ67" s="401"/>
      <c r="ECK67" s="401"/>
      <c r="ECL67" s="401"/>
      <c r="ECM67" s="401"/>
      <c r="ECN67" s="401"/>
      <c r="ECO67" s="401"/>
      <c r="ECP67" s="401"/>
      <c r="ECQ67" s="401"/>
      <c r="ECR67" s="401"/>
      <c r="ECS67" s="401"/>
      <c r="ECT67" s="401"/>
      <c r="ECU67" s="401"/>
      <c r="ECV67" s="401"/>
      <c r="ECW67" s="401"/>
      <c r="ECX67" s="401"/>
      <c r="ECY67" s="401"/>
      <c r="ECZ67" s="401"/>
      <c r="EDA67" s="401"/>
      <c r="EDB67" s="401"/>
      <c r="EDC67" s="401"/>
      <c r="EDD67" s="401"/>
      <c r="EDE67" s="401"/>
      <c r="EDF67" s="401"/>
      <c r="EDG67" s="401"/>
      <c r="EDH67" s="401"/>
      <c r="EDI67" s="401"/>
      <c r="EDJ67" s="401"/>
      <c r="EDK67" s="401"/>
      <c r="EDL67" s="401"/>
      <c r="EDM67" s="401"/>
      <c r="EDN67" s="401"/>
      <c r="EDO67" s="401"/>
      <c r="EDP67" s="401"/>
      <c r="EDQ67" s="401"/>
      <c r="EDR67" s="401"/>
      <c r="EDS67" s="401"/>
      <c r="EDT67" s="401"/>
      <c r="EDU67" s="401"/>
      <c r="EDV67" s="401"/>
      <c r="EDW67" s="401"/>
      <c r="EDX67" s="401"/>
      <c r="EDY67" s="401"/>
      <c r="EDZ67" s="401"/>
      <c r="EEA67" s="401"/>
      <c r="EEB67" s="401"/>
      <c r="EEC67" s="401"/>
      <c r="EED67" s="401"/>
      <c r="EEE67" s="401"/>
      <c r="EEF67" s="401"/>
      <c r="EEG67" s="401"/>
      <c r="EEH67" s="401"/>
      <c r="EEI67" s="401"/>
      <c r="EEJ67" s="401"/>
      <c r="EEK67" s="401"/>
      <c r="EEL67" s="401"/>
      <c r="EEM67" s="401"/>
      <c r="EEN67" s="401"/>
      <c r="EEO67" s="401"/>
      <c r="EEP67" s="401"/>
      <c r="EEQ67" s="401"/>
      <c r="EER67" s="401"/>
      <c r="EES67" s="401"/>
      <c r="EET67" s="401"/>
      <c r="EEU67" s="401"/>
      <c r="EEV67" s="401"/>
      <c r="EEW67" s="401"/>
      <c r="EEX67" s="401"/>
      <c r="EEY67" s="401"/>
      <c r="EEZ67" s="401"/>
      <c r="EFA67" s="401"/>
      <c r="EFB67" s="401"/>
      <c r="EFC67" s="401"/>
      <c r="EFD67" s="401"/>
      <c r="EFE67" s="401"/>
      <c r="EFF67" s="401"/>
      <c r="EFG67" s="401"/>
      <c r="EFH67" s="401"/>
      <c r="EFI67" s="401"/>
      <c r="EFJ67" s="401"/>
      <c r="EFK67" s="401"/>
      <c r="EFL67" s="401"/>
      <c r="EFM67" s="401"/>
      <c r="EFN67" s="401"/>
      <c r="EFO67" s="401"/>
      <c r="EFP67" s="401"/>
      <c r="EFQ67" s="401"/>
      <c r="EFR67" s="401"/>
      <c r="EFS67" s="401"/>
      <c r="EFT67" s="401"/>
      <c r="EFU67" s="401"/>
      <c r="EFV67" s="401"/>
      <c r="EFW67" s="401"/>
      <c r="EFX67" s="401"/>
      <c r="EFY67" s="401"/>
      <c r="EFZ67" s="401"/>
      <c r="EGA67" s="401"/>
      <c r="EGB67" s="401"/>
      <c r="EGC67" s="401"/>
      <c r="EGD67" s="401"/>
      <c r="EGE67" s="401"/>
      <c r="EGF67" s="401"/>
      <c r="EGG67" s="401"/>
      <c r="EGH67" s="401"/>
      <c r="EGI67" s="401"/>
      <c r="EGJ67" s="401"/>
      <c r="EGK67" s="401"/>
      <c r="EGL67" s="401"/>
      <c r="EGM67" s="401"/>
      <c r="EGN67" s="401"/>
      <c r="EGO67" s="401"/>
      <c r="EGP67" s="401"/>
      <c r="EGQ67" s="401"/>
      <c r="EGR67" s="401"/>
      <c r="EGS67" s="401"/>
      <c r="EGT67" s="401"/>
      <c r="EGU67" s="401"/>
      <c r="EGV67" s="401"/>
      <c r="EGW67" s="401"/>
      <c r="EGX67" s="401"/>
      <c r="EGY67" s="401"/>
      <c r="EGZ67" s="401"/>
      <c r="EHA67" s="401"/>
      <c r="EHB67" s="401"/>
      <c r="EHC67" s="401"/>
      <c r="EHD67" s="401"/>
      <c r="EHE67" s="401"/>
      <c r="EHF67" s="401"/>
      <c r="EHG67" s="401"/>
      <c r="EHH67" s="401"/>
      <c r="EHI67" s="401"/>
      <c r="EHJ67" s="401"/>
      <c r="EHK67" s="401"/>
      <c r="EHL67" s="401"/>
      <c r="EHM67" s="401"/>
      <c r="EHN67" s="401"/>
      <c r="EHO67" s="401"/>
      <c r="EHP67" s="401"/>
      <c r="EHQ67" s="401"/>
      <c r="EHR67" s="401"/>
      <c r="EHS67" s="401"/>
      <c r="EHT67" s="401"/>
      <c r="EHU67" s="401"/>
      <c r="EHV67" s="401"/>
      <c r="EHW67" s="401"/>
      <c r="EHX67" s="401"/>
      <c r="EHY67" s="401"/>
      <c r="EHZ67" s="401"/>
      <c r="EIA67" s="401"/>
      <c r="EIB67" s="401"/>
      <c r="EIC67" s="401"/>
      <c r="EID67" s="401"/>
      <c r="EIE67" s="401"/>
      <c r="EIF67" s="401"/>
      <c r="EIG67" s="401"/>
      <c r="EIH67" s="401"/>
      <c r="EII67" s="401"/>
      <c r="EIJ67" s="401"/>
      <c r="EIK67" s="401"/>
      <c r="EIL67" s="401"/>
      <c r="EIM67" s="401"/>
      <c r="EIN67" s="401"/>
      <c r="EIO67" s="401"/>
      <c r="EIP67" s="401"/>
      <c r="EIQ67" s="401"/>
      <c r="EIR67" s="401"/>
      <c r="EIS67" s="401"/>
      <c r="EIT67" s="401"/>
      <c r="EIU67" s="401"/>
      <c r="EIV67" s="401"/>
      <c r="EIW67" s="401"/>
      <c r="EIX67" s="401"/>
      <c r="EIY67" s="401"/>
      <c r="EIZ67" s="401"/>
      <c r="EJA67" s="401"/>
      <c r="EJB67" s="401"/>
      <c r="EJC67" s="401"/>
      <c r="EJD67" s="401"/>
      <c r="EJE67" s="401"/>
      <c r="EJF67" s="401"/>
      <c r="EJG67" s="401"/>
      <c r="EJH67" s="401"/>
      <c r="EJI67" s="401"/>
      <c r="EJJ67" s="401"/>
      <c r="EJK67" s="401"/>
      <c r="EJL67" s="401"/>
      <c r="EJM67" s="401"/>
      <c r="EJN67" s="401"/>
      <c r="EJO67" s="401"/>
      <c r="EJP67" s="401"/>
      <c r="EJQ67" s="401"/>
      <c r="EJR67" s="401"/>
      <c r="EJS67" s="401"/>
      <c r="EJT67" s="401"/>
      <c r="EJU67" s="401"/>
      <c r="EJV67" s="401"/>
      <c r="EJW67" s="401"/>
      <c r="EJX67" s="401"/>
      <c r="EJY67" s="401"/>
      <c r="EJZ67" s="401"/>
      <c r="EKA67" s="401"/>
      <c r="EKB67" s="401"/>
      <c r="EKC67" s="401"/>
      <c r="EKD67" s="401"/>
      <c r="EKE67" s="401"/>
      <c r="EKF67" s="401"/>
      <c r="EKG67" s="401"/>
      <c r="EKH67" s="401"/>
      <c r="EKI67" s="401"/>
      <c r="EKJ67" s="401"/>
      <c r="EKK67" s="401"/>
      <c r="EKL67" s="401"/>
      <c r="EKM67" s="401"/>
      <c r="EKN67" s="401"/>
      <c r="EKO67" s="401"/>
      <c r="EKP67" s="401"/>
      <c r="EKQ67" s="401"/>
      <c r="EKR67" s="401"/>
      <c r="EKS67" s="401"/>
      <c r="EKT67" s="401"/>
      <c r="EKU67" s="401"/>
      <c r="EKV67" s="401"/>
      <c r="EKW67" s="401"/>
      <c r="EKX67" s="401"/>
      <c r="EKY67" s="401"/>
      <c r="EKZ67" s="401"/>
      <c r="ELA67" s="401"/>
      <c r="ELB67" s="401"/>
      <c r="ELC67" s="401"/>
      <c r="ELD67" s="401"/>
      <c r="ELE67" s="401"/>
      <c r="ELF67" s="401"/>
      <c r="ELG67" s="401"/>
      <c r="ELH67" s="401"/>
      <c r="ELI67" s="401"/>
      <c r="ELJ67" s="401"/>
      <c r="ELK67" s="401"/>
      <c r="ELL67" s="401"/>
      <c r="ELM67" s="401"/>
      <c r="ELN67" s="401"/>
      <c r="ELO67" s="401"/>
      <c r="ELP67" s="401"/>
      <c r="ELQ67" s="401"/>
      <c r="ELR67" s="401"/>
      <c r="ELS67" s="401"/>
      <c r="ELT67" s="401"/>
      <c r="ELU67" s="401"/>
      <c r="ELV67" s="401"/>
      <c r="ELW67" s="401"/>
      <c r="ELX67" s="401"/>
      <c r="ELY67" s="401"/>
      <c r="ELZ67" s="401"/>
      <c r="EMA67" s="401"/>
      <c r="EMB67" s="401"/>
      <c r="EMC67" s="401"/>
      <c r="EMD67" s="401"/>
      <c r="EME67" s="401"/>
      <c r="EMF67" s="401"/>
      <c r="EMG67" s="401"/>
      <c r="EMH67" s="401"/>
      <c r="EMI67" s="401"/>
      <c r="EMJ67" s="401"/>
      <c r="EMK67" s="401"/>
      <c r="EML67" s="401"/>
      <c r="EMM67" s="401"/>
      <c r="EMN67" s="401"/>
      <c r="EMO67" s="401"/>
      <c r="EMP67" s="401"/>
      <c r="EMQ67" s="401"/>
      <c r="EMR67" s="401"/>
      <c r="EMS67" s="401"/>
      <c r="EMT67" s="401"/>
      <c r="EMU67" s="401"/>
      <c r="EMV67" s="401"/>
      <c r="EMW67" s="401"/>
      <c r="EMX67" s="401"/>
      <c r="EMY67" s="401"/>
      <c r="EMZ67" s="401"/>
      <c r="ENA67" s="401"/>
      <c r="ENB67" s="401"/>
      <c r="ENC67" s="401"/>
      <c r="END67" s="401"/>
      <c r="ENE67" s="401"/>
      <c r="ENF67" s="401"/>
      <c r="ENG67" s="401"/>
      <c r="ENH67" s="401"/>
      <c r="ENI67" s="401"/>
      <c r="ENJ67" s="401"/>
      <c r="ENK67" s="401"/>
      <c r="ENL67" s="401"/>
      <c r="ENM67" s="401"/>
      <c r="ENN67" s="401"/>
      <c r="ENO67" s="401"/>
      <c r="ENP67" s="401"/>
      <c r="ENQ67" s="401"/>
      <c r="ENR67" s="401"/>
      <c r="ENS67" s="401"/>
      <c r="ENT67" s="401"/>
      <c r="ENU67" s="401"/>
      <c r="ENV67" s="401"/>
      <c r="ENW67" s="401"/>
      <c r="ENX67" s="401"/>
      <c r="ENY67" s="401"/>
      <c r="ENZ67" s="401"/>
      <c r="EOA67" s="401"/>
      <c r="EOB67" s="401"/>
      <c r="EOC67" s="401"/>
      <c r="EOD67" s="401"/>
      <c r="EOE67" s="401"/>
      <c r="EOF67" s="401"/>
      <c r="EOG67" s="401"/>
      <c r="EOH67" s="401"/>
      <c r="EOI67" s="401"/>
      <c r="EOJ67" s="401"/>
      <c r="EOK67" s="401"/>
      <c r="EOL67" s="401"/>
      <c r="EOM67" s="401"/>
      <c r="EON67" s="401"/>
      <c r="EOO67" s="401"/>
      <c r="EOP67" s="401"/>
      <c r="EOQ67" s="401"/>
      <c r="EOR67" s="401"/>
      <c r="EOS67" s="401"/>
      <c r="EOT67" s="401"/>
      <c r="EOU67" s="401"/>
      <c r="EOV67" s="401"/>
      <c r="EOW67" s="401"/>
      <c r="EOX67" s="401"/>
      <c r="EOY67" s="401"/>
      <c r="EOZ67" s="401"/>
      <c r="EPA67" s="401"/>
      <c r="EPB67" s="401"/>
      <c r="EPC67" s="401"/>
      <c r="EPD67" s="401"/>
      <c r="EPE67" s="401"/>
      <c r="EPF67" s="401"/>
      <c r="EPG67" s="401"/>
      <c r="EPH67" s="401"/>
      <c r="EPI67" s="401"/>
      <c r="EPJ67" s="401"/>
      <c r="EPK67" s="401"/>
      <c r="EPL67" s="401"/>
      <c r="EPM67" s="401"/>
      <c r="EPN67" s="401"/>
      <c r="EPO67" s="401"/>
      <c r="EPP67" s="401"/>
      <c r="EPQ67" s="401"/>
      <c r="EPR67" s="401"/>
      <c r="EPS67" s="401"/>
      <c r="EPT67" s="401"/>
      <c r="EPU67" s="401"/>
      <c r="EPV67" s="401"/>
      <c r="EPW67" s="401"/>
      <c r="EPX67" s="401"/>
      <c r="EPY67" s="401"/>
      <c r="EPZ67" s="401"/>
      <c r="EQA67" s="401"/>
      <c r="EQB67" s="401"/>
      <c r="EQC67" s="401"/>
      <c r="EQD67" s="401"/>
      <c r="EQE67" s="401"/>
      <c r="EQF67" s="401"/>
      <c r="EQG67" s="401"/>
      <c r="EQH67" s="401"/>
      <c r="EQI67" s="401"/>
      <c r="EQJ67" s="401"/>
      <c r="EQK67" s="401"/>
      <c r="EQL67" s="401"/>
      <c r="EQM67" s="401"/>
      <c r="EQN67" s="401"/>
      <c r="EQO67" s="401"/>
      <c r="EQP67" s="401"/>
      <c r="EQQ67" s="401"/>
      <c r="EQR67" s="401"/>
      <c r="EQS67" s="401"/>
      <c r="EQT67" s="401"/>
      <c r="EQU67" s="401"/>
      <c r="EQV67" s="401"/>
      <c r="EQW67" s="401"/>
      <c r="EQX67" s="401"/>
      <c r="EQY67" s="401"/>
      <c r="EQZ67" s="401"/>
      <c r="ERA67" s="401"/>
      <c r="ERB67" s="401"/>
      <c r="ERC67" s="401"/>
      <c r="ERD67" s="401"/>
      <c r="ERE67" s="401"/>
      <c r="ERF67" s="401"/>
      <c r="ERG67" s="401"/>
      <c r="ERH67" s="401"/>
      <c r="ERI67" s="401"/>
      <c r="ERJ67" s="401"/>
      <c r="ERK67" s="401"/>
      <c r="ERL67" s="401"/>
      <c r="ERM67" s="401"/>
      <c r="ERN67" s="401"/>
      <c r="ERO67" s="401"/>
      <c r="ERP67" s="401"/>
      <c r="ERQ67" s="401"/>
      <c r="ERR67" s="401"/>
      <c r="ERS67" s="401"/>
      <c r="ERT67" s="401"/>
      <c r="ERU67" s="401"/>
      <c r="ERV67" s="401"/>
      <c r="ERW67" s="401"/>
      <c r="ERX67" s="401"/>
      <c r="ERY67" s="401"/>
      <c r="ERZ67" s="401"/>
      <c r="ESA67" s="401"/>
      <c r="ESB67" s="401"/>
      <c r="ESC67" s="401"/>
      <c r="ESD67" s="401"/>
      <c r="ESE67" s="401"/>
      <c r="ESF67" s="401"/>
      <c r="ESG67" s="401"/>
      <c r="ESH67" s="401"/>
      <c r="ESI67" s="401"/>
      <c r="ESJ67" s="401"/>
      <c r="ESK67" s="401"/>
      <c r="ESL67" s="401"/>
      <c r="ESM67" s="401"/>
      <c r="ESN67" s="401"/>
      <c r="ESO67" s="401"/>
      <c r="ESP67" s="401"/>
      <c r="ESQ67" s="401"/>
      <c r="ESR67" s="401"/>
      <c r="ESS67" s="401"/>
      <c r="EST67" s="401"/>
      <c r="ESU67" s="401"/>
      <c r="ESV67" s="401"/>
      <c r="ESW67" s="401"/>
      <c r="ESX67" s="401"/>
      <c r="ESY67" s="401"/>
      <c r="ESZ67" s="401"/>
      <c r="ETA67" s="401"/>
      <c r="ETB67" s="401"/>
      <c r="ETC67" s="401"/>
      <c r="ETD67" s="401"/>
      <c r="ETE67" s="401"/>
      <c r="ETF67" s="401"/>
      <c r="ETG67" s="401"/>
      <c r="ETH67" s="401"/>
      <c r="ETI67" s="401"/>
      <c r="ETJ67" s="401"/>
      <c r="ETK67" s="401"/>
      <c r="ETL67" s="401"/>
      <c r="ETM67" s="401"/>
      <c r="ETN67" s="401"/>
      <c r="ETO67" s="401"/>
      <c r="ETP67" s="401"/>
      <c r="ETQ67" s="401"/>
      <c r="ETR67" s="401"/>
      <c r="ETS67" s="401"/>
      <c r="ETT67" s="401"/>
      <c r="ETU67" s="401"/>
      <c r="ETV67" s="401"/>
      <c r="ETW67" s="401"/>
      <c r="ETX67" s="401"/>
      <c r="ETY67" s="401"/>
      <c r="ETZ67" s="401"/>
      <c r="EUA67" s="401"/>
      <c r="EUB67" s="401"/>
      <c r="EUC67" s="401"/>
      <c r="EUD67" s="401"/>
      <c r="EUE67" s="401"/>
      <c r="EUF67" s="401"/>
      <c r="EUG67" s="401"/>
      <c r="EUH67" s="401"/>
      <c r="EUI67" s="401"/>
      <c r="EUJ67" s="401"/>
      <c r="EUK67" s="401"/>
      <c r="EUL67" s="401"/>
      <c r="EUM67" s="401"/>
      <c r="EUN67" s="401"/>
      <c r="EUO67" s="401"/>
      <c r="EUP67" s="401"/>
      <c r="EUQ67" s="401"/>
      <c r="EUR67" s="401"/>
      <c r="EUS67" s="401"/>
      <c r="EUT67" s="401"/>
      <c r="EUU67" s="401"/>
      <c r="EUV67" s="401"/>
      <c r="EUW67" s="401"/>
      <c r="EUX67" s="401"/>
      <c r="EUY67" s="401"/>
      <c r="EUZ67" s="401"/>
      <c r="EVA67" s="401"/>
      <c r="EVB67" s="401"/>
      <c r="EVC67" s="401"/>
      <c r="EVD67" s="401"/>
      <c r="EVE67" s="401"/>
      <c r="EVF67" s="401"/>
      <c r="EVG67" s="401"/>
      <c r="EVH67" s="401"/>
      <c r="EVI67" s="401"/>
      <c r="EVJ67" s="401"/>
      <c r="EVK67" s="401"/>
      <c r="EVL67" s="401"/>
      <c r="EVM67" s="401"/>
      <c r="EVN67" s="401"/>
      <c r="EVO67" s="401"/>
      <c r="EVP67" s="401"/>
      <c r="EVQ67" s="401"/>
      <c r="EVR67" s="401"/>
      <c r="EVS67" s="401"/>
      <c r="EVT67" s="401"/>
      <c r="EVU67" s="401"/>
      <c r="EVV67" s="401"/>
      <c r="EVW67" s="401"/>
      <c r="EVX67" s="401"/>
      <c r="EVY67" s="401"/>
      <c r="EVZ67" s="401"/>
      <c r="EWA67" s="401"/>
      <c r="EWB67" s="401"/>
      <c r="EWC67" s="401"/>
      <c r="EWD67" s="401"/>
      <c r="EWE67" s="401"/>
      <c r="EWF67" s="401"/>
      <c r="EWG67" s="401"/>
      <c r="EWH67" s="401"/>
      <c r="EWI67" s="401"/>
      <c r="EWJ67" s="401"/>
      <c r="EWK67" s="401"/>
      <c r="EWL67" s="401"/>
      <c r="EWM67" s="401"/>
      <c r="EWN67" s="401"/>
      <c r="EWO67" s="401"/>
      <c r="EWP67" s="401"/>
      <c r="EWQ67" s="401"/>
      <c r="EWR67" s="401"/>
      <c r="EWS67" s="401"/>
      <c r="EWT67" s="401"/>
      <c r="EWU67" s="401"/>
      <c r="EWV67" s="401"/>
      <c r="EWW67" s="401"/>
      <c r="EWX67" s="401"/>
      <c r="EWY67" s="401"/>
      <c r="EWZ67" s="401"/>
      <c r="EXA67" s="401"/>
      <c r="EXB67" s="401"/>
      <c r="EXC67" s="401"/>
      <c r="EXD67" s="401"/>
      <c r="EXE67" s="401"/>
      <c r="EXF67" s="401"/>
      <c r="EXG67" s="401"/>
      <c r="EXH67" s="401"/>
      <c r="EXI67" s="401"/>
      <c r="EXJ67" s="401"/>
      <c r="EXK67" s="401"/>
      <c r="EXL67" s="401"/>
      <c r="EXM67" s="401"/>
      <c r="EXN67" s="401"/>
      <c r="EXO67" s="401"/>
      <c r="EXP67" s="401"/>
      <c r="EXQ67" s="401"/>
      <c r="EXR67" s="401"/>
      <c r="EXS67" s="401"/>
      <c r="EXT67" s="401"/>
      <c r="EXU67" s="401"/>
      <c r="EXV67" s="401"/>
      <c r="EXW67" s="401"/>
      <c r="EXX67" s="401"/>
      <c r="EXY67" s="401"/>
      <c r="EXZ67" s="401"/>
      <c r="EYA67" s="401"/>
      <c r="EYB67" s="401"/>
      <c r="EYC67" s="401"/>
      <c r="EYD67" s="401"/>
      <c r="EYE67" s="401"/>
      <c r="EYF67" s="401"/>
      <c r="EYG67" s="401"/>
      <c r="EYH67" s="401"/>
      <c r="EYI67" s="401"/>
      <c r="EYJ67" s="401"/>
      <c r="EYK67" s="401"/>
      <c r="EYL67" s="401"/>
      <c r="EYM67" s="401"/>
      <c r="EYN67" s="401"/>
      <c r="EYO67" s="401"/>
      <c r="EYP67" s="401"/>
      <c r="EYQ67" s="401"/>
      <c r="EYR67" s="401"/>
      <c r="EYS67" s="401"/>
      <c r="EYT67" s="401"/>
      <c r="EYU67" s="401"/>
      <c r="EYV67" s="401"/>
      <c r="EYW67" s="401"/>
      <c r="EYX67" s="401"/>
      <c r="EYY67" s="401"/>
      <c r="EYZ67" s="401"/>
      <c r="EZA67" s="401"/>
      <c r="EZB67" s="401"/>
      <c r="EZC67" s="401"/>
      <c r="EZD67" s="401"/>
      <c r="EZE67" s="401"/>
      <c r="EZF67" s="401"/>
      <c r="EZG67" s="401"/>
      <c r="EZH67" s="401"/>
      <c r="EZI67" s="401"/>
      <c r="EZJ67" s="401"/>
      <c r="EZK67" s="401"/>
      <c r="EZL67" s="401"/>
      <c r="EZM67" s="401"/>
      <c r="EZN67" s="401"/>
      <c r="EZO67" s="401"/>
      <c r="EZP67" s="401"/>
      <c r="EZQ67" s="401"/>
      <c r="EZR67" s="401"/>
      <c r="EZS67" s="401"/>
      <c r="EZT67" s="401"/>
      <c r="EZU67" s="401"/>
      <c r="EZV67" s="401"/>
      <c r="EZW67" s="401"/>
      <c r="EZX67" s="401"/>
      <c r="EZY67" s="401"/>
      <c r="EZZ67" s="401"/>
      <c r="FAA67" s="401"/>
      <c r="FAB67" s="401"/>
      <c r="FAC67" s="401"/>
      <c r="FAD67" s="401"/>
      <c r="FAE67" s="401"/>
      <c r="FAF67" s="401"/>
      <c r="FAG67" s="401"/>
      <c r="FAH67" s="401"/>
      <c r="FAI67" s="401"/>
      <c r="FAJ67" s="401"/>
      <c r="FAK67" s="401"/>
      <c r="FAL67" s="401"/>
      <c r="FAM67" s="401"/>
      <c r="FAN67" s="401"/>
      <c r="FAO67" s="401"/>
      <c r="FAP67" s="401"/>
      <c r="FAQ67" s="401"/>
      <c r="FAR67" s="401"/>
      <c r="FAS67" s="401"/>
      <c r="FAT67" s="401"/>
      <c r="FAU67" s="401"/>
      <c r="FAV67" s="401"/>
      <c r="FAW67" s="401"/>
      <c r="FAX67" s="401"/>
      <c r="FAY67" s="401"/>
      <c r="FAZ67" s="401"/>
      <c r="FBA67" s="401"/>
      <c r="FBB67" s="401"/>
      <c r="FBC67" s="401"/>
      <c r="FBD67" s="401"/>
      <c r="FBE67" s="401"/>
      <c r="FBF67" s="401"/>
      <c r="FBG67" s="401"/>
      <c r="FBH67" s="401"/>
      <c r="FBI67" s="401"/>
      <c r="FBJ67" s="401"/>
      <c r="FBK67" s="401"/>
      <c r="FBL67" s="401"/>
      <c r="FBM67" s="401"/>
      <c r="FBN67" s="401"/>
      <c r="FBO67" s="401"/>
      <c r="FBP67" s="401"/>
      <c r="FBQ67" s="401"/>
      <c r="FBR67" s="401"/>
      <c r="FBS67" s="401"/>
      <c r="FBT67" s="401"/>
      <c r="FBU67" s="401"/>
      <c r="FBV67" s="401"/>
      <c r="FBW67" s="401"/>
      <c r="FBX67" s="401"/>
      <c r="FBY67" s="401"/>
      <c r="FBZ67" s="401"/>
      <c r="FCA67" s="401"/>
      <c r="FCB67" s="401"/>
      <c r="FCC67" s="401"/>
      <c r="FCD67" s="401"/>
      <c r="FCE67" s="401"/>
      <c r="FCF67" s="401"/>
      <c r="FCG67" s="401"/>
      <c r="FCH67" s="401"/>
      <c r="FCI67" s="401"/>
      <c r="FCJ67" s="401"/>
      <c r="FCK67" s="401"/>
      <c r="FCL67" s="401"/>
      <c r="FCM67" s="401"/>
      <c r="FCN67" s="401"/>
      <c r="FCO67" s="401"/>
      <c r="FCP67" s="401"/>
      <c r="FCQ67" s="401"/>
      <c r="FCR67" s="401"/>
      <c r="FCS67" s="401"/>
      <c r="FCT67" s="401"/>
      <c r="FCU67" s="401"/>
      <c r="FCV67" s="401"/>
      <c r="FCW67" s="401"/>
      <c r="FCX67" s="401"/>
      <c r="FCY67" s="401"/>
      <c r="FCZ67" s="401"/>
      <c r="FDA67" s="401"/>
      <c r="FDB67" s="401"/>
      <c r="FDC67" s="401"/>
      <c r="FDD67" s="401"/>
      <c r="FDE67" s="401"/>
      <c r="FDF67" s="401"/>
      <c r="FDG67" s="401"/>
      <c r="FDH67" s="401"/>
      <c r="FDI67" s="401"/>
      <c r="FDJ67" s="401"/>
      <c r="FDK67" s="401"/>
      <c r="FDL67" s="401"/>
      <c r="FDM67" s="401"/>
      <c r="FDN67" s="401"/>
      <c r="FDO67" s="401"/>
      <c r="FDP67" s="401"/>
      <c r="FDQ67" s="401"/>
      <c r="FDR67" s="401"/>
      <c r="FDS67" s="401"/>
      <c r="FDT67" s="401"/>
      <c r="FDU67" s="401"/>
      <c r="FDV67" s="401"/>
      <c r="FDW67" s="401"/>
      <c r="FDX67" s="401"/>
      <c r="FDY67" s="401"/>
      <c r="FDZ67" s="401"/>
      <c r="FEA67" s="401"/>
      <c r="FEB67" s="401"/>
      <c r="FEC67" s="401"/>
      <c r="FED67" s="401"/>
      <c r="FEE67" s="401"/>
      <c r="FEF67" s="401"/>
      <c r="FEG67" s="401"/>
      <c r="FEH67" s="401"/>
      <c r="FEI67" s="401"/>
      <c r="FEJ67" s="401"/>
      <c r="FEK67" s="401"/>
      <c r="FEL67" s="401"/>
      <c r="FEM67" s="401"/>
      <c r="FEN67" s="401"/>
      <c r="FEO67" s="401"/>
      <c r="FEP67" s="401"/>
      <c r="FEQ67" s="401"/>
      <c r="FER67" s="401"/>
      <c r="FES67" s="401"/>
      <c r="FET67" s="401"/>
      <c r="FEU67" s="401"/>
      <c r="FEV67" s="401"/>
      <c r="FEW67" s="401"/>
      <c r="FEX67" s="401"/>
      <c r="FEY67" s="401"/>
      <c r="FEZ67" s="401"/>
      <c r="FFA67" s="401"/>
      <c r="FFB67" s="401"/>
      <c r="FFC67" s="401"/>
      <c r="FFD67" s="401"/>
      <c r="FFE67" s="401"/>
      <c r="FFF67" s="401"/>
      <c r="FFG67" s="401"/>
      <c r="FFH67" s="401"/>
      <c r="FFI67" s="401"/>
      <c r="FFJ67" s="401"/>
      <c r="FFK67" s="401"/>
      <c r="FFL67" s="401"/>
      <c r="FFM67" s="401"/>
      <c r="FFN67" s="401"/>
      <c r="FFO67" s="401"/>
      <c r="FFP67" s="401"/>
      <c r="FFQ67" s="401"/>
      <c r="FFR67" s="401"/>
      <c r="FFS67" s="401"/>
      <c r="FFT67" s="401"/>
      <c r="FFU67" s="401"/>
      <c r="FFV67" s="401"/>
      <c r="FFW67" s="401"/>
      <c r="FFX67" s="401"/>
      <c r="FFY67" s="401"/>
      <c r="FFZ67" s="401"/>
      <c r="FGA67" s="401"/>
      <c r="FGB67" s="401"/>
      <c r="FGC67" s="401"/>
      <c r="FGD67" s="401"/>
      <c r="FGE67" s="401"/>
      <c r="FGF67" s="401"/>
      <c r="FGG67" s="401"/>
      <c r="FGH67" s="401"/>
      <c r="FGI67" s="401"/>
      <c r="FGJ67" s="401"/>
      <c r="FGK67" s="401"/>
      <c r="FGL67" s="401"/>
      <c r="FGM67" s="401"/>
      <c r="FGN67" s="401"/>
      <c r="FGO67" s="401"/>
      <c r="FGP67" s="401"/>
      <c r="FGQ67" s="401"/>
      <c r="FGR67" s="401"/>
      <c r="FGS67" s="401"/>
      <c r="FGT67" s="401"/>
      <c r="FGU67" s="401"/>
      <c r="FGV67" s="401"/>
      <c r="FGW67" s="401"/>
      <c r="FGX67" s="401"/>
      <c r="FGY67" s="401"/>
      <c r="FGZ67" s="401"/>
      <c r="FHA67" s="401"/>
      <c r="FHB67" s="401"/>
      <c r="FHC67" s="401"/>
      <c r="FHD67" s="401"/>
      <c r="FHE67" s="401"/>
      <c r="FHF67" s="401"/>
      <c r="FHG67" s="401"/>
      <c r="FHH67" s="401"/>
      <c r="FHI67" s="401"/>
      <c r="FHJ67" s="401"/>
      <c r="FHK67" s="401"/>
      <c r="FHL67" s="401"/>
      <c r="FHM67" s="401"/>
      <c r="FHN67" s="401"/>
      <c r="FHO67" s="401"/>
      <c r="FHP67" s="401"/>
      <c r="FHQ67" s="401"/>
      <c r="FHR67" s="401"/>
      <c r="FHS67" s="401"/>
      <c r="FHT67" s="401"/>
      <c r="FHU67" s="401"/>
      <c r="FHV67" s="401"/>
      <c r="FHW67" s="401"/>
      <c r="FHX67" s="401"/>
      <c r="FHY67" s="401"/>
      <c r="FHZ67" s="401"/>
      <c r="FIA67" s="401"/>
      <c r="FIB67" s="401"/>
      <c r="FIC67" s="401"/>
      <c r="FID67" s="401"/>
      <c r="FIE67" s="401"/>
      <c r="FIF67" s="401"/>
      <c r="FIG67" s="401"/>
      <c r="FIH67" s="401"/>
      <c r="FII67" s="401"/>
      <c r="FIJ67" s="401"/>
      <c r="FIK67" s="401"/>
      <c r="FIL67" s="401"/>
      <c r="FIM67" s="401"/>
      <c r="FIN67" s="401"/>
      <c r="FIO67" s="401"/>
      <c r="FIP67" s="401"/>
      <c r="FIQ67" s="401"/>
      <c r="FIR67" s="401"/>
      <c r="FIS67" s="401"/>
      <c r="FIT67" s="401"/>
      <c r="FIU67" s="401"/>
      <c r="FIV67" s="401"/>
      <c r="FIW67" s="401"/>
      <c r="FIX67" s="401"/>
      <c r="FIY67" s="401"/>
      <c r="FIZ67" s="401"/>
      <c r="FJA67" s="401"/>
      <c r="FJB67" s="401"/>
      <c r="FJC67" s="401"/>
      <c r="FJD67" s="401"/>
      <c r="FJE67" s="401"/>
      <c r="FJF67" s="401"/>
      <c r="FJG67" s="401"/>
      <c r="FJH67" s="401"/>
      <c r="FJI67" s="401"/>
      <c r="FJJ67" s="401"/>
      <c r="FJK67" s="401"/>
      <c r="FJL67" s="401"/>
      <c r="FJM67" s="401"/>
      <c r="FJN67" s="401"/>
      <c r="FJO67" s="401"/>
      <c r="FJP67" s="401"/>
      <c r="FJQ67" s="401"/>
      <c r="FJR67" s="401"/>
      <c r="FJS67" s="401"/>
      <c r="FJT67" s="401"/>
      <c r="FJU67" s="401"/>
      <c r="FJV67" s="401"/>
      <c r="FJW67" s="401"/>
      <c r="FJX67" s="401"/>
      <c r="FJY67" s="401"/>
      <c r="FJZ67" s="401"/>
      <c r="FKA67" s="401"/>
      <c r="FKB67" s="401"/>
      <c r="FKC67" s="401"/>
      <c r="FKD67" s="401"/>
      <c r="FKE67" s="401"/>
      <c r="FKF67" s="401"/>
      <c r="FKG67" s="401"/>
      <c r="FKH67" s="401"/>
      <c r="FKI67" s="401"/>
      <c r="FKJ67" s="401"/>
      <c r="FKK67" s="401"/>
      <c r="FKL67" s="401"/>
      <c r="FKM67" s="401"/>
      <c r="FKN67" s="401"/>
      <c r="FKO67" s="401"/>
      <c r="FKP67" s="401"/>
      <c r="FKQ67" s="401"/>
      <c r="FKR67" s="401"/>
      <c r="FKS67" s="401"/>
      <c r="FKT67" s="401"/>
      <c r="FKU67" s="401"/>
      <c r="FKV67" s="401"/>
      <c r="FKW67" s="401"/>
      <c r="FKX67" s="401"/>
      <c r="FKY67" s="401"/>
      <c r="FKZ67" s="401"/>
      <c r="FLA67" s="401"/>
      <c r="FLB67" s="401"/>
      <c r="FLC67" s="401"/>
      <c r="FLD67" s="401"/>
      <c r="FLE67" s="401"/>
      <c r="FLF67" s="401"/>
      <c r="FLG67" s="401"/>
      <c r="FLH67" s="401"/>
      <c r="FLI67" s="401"/>
      <c r="FLJ67" s="401"/>
      <c r="FLK67" s="401"/>
      <c r="FLL67" s="401"/>
      <c r="FLM67" s="401"/>
      <c r="FLN67" s="401"/>
      <c r="FLO67" s="401"/>
      <c r="FLP67" s="401"/>
      <c r="FLQ67" s="401"/>
      <c r="FLR67" s="401"/>
      <c r="FLS67" s="401"/>
      <c r="FLT67" s="401"/>
      <c r="FLU67" s="401"/>
      <c r="FLV67" s="401"/>
      <c r="FLW67" s="401"/>
      <c r="FLX67" s="401"/>
      <c r="FLY67" s="401"/>
      <c r="FLZ67" s="401"/>
      <c r="FMA67" s="401"/>
      <c r="FMB67" s="401"/>
      <c r="FMC67" s="401"/>
      <c r="FMD67" s="401"/>
      <c r="FME67" s="401"/>
      <c r="FMF67" s="401"/>
      <c r="FMG67" s="401"/>
      <c r="FMH67" s="401"/>
      <c r="FMI67" s="401"/>
      <c r="FMJ67" s="401"/>
      <c r="FMK67" s="401"/>
      <c r="FML67" s="401"/>
      <c r="FMM67" s="401"/>
      <c r="FMN67" s="401"/>
      <c r="FMO67" s="401"/>
      <c r="FMP67" s="401"/>
      <c r="FMQ67" s="401"/>
      <c r="FMR67" s="401"/>
      <c r="FMS67" s="401"/>
      <c r="FMT67" s="401"/>
      <c r="FMU67" s="401"/>
      <c r="FMV67" s="401"/>
      <c r="FMW67" s="401"/>
      <c r="FMX67" s="401"/>
      <c r="FMY67" s="401"/>
      <c r="FMZ67" s="401"/>
      <c r="FNA67" s="401"/>
      <c r="FNB67" s="401"/>
      <c r="FNC67" s="401"/>
      <c r="FND67" s="401"/>
      <c r="FNE67" s="401"/>
      <c r="FNF67" s="401"/>
      <c r="FNG67" s="401"/>
      <c r="FNH67" s="401"/>
      <c r="FNI67" s="401"/>
      <c r="FNJ67" s="401"/>
      <c r="FNK67" s="401"/>
      <c r="FNL67" s="401"/>
      <c r="FNM67" s="401"/>
      <c r="FNN67" s="401"/>
      <c r="FNO67" s="401"/>
      <c r="FNP67" s="401"/>
      <c r="FNQ67" s="401"/>
      <c r="FNR67" s="401"/>
      <c r="FNS67" s="401"/>
      <c r="FNT67" s="401"/>
      <c r="FNU67" s="401"/>
      <c r="FNV67" s="401"/>
      <c r="FNW67" s="401"/>
      <c r="FNX67" s="401"/>
      <c r="FNY67" s="401"/>
      <c r="FNZ67" s="401"/>
      <c r="FOA67" s="401"/>
      <c r="FOB67" s="401"/>
      <c r="FOC67" s="401"/>
      <c r="FOD67" s="401"/>
      <c r="FOE67" s="401"/>
      <c r="FOF67" s="401"/>
      <c r="FOG67" s="401"/>
      <c r="FOH67" s="401"/>
      <c r="FOI67" s="401"/>
      <c r="FOJ67" s="401"/>
      <c r="FOK67" s="401"/>
      <c r="FOL67" s="401"/>
      <c r="FOM67" s="401"/>
      <c r="FON67" s="401"/>
      <c r="FOO67" s="401"/>
      <c r="FOP67" s="401"/>
      <c r="FOQ67" s="401"/>
      <c r="FOR67" s="401"/>
      <c r="FOS67" s="401"/>
      <c r="FOT67" s="401"/>
      <c r="FOU67" s="401"/>
      <c r="FOV67" s="401"/>
      <c r="FOW67" s="401"/>
      <c r="FOX67" s="401"/>
      <c r="FOY67" s="401"/>
      <c r="FOZ67" s="401"/>
      <c r="FPA67" s="401"/>
      <c r="FPB67" s="401"/>
      <c r="FPC67" s="401"/>
      <c r="FPD67" s="401"/>
      <c r="FPE67" s="401"/>
      <c r="FPF67" s="401"/>
      <c r="FPG67" s="401"/>
      <c r="FPH67" s="401"/>
      <c r="FPI67" s="401"/>
      <c r="FPJ67" s="401"/>
      <c r="FPK67" s="401"/>
      <c r="FPL67" s="401"/>
      <c r="FPM67" s="401"/>
      <c r="FPN67" s="401"/>
      <c r="FPO67" s="401"/>
      <c r="FPP67" s="401"/>
      <c r="FPQ67" s="401"/>
      <c r="FPR67" s="401"/>
      <c r="FPS67" s="401"/>
      <c r="FPT67" s="401"/>
      <c r="FPU67" s="401"/>
      <c r="FPV67" s="401"/>
      <c r="FPW67" s="401"/>
      <c r="FPX67" s="401"/>
      <c r="FPY67" s="401"/>
      <c r="FPZ67" s="401"/>
      <c r="FQA67" s="401"/>
      <c r="FQB67" s="401"/>
      <c r="FQC67" s="401"/>
      <c r="FQD67" s="401"/>
      <c r="FQE67" s="401"/>
      <c r="FQF67" s="401"/>
      <c r="FQG67" s="401"/>
      <c r="FQH67" s="401"/>
      <c r="FQI67" s="401"/>
      <c r="FQJ67" s="401"/>
      <c r="FQK67" s="401"/>
      <c r="FQL67" s="401"/>
      <c r="FQM67" s="401"/>
      <c r="FQN67" s="401"/>
      <c r="FQO67" s="401"/>
      <c r="FQP67" s="401"/>
      <c r="FQQ67" s="401"/>
      <c r="FQR67" s="401"/>
      <c r="FQS67" s="401"/>
      <c r="FQT67" s="401"/>
      <c r="FQU67" s="401"/>
      <c r="FQV67" s="401"/>
      <c r="FQW67" s="401"/>
      <c r="FQX67" s="401"/>
      <c r="FQY67" s="401"/>
      <c r="FQZ67" s="401"/>
      <c r="FRA67" s="401"/>
      <c r="FRB67" s="401"/>
      <c r="FRC67" s="401"/>
      <c r="FRD67" s="401"/>
      <c r="FRE67" s="401"/>
      <c r="FRF67" s="401"/>
      <c r="FRG67" s="401"/>
      <c r="FRH67" s="401"/>
      <c r="FRI67" s="401"/>
      <c r="FRJ67" s="401"/>
      <c r="FRK67" s="401"/>
      <c r="FRL67" s="401"/>
      <c r="FRM67" s="401"/>
      <c r="FRN67" s="401"/>
      <c r="FRO67" s="401"/>
      <c r="FRP67" s="401"/>
      <c r="FRQ67" s="401"/>
      <c r="FRR67" s="401"/>
      <c r="FRS67" s="401"/>
      <c r="FRT67" s="401"/>
      <c r="FRU67" s="401"/>
      <c r="FRV67" s="401"/>
      <c r="FRW67" s="401"/>
      <c r="FRX67" s="401"/>
      <c r="FRY67" s="401"/>
      <c r="FRZ67" s="401"/>
      <c r="FSA67" s="401"/>
      <c r="FSB67" s="401"/>
      <c r="FSC67" s="401"/>
      <c r="FSD67" s="401"/>
      <c r="FSE67" s="401"/>
      <c r="FSF67" s="401"/>
      <c r="FSG67" s="401"/>
      <c r="FSH67" s="401"/>
      <c r="FSI67" s="401"/>
      <c r="FSJ67" s="401"/>
      <c r="FSK67" s="401"/>
      <c r="FSL67" s="401"/>
      <c r="FSM67" s="401"/>
      <c r="FSN67" s="401"/>
      <c r="FSO67" s="401"/>
      <c r="FSP67" s="401"/>
      <c r="FSQ67" s="401"/>
      <c r="FSR67" s="401"/>
      <c r="FSS67" s="401"/>
      <c r="FST67" s="401"/>
      <c r="FSU67" s="401"/>
      <c r="FSV67" s="401"/>
      <c r="FSW67" s="401"/>
      <c r="FSX67" s="401"/>
      <c r="FSY67" s="401"/>
      <c r="FSZ67" s="401"/>
      <c r="FTA67" s="401"/>
      <c r="FTB67" s="401"/>
      <c r="FTC67" s="401"/>
      <c r="FTD67" s="401"/>
      <c r="FTE67" s="401"/>
      <c r="FTF67" s="401"/>
      <c r="FTG67" s="401"/>
      <c r="FTH67" s="401"/>
      <c r="FTI67" s="401"/>
      <c r="FTJ67" s="401"/>
      <c r="FTK67" s="401"/>
      <c r="FTL67" s="401"/>
      <c r="FTM67" s="401"/>
      <c r="FTN67" s="401"/>
      <c r="FTO67" s="401"/>
      <c r="FTP67" s="401"/>
      <c r="FTQ67" s="401"/>
      <c r="FTR67" s="401"/>
      <c r="FTS67" s="401"/>
      <c r="FTT67" s="401"/>
      <c r="FTU67" s="401"/>
      <c r="FTV67" s="401"/>
      <c r="FTW67" s="401"/>
      <c r="FTX67" s="401"/>
      <c r="FTY67" s="401"/>
      <c r="FTZ67" s="401"/>
      <c r="FUA67" s="401"/>
      <c r="FUB67" s="401"/>
      <c r="FUC67" s="401"/>
      <c r="FUD67" s="401"/>
      <c r="FUE67" s="401"/>
      <c r="FUF67" s="401"/>
      <c r="FUG67" s="401"/>
      <c r="FUH67" s="401"/>
      <c r="FUI67" s="401"/>
      <c r="FUJ67" s="401"/>
      <c r="FUK67" s="401"/>
      <c r="FUL67" s="401"/>
      <c r="FUM67" s="401"/>
      <c r="FUN67" s="401"/>
      <c r="FUO67" s="401"/>
      <c r="FUP67" s="401"/>
      <c r="FUQ67" s="401"/>
      <c r="FUR67" s="401"/>
      <c r="FUS67" s="401"/>
      <c r="FUT67" s="401"/>
      <c r="FUU67" s="401"/>
      <c r="FUV67" s="401"/>
      <c r="FUW67" s="401"/>
      <c r="FUX67" s="401"/>
      <c r="FUY67" s="401"/>
      <c r="FUZ67" s="401"/>
      <c r="FVA67" s="401"/>
      <c r="FVB67" s="401"/>
      <c r="FVC67" s="401"/>
      <c r="FVD67" s="401"/>
      <c r="FVE67" s="401"/>
      <c r="FVF67" s="401"/>
      <c r="FVG67" s="401"/>
      <c r="FVH67" s="401"/>
      <c r="FVI67" s="401"/>
      <c r="FVJ67" s="401"/>
      <c r="FVK67" s="401"/>
      <c r="FVL67" s="401"/>
      <c r="FVM67" s="401"/>
      <c r="FVN67" s="401"/>
      <c r="FVO67" s="401"/>
      <c r="FVP67" s="401"/>
      <c r="FVQ67" s="401"/>
      <c r="FVR67" s="401"/>
      <c r="FVS67" s="401"/>
      <c r="FVT67" s="401"/>
      <c r="FVU67" s="401"/>
      <c r="FVV67" s="401"/>
      <c r="FVW67" s="401"/>
      <c r="FVX67" s="401"/>
      <c r="FVY67" s="401"/>
      <c r="FVZ67" s="401"/>
      <c r="FWA67" s="401"/>
      <c r="FWB67" s="401"/>
      <c r="FWC67" s="401"/>
      <c r="FWD67" s="401"/>
      <c r="FWE67" s="401"/>
      <c r="FWF67" s="401"/>
      <c r="FWG67" s="401"/>
      <c r="FWH67" s="401"/>
      <c r="FWI67" s="401"/>
      <c r="FWJ67" s="401"/>
      <c r="FWK67" s="401"/>
      <c r="FWL67" s="401"/>
      <c r="FWM67" s="401"/>
      <c r="FWN67" s="401"/>
      <c r="FWO67" s="401"/>
      <c r="FWP67" s="401"/>
      <c r="FWQ67" s="401"/>
      <c r="FWR67" s="401"/>
      <c r="FWS67" s="401"/>
      <c r="FWT67" s="401"/>
      <c r="FWU67" s="401"/>
      <c r="FWV67" s="401"/>
      <c r="FWW67" s="401"/>
      <c r="FWX67" s="401"/>
      <c r="FWY67" s="401"/>
      <c r="FWZ67" s="401"/>
      <c r="FXA67" s="401"/>
      <c r="FXB67" s="401"/>
      <c r="FXC67" s="401"/>
      <c r="FXD67" s="401"/>
      <c r="FXE67" s="401"/>
      <c r="FXF67" s="401"/>
      <c r="FXG67" s="401"/>
      <c r="FXH67" s="401"/>
      <c r="FXI67" s="401"/>
      <c r="FXJ67" s="401"/>
      <c r="FXK67" s="401"/>
      <c r="FXL67" s="401"/>
      <c r="FXM67" s="401"/>
      <c r="FXN67" s="401"/>
      <c r="FXO67" s="401"/>
      <c r="FXP67" s="401"/>
      <c r="FXQ67" s="401"/>
      <c r="FXR67" s="401"/>
      <c r="FXS67" s="401"/>
      <c r="FXT67" s="401"/>
      <c r="FXU67" s="401"/>
      <c r="FXV67" s="401"/>
      <c r="FXW67" s="401"/>
      <c r="FXX67" s="401"/>
      <c r="FXY67" s="401"/>
      <c r="FXZ67" s="401"/>
      <c r="FYA67" s="401"/>
      <c r="FYB67" s="401"/>
      <c r="FYC67" s="401"/>
      <c r="FYD67" s="401"/>
      <c r="FYE67" s="401"/>
      <c r="FYF67" s="401"/>
      <c r="FYG67" s="401"/>
      <c r="FYH67" s="401"/>
      <c r="FYI67" s="401"/>
      <c r="FYJ67" s="401"/>
      <c r="FYK67" s="401"/>
      <c r="FYL67" s="401"/>
      <c r="FYM67" s="401"/>
      <c r="FYN67" s="401"/>
      <c r="FYO67" s="401"/>
      <c r="FYP67" s="401"/>
      <c r="FYQ67" s="401"/>
      <c r="FYR67" s="401"/>
      <c r="FYS67" s="401"/>
      <c r="FYT67" s="401"/>
      <c r="FYU67" s="401"/>
      <c r="FYV67" s="401"/>
      <c r="FYW67" s="401"/>
      <c r="FYX67" s="401"/>
      <c r="FYY67" s="401"/>
      <c r="FYZ67" s="401"/>
      <c r="FZA67" s="401"/>
      <c r="FZB67" s="401"/>
      <c r="FZC67" s="401"/>
      <c r="FZD67" s="401"/>
      <c r="FZE67" s="401"/>
      <c r="FZF67" s="401"/>
      <c r="FZG67" s="401"/>
      <c r="FZH67" s="401"/>
      <c r="FZI67" s="401"/>
      <c r="FZJ67" s="401"/>
      <c r="FZK67" s="401"/>
      <c r="FZL67" s="401"/>
      <c r="FZM67" s="401"/>
      <c r="FZN67" s="401"/>
      <c r="FZO67" s="401"/>
      <c r="FZP67" s="401"/>
      <c r="FZQ67" s="401"/>
      <c r="FZR67" s="401"/>
      <c r="FZS67" s="401"/>
      <c r="FZT67" s="401"/>
      <c r="FZU67" s="401"/>
      <c r="FZV67" s="401"/>
      <c r="FZW67" s="401"/>
      <c r="FZX67" s="401"/>
      <c r="FZY67" s="401"/>
      <c r="FZZ67" s="401"/>
      <c r="GAA67" s="401"/>
      <c r="GAB67" s="401"/>
      <c r="GAC67" s="401"/>
      <c r="GAD67" s="401"/>
      <c r="GAE67" s="401"/>
      <c r="GAF67" s="401"/>
      <c r="GAG67" s="401"/>
      <c r="GAH67" s="401"/>
      <c r="GAI67" s="401"/>
      <c r="GAJ67" s="401"/>
      <c r="GAK67" s="401"/>
      <c r="GAL67" s="401"/>
      <c r="GAM67" s="401"/>
      <c r="GAN67" s="401"/>
      <c r="GAO67" s="401"/>
      <c r="GAP67" s="401"/>
      <c r="GAQ67" s="401"/>
      <c r="GAR67" s="401"/>
      <c r="GAS67" s="401"/>
      <c r="GAT67" s="401"/>
      <c r="GAU67" s="401"/>
      <c r="GAV67" s="401"/>
      <c r="GAW67" s="401"/>
      <c r="GAX67" s="401"/>
      <c r="GAY67" s="401"/>
      <c r="GAZ67" s="401"/>
      <c r="GBA67" s="401"/>
      <c r="GBB67" s="401"/>
      <c r="GBC67" s="401"/>
      <c r="GBD67" s="401"/>
      <c r="GBE67" s="401"/>
      <c r="GBF67" s="401"/>
      <c r="GBG67" s="401"/>
      <c r="GBH67" s="401"/>
      <c r="GBI67" s="401"/>
      <c r="GBJ67" s="401"/>
      <c r="GBK67" s="401"/>
      <c r="GBL67" s="401"/>
      <c r="GBM67" s="401"/>
      <c r="GBN67" s="401"/>
      <c r="GBO67" s="401"/>
      <c r="GBP67" s="401"/>
      <c r="GBQ67" s="401"/>
      <c r="GBR67" s="401"/>
      <c r="GBS67" s="401"/>
      <c r="GBT67" s="401"/>
      <c r="GBU67" s="401"/>
      <c r="GBV67" s="401"/>
      <c r="GBW67" s="401"/>
      <c r="GBX67" s="401"/>
      <c r="GBY67" s="401"/>
      <c r="GBZ67" s="401"/>
      <c r="GCA67" s="401"/>
      <c r="GCB67" s="401"/>
      <c r="GCC67" s="401"/>
      <c r="GCD67" s="401"/>
      <c r="GCE67" s="401"/>
      <c r="GCF67" s="401"/>
      <c r="GCG67" s="401"/>
      <c r="GCH67" s="401"/>
      <c r="GCI67" s="401"/>
      <c r="GCJ67" s="401"/>
      <c r="GCK67" s="401"/>
      <c r="GCL67" s="401"/>
      <c r="GCM67" s="401"/>
      <c r="GCN67" s="401"/>
      <c r="GCO67" s="401"/>
      <c r="GCP67" s="401"/>
      <c r="GCQ67" s="401"/>
      <c r="GCR67" s="401"/>
      <c r="GCS67" s="401"/>
      <c r="GCT67" s="401"/>
      <c r="GCU67" s="401"/>
      <c r="GCV67" s="401"/>
      <c r="GCW67" s="401"/>
      <c r="GCX67" s="401"/>
      <c r="GCY67" s="401"/>
      <c r="GCZ67" s="401"/>
      <c r="GDA67" s="401"/>
      <c r="GDB67" s="401"/>
      <c r="GDC67" s="401"/>
      <c r="GDD67" s="401"/>
      <c r="GDE67" s="401"/>
      <c r="GDF67" s="401"/>
      <c r="GDG67" s="401"/>
      <c r="GDH67" s="401"/>
      <c r="GDI67" s="401"/>
      <c r="GDJ67" s="401"/>
      <c r="GDK67" s="401"/>
      <c r="GDL67" s="401"/>
      <c r="GDM67" s="401"/>
      <c r="GDN67" s="401"/>
      <c r="GDO67" s="401"/>
      <c r="GDP67" s="401"/>
      <c r="GDQ67" s="401"/>
      <c r="GDR67" s="401"/>
      <c r="GDS67" s="401"/>
      <c r="GDT67" s="401"/>
      <c r="GDU67" s="401"/>
      <c r="GDV67" s="401"/>
      <c r="GDW67" s="401"/>
      <c r="GDX67" s="401"/>
      <c r="GDY67" s="401"/>
      <c r="GDZ67" s="401"/>
      <c r="GEA67" s="401"/>
      <c r="GEB67" s="401"/>
      <c r="GEC67" s="401"/>
      <c r="GED67" s="401"/>
      <c r="GEE67" s="401"/>
      <c r="GEF67" s="401"/>
      <c r="GEG67" s="401"/>
      <c r="GEH67" s="401"/>
      <c r="GEI67" s="401"/>
      <c r="GEJ67" s="401"/>
      <c r="GEK67" s="401"/>
      <c r="GEL67" s="401"/>
      <c r="GEM67" s="401"/>
      <c r="GEN67" s="401"/>
      <c r="GEO67" s="401"/>
      <c r="GEP67" s="401"/>
      <c r="GEQ67" s="401"/>
      <c r="GER67" s="401"/>
      <c r="GES67" s="401"/>
      <c r="GET67" s="401"/>
      <c r="GEU67" s="401"/>
      <c r="GEV67" s="401"/>
      <c r="GEW67" s="401"/>
      <c r="GEX67" s="401"/>
      <c r="GEY67" s="401"/>
      <c r="GEZ67" s="401"/>
      <c r="GFA67" s="401"/>
      <c r="GFB67" s="401"/>
      <c r="GFC67" s="401"/>
      <c r="GFD67" s="401"/>
      <c r="GFE67" s="401"/>
      <c r="GFF67" s="401"/>
      <c r="GFG67" s="401"/>
      <c r="GFH67" s="401"/>
      <c r="GFI67" s="401"/>
      <c r="GFJ67" s="401"/>
      <c r="GFK67" s="401"/>
      <c r="GFL67" s="401"/>
      <c r="GFM67" s="401"/>
      <c r="GFN67" s="401"/>
      <c r="GFO67" s="401"/>
      <c r="GFP67" s="401"/>
      <c r="GFQ67" s="401"/>
      <c r="GFR67" s="401"/>
      <c r="GFS67" s="401"/>
      <c r="GFT67" s="401"/>
      <c r="GFU67" s="401"/>
      <c r="GFV67" s="401"/>
      <c r="GFW67" s="401"/>
      <c r="GFX67" s="401"/>
      <c r="GFY67" s="401"/>
      <c r="GFZ67" s="401"/>
      <c r="GGA67" s="401"/>
      <c r="GGB67" s="401"/>
      <c r="GGC67" s="401"/>
      <c r="GGD67" s="401"/>
      <c r="GGE67" s="401"/>
      <c r="GGF67" s="401"/>
      <c r="GGG67" s="401"/>
      <c r="GGH67" s="401"/>
      <c r="GGI67" s="401"/>
      <c r="GGJ67" s="401"/>
      <c r="GGK67" s="401"/>
      <c r="GGL67" s="401"/>
      <c r="GGM67" s="401"/>
      <c r="GGN67" s="401"/>
      <c r="GGO67" s="401"/>
      <c r="GGP67" s="401"/>
      <c r="GGQ67" s="401"/>
      <c r="GGR67" s="401"/>
      <c r="GGS67" s="401"/>
      <c r="GGT67" s="401"/>
      <c r="GGU67" s="401"/>
      <c r="GGV67" s="401"/>
      <c r="GGW67" s="401"/>
      <c r="GGX67" s="401"/>
      <c r="GGY67" s="401"/>
      <c r="GGZ67" s="401"/>
      <c r="GHA67" s="401"/>
      <c r="GHB67" s="401"/>
      <c r="GHC67" s="401"/>
      <c r="GHD67" s="401"/>
      <c r="GHE67" s="401"/>
      <c r="GHF67" s="401"/>
      <c r="GHG67" s="401"/>
      <c r="GHH67" s="401"/>
      <c r="GHI67" s="401"/>
      <c r="GHJ67" s="401"/>
      <c r="GHK67" s="401"/>
      <c r="GHL67" s="401"/>
      <c r="GHM67" s="401"/>
      <c r="GHN67" s="401"/>
      <c r="GHO67" s="401"/>
      <c r="GHP67" s="401"/>
      <c r="GHQ67" s="401"/>
      <c r="GHR67" s="401"/>
      <c r="GHS67" s="401"/>
      <c r="GHT67" s="401"/>
      <c r="GHU67" s="401"/>
      <c r="GHV67" s="401"/>
      <c r="GHW67" s="401"/>
      <c r="GHX67" s="401"/>
      <c r="GHY67" s="401"/>
      <c r="GHZ67" s="401"/>
      <c r="GIA67" s="401"/>
      <c r="GIB67" s="401"/>
      <c r="GIC67" s="401"/>
      <c r="GID67" s="401"/>
      <c r="GIE67" s="401"/>
      <c r="GIF67" s="401"/>
      <c r="GIG67" s="401"/>
      <c r="GIH67" s="401"/>
      <c r="GII67" s="401"/>
      <c r="GIJ67" s="401"/>
      <c r="GIK67" s="401"/>
      <c r="GIL67" s="401"/>
      <c r="GIM67" s="401"/>
      <c r="GIN67" s="401"/>
      <c r="GIO67" s="401"/>
      <c r="GIP67" s="401"/>
      <c r="GIQ67" s="401"/>
      <c r="GIR67" s="401"/>
      <c r="GIS67" s="401"/>
      <c r="GIT67" s="401"/>
      <c r="GIU67" s="401"/>
      <c r="GIV67" s="401"/>
      <c r="GIW67" s="401"/>
      <c r="GIX67" s="401"/>
      <c r="GIY67" s="401"/>
      <c r="GIZ67" s="401"/>
      <c r="GJA67" s="401"/>
      <c r="GJB67" s="401"/>
      <c r="GJC67" s="401"/>
      <c r="GJD67" s="401"/>
      <c r="GJE67" s="401"/>
      <c r="GJF67" s="401"/>
      <c r="GJG67" s="401"/>
      <c r="GJH67" s="401"/>
      <c r="GJI67" s="401"/>
      <c r="GJJ67" s="401"/>
      <c r="GJK67" s="401"/>
      <c r="GJL67" s="401"/>
      <c r="GJM67" s="401"/>
      <c r="GJN67" s="401"/>
      <c r="GJO67" s="401"/>
      <c r="GJP67" s="401"/>
      <c r="GJQ67" s="401"/>
      <c r="GJR67" s="401"/>
      <c r="GJS67" s="401"/>
      <c r="GJT67" s="401"/>
      <c r="GJU67" s="401"/>
      <c r="GJV67" s="401"/>
      <c r="GJW67" s="401"/>
      <c r="GJX67" s="401"/>
      <c r="GJY67" s="401"/>
      <c r="GJZ67" s="401"/>
      <c r="GKA67" s="401"/>
      <c r="GKB67" s="401"/>
      <c r="GKC67" s="401"/>
      <c r="GKD67" s="401"/>
      <c r="GKE67" s="401"/>
      <c r="GKF67" s="401"/>
      <c r="GKG67" s="401"/>
      <c r="GKH67" s="401"/>
      <c r="GKI67" s="401"/>
      <c r="GKJ67" s="401"/>
      <c r="GKK67" s="401"/>
      <c r="GKL67" s="401"/>
      <c r="GKM67" s="401"/>
      <c r="GKN67" s="401"/>
      <c r="GKO67" s="401"/>
      <c r="GKP67" s="401"/>
      <c r="GKQ67" s="401"/>
      <c r="GKR67" s="401"/>
      <c r="GKS67" s="401"/>
      <c r="GKT67" s="401"/>
      <c r="GKU67" s="401"/>
      <c r="GKV67" s="401"/>
      <c r="GKW67" s="401"/>
      <c r="GKX67" s="401"/>
      <c r="GKY67" s="401"/>
      <c r="GKZ67" s="401"/>
      <c r="GLA67" s="401"/>
      <c r="GLB67" s="401"/>
      <c r="GLC67" s="401"/>
      <c r="GLD67" s="401"/>
      <c r="GLE67" s="401"/>
      <c r="GLF67" s="401"/>
      <c r="GLG67" s="401"/>
      <c r="GLH67" s="401"/>
      <c r="GLI67" s="401"/>
      <c r="GLJ67" s="401"/>
      <c r="GLK67" s="401"/>
      <c r="GLL67" s="401"/>
      <c r="GLM67" s="401"/>
      <c r="GLN67" s="401"/>
      <c r="GLO67" s="401"/>
      <c r="GLP67" s="401"/>
      <c r="GLQ67" s="401"/>
      <c r="GLR67" s="401"/>
      <c r="GLS67" s="401"/>
      <c r="GLT67" s="401"/>
      <c r="GLU67" s="401"/>
      <c r="GLV67" s="401"/>
      <c r="GLW67" s="401"/>
      <c r="GLX67" s="401"/>
      <c r="GLY67" s="401"/>
      <c r="GLZ67" s="401"/>
      <c r="GMA67" s="401"/>
      <c r="GMB67" s="401"/>
      <c r="GMC67" s="401"/>
      <c r="GMD67" s="401"/>
      <c r="GME67" s="401"/>
      <c r="GMF67" s="401"/>
      <c r="GMG67" s="401"/>
      <c r="GMH67" s="401"/>
      <c r="GMI67" s="401"/>
      <c r="GMJ67" s="401"/>
      <c r="GMK67" s="401"/>
      <c r="GML67" s="401"/>
      <c r="GMM67" s="401"/>
      <c r="GMN67" s="401"/>
      <c r="GMO67" s="401"/>
      <c r="GMP67" s="401"/>
      <c r="GMQ67" s="401"/>
      <c r="GMR67" s="401"/>
      <c r="GMS67" s="401"/>
      <c r="GMT67" s="401"/>
      <c r="GMU67" s="401"/>
      <c r="GMV67" s="401"/>
      <c r="GMW67" s="401"/>
      <c r="GMX67" s="401"/>
      <c r="GMY67" s="401"/>
      <c r="GMZ67" s="401"/>
      <c r="GNA67" s="401"/>
      <c r="GNB67" s="401"/>
      <c r="GNC67" s="401"/>
      <c r="GND67" s="401"/>
      <c r="GNE67" s="401"/>
      <c r="GNF67" s="401"/>
      <c r="GNG67" s="401"/>
      <c r="GNH67" s="401"/>
      <c r="GNI67" s="401"/>
      <c r="GNJ67" s="401"/>
      <c r="GNK67" s="401"/>
      <c r="GNL67" s="401"/>
      <c r="GNM67" s="401"/>
      <c r="GNN67" s="401"/>
      <c r="GNO67" s="401"/>
      <c r="GNP67" s="401"/>
      <c r="GNQ67" s="401"/>
      <c r="GNR67" s="401"/>
      <c r="GNS67" s="401"/>
      <c r="GNT67" s="401"/>
      <c r="GNU67" s="401"/>
      <c r="GNV67" s="401"/>
      <c r="GNW67" s="401"/>
      <c r="GNX67" s="401"/>
      <c r="GNY67" s="401"/>
      <c r="GNZ67" s="401"/>
      <c r="GOA67" s="401"/>
      <c r="GOB67" s="401"/>
      <c r="GOC67" s="401"/>
      <c r="GOD67" s="401"/>
      <c r="GOE67" s="401"/>
      <c r="GOF67" s="401"/>
      <c r="GOG67" s="401"/>
      <c r="GOH67" s="401"/>
      <c r="GOI67" s="401"/>
      <c r="GOJ67" s="401"/>
      <c r="GOK67" s="401"/>
      <c r="GOL67" s="401"/>
      <c r="GOM67" s="401"/>
      <c r="GON67" s="401"/>
      <c r="GOO67" s="401"/>
      <c r="GOP67" s="401"/>
      <c r="GOQ67" s="401"/>
      <c r="GOR67" s="401"/>
      <c r="GOS67" s="401"/>
      <c r="GOT67" s="401"/>
      <c r="GOU67" s="401"/>
      <c r="GOV67" s="401"/>
      <c r="GOW67" s="401"/>
      <c r="GOX67" s="401"/>
      <c r="GOY67" s="401"/>
      <c r="GOZ67" s="401"/>
      <c r="GPA67" s="401"/>
      <c r="GPB67" s="401"/>
      <c r="GPC67" s="401"/>
      <c r="GPD67" s="401"/>
      <c r="GPE67" s="401"/>
      <c r="GPF67" s="401"/>
      <c r="GPG67" s="401"/>
      <c r="GPH67" s="401"/>
      <c r="GPI67" s="401"/>
      <c r="GPJ67" s="401"/>
      <c r="GPK67" s="401"/>
      <c r="GPL67" s="401"/>
      <c r="GPM67" s="401"/>
      <c r="GPN67" s="401"/>
      <c r="GPO67" s="401"/>
      <c r="GPP67" s="401"/>
      <c r="GPQ67" s="401"/>
      <c r="GPR67" s="401"/>
      <c r="GPS67" s="401"/>
      <c r="GPT67" s="401"/>
      <c r="GPU67" s="401"/>
      <c r="GPV67" s="401"/>
      <c r="GPW67" s="401"/>
      <c r="GPX67" s="401"/>
      <c r="GPY67" s="401"/>
      <c r="GPZ67" s="401"/>
      <c r="GQA67" s="401"/>
      <c r="GQB67" s="401"/>
      <c r="GQC67" s="401"/>
      <c r="GQD67" s="401"/>
      <c r="GQE67" s="401"/>
      <c r="GQF67" s="401"/>
      <c r="GQG67" s="401"/>
      <c r="GQH67" s="401"/>
      <c r="GQI67" s="401"/>
      <c r="GQJ67" s="401"/>
      <c r="GQK67" s="401"/>
      <c r="GQL67" s="401"/>
      <c r="GQM67" s="401"/>
      <c r="GQN67" s="401"/>
      <c r="GQO67" s="401"/>
      <c r="GQP67" s="401"/>
      <c r="GQQ67" s="401"/>
      <c r="GQR67" s="401"/>
      <c r="GQS67" s="401"/>
      <c r="GQT67" s="401"/>
      <c r="GQU67" s="401"/>
      <c r="GQV67" s="401"/>
      <c r="GQW67" s="401"/>
      <c r="GQX67" s="401"/>
      <c r="GQY67" s="401"/>
      <c r="GQZ67" s="401"/>
      <c r="GRA67" s="401"/>
      <c r="GRB67" s="401"/>
      <c r="GRC67" s="401"/>
      <c r="GRD67" s="401"/>
      <c r="GRE67" s="401"/>
      <c r="GRF67" s="401"/>
      <c r="GRG67" s="401"/>
      <c r="GRH67" s="401"/>
      <c r="GRI67" s="401"/>
      <c r="GRJ67" s="401"/>
      <c r="GRK67" s="401"/>
      <c r="GRL67" s="401"/>
      <c r="GRM67" s="401"/>
      <c r="GRN67" s="401"/>
      <c r="GRO67" s="401"/>
      <c r="GRP67" s="401"/>
      <c r="GRQ67" s="401"/>
      <c r="GRR67" s="401"/>
      <c r="GRS67" s="401"/>
      <c r="GRT67" s="401"/>
      <c r="GRU67" s="401"/>
      <c r="GRV67" s="401"/>
      <c r="GRW67" s="401"/>
      <c r="GRX67" s="401"/>
      <c r="GRY67" s="401"/>
      <c r="GRZ67" s="401"/>
      <c r="GSA67" s="401"/>
      <c r="GSB67" s="401"/>
      <c r="GSC67" s="401"/>
      <c r="GSD67" s="401"/>
      <c r="GSE67" s="401"/>
      <c r="GSF67" s="401"/>
      <c r="GSG67" s="401"/>
      <c r="GSH67" s="401"/>
      <c r="GSI67" s="401"/>
      <c r="GSJ67" s="401"/>
      <c r="GSK67" s="401"/>
      <c r="GSL67" s="401"/>
      <c r="GSM67" s="401"/>
      <c r="GSN67" s="401"/>
      <c r="GSO67" s="401"/>
      <c r="GSP67" s="401"/>
      <c r="GSQ67" s="401"/>
      <c r="GSR67" s="401"/>
      <c r="GSS67" s="401"/>
      <c r="GST67" s="401"/>
      <c r="GSU67" s="401"/>
      <c r="GSV67" s="401"/>
      <c r="GSW67" s="401"/>
      <c r="GSX67" s="401"/>
      <c r="GSY67" s="401"/>
      <c r="GSZ67" s="401"/>
      <c r="GTA67" s="401"/>
      <c r="GTB67" s="401"/>
      <c r="GTC67" s="401"/>
      <c r="GTD67" s="401"/>
      <c r="GTE67" s="401"/>
      <c r="GTF67" s="401"/>
      <c r="GTG67" s="401"/>
      <c r="GTH67" s="401"/>
      <c r="GTI67" s="401"/>
      <c r="GTJ67" s="401"/>
      <c r="GTK67" s="401"/>
      <c r="GTL67" s="401"/>
      <c r="GTM67" s="401"/>
      <c r="GTN67" s="401"/>
      <c r="GTO67" s="401"/>
      <c r="GTP67" s="401"/>
      <c r="GTQ67" s="401"/>
      <c r="GTR67" s="401"/>
      <c r="GTS67" s="401"/>
      <c r="GTT67" s="401"/>
      <c r="GTU67" s="401"/>
      <c r="GTV67" s="401"/>
      <c r="GTW67" s="401"/>
      <c r="GTX67" s="401"/>
      <c r="GTY67" s="401"/>
      <c r="GTZ67" s="401"/>
      <c r="GUA67" s="401"/>
      <c r="GUB67" s="401"/>
      <c r="GUC67" s="401"/>
      <c r="GUD67" s="401"/>
      <c r="GUE67" s="401"/>
      <c r="GUF67" s="401"/>
      <c r="GUG67" s="401"/>
      <c r="GUH67" s="401"/>
      <c r="GUI67" s="401"/>
      <c r="GUJ67" s="401"/>
      <c r="GUK67" s="401"/>
      <c r="GUL67" s="401"/>
      <c r="GUM67" s="401"/>
      <c r="GUN67" s="401"/>
      <c r="GUO67" s="401"/>
      <c r="GUP67" s="401"/>
      <c r="GUQ67" s="401"/>
      <c r="GUR67" s="401"/>
      <c r="GUS67" s="401"/>
      <c r="GUT67" s="401"/>
      <c r="GUU67" s="401"/>
      <c r="GUV67" s="401"/>
      <c r="GUW67" s="401"/>
      <c r="GUX67" s="401"/>
      <c r="GUY67" s="401"/>
      <c r="GUZ67" s="401"/>
      <c r="GVA67" s="401"/>
      <c r="GVB67" s="401"/>
      <c r="GVC67" s="401"/>
      <c r="GVD67" s="401"/>
      <c r="GVE67" s="401"/>
      <c r="GVF67" s="401"/>
      <c r="GVG67" s="401"/>
      <c r="GVH67" s="401"/>
      <c r="GVI67" s="401"/>
      <c r="GVJ67" s="401"/>
      <c r="GVK67" s="401"/>
      <c r="GVL67" s="401"/>
      <c r="GVM67" s="401"/>
      <c r="GVN67" s="401"/>
      <c r="GVO67" s="401"/>
      <c r="GVP67" s="401"/>
      <c r="GVQ67" s="401"/>
      <c r="GVR67" s="401"/>
      <c r="GVS67" s="401"/>
      <c r="GVT67" s="401"/>
      <c r="GVU67" s="401"/>
      <c r="GVV67" s="401"/>
      <c r="GVW67" s="401"/>
      <c r="GVX67" s="401"/>
      <c r="GVY67" s="401"/>
      <c r="GVZ67" s="401"/>
      <c r="GWA67" s="401"/>
      <c r="GWB67" s="401"/>
      <c r="GWC67" s="401"/>
      <c r="GWD67" s="401"/>
      <c r="GWE67" s="401"/>
      <c r="GWF67" s="401"/>
      <c r="GWG67" s="401"/>
      <c r="GWH67" s="401"/>
      <c r="GWI67" s="401"/>
      <c r="GWJ67" s="401"/>
      <c r="GWK67" s="401"/>
      <c r="GWL67" s="401"/>
      <c r="GWM67" s="401"/>
      <c r="GWN67" s="401"/>
      <c r="GWO67" s="401"/>
      <c r="GWP67" s="401"/>
      <c r="GWQ67" s="401"/>
      <c r="GWR67" s="401"/>
      <c r="GWS67" s="401"/>
      <c r="GWT67" s="401"/>
      <c r="GWU67" s="401"/>
      <c r="GWV67" s="401"/>
      <c r="GWW67" s="401"/>
      <c r="GWX67" s="401"/>
      <c r="GWY67" s="401"/>
      <c r="GWZ67" s="401"/>
      <c r="GXA67" s="401"/>
      <c r="GXB67" s="401"/>
      <c r="GXC67" s="401"/>
      <c r="GXD67" s="401"/>
      <c r="GXE67" s="401"/>
      <c r="GXF67" s="401"/>
      <c r="GXG67" s="401"/>
      <c r="GXH67" s="401"/>
      <c r="GXI67" s="401"/>
      <c r="GXJ67" s="401"/>
      <c r="GXK67" s="401"/>
      <c r="GXL67" s="401"/>
      <c r="GXM67" s="401"/>
      <c r="GXN67" s="401"/>
      <c r="GXO67" s="401"/>
      <c r="GXP67" s="401"/>
      <c r="GXQ67" s="401"/>
      <c r="GXR67" s="401"/>
      <c r="GXS67" s="401"/>
      <c r="GXT67" s="401"/>
      <c r="GXU67" s="401"/>
      <c r="GXV67" s="401"/>
      <c r="GXW67" s="401"/>
      <c r="GXX67" s="401"/>
      <c r="GXY67" s="401"/>
      <c r="GXZ67" s="401"/>
      <c r="GYA67" s="401"/>
      <c r="GYB67" s="401"/>
      <c r="GYC67" s="401"/>
      <c r="GYD67" s="401"/>
      <c r="GYE67" s="401"/>
      <c r="GYF67" s="401"/>
      <c r="GYG67" s="401"/>
      <c r="GYH67" s="401"/>
      <c r="GYI67" s="401"/>
      <c r="GYJ67" s="401"/>
      <c r="GYK67" s="401"/>
      <c r="GYL67" s="401"/>
      <c r="GYM67" s="401"/>
      <c r="GYN67" s="401"/>
      <c r="GYO67" s="401"/>
      <c r="GYP67" s="401"/>
      <c r="GYQ67" s="401"/>
      <c r="GYR67" s="401"/>
      <c r="GYS67" s="401"/>
      <c r="GYT67" s="401"/>
      <c r="GYU67" s="401"/>
      <c r="GYV67" s="401"/>
      <c r="GYW67" s="401"/>
      <c r="GYX67" s="401"/>
      <c r="GYY67" s="401"/>
      <c r="GYZ67" s="401"/>
      <c r="GZA67" s="401"/>
      <c r="GZB67" s="401"/>
      <c r="GZC67" s="401"/>
      <c r="GZD67" s="401"/>
      <c r="GZE67" s="401"/>
      <c r="GZF67" s="401"/>
      <c r="GZG67" s="401"/>
      <c r="GZH67" s="401"/>
      <c r="GZI67" s="401"/>
      <c r="GZJ67" s="401"/>
      <c r="GZK67" s="401"/>
      <c r="GZL67" s="401"/>
      <c r="GZM67" s="401"/>
      <c r="GZN67" s="401"/>
      <c r="GZO67" s="401"/>
      <c r="GZP67" s="401"/>
      <c r="GZQ67" s="401"/>
      <c r="GZR67" s="401"/>
      <c r="GZS67" s="401"/>
      <c r="GZT67" s="401"/>
      <c r="GZU67" s="401"/>
      <c r="GZV67" s="401"/>
      <c r="GZW67" s="401"/>
      <c r="GZX67" s="401"/>
      <c r="GZY67" s="401"/>
      <c r="GZZ67" s="401"/>
      <c r="HAA67" s="401"/>
      <c r="HAB67" s="401"/>
      <c r="HAC67" s="401"/>
      <c r="HAD67" s="401"/>
      <c r="HAE67" s="401"/>
      <c r="HAF67" s="401"/>
      <c r="HAG67" s="401"/>
      <c r="HAH67" s="401"/>
      <c r="HAI67" s="401"/>
      <c r="HAJ67" s="401"/>
      <c r="HAK67" s="401"/>
      <c r="HAL67" s="401"/>
      <c r="HAM67" s="401"/>
      <c r="HAN67" s="401"/>
      <c r="HAO67" s="401"/>
      <c r="HAP67" s="401"/>
      <c r="HAQ67" s="401"/>
      <c r="HAR67" s="401"/>
      <c r="HAS67" s="401"/>
      <c r="HAT67" s="401"/>
      <c r="HAU67" s="401"/>
      <c r="HAV67" s="401"/>
      <c r="HAW67" s="401"/>
      <c r="HAX67" s="401"/>
      <c r="HAY67" s="401"/>
      <c r="HAZ67" s="401"/>
      <c r="HBA67" s="401"/>
      <c r="HBB67" s="401"/>
      <c r="HBC67" s="401"/>
      <c r="HBD67" s="401"/>
      <c r="HBE67" s="401"/>
      <c r="HBF67" s="401"/>
      <c r="HBG67" s="401"/>
      <c r="HBH67" s="401"/>
      <c r="HBI67" s="401"/>
      <c r="HBJ67" s="401"/>
      <c r="HBK67" s="401"/>
      <c r="HBL67" s="401"/>
      <c r="HBM67" s="401"/>
      <c r="HBN67" s="401"/>
      <c r="HBO67" s="401"/>
      <c r="HBP67" s="401"/>
      <c r="HBQ67" s="401"/>
      <c r="HBR67" s="401"/>
      <c r="HBS67" s="401"/>
      <c r="HBT67" s="401"/>
      <c r="HBU67" s="401"/>
      <c r="HBV67" s="401"/>
      <c r="HBW67" s="401"/>
      <c r="HBX67" s="401"/>
      <c r="HBY67" s="401"/>
      <c r="HBZ67" s="401"/>
      <c r="HCA67" s="401"/>
      <c r="HCB67" s="401"/>
      <c r="HCC67" s="401"/>
      <c r="HCD67" s="401"/>
      <c r="HCE67" s="401"/>
      <c r="HCF67" s="401"/>
      <c r="HCG67" s="401"/>
      <c r="HCH67" s="401"/>
      <c r="HCI67" s="401"/>
      <c r="HCJ67" s="401"/>
      <c r="HCK67" s="401"/>
      <c r="HCL67" s="401"/>
      <c r="HCM67" s="401"/>
      <c r="HCN67" s="401"/>
      <c r="HCO67" s="401"/>
      <c r="HCP67" s="401"/>
      <c r="HCQ67" s="401"/>
      <c r="HCR67" s="401"/>
      <c r="HCS67" s="401"/>
      <c r="HCT67" s="401"/>
      <c r="HCU67" s="401"/>
      <c r="HCV67" s="401"/>
      <c r="HCW67" s="401"/>
      <c r="HCX67" s="401"/>
      <c r="HCY67" s="401"/>
      <c r="HCZ67" s="401"/>
      <c r="HDA67" s="401"/>
      <c r="HDB67" s="401"/>
      <c r="HDC67" s="401"/>
      <c r="HDD67" s="401"/>
      <c r="HDE67" s="401"/>
      <c r="HDF67" s="401"/>
      <c r="HDG67" s="401"/>
      <c r="HDH67" s="401"/>
      <c r="HDI67" s="401"/>
      <c r="HDJ67" s="401"/>
      <c r="HDK67" s="401"/>
      <c r="HDL67" s="401"/>
      <c r="HDM67" s="401"/>
      <c r="HDN67" s="401"/>
      <c r="HDO67" s="401"/>
      <c r="HDP67" s="401"/>
      <c r="HDQ67" s="401"/>
      <c r="HDR67" s="401"/>
      <c r="HDS67" s="401"/>
      <c r="HDT67" s="401"/>
      <c r="HDU67" s="401"/>
      <c r="HDV67" s="401"/>
      <c r="HDW67" s="401"/>
      <c r="HDX67" s="401"/>
      <c r="HDY67" s="401"/>
      <c r="HDZ67" s="401"/>
      <c r="HEA67" s="401"/>
      <c r="HEB67" s="401"/>
      <c r="HEC67" s="401"/>
      <c r="HED67" s="401"/>
      <c r="HEE67" s="401"/>
      <c r="HEF67" s="401"/>
      <c r="HEG67" s="401"/>
      <c r="HEH67" s="401"/>
      <c r="HEI67" s="401"/>
      <c r="HEJ67" s="401"/>
      <c r="HEK67" s="401"/>
      <c r="HEL67" s="401"/>
      <c r="HEM67" s="401"/>
      <c r="HEN67" s="401"/>
      <c r="HEO67" s="401"/>
      <c r="HEP67" s="401"/>
      <c r="HEQ67" s="401"/>
      <c r="HER67" s="401"/>
      <c r="HES67" s="401"/>
      <c r="HET67" s="401"/>
      <c r="HEU67" s="401"/>
      <c r="HEV67" s="401"/>
      <c r="HEW67" s="401"/>
      <c r="HEX67" s="401"/>
      <c r="HEY67" s="401"/>
      <c r="HEZ67" s="401"/>
      <c r="HFA67" s="401"/>
      <c r="HFB67" s="401"/>
      <c r="HFC67" s="401"/>
      <c r="HFD67" s="401"/>
      <c r="HFE67" s="401"/>
      <c r="HFF67" s="401"/>
      <c r="HFG67" s="401"/>
      <c r="HFH67" s="401"/>
      <c r="HFI67" s="401"/>
      <c r="HFJ67" s="401"/>
      <c r="HFK67" s="401"/>
      <c r="HFL67" s="401"/>
      <c r="HFM67" s="401"/>
      <c r="HFN67" s="401"/>
      <c r="HFO67" s="401"/>
      <c r="HFP67" s="401"/>
      <c r="HFQ67" s="401"/>
      <c r="HFR67" s="401"/>
      <c r="HFS67" s="401"/>
      <c r="HFT67" s="401"/>
      <c r="HFU67" s="401"/>
      <c r="HFV67" s="401"/>
      <c r="HFW67" s="401"/>
      <c r="HFX67" s="401"/>
      <c r="HFY67" s="401"/>
      <c r="HFZ67" s="401"/>
      <c r="HGA67" s="401"/>
      <c r="HGB67" s="401"/>
      <c r="HGC67" s="401"/>
      <c r="HGD67" s="401"/>
      <c r="HGE67" s="401"/>
      <c r="HGF67" s="401"/>
      <c r="HGG67" s="401"/>
      <c r="HGH67" s="401"/>
      <c r="HGI67" s="401"/>
      <c r="HGJ67" s="401"/>
      <c r="HGK67" s="401"/>
      <c r="HGL67" s="401"/>
      <c r="HGM67" s="401"/>
      <c r="HGN67" s="401"/>
      <c r="HGO67" s="401"/>
      <c r="HGP67" s="401"/>
      <c r="HGQ67" s="401"/>
      <c r="HGR67" s="401"/>
      <c r="HGS67" s="401"/>
      <c r="HGT67" s="401"/>
      <c r="HGU67" s="401"/>
      <c r="HGV67" s="401"/>
      <c r="HGW67" s="401"/>
      <c r="HGX67" s="401"/>
      <c r="HGY67" s="401"/>
      <c r="HGZ67" s="401"/>
      <c r="HHA67" s="401"/>
      <c r="HHB67" s="401"/>
      <c r="HHC67" s="401"/>
      <c r="HHD67" s="401"/>
      <c r="HHE67" s="401"/>
      <c r="HHF67" s="401"/>
      <c r="HHG67" s="401"/>
      <c r="HHH67" s="401"/>
      <c r="HHI67" s="401"/>
      <c r="HHJ67" s="401"/>
      <c r="HHK67" s="401"/>
      <c r="HHL67" s="401"/>
      <c r="HHM67" s="401"/>
      <c r="HHN67" s="401"/>
      <c r="HHO67" s="401"/>
      <c r="HHP67" s="401"/>
      <c r="HHQ67" s="401"/>
      <c r="HHR67" s="401"/>
      <c r="HHS67" s="401"/>
      <c r="HHT67" s="401"/>
      <c r="HHU67" s="401"/>
      <c r="HHV67" s="401"/>
      <c r="HHW67" s="401"/>
      <c r="HHX67" s="401"/>
      <c r="HHY67" s="401"/>
      <c r="HHZ67" s="401"/>
      <c r="HIA67" s="401"/>
      <c r="HIB67" s="401"/>
      <c r="HIC67" s="401"/>
      <c r="HID67" s="401"/>
      <c r="HIE67" s="401"/>
      <c r="HIF67" s="401"/>
      <c r="HIG67" s="401"/>
      <c r="HIH67" s="401"/>
      <c r="HII67" s="401"/>
      <c r="HIJ67" s="401"/>
      <c r="HIK67" s="401"/>
      <c r="HIL67" s="401"/>
      <c r="HIM67" s="401"/>
      <c r="HIN67" s="401"/>
      <c r="HIO67" s="401"/>
      <c r="HIP67" s="401"/>
      <c r="HIQ67" s="401"/>
      <c r="HIR67" s="401"/>
      <c r="HIS67" s="401"/>
      <c r="HIT67" s="401"/>
      <c r="HIU67" s="401"/>
      <c r="HIV67" s="401"/>
      <c r="HIW67" s="401"/>
      <c r="HIX67" s="401"/>
      <c r="HIY67" s="401"/>
      <c r="HIZ67" s="401"/>
      <c r="HJA67" s="401"/>
      <c r="HJB67" s="401"/>
      <c r="HJC67" s="401"/>
      <c r="HJD67" s="401"/>
      <c r="HJE67" s="401"/>
      <c r="HJF67" s="401"/>
      <c r="HJG67" s="401"/>
      <c r="HJH67" s="401"/>
      <c r="HJI67" s="401"/>
      <c r="HJJ67" s="401"/>
      <c r="HJK67" s="401"/>
      <c r="HJL67" s="401"/>
      <c r="HJM67" s="401"/>
      <c r="HJN67" s="401"/>
      <c r="HJO67" s="401"/>
      <c r="HJP67" s="401"/>
      <c r="HJQ67" s="401"/>
      <c r="HJR67" s="401"/>
      <c r="HJS67" s="401"/>
      <c r="HJT67" s="401"/>
      <c r="HJU67" s="401"/>
      <c r="HJV67" s="401"/>
      <c r="HJW67" s="401"/>
      <c r="HJX67" s="401"/>
      <c r="HJY67" s="401"/>
      <c r="HJZ67" s="401"/>
      <c r="HKA67" s="401"/>
      <c r="HKB67" s="401"/>
      <c r="HKC67" s="401"/>
      <c r="HKD67" s="401"/>
      <c r="HKE67" s="401"/>
      <c r="HKF67" s="401"/>
      <c r="HKG67" s="401"/>
      <c r="HKH67" s="401"/>
      <c r="HKI67" s="401"/>
      <c r="HKJ67" s="401"/>
      <c r="HKK67" s="401"/>
      <c r="HKL67" s="401"/>
      <c r="HKM67" s="401"/>
      <c r="HKN67" s="401"/>
      <c r="HKO67" s="401"/>
      <c r="HKP67" s="401"/>
      <c r="HKQ67" s="401"/>
      <c r="HKR67" s="401"/>
      <c r="HKS67" s="401"/>
      <c r="HKT67" s="401"/>
      <c r="HKU67" s="401"/>
      <c r="HKV67" s="401"/>
      <c r="HKW67" s="401"/>
      <c r="HKX67" s="401"/>
      <c r="HKY67" s="401"/>
      <c r="HKZ67" s="401"/>
      <c r="HLA67" s="401"/>
      <c r="HLB67" s="401"/>
      <c r="HLC67" s="401"/>
      <c r="HLD67" s="401"/>
      <c r="HLE67" s="401"/>
      <c r="HLF67" s="401"/>
      <c r="HLG67" s="401"/>
      <c r="HLH67" s="401"/>
      <c r="HLI67" s="401"/>
      <c r="HLJ67" s="401"/>
      <c r="HLK67" s="401"/>
      <c r="HLL67" s="401"/>
      <c r="HLM67" s="401"/>
      <c r="HLN67" s="401"/>
      <c r="HLO67" s="401"/>
      <c r="HLP67" s="401"/>
      <c r="HLQ67" s="401"/>
      <c r="HLR67" s="401"/>
      <c r="HLS67" s="401"/>
      <c r="HLT67" s="401"/>
      <c r="HLU67" s="401"/>
      <c r="HLV67" s="401"/>
      <c r="HLW67" s="401"/>
      <c r="HLX67" s="401"/>
      <c r="HLY67" s="401"/>
      <c r="HLZ67" s="401"/>
      <c r="HMA67" s="401"/>
      <c r="HMB67" s="401"/>
      <c r="HMC67" s="401"/>
      <c r="HMD67" s="401"/>
      <c r="HME67" s="401"/>
      <c r="HMF67" s="401"/>
      <c r="HMG67" s="401"/>
      <c r="HMH67" s="401"/>
      <c r="HMI67" s="401"/>
      <c r="HMJ67" s="401"/>
      <c r="HMK67" s="401"/>
      <c r="HML67" s="401"/>
      <c r="HMM67" s="401"/>
      <c r="HMN67" s="401"/>
      <c r="HMO67" s="401"/>
      <c r="HMP67" s="401"/>
      <c r="HMQ67" s="401"/>
      <c r="HMR67" s="401"/>
      <c r="HMS67" s="401"/>
      <c r="HMT67" s="401"/>
      <c r="HMU67" s="401"/>
      <c r="HMV67" s="401"/>
      <c r="HMW67" s="401"/>
      <c r="HMX67" s="401"/>
      <c r="HMY67" s="401"/>
      <c r="HMZ67" s="401"/>
      <c r="HNA67" s="401"/>
      <c r="HNB67" s="401"/>
      <c r="HNC67" s="401"/>
      <c r="HND67" s="401"/>
      <c r="HNE67" s="401"/>
      <c r="HNF67" s="401"/>
      <c r="HNG67" s="401"/>
      <c r="HNH67" s="401"/>
      <c r="HNI67" s="401"/>
      <c r="HNJ67" s="401"/>
      <c r="HNK67" s="401"/>
      <c r="HNL67" s="401"/>
      <c r="HNM67" s="401"/>
      <c r="HNN67" s="401"/>
      <c r="HNO67" s="401"/>
      <c r="HNP67" s="401"/>
      <c r="HNQ67" s="401"/>
      <c r="HNR67" s="401"/>
      <c r="HNS67" s="401"/>
      <c r="HNT67" s="401"/>
      <c r="HNU67" s="401"/>
      <c r="HNV67" s="401"/>
      <c r="HNW67" s="401"/>
      <c r="HNX67" s="401"/>
      <c r="HNY67" s="401"/>
      <c r="HNZ67" s="401"/>
      <c r="HOA67" s="401"/>
      <c r="HOB67" s="401"/>
      <c r="HOC67" s="401"/>
      <c r="HOD67" s="401"/>
      <c r="HOE67" s="401"/>
      <c r="HOF67" s="401"/>
      <c r="HOG67" s="401"/>
      <c r="HOH67" s="401"/>
      <c r="HOI67" s="401"/>
      <c r="HOJ67" s="401"/>
      <c r="HOK67" s="401"/>
      <c r="HOL67" s="401"/>
      <c r="HOM67" s="401"/>
      <c r="HON67" s="401"/>
      <c r="HOO67" s="401"/>
      <c r="HOP67" s="401"/>
      <c r="HOQ67" s="401"/>
      <c r="HOR67" s="401"/>
      <c r="HOS67" s="401"/>
      <c r="HOT67" s="401"/>
      <c r="HOU67" s="401"/>
      <c r="HOV67" s="401"/>
      <c r="HOW67" s="401"/>
      <c r="HOX67" s="401"/>
      <c r="HOY67" s="401"/>
      <c r="HOZ67" s="401"/>
      <c r="HPA67" s="401"/>
      <c r="HPB67" s="401"/>
      <c r="HPC67" s="401"/>
      <c r="HPD67" s="401"/>
      <c r="HPE67" s="401"/>
      <c r="HPF67" s="401"/>
      <c r="HPG67" s="401"/>
      <c r="HPH67" s="401"/>
      <c r="HPI67" s="401"/>
      <c r="HPJ67" s="401"/>
      <c r="HPK67" s="401"/>
      <c r="HPL67" s="401"/>
      <c r="HPM67" s="401"/>
      <c r="HPN67" s="401"/>
      <c r="HPO67" s="401"/>
      <c r="HPP67" s="401"/>
      <c r="HPQ67" s="401"/>
      <c r="HPR67" s="401"/>
      <c r="HPS67" s="401"/>
      <c r="HPT67" s="401"/>
      <c r="HPU67" s="401"/>
      <c r="HPV67" s="401"/>
      <c r="HPW67" s="401"/>
      <c r="HPX67" s="401"/>
      <c r="HPY67" s="401"/>
      <c r="HPZ67" s="401"/>
      <c r="HQA67" s="401"/>
      <c r="HQB67" s="401"/>
      <c r="HQC67" s="401"/>
      <c r="HQD67" s="401"/>
      <c r="HQE67" s="401"/>
      <c r="HQF67" s="401"/>
      <c r="HQG67" s="401"/>
      <c r="HQH67" s="401"/>
      <c r="HQI67" s="401"/>
      <c r="HQJ67" s="401"/>
      <c r="HQK67" s="401"/>
      <c r="HQL67" s="401"/>
      <c r="HQM67" s="401"/>
      <c r="HQN67" s="401"/>
      <c r="HQO67" s="401"/>
      <c r="HQP67" s="401"/>
      <c r="HQQ67" s="401"/>
      <c r="HQR67" s="401"/>
      <c r="HQS67" s="401"/>
      <c r="HQT67" s="401"/>
      <c r="HQU67" s="401"/>
      <c r="HQV67" s="401"/>
      <c r="HQW67" s="401"/>
      <c r="HQX67" s="401"/>
      <c r="HQY67" s="401"/>
      <c r="HQZ67" s="401"/>
      <c r="HRA67" s="401"/>
      <c r="HRB67" s="401"/>
      <c r="HRC67" s="401"/>
      <c r="HRD67" s="401"/>
      <c r="HRE67" s="401"/>
      <c r="HRF67" s="401"/>
      <c r="HRG67" s="401"/>
      <c r="HRH67" s="401"/>
      <c r="HRI67" s="401"/>
      <c r="HRJ67" s="401"/>
      <c r="HRK67" s="401"/>
      <c r="HRL67" s="401"/>
      <c r="HRM67" s="401"/>
      <c r="HRN67" s="401"/>
      <c r="HRO67" s="401"/>
      <c r="HRP67" s="401"/>
      <c r="HRQ67" s="401"/>
      <c r="HRR67" s="401"/>
      <c r="HRS67" s="401"/>
      <c r="HRT67" s="401"/>
      <c r="HRU67" s="401"/>
      <c r="HRV67" s="401"/>
      <c r="HRW67" s="401"/>
      <c r="HRX67" s="401"/>
      <c r="HRY67" s="401"/>
      <c r="HRZ67" s="401"/>
      <c r="HSA67" s="401"/>
      <c r="HSB67" s="401"/>
      <c r="HSC67" s="401"/>
      <c r="HSD67" s="401"/>
      <c r="HSE67" s="401"/>
      <c r="HSF67" s="401"/>
      <c r="HSG67" s="401"/>
      <c r="HSH67" s="401"/>
      <c r="HSI67" s="401"/>
      <c r="HSJ67" s="401"/>
      <c r="HSK67" s="401"/>
      <c r="HSL67" s="401"/>
      <c r="HSM67" s="401"/>
      <c r="HSN67" s="401"/>
      <c r="HSO67" s="401"/>
      <c r="HSP67" s="401"/>
      <c r="HSQ67" s="401"/>
      <c r="HSR67" s="401"/>
      <c r="HSS67" s="401"/>
      <c r="HST67" s="401"/>
      <c r="HSU67" s="401"/>
      <c r="HSV67" s="401"/>
      <c r="HSW67" s="401"/>
      <c r="HSX67" s="401"/>
      <c r="HSY67" s="401"/>
      <c r="HSZ67" s="401"/>
      <c r="HTA67" s="401"/>
      <c r="HTB67" s="401"/>
      <c r="HTC67" s="401"/>
      <c r="HTD67" s="401"/>
      <c r="HTE67" s="401"/>
      <c r="HTF67" s="401"/>
      <c r="HTG67" s="401"/>
      <c r="HTH67" s="401"/>
      <c r="HTI67" s="401"/>
      <c r="HTJ67" s="401"/>
      <c r="HTK67" s="401"/>
      <c r="HTL67" s="401"/>
      <c r="HTM67" s="401"/>
      <c r="HTN67" s="401"/>
      <c r="HTO67" s="401"/>
      <c r="HTP67" s="401"/>
      <c r="HTQ67" s="401"/>
      <c r="HTR67" s="401"/>
      <c r="HTS67" s="401"/>
      <c r="HTT67" s="401"/>
      <c r="HTU67" s="401"/>
      <c r="HTV67" s="401"/>
      <c r="HTW67" s="401"/>
      <c r="HTX67" s="401"/>
      <c r="HTY67" s="401"/>
      <c r="HTZ67" s="401"/>
      <c r="HUA67" s="401"/>
      <c r="HUB67" s="401"/>
      <c r="HUC67" s="401"/>
      <c r="HUD67" s="401"/>
      <c r="HUE67" s="401"/>
      <c r="HUF67" s="401"/>
      <c r="HUG67" s="401"/>
      <c r="HUH67" s="401"/>
      <c r="HUI67" s="401"/>
      <c r="HUJ67" s="401"/>
      <c r="HUK67" s="401"/>
      <c r="HUL67" s="401"/>
      <c r="HUM67" s="401"/>
      <c r="HUN67" s="401"/>
      <c r="HUO67" s="401"/>
      <c r="HUP67" s="401"/>
      <c r="HUQ67" s="401"/>
      <c r="HUR67" s="401"/>
      <c r="HUS67" s="401"/>
      <c r="HUT67" s="401"/>
      <c r="HUU67" s="401"/>
      <c r="HUV67" s="401"/>
      <c r="HUW67" s="401"/>
      <c r="HUX67" s="401"/>
      <c r="HUY67" s="401"/>
      <c r="HUZ67" s="401"/>
      <c r="HVA67" s="401"/>
      <c r="HVB67" s="401"/>
      <c r="HVC67" s="401"/>
      <c r="HVD67" s="401"/>
      <c r="HVE67" s="401"/>
      <c r="HVF67" s="401"/>
      <c r="HVG67" s="401"/>
      <c r="HVH67" s="401"/>
      <c r="HVI67" s="401"/>
      <c r="HVJ67" s="401"/>
      <c r="HVK67" s="401"/>
      <c r="HVL67" s="401"/>
      <c r="HVM67" s="401"/>
      <c r="HVN67" s="401"/>
      <c r="HVO67" s="401"/>
      <c r="HVP67" s="401"/>
      <c r="HVQ67" s="401"/>
      <c r="HVR67" s="401"/>
      <c r="HVS67" s="401"/>
      <c r="HVT67" s="401"/>
      <c r="HVU67" s="401"/>
      <c r="HVV67" s="401"/>
      <c r="HVW67" s="401"/>
      <c r="HVX67" s="401"/>
      <c r="HVY67" s="401"/>
      <c r="HVZ67" s="401"/>
      <c r="HWA67" s="401"/>
      <c r="HWB67" s="401"/>
      <c r="HWC67" s="401"/>
      <c r="HWD67" s="401"/>
      <c r="HWE67" s="401"/>
      <c r="HWF67" s="401"/>
      <c r="HWG67" s="401"/>
      <c r="HWH67" s="401"/>
      <c r="HWI67" s="401"/>
      <c r="HWJ67" s="401"/>
      <c r="HWK67" s="401"/>
      <c r="HWL67" s="401"/>
      <c r="HWM67" s="401"/>
      <c r="HWN67" s="401"/>
      <c r="HWO67" s="401"/>
      <c r="HWP67" s="401"/>
      <c r="HWQ67" s="401"/>
      <c r="HWR67" s="401"/>
      <c r="HWS67" s="401"/>
      <c r="HWT67" s="401"/>
      <c r="HWU67" s="401"/>
      <c r="HWV67" s="401"/>
      <c r="HWW67" s="401"/>
      <c r="HWX67" s="401"/>
      <c r="HWY67" s="401"/>
      <c r="HWZ67" s="401"/>
      <c r="HXA67" s="401"/>
      <c r="HXB67" s="401"/>
      <c r="HXC67" s="401"/>
      <c r="HXD67" s="401"/>
      <c r="HXE67" s="401"/>
      <c r="HXF67" s="401"/>
      <c r="HXG67" s="401"/>
      <c r="HXH67" s="401"/>
      <c r="HXI67" s="401"/>
      <c r="HXJ67" s="401"/>
      <c r="HXK67" s="401"/>
      <c r="HXL67" s="401"/>
      <c r="HXM67" s="401"/>
      <c r="HXN67" s="401"/>
      <c r="HXO67" s="401"/>
      <c r="HXP67" s="401"/>
      <c r="HXQ67" s="401"/>
      <c r="HXR67" s="401"/>
      <c r="HXS67" s="401"/>
      <c r="HXT67" s="401"/>
      <c r="HXU67" s="401"/>
      <c r="HXV67" s="401"/>
      <c r="HXW67" s="401"/>
      <c r="HXX67" s="401"/>
      <c r="HXY67" s="401"/>
      <c r="HXZ67" s="401"/>
      <c r="HYA67" s="401"/>
      <c r="HYB67" s="401"/>
      <c r="HYC67" s="401"/>
      <c r="HYD67" s="401"/>
      <c r="HYE67" s="401"/>
      <c r="HYF67" s="401"/>
      <c r="HYG67" s="401"/>
      <c r="HYH67" s="401"/>
      <c r="HYI67" s="401"/>
      <c r="HYJ67" s="401"/>
      <c r="HYK67" s="401"/>
      <c r="HYL67" s="401"/>
      <c r="HYM67" s="401"/>
      <c r="HYN67" s="401"/>
      <c r="HYO67" s="401"/>
      <c r="HYP67" s="401"/>
      <c r="HYQ67" s="401"/>
      <c r="HYR67" s="401"/>
      <c r="HYS67" s="401"/>
      <c r="HYT67" s="401"/>
      <c r="HYU67" s="401"/>
      <c r="HYV67" s="401"/>
      <c r="HYW67" s="401"/>
      <c r="HYX67" s="401"/>
      <c r="HYY67" s="401"/>
      <c r="HYZ67" s="401"/>
      <c r="HZA67" s="401"/>
      <c r="HZB67" s="401"/>
      <c r="HZC67" s="401"/>
      <c r="HZD67" s="401"/>
      <c r="HZE67" s="401"/>
      <c r="HZF67" s="401"/>
      <c r="HZG67" s="401"/>
      <c r="HZH67" s="401"/>
      <c r="HZI67" s="401"/>
      <c r="HZJ67" s="401"/>
      <c r="HZK67" s="401"/>
      <c r="HZL67" s="401"/>
      <c r="HZM67" s="401"/>
      <c r="HZN67" s="401"/>
      <c r="HZO67" s="401"/>
      <c r="HZP67" s="401"/>
      <c r="HZQ67" s="401"/>
      <c r="HZR67" s="401"/>
      <c r="HZS67" s="401"/>
      <c r="HZT67" s="401"/>
      <c r="HZU67" s="401"/>
      <c r="HZV67" s="401"/>
      <c r="HZW67" s="401"/>
      <c r="HZX67" s="401"/>
      <c r="HZY67" s="401"/>
      <c r="HZZ67" s="401"/>
      <c r="IAA67" s="401"/>
      <c r="IAB67" s="401"/>
      <c r="IAC67" s="401"/>
      <c r="IAD67" s="401"/>
      <c r="IAE67" s="401"/>
      <c r="IAF67" s="401"/>
      <c r="IAG67" s="401"/>
      <c r="IAH67" s="401"/>
      <c r="IAI67" s="401"/>
      <c r="IAJ67" s="401"/>
      <c r="IAK67" s="401"/>
      <c r="IAL67" s="401"/>
      <c r="IAM67" s="401"/>
      <c r="IAN67" s="401"/>
      <c r="IAO67" s="401"/>
      <c r="IAP67" s="401"/>
      <c r="IAQ67" s="401"/>
      <c r="IAR67" s="401"/>
      <c r="IAS67" s="401"/>
      <c r="IAT67" s="401"/>
      <c r="IAU67" s="401"/>
      <c r="IAV67" s="401"/>
      <c r="IAW67" s="401"/>
      <c r="IAX67" s="401"/>
      <c r="IAY67" s="401"/>
      <c r="IAZ67" s="401"/>
      <c r="IBA67" s="401"/>
      <c r="IBB67" s="401"/>
      <c r="IBC67" s="401"/>
      <c r="IBD67" s="401"/>
      <c r="IBE67" s="401"/>
      <c r="IBF67" s="401"/>
      <c r="IBG67" s="401"/>
      <c r="IBH67" s="401"/>
      <c r="IBI67" s="401"/>
      <c r="IBJ67" s="401"/>
      <c r="IBK67" s="401"/>
      <c r="IBL67" s="401"/>
      <c r="IBM67" s="401"/>
      <c r="IBN67" s="401"/>
      <c r="IBO67" s="401"/>
      <c r="IBP67" s="401"/>
      <c r="IBQ67" s="401"/>
      <c r="IBR67" s="401"/>
      <c r="IBS67" s="401"/>
      <c r="IBT67" s="401"/>
      <c r="IBU67" s="401"/>
      <c r="IBV67" s="401"/>
      <c r="IBW67" s="401"/>
      <c r="IBX67" s="401"/>
      <c r="IBY67" s="401"/>
      <c r="IBZ67" s="401"/>
      <c r="ICA67" s="401"/>
      <c r="ICB67" s="401"/>
      <c r="ICC67" s="401"/>
      <c r="ICD67" s="401"/>
      <c r="ICE67" s="401"/>
      <c r="ICF67" s="401"/>
      <c r="ICG67" s="401"/>
      <c r="ICH67" s="401"/>
      <c r="ICI67" s="401"/>
      <c r="ICJ67" s="401"/>
      <c r="ICK67" s="401"/>
      <c r="ICL67" s="401"/>
      <c r="ICM67" s="401"/>
      <c r="ICN67" s="401"/>
      <c r="ICO67" s="401"/>
      <c r="ICP67" s="401"/>
      <c r="ICQ67" s="401"/>
      <c r="ICR67" s="401"/>
      <c r="ICS67" s="401"/>
      <c r="ICT67" s="401"/>
      <c r="ICU67" s="401"/>
      <c r="ICV67" s="401"/>
      <c r="ICW67" s="401"/>
      <c r="ICX67" s="401"/>
      <c r="ICY67" s="401"/>
      <c r="ICZ67" s="401"/>
      <c r="IDA67" s="401"/>
      <c r="IDB67" s="401"/>
      <c r="IDC67" s="401"/>
      <c r="IDD67" s="401"/>
      <c r="IDE67" s="401"/>
      <c r="IDF67" s="401"/>
      <c r="IDG67" s="401"/>
      <c r="IDH67" s="401"/>
      <c r="IDI67" s="401"/>
      <c r="IDJ67" s="401"/>
      <c r="IDK67" s="401"/>
      <c r="IDL67" s="401"/>
      <c r="IDM67" s="401"/>
      <c r="IDN67" s="401"/>
      <c r="IDO67" s="401"/>
      <c r="IDP67" s="401"/>
      <c r="IDQ67" s="401"/>
      <c r="IDR67" s="401"/>
      <c r="IDS67" s="401"/>
      <c r="IDT67" s="401"/>
      <c r="IDU67" s="401"/>
      <c r="IDV67" s="401"/>
      <c r="IDW67" s="401"/>
      <c r="IDX67" s="401"/>
      <c r="IDY67" s="401"/>
      <c r="IDZ67" s="401"/>
      <c r="IEA67" s="401"/>
      <c r="IEB67" s="401"/>
      <c r="IEC67" s="401"/>
      <c r="IED67" s="401"/>
      <c r="IEE67" s="401"/>
      <c r="IEF67" s="401"/>
      <c r="IEG67" s="401"/>
      <c r="IEH67" s="401"/>
      <c r="IEI67" s="401"/>
      <c r="IEJ67" s="401"/>
      <c r="IEK67" s="401"/>
      <c r="IEL67" s="401"/>
      <c r="IEM67" s="401"/>
      <c r="IEN67" s="401"/>
      <c r="IEO67" s="401"/>
      <c r="IEP67" s="401"/>
      <c r="IEQ67" s="401"/>
      <c r="IER67" s="401"/>
      <c r="IES67" s="401"/>
      <c r="IET67" s="401"/>
      <c r="IEU67" s="401"/>
      <c r="IEV67" s="401"/>
      <c r="IEW67" s="401"/>
      <c r="IEX67" s="401"/>
      <c r="IEY67" s="401"/>
      <c r="IEZ67" s="401"/>
      <c r="IFA67" s="401"/>
      <c r="IFB67" s="401"/>
      <c r="IFC67" s="401"/>
      <c r="IFD67" s="401"/>
      <c r="IFE67" s="401"/>
      <c r="IFF67" s="401"/>
      <c r="IFG67" s="401"/>
      <c r="IFH67" s="401"/>
      <c r="IFI67" s="401"/>
      <c r="IFJ67" s="401"/>
      <c r="IFK67" s="401"/>
      <c r="IFL67" s="401"/>
      <c r="IFM67" s="401"/>
      <c r="IFN67" s="401"/>
      <c r="IFO67" s="401"/>
      <c r="IFP67" s="401"/>
      <c r="IFQ67" s="401"/>
      <c r="IFR67" s="401"/>
      <c r="IFS67" s="401"/>
      <c r="IFT67" s="401"/>
      <c r="IFU67" s="401"/>
      <c r="IFV67" s="401"/>
      <c r="IFW67" s="401"/>
      <c r="IFX67" s="401"/>
      <c r="IFY67" s="401"/>
      <c r="IFZ67" s="401"/>
      <c r="IGA67" s="401"/>
      <c r="IGB67" s="401"/>
      <c r="IGC67" s="401"/>
      <c r="IGD67" s="401"/>
      <c r="IGE67" s="401"/>
      <c r="IGF67" s="401"/>
      <c r="IGG67" s="401"/>
      <c r="IGH67" s="401"/>
      <c r="IGI67" s="401"/>
      <c r="IGJ67" s="401"/>
      <c r="IGK67" s="401"/>
      <c r="IGL67" s="401"/>
      <c r="IGM67" s="401"/>
      <c r="IGN67" s="401"/>
      <c r="IGO67" s="401"/>
      <c r="IGP67" s="401"/>
      <c r="IGQ67" s="401"/>
      <c r="IGR67" s="401"/>
      <c r="IGS67" s="401"/>
      <c r="IGT67" s="401"/>
      <c r="IGU67" s="401"/>
      <c r="IGV67" s="401"/>
      <c r="IGW67" s="401"/>
      <c r="IGX67" s="401"/>
      <c r="IGY67" s="401"/>
      <c r="IGZ67" s="401"/>
      <c r="IHA67" s="401"/>
      <c r="IHB67" s="401"/>
      <c r="IHC67" s="401"/>
      <c r="IHD67" s="401"/>
      <c r="IHE67" s="401"/>
      <c r="IHF67" s="401"/>
      <c r="IHG67" s="401"/>
      <c r="IHH67" s="401"/>
      <c r="IHI67" s="401"/>
      <c r="IHJ67" s="401"/>
      <c r="IHK67" s="401"/>
      <c r="IHL67" s="401"/>
      <c r="IHM67" s="401"/>
      <c r="IHN67" s="401"/>
      <c r="IHO67" s="401"/>
      <c r="IHP67" s="401"/>
      <c r="IHQ67" s="401"/>
      <c r="IHR67" s="401"/>
      <c r="IHS67" s="401"/>
      <c r="IHT67" s="401"/>
      <c r="IHU67" s="401"/>
      <c r="IHV67" s="401"/>
      <c r="IHW67" s="401"/>
      <c r="IHX67" s="401"/>
      <c r="IHY67" s="401"/>
      <c r="IHZ67" s="401"/>
      <c r="IIA67" s="401"/>
      <c r="IIB67" s="401"/>
      <c r="IIC67" s="401"/>
      <c r="IID67" s="401"/>
      <c r="IIE67" s="401"/>
      <c r="IIF67" s="401"/>
      <c r="IIG67" s="401"/>
      <c r="IIH67" s="401"/>
      <c r="III67" s="401"/>
      <c r="IIJ67" s="401"/>
      <c r="IIK67" s="401"/>
      <c r="IIL67" s="401"/>
      <c r="IIM67" s="401"/>
      <c r="IIN67" s="401"/>
      <c r="IIO67" s="401"/>
      <c r="IIP67" s="401"/>
      <c r="IIQ67" s="401"/>
      <c r="IIR67" s="401"/>
      <c r="IIS67" s="401"/>
      <c r="IIT67" s="401"/>
      <c r="IIU67" s="401"/>
      <c r="IIV67" s="401"/>
      <c r="IIW67" s="401"/>
      <c r="IIX67" s="401"/>
      <c r="IIY67" s="401"/>
      <c r="IIZ67" s="401"/>
      <c r="IJA67" s="401"/>
      <c r="IJB67" s="401"/>
      <c r="IJC67" s="401"/>
      <c r="IJD67" s="401"/>
      <c r="IJE67" s="401"/>
      <c r="IJF67" s="401"/>
      <c r="IJG67" s="401"/>
      <c r="IJH67" s="401"/>
      <c r="IJI67" s="401"/>
      <c r="IJJ67" s="401"/>
      <c r="IJK67" s="401"/>
      <c r="IJL67" s="401"/>
      <c r="IJM67" s="401"/>
      <c r="IJN67" s="401"/>
      <c r="IJO67" s="401"/>
      <c r="IJP67" s="401"/>
      <c r="IJQ67" s="401"/>
      <c r="IJR67" s="401"/>
      <c r="IJS67" s="401"/>
      <c r="IJT67" s="401"/>
      <c r="IJU67" s="401"/>
      <c r="IJV67" s="401"/>
      <c r="IJW67" s="401"/>
      <c r="IJX67" s="401"/>
      <c r="IJY67" s="401"/>
      <c r="IJZ67" s="401"/>
      <c r="IKA67" s="401"/>
      <c r="IKB67" s="401"/>
      <c r="IKC67" s="401"/>
      <c r="IKD67" s="401"/>
      <c r="IKE67" s="401"/>
      <c r="IKF67" s="401"/>
      <c r="IKG67" s="401"/>
      <c r="IKH67" s="401"/>
      <c r="IKI67" s="401"/>
      <c r="IKJ67" s="401"/>
      <c r="IKK67" s="401"/>
      <c r="IKL67" s="401"/>
      <c r="IKM67" s="401"/>
      <c r="IKN67" s="401"/>
      <c r="IKO67" s="401"/>
      <c r="IKP67" s="401"/>
      <c r="IKQ67" s="401"/>
      <c r="IKR67" s="401"/>
      <c r="IKS67" s="401"/>
      <c r="IKT67" s="401"/>
      <c r="IKU67" s="401"/>
      <c r="IKV67" s="401"/>
      <c r="IKW67" s="401"/>
      <c r="IKX67" s="401"/>
      <c r="IKY67" s="401"/>
      <c r="IKZ67" s="401"/>
      <c r="ILA67" s="401"/>
      <c r="ILB67" s="401"/>
      <c r="ILC67" s="401"/>
      <c r="ILD67" s="401"/>
      <c r="ILE67" s="401"/>
      <c r="ILF67" s="401"/>
      <c r="ILG67" s="401"/>
      <c r="ILH67" s="401"/>
      <c r="ILI67" s="401"/>
      <c r="ILJ67" s="401"/>
      <c r="ILK67" s="401"/>
      <c r="ILL67" s="401"/>
      <c r="ILM67" s="401"/>
      <c r="ILN67" s="401"/>
      <c r="ILO67" s="401"/>
      <c r="ILP67" s="401"/>
      <c r="ILQ67" s="401"/>
      <c r="ILR67" s="401"/>
      <c r="ILS67" s="401"/>
      <c r="ILT67" s="401"/>
      <c r="ILU67" s="401"/>
      <c r="ILV67" s="401"/>
      <c r="ILW67" s="401"/>
      <c r="ILX67" s="401"/>
      <c r="ILY67" s="401"/>
      <c r="ILZ67" s="401"/>
      <c r="IMA67" s="401"/>
      <c r="IMB67" s="401"/>
      <c r="IMC67" s="401"/>
      <c r="IMD67" s="401"/>
      <c r="IME67" s="401"/>
      <c r="IMF67" s="401"/>
      <c r="IMG67" s="401"/>
      <c r="IMH67" s="401"/>
      <c r="IMI67" s="401"/>
      <c r="IMJ67" s="401"/>
      <c r="IMK67" s="401"/>
      <c r="IML67" s="401"/>
      <c r="IMM67" s="401"/>
      <c r="IMN67" s="401"/>
      <c r="IMO67" s="401"/>
      <c r="IMP67" s="401"/>
      <c r="IMQ67" s="401"/>
      <c r="IMR67" s="401"/>
      <c r="IMS67" s="401"/>
      <c r="IMT67" s="401"/>
      <c r="IMU67" s="401"/>
      <c r="IMV67" s="401"/>
      <c r="IMW67" s="401"/>
      <c r="IMX67" s="401"/>
      <c r="IMY67" s="401"/>
      <c r="IMZ67" s="401"/>
      <c r="INA67" s="401"/>
      <c r="INB67" s="401"/>
      <c r="INC67" s="401"/>
      <c r="IND67" s="401"/>
      <c r="INE67" s="401"/>
      <c r="INF67" s="401"/>
      <c r="ING67" s="401"/>
      <c r="INH67" s="401"/>
      <c r="INI67" s="401"/>
      <c r="INJ67" s="401"/>
      <c r="INK67" s="401"/>
      <c r="INL67" s="401"/>
      <c r="INM67" s="401"/>
      <c r="INN67" s="401"/>
      <c r="INO67" s="401"/>
      <c r="INP67" s="401"/>
      <c r="INQ67" s="401"/>
      <c r="INR67" s="401"/>
      <c r="INS67" s="401"/>
      <c r="INT67" s="401"/>
      <c r="INU67" s="401"/>
      <c r="INV67" s="401"/>
      <c r="INW67" s="401"/>
      <c r="INX67" s="401"/>
      <c r="INY67" s="401"/>
      <c r="INZ67" s="401"/>
      <c r="IOA67" s="401"/>
      <c r="IOB67" s="401"/>
      <c r="IOC67" s="401"/>
      <c r="IOD67" s="401"/>
      <c r="IOE67" s="401"/>
      <c r="IOF67" s="401"/>
      <c r="IOG67" s="401"/>
      <c r="IOH67" s="401"/>
      <c r="IOI67" s="401"/>
      <c r="IOJ67" s="401"/>
      <c r="IOK67" s="401"/>
      <c r="IOL67" s="401"/>
      <c r="IOM67" s="401"/>
      <c r="ION67" s="401"/>
      <c r="IOO67" s="401"/>
      <c r="IOP67" s="401"/>
      <c r="IOQ67" s="401"/>
      <c r="IOR67" s="401"/>
      <c r="IOS67" s="401"/>
      <c r="IOT67" s="401"/>
      <c r="IOU67" s="401"/>
      <c r="IOV67" s="401"/>
      <c r="IOW67" s="401"/>
      <c r="IOX67" s="401"/>
      <c r="IOY67" s="401"/>
      <c r="IOZ67" s="401"/>
      <c r="IPA67" s="401"/>
      <c r="IPB67" s="401"/>
      <c r="IPC67" s="401"/>
      <c r="IPD67" s="401"/>
      <c r="IPE67" s="401"/>
      <c r="IPF67" s="401"/>
      <c r="IPG67" s="401"/>
      <c r="IPH67" s="401"/>
      <c r="IPI67" s="401"/>
      <c r="IPJ67" s="401"/>
      <c r="IPK67" s="401"/>
      <c r="IPL67" s="401"/>
      <c r="IPM67" s="401"/>
      <c r="IPN67" s="401"/>
      <c r="IPO67" s="401"/>
      <c r="IPP67" s="401"/>
      <c r="IPQ67" s="401"/>
      <c r="IPR67" s="401"/>
      <c r="IPS67" s="401"/>
      <c r="IPT67" s="401"/>
      <c r="IPU67" s="401"/>
      <c r="IPV67" s="401"/>
      <c r="IPW67" s="401"/>
      <c r="IPX67" s="401"/>
      <c r="IPY67" s="401"/>
      <c r="IPZ67" s="401"/>
      <c r="IQA67" s="401"/>
      <c r="IQB67" s="401"/>
      <c r="IQC67" s="401"/>
      <c r="IQD67" s="401"/>
      <c r="IQE67" s="401"/>
      <c r="IQF67" s="401"/>
      <c r="IQG67" s="401"/>
      <c r="IQH67" s="401"/>
      <c r="IQI67" s="401"/>
      <c r="IQJ67" s="401"/>
      <c r="IQK67" s="401"/>
      <c r="IQL67" s="401"/>
      <c r="IQM67" s="401"/>
      <c r="IQN67" s="401"/>
      <c r="IQO67" s="401"/>
      <c r="IQP67" s="401"/>
      <c r="IQQ67" s="401"/>
      <c r="IQR67" s="401"/>
      <c r="IQS67" s="401"/>
      <c r="IQT67" s="401"/>
      <c r="IQU67" s="401"/>
      <c r="IQV67" s="401"/>
      <c r="IQW67" s="401"/>
      <c r="IQX67" s="401"/>
      <c r="IQY67" s="401"/>
      <c r="IQZ67" s="401"/>
      <c r="IRA67" s="401"/>
      <c r="IRB67" s="401"/>
      <c r="IRC67" s="401"/>
      <c r="IRD67" s="401"/>
      <c r="IRE67" s="401"/>
      <c r="IRF67" s="401"/>
      <c r="IRG67" s="401"/>
      <c r="IRH67" s="401"/>
      <c r="IRI67" s="401"/>
      <c r="IRJ67" s="401"/>
      <c r="IRK67" s="401"/>
      <c r="IRL67" s="401"/>
      <c r="IRM67" s="401"/>
      <c r="IRN67" s="401"/>
      <c r="IRO67" s="401"/>
      <c r="IRP67" s="401"/>
      <c r="IRQ67" s="401"/>
      <c r="IRR67" s="401"/>
      <c r="IRS67" s="401"/>
      <c r="IRT67" s="401"/>
      <c r="IRU67" s="401"/>
      <c r="IRV67" s="401"/>
      <c r="IRW67" s="401"/>
      <c r="IRX67" s="401"/>
      <c r="IRY67" s="401"/>
      <c r="IRZ67" s="401"/>
      <c r="ISA67" s="401"/>
      <c r="ISB67" s="401"/>
      <c r="ISC67" s="401"/>
      <c r="ISD67" s="401"/>
      <c r="ISE67" s="401"/>
      <c r="ISF67" s="401"/>
      <c r="ISG67" s="401"/>
      <c r="ISH67" s="401"/>
      <c r="ISI67" s="401"/>
      <c r="ISJ67" s="401"/>
      <c r="ISK67" s="401"/>
      <c r="ISL67" s="401"/>
      <c r="ISM67" s="401"/>
      <c r="ISN67" s="401"/>
      <c r="ISO67" s="401"/>
      <c r="ISP67" s="401"/>
      <c r="ISQ67" s="401"/>
      <c r="ISR67" s="401"/>
      <c r="ISS67" s="401"/>
      <c r="IST67" s="401"/>
      <c r="ISU67" s="401"/>
      <c r="ISV67" s="401"/>
      <c r="ISW67" s="401"/>
      <c r="ISX67" s="401"/>
      <c r="ISY67" s="401"/>
      <c r="ISZ67" s="401"/>
      <c r="ITA67" s="401"/>
      <c r="ITB67" s="401"/>
      <c r="ITC67" s="401"/>
      <c r="ITD67" s="401"/>
      <c r="ITE67" s="401"/>
      <c r="ITF67" s="401"/>
      <c r="ITG67" s="401"/>
      <c r="ITH67" s="401"/>
      <c r="ITI67" s="401"/>
      <c r="ITJ67" s="401"/>
      <c r="ITK67" s="401"/>
      <c r="ITL67" s="401"/>
      <c r="ITM67" s="401"/>
      <c r="ITN67" s="401"/>
      <c r="ITO67" s="401"/>
      <c r="ITP67" s="401"/>
      <c r="ITQ67" s="401"/>
      <c r="ITR67" s="401"/>
      <c r="ITS67" s="401"/>
      <c r="ITT67" s="401"/>
      <c r="ITU67" s="401"/>
      <c r="ITV67" s="401"/>
      <c r="ITW67" s="401"/>
      <c r="ITX67" s="401"/>
      <c r="ITY67" s="401"/>
      <c r="ITZ67" s="401"/>
      <c r="IUA67" s="401"/>
      <c r="IUB67" s="401"/>
      <c r="IUC67" s="401"/>
      <c r="IUD67" s="401"/>
      <c r="IUE67" s="401"/>
      <c r="IUF67" s="401"/>
      <c r="IUG67" s="401"/>
      <c r="IUH67" s="401"/>
      <c r="IUI67" s="401"/>
      <c r="IUJ67" s="401"/>
      <c r="IUK67" s="401"/>
      <c r="IUL67" s="401"/>
      <c r="IUM67" s="401"/>
      <c r="IUN67" s="401"/>
      <c r="IUO67" s="401"/>
      <c r="IUP67" s="401"/>
      <c r="IUQ67" s="401"/>
      <c r="IUR67" s="401"/>
      <c r="IUS67" s="401"/>
      <c r="IUT67" s="401"/>
      <c r="IUU67" s="401"/>
      <c r="IUV67" s="401"/>
      <c r="IUW67" s="401"/>
      <c r="IUX67" s="401"/>
      <c r="IUY67" s="401"/>
      <c r="IUZ67" s="401"/>
      <c r="IVA67" s="401"/>
      <c r="IVB67" s="401"/>
      <c r="IVC67" s="401"/>
      <c r="IVD67" s="401"/>
      <c r="IVE67" s="401"/>
      <c r="IVF67" s="401"/>
      <c r="IVG67" s="401"/>
      <c r="IVH67" s="401"/>
      <c r="IVI67" s="401"/>
      <c r="IVJ67" s="401"/>
      <c r="IVK67" s="401"/>
      <c r="IVL67" s="401"/>
      <c r="IVM67" s="401"/>
      <c r="IVN67" s="401"/>
      <c r="IVO67" s="401"/>
      <c r="IVP67" s="401"/>
      <c r="IVQ67" s="401"/>
      <c r="IVR67" s="401"/>
      <c r="IVS67" s="401"/>
      <c r="IVT67" s="401"/>
      <c r="IVU67" s="401"/>
      <c r="IVV67" s="401"/>
      <c r="IVW67" s="401"/>
      <c r="IVX67" s="401"/>
      <c r="IVY67" s="401"/>
      <c r="IVZ67" s="401"/>
      <c r="IWA67" s="401"/>
      <c r="IWB67" s="401"/>
      <c r="IWC67" s="401"/>
      <c r="IWD67" s="401"/>
      <c r="IWE67" s="401"/>
      <c r="IWF67" s="401"/>
      <c r="IWG67" s="401"/>
      <c r="IWH67" s="401"/>
      <c r="IWI67" s="401"/>
      <c r="IWJ67" s="401"/>
      <c r="IWK67" s="401"/>
      <c r="IWL67" s="401"/>
      <c r="IWM67" s="401"/>
      <c r="IWN67" s="401"/>
      <c r="IWO67" s="401"/>
      <c r="IWP67" s="401"/>
      <c r="IWQ67" s="401"/>
      <c r="IWR67" s="401"/>
      <c r="IWS67" s="401"/>
      <c r="IWT67" s="401"/>
      <c r="IWU67" s="401"/>
      <c r="IWV67" s="401"/>
      <c r="IWW67" s="401"/>
      <c r="IWX67" s="401"/>
      <c r="IWY67" s="401"/>
      <c r="IWZ67" s="401"/>
      <c r="IXA67" s="401"/>
      <c r="IXB67" s="401"/>
      <c r="IXC67" s="401"/>
      <c r="IXD67" s="401"/>
      <c r="IXE67" s="401"/>
      <c r="IXF67" s="401"/>
      <c r="IXG67" s="401"/>
      <c r="IXH67" s="401"/>
      <c r="IXI67" s="401"/>
      <c r="IXJ67" s="401"/>
      <c r="IXK67" s="401"/>
      <c r="IXL67" s="401"/>
      <c r="IXM67" s="401"/>
      <c r="IXN67" s="401"/>
      <c r="IXO67" s="401"/>
      <c r="IXP67" s="401"/>
      <c r="IXQ67" s="401"/>
      <c r="IXR67" s="401"/>
      <c r="IXS67" s="401"/>
      <c r="IXT67" s="401"/>
      <c r="IXU67" s="401"/>
      <c r="IXV67" s="401"/>
      <c r="IXW67" s="401"/>
      <c r="IXX67" s="401"/>
      <c r="IXY67" s="401"/>
      <c r="IXZ67" s="401"/>
      <c r="IYA67" s="401"/>
      <c r="IYB67" s="401"/>
      <c r="IYC67" s="401"/>
      <c r="IYD67" s="401"/>
      <c r="IYE67" s="401"/>
      <c r="IYF67" s="401"/>
      <c r="IYG67" s="401"/>
      <c r="IYH67" s="401"/>
      <c r="IYI67" s="401"/>
      <c r="IYJ67" s="401"/>
      <c r="IYK67" s="401"/>
      <c r="IYL67" s="401"/>
      <c r="IYM67" s="401"/>
      <c r="IYN67" s="401"/>
      <c r="IYO67" s="401"/>
      <c r="IYP67" s="401"/>
      <c r="IYQ67" s="401"/>
      <c r="IYR67" s="401"/>
      <c r="IYS67" s="401"/>
      <c r="IYT67" s="401"/>
      <c r="IYU67" s="401"/>
      <c r="IYV67" s="401"/>
      <c r="IYW67" s="401"/>
      <c r="IYX67" s="401"/>
      <c r="IYY67" s="401"/>
      <c r="IYZ67" s="401"/>
      <c r="IZA67" s="401"/>
      <c r="IZB67" s="401"/>
      <c r="IZC67" s="401"/>
      <c r="IZD67" s="401"/>
      <c r="IZE67" s="401"/>
      <c r="IZF67" s="401"/>
      <c r="IZG67" s="401"/>
      <c r="IZH67" s="401"/>
      <c r="IZI67" s="401"/>
      <c r="IZJ67" s="401"/>
      <c r="IZK67" s="401"/>
      <c r="IZL67" s="401"/>
      <c r="IZM67" s="401"/>
      <c r="IZN67" s="401"/>
      <c r="IZO67" s="401"/>
      <c r="IZP67" s="401"/>
      <c r="IZQ67" s="401"/>
      <c r="IZR67" s="401"/>
      <c r="IZS67" s="401"/>
      <c r="IZT67" s="401"/>
      <c r="IZU67" s="401"/>
      <c r="IZV67" s="401"/>
      <c r="IZW67" s="401"/>
      <c r="IZX67" s="401"/>
      <c r="IZY67" s="401"/>
      <c r="IZZ67" s="401"/>
      <c r="JAA67" s="401"/>
      <c r="JAB67" s="401"/>
      <c r="JAC67" s="401"/>
      <c r="JAD67" s="401"/>
      <c r="JAE67" s="401"/>
      <c r="JAF67" s="401"/>
      <c r="JAG67" s="401"/>
      <c r="JAH67" s="401"/>
      <c r="JAI67" s="401"/>
      <c r="JAJ67" s="401"/>
      <c r="JAK67" s="401"/>
      <c r="JAL67" s="401"/>
      <c r="JAM67" s="401"/>
      <c r="JAN67" s="401"/>
      <c r="JAO67" s="401"/>
      <c r="JAP67" s="401"/>
      <c r="JAQ67" s="401"/>
      <c r="JAR67" s="401"/>
      <c r="JAS67" s="401"/>
      <c r="JAT67" s="401"/>
      <c r="JAU67" s="401"/>
      <c r="JAV67" s="401"/>
      <c r="JAW67" s="401"/>
      <c r="JAX67" s="401"/>
      <c r="JAY67" s="401"/>
      <c r="JAZ67" s="401"/>
      <c r="JBA67" s="401"/>
      <c r="JBB67" s="401"/>
      <c r="JBC67" s="401"/>
      <c r="JBD67" s="401"/>
      <c r="JBE67" s="401"/>
      <c r="JBF67" s="401"/>
      <c r="JBG67" s="401"/>
      <c r="JBH67" s="401"/>
      <c r="JBI67" s="401"/>
      <c r="JBJ67" s="401"/>
      <c r="JBK67" s="401"/>
      <c r="JBL67" s="401"/>
      <c r="JBM67" s="401"/>
      <c r="JBN67" s="401"/>
      <c r="JBO67" s="401"/>
      <c r="JBP67" s="401"/>
      <c r="JBQ67" s="401"/>
      <c r="JBR67" s="401"/>
      <c r="JBS67" s="401"/>
      <c r="JBT67" s="401"/>
      <c r="JBU67" s="401"/>
      <c r="JBV67" s="401"/>
      <c r="JBW67" s="401"/>
      <c r="JBX67" s="401"/>
      <c r="JBY67" s="401"/>
      <c r="JBZ67" s="401"/>
      <c r="JCA67" s="401"/>
      <c r="JCB67" s="401"/>
      <c r="JCC67" s="401"/>
      <c r="JCD67" s="401"/>
      <c r="JCE67" s="401"/>
      <c r="JCF67" s="401"/>
      <c r="JCG67" s="401"/>
      <c r="JCH67" s="401"/>
      <c r="JCI67" s="401"/>
      <c r="JCJ67" s="401"/>
      <c r="JCK67" s="401"/>
      <c r="JCL67" s="401"/>
      <c r="JCM67" s="401"/>
      <c r="JCN67" s="401"/>
      <c r="JCO67" s="401"/>
      <c r="JCP67" s="401"/>
      <c r="JCQ67" s="401"/>
      <c r="JCR67" s="401"/>
      <c r="JCS67" s="401"/>
      <c r="JCT67" s="401"/>
      <c r="JCU67" s="401"/>
      <c r="JCV67" s="401"/>
      <c r="JCW67" s="401"/>
      <c r="JCX67" s="401"/>
      <c r="JCY67" s="401"/>
      <c r="JCZ67" s="401"/>
      <c r="JDA67" s="401"/>
      <c r="JDB67" s="401"/>
      <c r="JDC67" s="401"/>
      <c r="JDD67" s="401"/>
      <c r="JDE67" s="401"/>
      <c r="JDF67" s="401"/>
      <c r="JDG67" s="401"/>
      <c r="JDH67" s="401"/>
      <c r="JDI67" s="401"/>
      <c r="JDJ67" s="401"/>
      <c r="JDK67" s="401"/>
      <c r="JDL67" s="401"/>
      <c r="JDM67" s="401"/>
      <c r="JDN67" s="401"/>
      <c r="JDO67" s="401"/>
      <c r="JDP67" s="401"/>
      <c r="JDQ67" s="401"/>
      <c r="JDR67" s="401"/>
      <c r="JDS67" s="401"/>
      <c r="JDT67" s="401"/>
      <c r="JDU67" s="401"/>
      <c r="JDV67" s="401"/>
      <c r="JDW67" s="401"/>
      <c r="JDX67" s="401"/>
      <c r="JDY67" s="401"/>
      <c r="JDZ67" s="401"/>
      <c r="JEA67" s="401"/>
      <c r="JEB67" s="401"/>
      <c r="JEC67" s="401"/>
      <c r="JED67" s="401"/>
      <c r="JEE67" s="401"/>
      <c r="JEF67" s="401"/>
      <c r="JEG67" s="401"/>
      <c r="JEH67" s="401"/>
      <c r="JEI67" s="401"/>
      <c r="JEJ67" s="401"/>
      <c r="JEK67" s="401"/>
      <c r="JEL67" s="401"/>
      <c r="JEM67" s="401"/>
      <c r="JEN67" s="401"/>
      <c r="JEO67" s="401"/>
      <c r="JEP67" s="401"/>
      <c r="JEQ67" s="401"/>
      <c r="JER67" s="401"/>
      <c r="JES67" s="401"/>
      <c r="JET67" s="401"/>
      <c r="JEU67" s="401"/>
      <c r="JEV67" s="401"/>
      <c r="JEW67" s="401"/>
      <c r="JEX67" s="401"/>
      <c r="JEY67" s="401"/>
      <c r="JEZ67" s="401"/>
      <c r="JFA67" s="401"/>
      <c r="JFB67" s="401"/>
      <c r="JFC67" s="401"/>
      <c r="JFD67" s="401"/>
      <c r="JFE67" s="401"/>
      <c r="JFF67" s="401"/>
      <c r="JFG67" s="401"/>
      <c r="JFH67" s="401"/>
      <c r="JFI67" s="401"/>
      <c r="JFJ67" s="401"/>
      <c r="JFK67" s="401"/>
      <c r="JFL67" s="401"/>
      <c r="JFM67" s="401"/>
      <c r="JFN67" s="401"/>
      <c r="JFO67" s="401"/>
      <c r="JFP67" s="401"/>
      <c r="JFQ67" s="401"/>
      <c r="JFR67" s="401"/>
      <c r="JFS67" s="401"/>
      <c r="JFT67" s="401"/>
      <c r="JFU67" s="401"/>
      <c r="JFV67" s="401"/>
      <c r="JFW67" s="401"/>
      <c r="JFX67" s="401"/>
      <c r="JFY67" s="401"/>
      <c r="JFZ67" s="401"/>
      <c r="JGA67" s="401"/>
      <c r="JGB67" s="401"/>
      <c r="JGC67" s="401"/>
      <c r="JGD67" s="401"/>
      <c r="JGE67" s="401"/>
      <c r="JGF67" s="401"/>
      <c r="JGG67" s="401"/>
      <c r="JGH67" s="401"/>
      <c r="JGI67" s="401"/>
      <c r="JGJ67" s="401"/>
      <c r="JGK67" s="401"/>
      <c r="JGL67" s="401"/>
      <c r="JGM67" s="401"/>
      <c r="JGN67" s="401"/>
      <c r="JGO67" s="401"/>
      <c r="JGP67" s="401"/>
      <c r="JGQ67" s="401"/>
      <c r="JGR67" s="401"/>
      <c r="JGS67" s="401"/>
      <c r="JGT67" s="401"/>
      <c r="JGU67" s="401"/>
      <c r="JGV67" s="401"/>
      <c r="JGW67" s="401"/>
      <c r="JGX67" s="401"/>
      <c r="JGY67" s="401"/>
      <c r="JGZ67" s="401"/>
      <c r="JHA67" s="401"/>
      <c r="JHB67" s="401"/>
      <c r="JHC67" s="401"/>
      <c r="JHD67" s="401"/>
      <c r="JHE67" s="401"/>
      <c r="JHF67" s="401"/>
      <c r="JHG67" s="401"/>
      <c r="JHH67" s="401"/>
      <c r="JHI67" s="401"/>
      <c r="JHJ67" s="401"/>
      <c r="JHK67" s="401"/>
      <c r="JHL67" s="401"/>
      <c r="JHM67" s="401"/>
      <c r="JHN67" s="401"/>
      <c r="JHO67" s="401"/>
      <c r="JHP67" s="401"/>
      <c r="JHQ67" s="401"/>
      <c r="JHR67" s="401"/>
      <c r="JHS67" s="401"/>
      <c r="JHT67" s="401"/>
      <c r="JHU67" s="401"/>
      <c r="JHV67" s="401"/>
      <c r="JHW67" s="401"/>
      <c r="JHX67" s="401"/>
      <c r="JHY67" s="401"/>
      <c r="JHZ67" s="401"/>
      <c r="JIA67" s="401"/>
      <c r="JIB67" s="401"/>
      <c r="JIC67" s="401"/>
      <c r="JID67" s="401"/>
      <c r="JIE67" s="401"/>
      <c r="JIF67" s="401"/>
      <c r="JIG67" s="401"/>
      <c r="JIH67" s="401"/>
      <c r="JII67" s="401"/>
      <c r="JIJ67" s="401"/>
      <c r="JIK67" s="401"/>
      <c r="JIL67" s="401"/>
      <c r="JIM67" s="401"/>
      <c r="JIN67" s="401"/>
      <c r="JIO67" s="401"/>
      <c r="JIP67" s="401"/>
      <c r="JIQ67" s="401"/>
      <c r="JIR67" s="401"/>
      <c r="JIS67" s="401"/>
      <c r="JIT67" s="401"/>
      <c r="JIU67" s="401"/>
      <c r="JIV67" s="401"/>
      <c r="JIW67" s="401"/>
      <c r="JIX67" s="401"/>
      <c r="JIY67" s="401"/>
      <c r="JIZ67" s="401"/>
      <c r="JJA67" s="401"/>
      <c r="JJB67" s="401"/>
      <c r="JJC67" s="401"/>
      <c r="JJD67" s="401"/>
      <c r="JJE67" s="401"/>
      <c r="JJF67" s="401"/>
      <c r="JJG67" s="401"/>
      <c r="JJH67" s="401"/>
      <c r="JJI67" s="401"/>
      <c r="JJJ67" s="401"/>
      <c r="JJK67" s="401"/>
      <c r="JJL67" s="401"/>
      <c r="JJM67" s="401"/>
      <c r="JJN67" s="401"/>
      <c r="JJO67" s="401"/>
      <c r="JJP67" s="401"/>
      <c r="JJQ67" s="401"/>
      <c r="JJR67" s="401"/>
      <c r="JJS67" s="401"/>
      <c r="JJT67" s="401"/>
      <c r="JJU67" s="401"/>
      <c r="JJV67" s="401"/>
      <c r="JJW67" s="401"/>
      <c r="JJX67" s="401"/>
      <c r="JJY67" s="401"/>
      <c r="JJZ67" s="401"/>
      <c r="JKA67" s="401"/>
      <c r="JKB67" s="401"/>
      <c r="JKC67" s="401"/>
      <c r="JKD67" s="401"/>
      <c r="JKE67" s="401"/>
      <c r="JKF67" s="401"/>
      <c r="JKG67" s="401"/>
      <c r="JKH67" s="401"/>
      <c r="JKI67" s="401"/>
      <c r="JKJ67" s="401"/>
      <c r="JKK67" s="401"/>
      <c r="JKL67" s="401"/>
      <c r="JKM67" s="401"/>
      <c r="JKN67" s="401"/>
      <c r="JKO67" s="401"/>
      <c r="JKP67" s="401"/>
      <c r="JKQ67" s="401"/>
      <c r="JKR67" s="401"/>
      <c r="JKS67" s="401"/>
      <c r="JKT67" s="401"/>
      <c r="JKU67" s="401"/>
      <c r="JKV67" s="401"/>
      <c r="JKW67" s="401"/>
      <c r="JKX67" s="401"/>
      <c r="JKY67" s="401"/>
      <c r="JKZ67" s="401"/>
      <c r="JLA67" s="401"/>
      <c r="JLB67" s="401"/>
      <c r="JLC67" s="401"/>
      <c r="JLD67" s="401"/>
      <c r="JLE67" s="401"/>
      <c r="JLF67" s="401"/>
      <c r="JLG67" s="401"/>
      <c r="JLH67" s="401"/>
      <c r="JLI67" s="401"/>
      <c r="JLJ67" s="401"/>
      <c r="JLK67" s="401"/>
      <c r="JLL67" s="401"/>
      <c r="JLM67" s="401"/>
      <c r="JLN67" s="401"/>
      <c r="JLO67" s="401"/>
      <c r="JLP67" s="401"/>
      <c r="JLQ67" s="401"/>
      <c r="JLR67" s="401"/>
      <c r="JLS67" s="401"/>
      <c r="JLT67" s="401"/>
      <c r="JLU67" s="401"/>
      <c r="JLV67" s="401"/>
      <c r="JLW67" s="401"/>
      <c r="JLX67" s="401"/>
      <c r="JLY67" s="401"/>
      <c r="JLZ67" s="401"/>
      <c r="JMA67" s="401"/>
      <c r="JMB67" s="401"/>
      <c r="JMC67" s="401"/>
      <c r="JMD67" s="401"/>
      <c r="JME67" s="401"/>
      <c r="JMF67" s="401"/>
      <c r="JMG67" s="401"/>
      <c r="JMH67" s="401"/>
      <c r="JMI67" s="401"/>
      <c r="JMJ67" s="401"/>
      <c r="JMK67" s="401"/>
      <c r="JML67" s="401"/>
      <c r="JMM67" s="401"/>
      <c r="JMN67" s="401"/>
      <c r="JMO67" s="401"/>
      <c r="JMP67" s="401"/>
      <c r="JMQ67" s="401"/>
      <c r="JMR67" s="401"/>
      <c r="JMS67" s="401"/>
      <c r="JMT67" s="401"/>
      <c r="JMU67" s="401"/>
      <c r="JMV67" s="401"/>
      <c r="JMW67" s="401"/>
      <c r="JMX67" s="401"/>
      <c r="JMY67" s="401"/>
      <c r="JMZ67" s="401"/>
      <c r="JNA67" s="401"/>
      <c r="JNB67" s="401"/>
      <c r="JNC67" s="401"/>
      <c r="JND67" s="401"/>
      <c r="JNE67" s="401"/>
      <c r="JNF67" s="401"/>
      <c r="JNG67" s="401"/>
      <c r="JNH67" s="401"/>
      <c r="JNI67" s="401"/>
      <c r="JNJ67" s="401"/>
      <c r="JNK67" s="401"/>
      <c r="JNL67" s="401"/>
      <c r="JNM67" s="401"/>
      <c r="JNN67" s="401"/>
      <c r="JNO67" s="401"/>
      <c r="JNP67" s="401"/>
      <c r="JNQ67" s="401"/>
      <c r="JNR67" s="401"/>
      <c r="JNS67" s="401"/>
      <c r="JNT67" s="401"/>
      <c r="JNU67" s="401"/>
      <c r="JNV67" s="401"/>
      <c r="JNW67" s="401"/>
      <c r="JNX67" s="401"/>
      <c r="JNY67" s="401"/>
      <c r="JNZ67" s="401"/>
      <c r="JOA67" s="401"/>
      <c r="JOB67" s="401"/>
      <c r="JOC67" s="401"/>
      <c r="JOD67" s="401"/>
      <c r="JOE67" s="401"/>
      <c r="JOF67" s="401"/>
      <c r="JOG67" s="401"/>
      <c r="JOH67" s="401"/>
      <c r="JOI67" s="401"/>
      <c r="JOJ67" s="401"/>
      <c r="JOK67" s="401"/>
      <c r="JOL67" s="401"/>
      <c r="JOM67" s="401"/>
      <c r="JON67" s="401"/>
      <c r="JOO67" s="401"/>
      <c r="JOP67" s="401"/>
      <c r="JOQ67" s="401"/>
      <c r="JOR67" s="401"/>
      <c r="JOS67" s="401"/>
      <c r="JOT67" s="401"/>
      <c r="JOU67" s="401"/>
      <c r="JOV67" s="401"/>
      <c r="JOW67" s="401"/>
      <c r="JOX67" s="401"/>
      <c r="JOY67" s="401"/>
      <c r="JOZ67" s="401"/>
      <c r="JPA67" s="401"/>
      <c r="JPB67" s="401"/>
      <c r="JPC67" s="401"/>
      <c r="JPD67" s="401"/>
      <c r="JPE67" s="401"/>
      <c r="JPF67" s="401"/>
      <c r="JPG67" s="401"/>
      <c r="JPH67" s="401"/>
      <c r="JPI67" s="401"/>
      <c r="JPJ67" s="401"/>
      <c r="JPK67" s="401"/>
      <c r="JPL67" s="401"/>
      <c r="JPM67" s="401"/>
      <c r="JPN67" s="401"/>
      <c r="JPO67" s="401"/>
      <c r="JPP67" s="401"/>
      <c r="JPQ67" s="401"/>
      <c r="JPR67" s="401"/>
      <c r="JPS67" s="401"/>
      <c r="JPT67" s="401"/>
      <c r="JPU67" s="401"/>
      <c r="JPV67" s="401"/>
      <c r="JPW67" s="401"/>
      <c r="JPX67" s="401"/>
      <c r="JPY67" s="401"/>
      <c r="JPZ67" s="401"/>
      <c r="JQA67" s="401"/>
      <c r="JQB67" s="401"/>
      <c r="JQC67" s="401"/>
      <c r="JQD67" s="401"/>
      <c r="JQE67" s="401"/>
      <c r="JQF67" s="401"/>
      <c r="JQG67" s="401"/>
      <c r="JQH67" s="401"/>
      <c r="JQI67" s="401"/>
      <c r="JQJ67" s="401"/>
      <c r="JQK67" s="401"/>
      <c r="JQL67" s="401"/>
      <c r="JQM67" s="401"/>
      <c r="JQN67" s="401"/>
      <c r="JQO67" s="401"/>
      <c r="JQP67" s="401"/>
      <c r="JQQ67" s="401"/>
      <c r="JQR67" s="401"/>
      <c r="JQS67" s="401"/>
      <c r="JQT67" s="401"/>
      <c r="JQU67" s="401"/>
      <c r="JQV67" s="401"/>
      <c r="JQW67" s="401"/>
      <c r="JQX67" s="401"/>
      <c r="JQY67" s="401"/>
      <c r="JQZ67" s="401"/>
      <c r="JRA67" s="401"/>
      <c r="JRB67" s="401"/>
      <c r="JRC67" s="401"/>
      <c r="JRD67" s="401"/>
      <c r="JRE67" s="401"/>
      <c r="JRF67" s="401"/>
      <c r="JRG67" s="401"/>
      <c r="JRH67" s="401"/>
      <c r="JRI67" s="401"/>
      <c r="JRJ67" s="401"/>
      <c r="JRK67" s="401"/>
      <c r="JRL67" s="401"/>
      <c r="JRM67" s="401"/>
      <c r="JRN67" s="401"/>
      <c r="JRO67" s="401"/>
      <c r="JRP67" s="401"/>
      <c r="JRQ67" s="401"/>
      <c r="JRR67" s="401"/>
      <c r="JRS67" s="401"/>
      <c r="JRT67" s="401"/>
      <c r="JRU67" s="401"/>
      <c r="JRV67" s="401"/>
      <c r="JRW67" s="401"/>
      <c r="JRX67" s="401"/>
      <c r="JRY67" s="401"/>
      <c r="JRZ67" s="401"/>
      <c r="JSA67" s="401"/>
      <c r="JSB67" s="401"/>
      <c r="JSC67" s="401"/>
      <c r="JSD67" s="401"/>
      <c r="JSE67" s="401"/>
      <c r="JSF67" s="401"/>
      <c r="JSG67" s="401"/>
      <c r="JSH67" s="401"/>
      <c r="JSI67" s="401"/>
      <c r="JSJ67" s="401"/>
      <c r="JSK67" s="401"/>
      <c r="JSL67" s="401"/>
      <c r="JSM67" s="401"/>
      <c r="JSN67" s="401"/>
      <c r="JSO67" s="401"/>
      <c r="JSP67" s="401"/>
      <c r="JSQ67" s="401"/>
      <c r="JSR67" s="401"/>
      <c r="JSS67" s="401"/>
      <c r="JST67" s="401"/>
      <c r="JSU67" s="401"/>
      <c r="JSV67" s="401"/>
      <c r="JSW67" s="401"/>
      <c r="JSX67" s="401"/>
      <c r="JSY67" s="401"/>
      <c r="JSZ67" s="401"/>
      <c r="JTA67" s="401"/>
      <c r="JTB67" s="401"/>
      <c r="JTC67" s="401"/>
      <c r="JTD67" s="401"/>
      <c r="JTE67" s="401"/>
      <c r="JTF67" s="401"/>
      <c r="JTG67" s="401"/>
      <c r="JTH67" s="401"/>
      <c r="JTI67" s="401"/>
      <c r="JTJ67" s="401"/>
      <c r="JTK67" s="401"/>
      <c r="JTL67" s="401"/>
      <c r="JTM67" s="401"/>
      <c r="JTN67" s="401"/>
      <c r="JTO67" s="401"/>
      <c r="JTP67" s="401"/>
      <c r="JTQ67" s="401"/>
      <c r="JTR67" s="401"/>
      <c r="JTS67" s="401"/>
      <c r="JTT67" s="401"/>
      <c r="JTU67" s="401"/>
      <c r="JTV67" s="401"/>
      <c r="JTW67" s="401"/>
      <c r="JTX67" s="401"/>
      <c r="JTY67" s="401"/>
      <c r="JTZ67" s="401"/>
      <c r="JUA67" s="401"/>
      <c r="JUB67" s="401"/>
      <c r="JUC67" s="401"/>
      <c r="JUD67" s="401"/>
      <c r="JUE67" s="401"/>
      <c r="JUF67" s="401"/>
      <c r="JUG67" s="401"/>
      <c r="JUH67" s="401"/>
      <c r="JUI67" s="401"/>
      <c r="JUJ67" s="401"/>
      <c r="JUK67" s="401"/>
      <c r="JUL67" s="401"/>
      <c r="JUM67" s="401"/>
      <c r="JUN67" s="401"/>
      <c r="JUO67" s="401"/>
      <c r="JUP67" s="401"/>
      <c r="JUQ67" s="401"/>
      <c r="JUR67" s="401"/>
      <c r="JUS67" s="401"/>
      <c r="JUT67" s="401"/>
      <c r="JUU67" s="401"/>
      <c r="JUV67" s="401"/>
      <c r="JUW67" s="401"/>
      <c r="JUX67" s="401"/>
      <c r="JUY67" s="401"/>
      <c r="JUZ67" s="401"/>
      <c r="JVA67" s="401"/>
      <c r="JVB67" s="401"/>
      <c r="JVC67" s="401"/>
      <c r="JVD67" s="401"/>
      <c r="JVE67" s="401"/>
      <c r="JVF67" s="401"/>
      <c r="JVG67" s="401"/>
      <c r="JVH67" s="401"/>
      <c r="JVI67" s="401"/>
      <c r="JVJ67" s="401"/>
      <c r="JVK67" s="401"/>
      <c r="JVL67" s="401"/>
      <c r="JVM67" s="401"/>
      <c r="JVN67" s="401"/>
      <c r="JVO67" s="401"/>
      <c r="JVP67" s="401"/>
      <c r="JVQ67" s="401"/>
      <c r="JVR67" s="401"/>
      <c r="JVS67" s="401"/>
      <c r="JVT67" s="401"/>
      <c r="JVU67" s="401"/>
      <c r="JVV67" s="401"/>
      <c r="JVW67" s="401"/>
      <c r="JVX67" s="401"/>
      <c r="JVY67" s="401"/>
      <c r="JVZ67" s="401"/>
      <c r="JWA67" s="401"/>
      <c r="JWB67" s="401"/>
      <c r="JWC67" s="401"/>
      <c r="JWD67" s="401"/>
      <c r="JWE67" s="401"/>
      <c r="JWF67" s="401"/>
      <c r="JWG67" s="401"/>
      <c r="JWH67" s="401"/>
      <c r="JWI67" s="401"/>
      <c r="JWJ67" s="401"/>
      <c r="JWK67" s="401"/>
      <c r="JWL67" s="401"/>
      <c r="JWM67" s="401"/>
      <c r="JWN67" s="401"/>
      <c r="JWO67" s="401"/>
      <c r="JWP67" s="401"/>
      <c r="JWQ67" s="401"/>
      <c r="JWR67" s="401"/>
      <c r="JWS67" s="401"/>
      <c r="JWT67" s="401"/>
      <c r="JWU67" s="401"/>
      <c r="JWV67" s="401"/>
      <c r="JWW67" s="401"/>
      <c r="JWX67" s="401"/>
      <c r="JWY67" s="401"/>
      <c r="JWZ67" s="401"/>
      <c r="JXA67" s="401"/>
      <c r="JXB67" s="401"/>
      <c r="JXC67" s="401"/>
      <c r="JXD67" s="401"/>
      <c r="JXE67" s="401"/>
      <c r="JXF67" s="401"/>
      <c r="JXG67" s="401"/>
      <c r="JXH67" s="401"/>
      <c r="JXI67" s="401"/>
      <c r="JXJ67" s="401"/>
      <c r="JXK67" s="401"/>
      <c r="JXL67" s="401"/>
      <c r="JXM67" s="401"/>
      <c r="JXN67" s="401"/>
      <c r="JXO67" s="401"/>
      <c r="JXP67" s="401"/>
      <c r="JXQ67" s="401"/>
      <c r="JXR67" s="401"/>
      <c r="JXS67" s="401"/>
      <c r="JXT67" s="401"/>
      <c r="JXU67" s="401"/>
      <c r="JXV67" s="401"/>
      <c r="JXW67" s="401"/>
      <c r="JXX67" s="401"/>
      <c r="JXY67" s="401"/>
      <c r="JXZ67" s="401"/>
      <c r="JYA67" s="401"/>
      <c r="JYB67" s="401"/>
      <c r="JYC67" s="401"/>
      <c r="JYD67" s="401"/>
      <c r="JYE67" s="401"/>
      <c r="JYF67" s="401"/>
      <c r="JYG67" s="401"/>
      <c r="JYH67" s="401"/>
      <c r="JYI67" s="401"/>
      <c r="JYJ67" s="401"/>
      <c r="JYK67" s="401"/>
      <c r="JYL67" s="401"/>
      <c r="JYM67" s="401"/>
      <c r="JYN67" s="401"/>
      <c r="JYO67" s="401"/>
      <c r="JYP67" s="401"/>
      <c r="JYQ67" s="401"/>
      <c r="JYR67" s="401"/>
      <c r="JYS67" s="401"/>
      <c r="JYT67" s="401"/>
      <c r="JYU67" s="401"/>
      <c r="JYV67" s="401"/>
      <c r="JYW67" s="401"/>
      <c r="JYX67" s="401"/>
      <c r="JYY67" s="401"/>
      <c r="JYZ67" s="401"/>
      <c r="JZA67" s="401"/>
      <c r="JZB67" s="401"/>
      <c r="JZC67" s="401"/>
      <c r="JZD67" s="401"/>
      <c r="JZE67" s="401"/>
      <c r="JZF67" s="401"/>
      <c r="JZG67" s="401"/>
      <c r="JZH67" s="401"/>
      <c r="JZI67" s="401"/>
      <c r="JZJ67" s="401"/>
      <c r="JZK67" s="401"/>
      <c r="JZL67" s="401"/>
      <c r="JZM67" s="401"/>
      <c r="JZN67" s="401"/>
      <c r="JZO67" s="401"/>
      <c r="JZP67" s="401"/>
      <c r="JZQ67" s="401"/>
      <c r="JZR67" s="401"/>
      <c r="JZS67" s="401"/>
      <c r="JZT67" s="401"/>
      <c r="JZU67" s="401"/>
      <c r="JZV67" s="401"/>
      <c r="JZW67" s="401"/>
      <c r="JZX67" s="401"/>
      <c r="JZY67" s="401"/>
      <c r="JZZ67" s="401"/>
      <c r="KAA67" s="401"/>
      <c r="KAB67" s="401"/>
      <c r="KAC67" s="401"/>
      <c r="KAD67" s="401"/>
      <c r="KAE67" s="401"/>
      <c r="KAF67" s="401"/>
      <c r="KAG67" s="401"/>
      <c r="KAH67" s="401"/>
      <c r="KAI67" s="401"/>
      <c r="KAJ67" s="401"/>
      <c r="KAK67" s="401"/>
      <c r="KAL67" s="401"/>
      <c r="KAM67" s="401"/>
      <c r="KAN67" s="401"/>
      <c r="KAO67" s="401"/>
      <c r="KAP67" s="401"/>
      <c r="KAQ67" s="401"/>
      <c r="KAR67" s="401"/>
      <c r="KAS67" s="401"/>
      <c r="KAT67" s="401"/>
      <c r="KAU67" s="401"/>
      <c r="KAV67" s="401"/>
      <c r="KAW67" s="401"/>
      <c r="KAX67" s="401"/>
      <c r="KAY67" s="401"/>
      <c r="KAZ67" s="401"/>
      <c r="KBA67" s="401"/>
      <c r="KBB67" s="401"/>
      <c r="KBC67" s="401"/>
      <c r="KBD67" s="401"/>
      <c r="KBE67" s="401"/>
      <c r="KBF67" s="401"/>
      <c r="KBG67" s="401"/>
      <c r="KBH67" s="401"/>
      <c r="KBI67" s="401"/>
      <c r="KBJ67" s="401"/>
      <c r="KBK67" s="401"/>
      <c r="KBL67" s="401"/>
      <c r="KBM67" s="401"/>
      <c r="KBN67" s="401"/>
      <c r="KBO67" s="401"/>
      <c r="KBP67" s="401"/>
      <c r="KBQ67" s="401"/>
      <c r="KBR67" s="401"/>
      <c r="KBS67" s="401"/>
      <c r="KBT67" s="401"/>
      <c r="KBU67" s="401"/>
      <c r="KBV67" s="401"/>
      <c r="KBW67" s="401"/>
      <c r="KBX67" s="401"/>
      <c r="KBY67" s="401"/>
      <c r="KBZ67" s="401"/>
      <c r="KCA67" s="401"/>
      <c r="KCB67" s="401"/>
      <c r="KCC67" s="401"/>
      <c r="KCD67" s="401"/>
      <c r="KCE67" s="401"/>
      <c r="KCF67" s="401"/>
      <c r="KCG67" s="401"/>
      <c r="KCH67" s="401"/>
      <c r="KCI67" s="401"/>
      <c r="KCJ67" s="401"/>
      <c r="KCK67" s="401"/>
      <c r="KCL67" s="401"/>
      <c r="KCM67" s="401"/>
      <c r="KCN67" s="401"/>
      <c r="KCO67" s="401"/>
      <c r="KCP67" s="401"/>
      <c r="KCQ67" s="401"/>
      <c r="KCR67" s="401"/>
      <c r="KCS67" s="401"/>
      <c r="KCT67" s="401"/>
      <c r="KCU67" s="401"/>
      <c r="KCV67" s="401"/>
      <c r="KCW67" s="401"/>
      <c r="KCX67" s="401"/>
      <c r="KCY67" s="401"/>
      <c r="KCZ67" s="401"/>
      <c r="KDA67" s="401"/>
      <c r="KDB67" s="401"/>
      <c r="KDC67" s="401"/>
      <c r="KDD67" s="401"/>
      <c r="KDE67" s="401"/>
      <c r="KDF67" s="401"/>
      <c r="KDG67" s="401"/>
      <c r="KDH67" s="401"/>
      <c r="KDI67" s="401"/>
      <c r="KDJ67" s="401"/>
      <c r="KDK67" s="401"/>
      <c r="KDL67" s="401"/>
      <c r="KDM67" s="401"/>
      <c r="KDN67" s="401"/>
      <c r="KDO67" s="401"/>
      <c r="KDP67" s="401"/>
      <c r="KDQ67" s="401"/>
      <c r="KDR67" s="401"/>
      <c r="KDS67" s="401"/>
      <c r="KDT67" s="401"/>
      <c r="KDU67" s="401"/>
      <c r="KDV67" s="401"/>
      <c r="KDW67" s="401"/>
      <c r="KDX67" s="401"/>
      <c r="KDY67" s="401"/>
      <c r="KDZ67" s="401"/>
      <c r="KEA67" s="401"/>
      <c r="KEB67" s="401"/>
      <c r="KEC67" s="401"/>
      <c r="KED67" s="401"/>
      <c r="KEE67" s="401"/>
      <c r="KEF67" s="401"/>
      <c r="KEG67" s="401"/>
      <c r="KEH67" s="401"/>
      <c r="KEI67" s="401"/>
      <c r="KEJ67" s="401"/>
      <c r="KEK67" s="401"/>
      <c r="KEL67" s="401"/>
      <c r="KEM67" s="401"/>
      <c r="KEN67" s="401"/>
      <c r="KEO67" s="401"/>
      <c r="KEP67" s="401"/>
      <c r="KEQ67" s="401"/>
      <c r="KER67" s="401"/>
      <c r="KES67" s="401"/>
      <c r="KET67" s="401"/>
      <c r="KEU67" s="401"/>
      <c r="KEV67" s="401"/>
      <c r="KEW67" s="401"/>
      <c r="KEX67" s="401"/>
      <c r="KEY67" s="401"/>
      <c r="KEZ67" s="401"/>
      <c r="KFA67" s="401"/>
      <c r="KFB67" s="401"/>
      <c r="KFC67" s="401"/>
      <c r="KFD67" s="401"/>
      <c r="KFE67" s="401"/>
      <c r="KFF67" s="401"/>
      <c r="KFG67" s="401"/>
      <c r="KFH67" s="401"/>
      <c r="KFI67" s="401"/>
      <c r="KFJ67" s="401"/>
      <c r="KFK67" s="401"/>
      <c r="KFL67" s="401"/>
      <c r="KFM67" s="401"/>
      <c r="KFN67" s="401"/>
      <c r="KFO67" s="401"/>
      <c r="KFP67" s="401"/>
      <c r="KFQ67" s="401"/>
      <c r="KFR67" s="401"/>
      <c r="KFS67" s="401"/>
      <c r="KFT67" s="401"/>
      <c r="KFU67" s="401"/>
      <c r="KFV67" s="401"/>
      <c r="KFW67" s="401"/>
      <c r="KFX67" s="401"/>
      <c r="KFY67" s="401"/>
      <c r="KFZ67" s="401"/>
      <c r="KGA67" s="401"/>
      <c r="KGB67" s="401"/>
      <c r="KGC67" s="401"/>
      <c r="KGD67" s="401"/>
      <c r="KGE67" s="401"/>
      <c r="KGF67" s="401"/>
      <c r="KGG67" s="401"/>
      <c r="KGH67" s="401"/>
      <c r="KGI67" s="401"/>
      <c r="KGJ67" s="401"/>
      <c r="KGK67" s="401"/>
      <c r="KGL67" s="401"/>
      <c r="KGM67" s="401"/>
      <c r="KGN67" s="401"/>
      <c r="KGO67" s="401"/>
      <c r="KGP67" s="401"/>
      <c r="KGQ67" s="401"/>
      <c r="KGR67" s="401"/>
      <c r="KGS67" s="401"/>
      <c r="KGT67" s="401"/>
      <c r="KGU67" s="401"/>
      <c r="KGV67" s="401"/>
      <c r="KGW67" s="401"/>
      <c r="KGX67" s="401"/>
      <c r="KGY67" s="401"/>
      <c r="KGZ67" s="401"/>
      <c r="KHA67" s="401"/>
      <c r="KHB67" s="401"/>
      <c r="KHC67" s="401"/>
      <c r="KHD67" s="401"/>
      <c r="KHE67" s="401"/>
      <c r="KHF67" s="401"/>
      <c r="KHG67" s="401"/>
      <c r="KHH67" s="401"/>
      <c r="KHI67" s="401"/>
      <c r="KHJ67" s="401"/>
      <c r="KHK67" s="401"/>
      <c r="KHL67" s="401"/>
      <c r="KHM67" s="401"/>
      <c r="KHN67" s="401"/>
      <c r="KHO67" s="401"/>
      <c r="KHP67" s="401"/>
      <c r="KHQ67" s="401"/>
      <c r="KHR67" s="401"/>
      <c r="KHS67" s="401"/>
      <c r="KHT67" s="401"/>
      <c r="KHU67" s="401"/>
      <c r="KHV67" s="401"/>
      <c r="KHW67" s="401"/>
      <c r="KHX67" s="401"/>
      <c r="KHY67" s="401"/>
      <c r="KHZ67" s="401"/>
      <c r="KIA67" s="401"/>
      <c r="KIB67" s="401"/>
      <c r="KIC67" s="401"/>
      <c r="KID67" s="401"/>
      <c r="KIE67" s="401"/>
      <c r="KIF67" s="401"/>
      <c r="KIG67" s="401"/>
      <c r="KIH67" s="401"/>
      <c r="KII67" s="401"/>
      <c r="KIJ67" s="401"/>
      <c r="KIK67" s="401"/>
      <c r="KIL67" s="401"/>
      <c r="KIM67" s="401"/>
      <c r="KIN67" s="401"/>
      <c r="KIO67" s="401"/>
      <c r="KIP67" s="401"/>
      <c r="KIQ67" s="401"/>
      <c r="KIR67" s="401"/>
      <c r="KIS67" s="401"/>
      <c r="KIT67" s="401"/>
      <c r="KIU67" s="401"/>
      <c r="KIV67" s="401"/>
      <c r="KIW67" s="401"/>
      <c r="KIX67" s="401"/>
      <c r="KIY67" s="401"/>
      <c r="KIZ67" s="401"/>
      <c r="KJA67" s="401"/>
      <c r="KJB67" s="401"/>
      <c r="KJC67" s="401"/>
      <c r="KJD67" s="401"/>
      <c r="KJE67" s="401"/>
      <c r="KJF67" s="401"/>
      <c r="KJG67" s="401"/>
      <c r="KJH67" s="401"/>
      <c r="KJI67" s="401"/>
      <c r="KJJ67" s="401"/>
      <c r="KJK67" s="401"/>
      <c r="KJL67" s="401"/>
      <c r="KJM67" s="401"/>
      <c r="KJN67" s="401"/>
      <c r="KJO67" s="401"/>
      <c r="KJP67" s="401"/>
      <c r="KJQ67" s="401"/>
      <c r="KJR67" s="401"/>
      <c r="KJS67" s="401"/>
      <c r="KJT67" s="401"/>
      <c r="KJU67" s="401"/>
      <c r="KJV67" s="401"/>
      <c r="KJW67" s="401"/>
      <c r="KJX67" s="401"/>
      <c r="KJY67" s="401"/>
      <c r="KJZ67" s="401"/>
      <c r="KKA67" s="401"/>
      <c r="KKB67" s="401"/>
      <c r="KKC67" s="401"/>
      <c r="KKD67" s="401"/>
      <c r="KKE67" s="401"/>
      <c r="KKF67" s="401"/>
      <c r="KKG67" s="401"/>
      <c r="KKH67" s="401"/>
      <c r="KKI67" s="401"/>
      <c r="KKJ67" s="401"/>
      <c r="KKK67" s="401"/>
      <c r="KKL67" s="401"/>
      <c r="KKM67" s="401"/>
      <c r="KKN67" s="401"/>
      <c r="KKO67" s="401"/>
      <c r="KKP67" s="401"/>
      <c r="KKQ67" s="401"/>
      <c r="KKR67" s="401"/>
      <c r="KKS67" s="401"/>
      <c r="KKT67" s="401"/>
      <c r="KKU67" s="401"/>
      <c r="KKV67" s="401"/>
      <c r="KKW67" s="401"/>
      <c r="KKX67" s="401"/>
      <c r="KKY67" s="401"/>
      <c r="KKZ67" s="401"/>
      <c r="KLA67" s="401"/>
      <c r="KLB67" s="401"/>
      <c r="KLC67" s="401"/>
      <c r="KLD67" s="401"/>
      <c r="KLE67" s="401"/>
      <c r="KLF67" s="401"/>
      <c r="KLG67" s="401"/>
      <c r="KLH67" s="401"/>
      <c r="KLI67" s="401"/>
      <c r="KLJ67" s="401"/>
      <c r="KLK67" s="401"/>
      <c r="KLL67" s="401"/>
      <c r="KLM67" s="401"/>
      <c r="KLN67" s="401"/>
      <c r="KLO67" s="401"/>
      <c r="KLP67" s="401"/>
      <c r="KLQ67" s="401"/>
      <c r="KLR67" s="401"/>
      <c r="KLS67" s="401"/>
      <c r="KLT67" s="401"/>
      <c r="KLU67" s="401"/>
      <c r="KLV67" s="401"/>
      <c r="KLW67" s="401"/>
      <c r="KLX67" s="401"/>
      <c r="KLY67" s="401"/>
      <c r="KLZ67" s="401"/>
      <c r="KMA67" s="401"/>
      <c r="KMB67" s="401"/>
      <c r="KMC67" s="401"/>
      <c r="KMD67" s="401"/>
      <c r="KME67" s="401"/>
      <c r="KMF67" s="401"/>
      <c r="KMG67" s="401"/>
      <c r="KMH67" s="401"/>
      <c r="KMI67" s="401"/>
      <c r="KMJ67" s="401"/>
      <c r="KMK67" s="401"/>
      <c r="KML67" s="401"/>
      <c r="KMM67" s="401"/>
      <c r="KMN67" s="401"/>
      <c r="KMO67" s="401"/>
      <c r="KMP67" s="401"/>
      <c r="KMQ67" s="401"/>
      <c r="KMR67" s="401"/>
      <c r="KMS67" s="401"/>
      <c r="KMT67" s="401"/>
      <c r="KMU67" s="401"/>
      <c r="KMV67" s="401"/>
      <c r="KMW67" s="401"/>
      <c r="KMX67" s="401"/>
      <c r="KMY67" s="401"/>
      <c r="KMZ67" s="401"/>
      <c r="KNA67" s="401"/>
      <c r="KNB67" s="401"/>
      <c r="KNC67" s="401"/>
      <c r="KND67" s="401"/>
      <c r="KNE67" s="401"/>
      <c r="KNF67" s="401"/>
      <c r="KNG67" s="401"/>
      <c r="KNH67" s="401"/>
      <c r="KNI67" s="401"/>
      <c r="KNJ67" s="401"/>
      <c r="KNK67" s="401"/>
      <c r="KNL67" s="401"/>
      <c r="KNM67" s="401"/>
      <c r="KNN67" s="401"/>
      <c r="KNO67" s="401"/>
      <c r="KNP67" s="401"/>
      <c r="KNQ67" s="401"/>
      <c r="KNR67" s="401"/>
      <c r="KNS67" s="401"/>
      <c r="KNT67" s="401"/>
      <c r="KNU67" s="401"/>
      <c r="KNV67" s="401"/>
      <c r="KNW67" s="401"/>
      <c r="KNX67" s="401"/>
      <c r="KNY67" s="401"/>
      <c r="KNZ67" s="401"/>
      <c r="KOA67" s="401"/>
      <c r="KOB67" s="401"/>
      <c r="KOC67" s="401"/>
      <c r="KOD67" s="401"/>
      <c r="KOE67" s="401"/>
      <c r="KOF67" s="401"/>
      <c r="KOG67" s="401"/>
      <c r="KOH67" s="401"/>
      <c r="KOI67" s="401"/>
      <c r="KOJ67" s="401"/>
      <c r="KOK67" s="401"/>
      <c r="KOL67" s="401"/>
      <c r="KOM67" s="401"/>
      <c r="KON67" s="401"/>
      <c r="KOO67" s="401"/>
      <c r="KOP67" s="401"/>
      <c r="KOQ67" s="401"/>
      <c r="KOR67" s="401"/>
      <c r="KOS67" s="401"/>
      <c r="KOT67" s="401"/>
      <c r="KOU67" s="401"/>
      <c r="KOV67" s="401"/>
      <c r="KOW67" s="401"/>
      <c r="KOX67" s="401"/>
      <c r="KOY67" s="401"/>
      <c r="KOZ67" s="401"/>
      <c r="KPA67" s="401"/>
      <c r="KPB67" s="401"/>
      <c r="KPC67" s="401"/>
      <c r="KPD67" s="401"/>
      <c r="KPE67" s="401"/>
      <c r="KPF67" s="401"/>
      <c r="KPG67" s="401"/>
      <c r="KPH67" s="401"/>
      <c r="KPI67" s="401"/>
      <c r="KPJ67" s="401"/>
      <c r="KPK67" s="401"/>
      <c r="KPL67" s="401"/>
      <c r="KPM67" s="401"/>
      <c r="KPN67" s="401"/>
      <c r="KPO67" s="401"/>
      <c r="KPP67" s="401"/>
      <c r="KPQ67" s="401"/>
      <c r="KPR67" s="401"/>
      <c r="KPS67" s="401"/>
      <c r="KPT67" s="401"/>
      <c r="KPU67" s="401"/>
      <c r="KPV67" s="401"/>
      <c r="KPW67" s="401"/>
      <c r="KPX67" s="401"/>
      <c r="KPY67" s="401"/>
      <c r="KPZ67" s="401"/>
      <c r="KQA67" s="401"/>
      <c r="KQB67" s="401"/>
      <c r="KQC67" s="401"/>
      <c r="KQD67" s="401"/>
      <c r="KQE67" s="401"/>
      <c r="KQF67" s="401"/>
      <c r="KQG67" s="401"/>
      <c r="KQH67" s="401"/>
      <c r="KQI67" s="401"/>
      <c r="KQJ67" s="401"/>
      <c r="KQK67" s="401"/>
      <c r="KQL67" s="401"/>
      <c r="KQM67" s="401"/>
      <c r="KQN67" s="401"/>
      <c r="KQO67" s="401"/>
      <c r="KQP67" s="401"/>
      <c r="KQQ67" s="401"/>
      <c r="KQR67" s="401"/>
      <c r="KQS67" s="401"/>
      <c r="KQT67" s="401"/>
      <c r="KQU67" s="401"/>
      <c r="KQV67" s="401"/>
      <c r="KQW67" s="401"/>
      <c r="KQX67" s="401"/>
      <c r="KQY67" s="401"/>
      <c r="KQZ67" s="401"/>
      <c r="KRA67" s="401"/>
      <c r="KRB67" s="401"/>
      <c r="KRC67" s="401"/>
      <c r="KRD67" s="401"/>
      <c r="KRE67" s="401"/>
      <c r="KRF67" s="401"/>
      <c r="KRG67" s="401"/>
      <c r="KRH67" s="401"/>
      <c r="KRI67" s="401"/>
      <c r="KRJ67" s="401"/>
      <c r="KRK67" s="401"/>
      <c r="KRL67" s="401"/>
      <c r="KRM67" s="401"/>
      <c r="KRN67" s="401"/>
      <c r="KRO67" s="401"/>
      <c r="KRP67" s="401"/>
      <c r="KRQ67" s="401"/>
      <c r="KRR67" s="401"/>
      <c r="KRS67" s="401"/>
      <c r="KRT67" s="401"/>
      <c r="KRU67" s="401"/>
      <c r="KRV67" s="401"/>
      <c r="KRW67" s="401"/>
      <c r="KRX67" s="401"/>
      <c r="KRY67" s="401"/>
      <c r="KRZ67" s="401"/>
      <c r="KSA67" s="401"/>
      <c r="KSB67" s="401"/>
      <c r="KSC67" s="401"/>
      <c r="KSD67" s="401"/>
      <c r="KSE67" s="401"/>
      <c r="KSF67" s="401"/>
      <c r="KSG67" s="401"/>
      <c r="KSH67" s="401"/>
      <c r="KSI67" s="401"/>
      <c r="KSJ67" s="401"/>
      <c r="KSK67" s="401"/>
      <c r="KSL67" s="401"/>
      <c r="KSM67" s="401"/>
      <c r="KSN67" s="401"/>
      <c r="KSO67" s="401"/>
      <c r="KSP67" s="401"/>
      <c r="KSQ67" s="401"/>
      <c r="KSR67" s="401"/>
      <c r="KSS67" s="401"/>
      <c r="KST67" s="401"/>
      <c r="KSU67" s="401"/>
      <c r="KSV67" s="401"/>
      <c r="KSW67" s="401"/>
      <c r="KSX67" s="401"/>
      <c r="KSY67" s="401"/>
      <c r="KSZ67" s="401"/>
      <c r="KTA67" s="401"/>
      <c r="KTB67" s="401"/>
      <c r="KTC67" s="401"/>
      <c r="KTD67" s="401"/>
      <c r="KTE67" s="401"/>
      <c r="KTF67" s="401"/>
      <c r="KTG67" s="401"/>
      <c r="KTH67" s="401"/>
      <c r="KTI67" s="401"/>
      <c r="KTJ67" s="401"/>
      <c r="KTK67" s="401"/>
      <c r="KTL67" s="401"/>
      <c r="KTM67" s="401"/>
      <c r="KTN67" s="401"/>
      <c r="KTO67" s="401"/>
      <c r="KTP67" s="401"/>
      <c r="KTQ67" s="401"/>
      <c r="KTR67" s="401"/>
      <c r="KTS67" s="401"/>
      <c r="KTT67" s="401"/>
      <c r="KTU67" s="401"/>
      <c r="KTV67" s="401"/>
      <c r="KTW67" s="401"/>
      <c r="KTX67" s="401"/>
      <c r="KTY67" s="401"/>
      <c r="KTZ67" s="401"/>
      <c r="KUA67" s="401"/>
      <c r="KUB67" s="401"/>
      <c r="KUC67" s="401"/>
      <c r="KUD67" s="401"/>
      <c r="KUE67" s="401"/>
      <c r="KUF67" s="401"/>
      <c r="KUG67" s="401"/>
      <c r="KUH67" s="401"/>
      <c r="KUI67" s="401"/>
      <c r="KUJ67" s="401"/>
      <c r="KUK67" s="401"/>
      <c r="KUL67" s="401"/>
      <c r="KUM67" s="401"/>
      <c r="KUN67" s="401"/>
      <c r="KUO67" s="401"/>
      <c r="KUP67" s="401"/>
      <c r="KUQ67" s="401"/>
      <c r="KUR67" s="401"/>
      <c r="KUS67" s="401"/>
      <c r="KUT67" s="401"/>
      <c r="KUU67" s="401"/>
      <c r="KUV67" s="401"/>
      <c r="KUW67" s="401"/>
      <c r="KUX67" s="401"/>
      <c r="KUY67" s="401"/>
      <c r="KUZ67" s="401"/>
      <c r="KVA67" s="401"/>
      <c r="KVB67" s="401"/>
      <c r="KVC67" s="401"/>
      <c r="KVD67" s="401"/>
      <c r="KVE67" s="401"/>
      <c r="KVF67" s="401"/>
      <c r="KVG67" s="401"/>
      <c r="KVH67" s="401"/>
      <c r="KVI67" s="401"/>
      <c r="KVJ67" s="401"/>
      <c r="KVK67" s="401"/>
      <c r="KVL67" s="401"/>
      <c r="KVM67" s="401"/>
      <c r="KVN67" s="401"/>
      <c r="KVO67" s="401"/>
      <c r="KVP67" s="401"/>
      <c r="KVQ67" s="401"/>
      <c r="KVR67" s="401"/>
      <c r="KVS67" s="401"/>
      <c r="KVT67" s="401"/>
      <c r="KVU67" s="401"/>
      <c r="KVV67" s="401"/>
      <c r="KVW67" s="401"/>
      <c r="KVX67" s="401"/>
      <c r="KVY67" s="401"/>
      <c r="KVZ67" s="401"/>
      <c r="KWA67" s="401"/>
      <c r="KWB67" s="401"/>
      <c r="KWC67" s="401"/>
      <c r="KWD67" s="401"/>
      <c r="KWE67" s="401"/>
      <c r="KWF67" s="401"/>
      <c r="KWG67" s="401"/>
      <c r="KWH67" s="401"/>
      <c r="KWI67" s="401"/>
      <c r="KWJ67" s="401"/>
      <c r="KWK67" s="401"/>
      <c r="KWL67" s="401"/>
      <c r="KWM67" s="401"/>
      <c r="KWN67" s="401"/>
      <c r="KWO67" s="401"/>
      <c r="KWP67" s="401"/>
      <c r="KWQ67" s="401"/>
      <c r="KWR67" s="401"/>
      <c r="KWS67" s="401"/>
      <c r="KWT67" s="401"/>
      <c r="KWU67" s="401"/>
      <c r="KWV67" s="401"/>
      <c r="KWW67" s="401"/>
      <c r="KWX67" s="401"/>
      <c r="KWY67" s="401"/>
      <c r="KWZ67" s="401"/>
      <c r="KXA67" s="401"/>
      <c r="KXB67" s="401"/>
      <c r="KXC67" s="401"/>
      <c r="KXD67" s="401"/>
      <c r="KXE67" s="401"/>
      <c r="KXF67" s="401"/>
      <c r="KXG67" s="401"/>
      <c r="KXH67" s="401"/>
      <c r="KXI67" s="401"/>
      <c r="KXJ67" s="401"/>
      <c r="KXK67" s="401"/>
      <c r="KXL67" s="401"/>
      <c r="KXM67" s="401"/>
      <c r="KXN67" s="401"/>
      <c r="KXO67" s="401"/>
      <c r="KXP67" s="401"/>
      <c r="KXQ67" s="401"/>
      <c r="KXR67" s="401"/>
      <c r="KXS67" s="401"/>
      <c r="KXT67" s="401"/>
      <c r="KXU67" s="401"/>
      <c r="KXV67" s="401"/>
      <c r="KXW67" s="401"/>
      <c r="KXX67" s="401"/>
      <c r="KXY67" s="401"/>
      <c r="KXZ67" s="401"/>
      <c r="KYA67" s="401"/>
      <c r="KYB67" s="401"/>
      <c r="KYC67" s="401"/>
      <c r="KYD67" s="401"/>
      <c r="KYE67" s="401"/>
      <c r="KYF67" s="401"/>
      <c r="KYG67" s="401"/>
      <c r="KYH67" s="401"/>
      <c r="KYI67" s="401"/>
      <c r="KYJ67" s="401"/>
      <c r="KYK67" s="401"/>
      <c r="KYL67" s="401"/>
      <c r="KYM67" s="401"/>
      <c r="KYN67" s="401"/>
      <c r="KYO67" s="401"/>
      <c r="KYP67" s="401"/>
      <c r="KYQ67" s="401"/>
      <c r="KYR67" s="401"/>
      <c r="KYS67" s="401"/>
      <c r="KYT67" s="401"/>
      <c r="KYU67" s="401"/>
      <c r="KYV67" s="401"/>
      <c r="KYW67" s="401"/>
      <c r="KYX67" s="401"/>
      <c r="KYY67" s="401"/>
      <c r="KYZ67" s="401"/>
      <c r="KZA67" s="401"/>
      <c r="KZB67" s="401"/>
      <c r="KZC67" s="401"/>
      <c r="KZD67" s="401"/>
      <c r="KZE67" s="401"/>
      <c r="KZF67" s="401"/>
      <c r="KZG67" s="401"/>
      <c r="KZH67" s="401"/>
      <c r="KZI67" s="401"/>
      <c r="KZJ67" s="401"/>
      <c r="KZK67" s="401"/>
      <c r="KZL67" s="401"/>
      <c r="KZM67" s="401"/>
      <c r="KZN67" s="401"/>
      <c r="KZO67" s="401"/>
      <c r="KZP67" s="401"/>
      <c r="KZQ67" s="401"/>
      <c r="KZR67" s="401"/>
      <c r="KZS67" s="401"/>
      <c r="KZT67" s="401"/>
      <c r="KZU67" s="401"/>
      <c r="KZV67" s="401"/>
      <c r="KZW67" s="401"/>
      <c r="KZX67" s="401"/>
      <c r="KZY67" s="401"/>
      <c r="KZZ67" s="401"/>
      <c r="LAA67" s="401"/>
      <c r="LAB67" s="401"/>
      <c r="LAC67" s="401"/>
      <c r="LAD67" s="401"/>
      <c r="LAE67" s="401"/>
      <c r="LAF67" s="401"/>
      <c r="LAG67" s="401"/>
      <c r="LAH67" s="401"/>
      <c r="LAI67" s="401"/>
      <c r="LAJ67" s="401"/>
      <c r="LAK67" s="401"/>
      <c r="LAL67" s="401"/>
      <c r="LAM67" s="401"/>
      <c r="LAN67" s="401"/>
      <c r="LAO67" s="401"/>
      <c r="LAP67" s="401"/>
      <c r="LAQ67" s="401"/>
      <c r="LAR67" s="401"/>
      <c r="LAS67" s="401"/>
      <c r="LAT67" s="401"/>
      <c r="LAU67" s="401"/>
      <c r="LAV67" s="401"/>
      <c r="LAW67" s="401"/>
      <c r="LAX67" s="401"/>
      <c r="LAY67" s="401"/>
      <c r="LAZ67" s="401"/>
      <c r="LBA67" s="401"/>
      <c r="LBB67" s="401"/>
      <c r="LBC67" s="401"/>
      <c r="LBD67" s="401"/>
      <c r="LBE67" s="401"/>
      <c r="LBF67" s="401"/>
      <c r="LBG67" s="401"/>
      <c r="LBH67" s="401"/>
      <c r="LBI67" s="401"/>
      <c r="LBJ67" s="401"/>
      <c r="LBK67" s="401"/>
      <c r="LBL67" s="401"/>
      <c r="LBM67" s="401"/>
      <c r="LBN67" s="401"/>
      <c r="LBO67" s="401"/>
      <c r="LBP67" s="401"/>
      <c r="LBQ67" s="401"/>
      <c r="LBR67" s="401"/>
      <c r="LBS67" s="401"/>
      <c r="LBT67" s="401"/>
      <c r="LBU67" s="401"/>
      <c r="LBV67" s="401"/>
      <c r="LBW67" s="401"/>
      <c r="LBX67" s="401"/>
      <c r="LBY67" s="401"/>
      <c r="LBZ67" s="401"/>
      <c r="LCA67" s="401"/>
      <c r="LCB67" s="401"/>
      <c r="LCC67" s="401"/>
      <c r="LCD67" s="401"/>
      <c r="LCE67" s="401"/>
      <c r="LCF67" s="401"/>
      <c r="LCG67" s="401"/>
      <c r="LCH67" s="401"/>
      <c r="LCI67" s="401"/>
      <c r="LCJ67" s="401"/>
      <c r="LCK67" s="401"/>
      <c r="LCL67" s="401"/>
      <c r="LCM67" s="401"/>
      <c r="LCN67" s="401"/>
      <c r="LCO67" s="401"/>
      <c r="LCP67" s="401"/>
      <c r="LCQ67" s="401"/>
      <c r="LCR67" s="401"/>
      <c r="LCS67" s="401"/>
      <c r="LCT67" s="401"/>
      <c r="LCU67" s="401"/>
      <c r="LCV67" s="401"/>
      <c r="LCW67" s="401"/>
      <c r="LCX67" s="401"/>
      <c r="LCY67" s="401"/>
      <c r="LCZ67" s="401"/>
      <c r="LDA67" s="401"/>
      <c r="LDB67" s="401"/>
      <c r="LDC67" s="401"/>
      <c r="LDD67" s="401"/>
      <c r="LDE67" s="401"/>
      <c r="LDF67" s="401"/>
      <c r="LDG67" s="401"/>
      <c r="LDH67" s="401"/>
      <c r="LDI67" s="401"/>
      <c r="LDJ67" s="401"/>
      <c r="LDK67" s="401"/>
      <c r="LDL67" s="401"/>
      <c r="LDM67" s="401"/>
      <c r="LDN67" s="401"/>
      <c r="LDO67" s="401"/>
      <c r="LDP67" s="401"/>
      <c r="LDQ67" s="401"/>
      <c r="LDR67" s="401"/>
      <c r="LDS67" s="401"/>
      <c r="LDT67" s="401"/>
      <c r="LDU67" s="401"/>
      <c r="LDV67" s="401"/>
      <c r="LDW67" s="401"/>
      <c r="LDX67" s="401"/>
      <c r="LDY67" s="401"/>
      <c r="LDZ67" s="401"/>
      <c r="LEA67" s="401"/>
      <c r="LEB67" s="401"/>
      <c r="LEC67" s="401"/>
      <c r="LED67" s="401"/>
      <c r="LEE67" s="401"/>
      <c r="LEF67" s="401"/>
      <c r="LEG67" s="401"/>
      <c r="LEH67" s="401"/>
      <c r="LEI67" s="401"/>
      <c r="LEJ67" s="401"/>
      <c r="LEK67" s="401"/>
      <c r="LEL67" s="401"/>
      <c r="LEM67" s="401"/>
      <c r="LEN67" s="401"/>
      <c r="LEO67" s="401"/>
      <c r="LEP67" s="401"/>
      <c r="LEQ67" s="401"/>
      <c r="LER67" s="401"/>
      <c r="LES67" s="401"/>
      <c r="LET67" s="401"/>
      <c r="LEU67" s="401"/>
      <c r="LEV67" s="401"/>
      <c r="LEW67" s="401"/>
      <c r="LEX67" s="401"/>
      <c r="LEY67" s="401"/>
      <c r="LEZ67" s="401"/>
      <c r="LFA67" s="401"/>
      <c r="LFB67" s="401"/>
      <c r="LFC67" s="401"/>
      <c r="LFD67" s="401"/>
      <c r="LFE67" s="401"/>
      <c r="LFF67" s="401"/>
      <c r="LFG67" s="401"/>
      <c r="LFH67" s="401"/>
      <c r="LFI67" s="401"/>
      <c r="LFJ67" s="401"/>
      <c r="LFK67" s="401"/>
      <c r="LFL67" s="401"/>
      <c r="LFM67" s="401"/>
      <c r="LFN67" s="401"/>
      <c r="LFO67" s="401"/>
      <c r="LFP67" s="401"/>
      <c r="LFQ67" s="401"/>
      <c r="LFR67" s="401"/>
      <c r="LFS67" s="401"/>
      <c r="LFT67" s="401"/>
      <c r="LFU67" s="401"/>
      <c r="LFV67" s="401"/>
      <c r="LFW67" s="401"/>
      <c r="LFX67" s="401"/>
      <c r="LFY67" s="401"/>
      <c r="LFZ67" s="401"/>
      <c r="LGA67" s="401"/>
      <c r="LGB67" s="401"/>
      <c r="LGC67" s="401"/>
      <c r="LGD67" s="401"/>
      <c r="LGE67" s="401"/>
      <c r="LGF67" s="401"/>
      <c r="LGG67" s="401"/>
      <c r="LGH67" s="401"/>
      <c r="LGI67" s="401"/>
      <c r="LGJ67" s="401"/>
      <c r="LGK67" s="401"/>
      <c r="LGL67" s="401"/>
      <c r="LGM67" s="401"/>
      <c r="LGN67" s="401"/>
      <c r="LGO67" s="401"/>
      <c r="LGP67" s="401"/>
      <c r="LGQ67" s="401"/>
      <c r="LGR67" s="401"/>
      <c r="LGS67" s="401"/>
      <c r="LGT67" s="401"/>
      <c r="LGU67" s="401"/>
      <c r="LGV67" s="401"/>
      <c r="LGW67" s="401"/>
      <c r="LGX67" s="401"/>
      <c r="LGY67" s="401"/>
      <c r="LGZ67" s="401"/>
      <c r="LHA67" s="401"/>
      <c r="LHB67" s="401"/>
      <c r="LHC67" s="401"/>
      <c r="LHD67" s="401"/>
      <c r="LHE67" s="401"/>
      <c r="LHF67" s="401"/>
      <c r="LHG67" s="401"/>
      <c r="LHH67" s="401"/>
      <c r="LHI67" s="401"/>
      <c r="LHJ67" s="401"/>
      <c r="LHK67" s="401"/>
      <c r="LHL67" s="401"/>
      <c r="LHM67" s="401"/>
      <c r="LHN67" s="401"/>
      <c r="LHO67" s="401"/>
      <c r="LHP67" s="401"/>
      <c r="LHQ67" s="401"/>
      <c r="LHR67" s="401"/>
      <c r="LHS67" s="401"/>
      <c r="LHT67" s="401"/>
      <c r="LHU67" s="401"/>
      <c r="LHV67" s="401"/>
      <c r="LHW67" s="401"/>
      <c r="LHX67" s="401"/>
      <c r="LHY67" s="401"/>
      <c r="LHZ67" s="401"/>
      <c r="LIA67" s="401"/>
      <c r="LIB67" s="401"/>
      <c r="LIC67" s="401"/>
      <c r="LID67" s="401"/>
      <c r="LIE67" s="401"/>
      <c r="LIF67" s="401"/>
      <c r="LIG67" s="401"/>
      <c r="LIH67" s="401"/>
      <c r="LII67" s="401"/>
      <c r="LIJ67" s="401"/>
      <c r="LIK67" s="401"/>
      <c r="LIL67" s="401"/>
      <c r="LIM67" s="401"/>
      <c r="LIN67" s="401"/>
      <c r="LIO67" s="401"/>
      <c r="LIP67" s="401"/>
      <c r="LIQ67" s="401"/>
      <c r="LIR67" s="401"/>
      <c r="LIS67" s="401"/>
      <c r="LIT67" s="401"/>
      <c r="LIU67" s="401"/>
      <c r="LIV67" s="401"/>
      <c r="LIW67" s="401"/>
      <c r="LIX67" s="401"/>
      <c r="LIY67" s="401"/>
      <c r="LIZ67" s="401"/>
      <c r="LJA67" s="401"/>
      <c r="LJB67" s="401"/>
      <c r="LJC67" s="401"/>
      <c r="LJD67" s="401"/>
      <c r="LJE67" s="401"/>
      <c r="LJF67" s="401"/>
      <c r="LJG67" s="401"/>
      <c r="LJH67" s="401"/>
      <c r="LJI67" s="401"/>
      <c r="LJJ67" s="401"/>
      <c r="LJK67" s="401"/>
      <c r="LJL67" s="401"/>
      <c r="LJM67" s="401"/>
      <c r="LJN67" s="401"/>
      <c r="LJO67" s="401"/>
      <c r="LJP67" s="401"/>
      <c r="LJQ67" s="401"/>
      <c r="LJR67" s="401"/>
      <c r="LJS67" s="401"/>
      <c r="LJT67" s="401"/>
      <c r="LJU67" s="401"/>
      <c r="LJV67" s="401"/>
      <c r="LJW67" s="401"/>
      <c r="LJX67" s="401"/>
      <c r="LJY67" s="401"/>
      <c r="LJZ67" s="401"/>
      <c r="LKA67" s="401"/>
      <c r="LKB67" s="401"/>
      <c r="LKC67" s="401"/>
      <c r="LKD67" s="401"/>
      <c r="LKE67" s="401"/>
      <c r="LKF67" s="401"/>
      <c r="LKG67" s="401"/>
      <c r="LKH67" s="401"/>
      <c r="LKI67" s="401"/>
      <c r="LKJ67" s="401"/>
      <c r="LKK67" s="401"/>
      <c r="LKL67" s="401"/>
      <c r="LKM67" s="401"/>
      <c r="LKN67" s="401"/>
      <c r="LKO67" s="401"/>
      <c r="LKP67" s="401"/>
      <c r="LKQ67" s="401"/>
      <c r="LKR67" s="401"/>
      <c r="LKS67" s="401"/>
      <c r="LKT67" s="401"/>
      <c r="LKU67" s="401"/>
      <c r="LKV67" s="401"/>
      <c r="LKW67" s="401"/>
      <c r="LKX67" s="401"/>
      <c r="LKY67" s="401"/>
      <c r="LKZ67" s="401"/>
      <c r="LLA67" s="401"/>
      <c r="LLB67" s="401"/>
      <c r="LLC67" s="401"/>
      <c r="LLD67" s="401"/>
      <c r="LLE67" s="401"/>
      <c r="LLF67" s="401"/>
      <c r="LLG67" s="401"/>
      <c r="LLH67" s="401"/>
      <c r="LLI67" s="401"/>
      <c r="LLJ67" s="401"/>
      <c r="LLK67" s="401"/>
      <c r="LLL67" s="401"/>
      <c r="LLM67" s="401"/>
      <c r="LLN67" s="401"/>
      <c r="LLO67" s="401"/>
      <c r="LLP67" s="401"/>
      <c r="LLQ67" s="401"/>
      <c r="LLR67" s="401"/>
      <c r="LLS67" s="401"/>
      <c r="LLT67" s="401"/>
      <c r="LLU67" s="401"/>
      <c r="LLV67" s="401"/>
      <c r="LLW67" s="401"/>
      <c r="LLX67" s="401"/>
      <c r="LLY67" s="401"/>
      <c r="LLZ67" s="401"/>
      <c r="LMA67" s="401"/>
      <c r="LMB67" s="401"/>
      <c r="LMC67" s="401"/>
      <c r="LMD67" s="401"/>
      <c r="LME67" s="401"/>
      <c r="LMF67" s="401"/>
      <c r="LMG67" s="401"/>
      <c r="LMH67" s="401"/>
      <c r="LMI67" s="401"/>
      <c r="LMJ67" s="401"/>
      <c r="LMK67" s="401"/>
      <c r="LML67" s="401"/>
      <c r="LMM67" s="401"/>
      <c r="LMN67" s="401"/>
      <c r="LMO67" s="401"/>
      <c r="LMP67" s="401"/>
      <c r="LMQ67" s="401"/>
      <c r="LMR67" s="401"/>
      <c r="LMS67" s="401"/>
      <c r="LMT67" s="401"/>
      <c r="LMU67" s="401"/>
      <c r="LMV67" s="401"/>
      <c r="LMW67" s="401"/>
      <c r="LMX67" s="401"/>
      <c r="LMY67" s="401"/>
      <c r="LMZ67" s="401"/>
      <c r="LNA67" s="401"/>
      <c r="LNB67" s="401"/>
      <c r="LNC67" s="401"/>
      <c r="LND67" s="401"/>
      <c r="LNE67" s="401"/>
      <c r="LNF67" s="401"/>
      <c r="LNG67" s="401"/>
      <c r="LNH67" s="401"/>
      <c r="LNI67" s="401"/>
      <c r="LNJ67" s="401"/>
      <c r="LNK67" s="401"/>
      <c r="LNL67" s="401"/>
      <c r="LNM67" s="401"/>
      <c r="LNN67" s="401"/>
      <c r="LNO67" s="401"/>
      <c r="LNP67" s="401"/>
      <c r="LNQ67" s="401"/>
      <c r="LNR67" s="401"/>
      <c r="LNS67" s="401"/>
      <c r="LNT67" s="401"/>
      <c r="LNU67" s="401"/>
      <c r="LNV67" s="401"/>
      <c r="LNW67" s="401"/>
      <c r="LNX67" s="401"/>
      <c r="LNY67" s="401"/>
      <c r="LNZ67" s="401"/>
      <c r="LOA67" s="401"/>
      <c r="LOB67" s="401"/>
      <c r="LOC67" s="401"/>
      <c r="LOD67" s="401"/>
      <c r="LOE67" s="401"/>
      <c r="LOF67" s="401"/>
      <c r="LOG67" s="401"/>
      <c r="LOH67" s="401"/>
      <c r="LOI67" s="401"/>
      <c r="LOJ67" s="401"/>
      <c r="LOK67" s="401"/>
      <c r="LOL67" s="401"/>
      <c r="LOM67" s="401"/>
      <c r="LON67" s="401"/>
      <c r="LOO67" s="401"/>
      <c r="LOP67" s="401"/>
      <c r="LOQ67" s="401"/>
      <c r="LOR67" s="401"/>
      <c r="LOS67" s="401"/>
      <c r="LOT67" s="401"/>
      <c r="LOU67" s="401"/>
      <c r="LOV67" s="401"/>
      <c r="LOW67" s="401"/>
      <c r="LOX67" s="401"/>
      <c r="LOY67" s="401"/>
      <c r="LOZ67" s="401"/>
      <c r="LPA67" s="401"/>
      <c r="LPB67" s="401"/>
      <c r="LPC67" s="401"/>
      <c r="LPD67" s="401"/>
      <c r="LPE67" s="401"/>
      <c r="LPF67" s="401"/>
      <c r="LPG67" s="401"/>
      <c r="LPH67" s="401"/>
      <c r="LPI67" s="401"/>
      <c r="LPJ67" s="401"/>
      <c r="LPK67" s="401"/>
      <c r="LPL67" s="401"/>
      <c r="LPM67" s="401"/>
      <c r="LPN67" s="401"/>
      <c r="LPO67" s="401"/>
      <c r="LPP67" s="401"/>
      <c r="LPQ67" s="401"/>
      <c r="LPR67" s="401"/>
      <c r="LPS67" s="401"/>
      <c r="LPT67" s="401"/>
      <c r="LPU67" s="401"/>
      <c r="LPV67" s="401"/>
      <c r="LPW67" s="401"/>
      <c r="LPX67" s="401"/>
      <c r="LPY67" s="401"/>
      <c r="LPZ67" s="401"/>
      <c r="LQA67" s="401"/>
      <c r="LQB67" s="401"/>
      <c r="LQC67" s="401"/>
      <c r="LQD67" s="401"/>
      <c r="LQE67" s="401"/>
      <c r="LQF67" s="401"/>
      <c r="LQG67" s="401"/>
      <c r="LQH67" s="401"/>
      <c r="LQI67" s="401"/>
      <c r="LQJ67" s="401"/>
      <c r="LQK67" s="401"/>
      <c r="LQL67" s="401"/>
      <c r="LQM67" s="401"/>
      <c r="LQN67" s="401"/>
      <c r="LQO67" s="401"/>
      <c r="LQP67" s="401"/>
      <c r="LQQ67" s="401"/>
      <c r="LQR67" s="401"/>
      <c r="LQS67" s="401"/>
      <c r="LQT67" s="401"/>
      <c r="LQU67" s="401"/>
      <c r="LQV67" s="401"/>
      <c r="LQW67" s="401"/>
      <c r="LQX67" s="401"/>
      <c r="LQY67" s="401"/>
      <c r="LQZ67" s="401"/>
      <c r="LRA67" s="401"/>
      <c r="LRB67" s="401"/>
      <c r="LRC67" s="401"/>
      <c r="LRD67" s="401"/>
      <c r="LRE67" s="401"/>
      <c r="LRF67" s="401"/>
      <c r="LRG67" s="401"/>
      <c r="LRH67" s="401"/>
      <c r="LRI67" s="401"/>
      <c r="LRJ67" s="401"/>
      <c r="LRK67" s="401"/>
      <c r="LRL67" s="401"/>
      <c r="LRM67" s="401"/>
      <c r="LRN67" s="401"/>
      <c r="LRO67" s="401"/>
      <c r="LRP67" s="401"/>
      <c r="LRQ67" s="401"/>
      <c r="LRR67" s="401"/>
      <c r="LRS67" s="401"/>
      <c r="LRT67" s="401"/>
      <c r="LRU67" s="401"/>
      <c r="LRV67" s="401"/>
      <c r="LRW67" s="401"/>
      <c r="LRX67" s="401"/>
      <c r="LRY67" s="401"/>
      <c r="LRZ67" s="401"/>
      <c r="LSA67" s="401"/>
      <c r="LSB67" s="401"/>
      <c r="LSC67" s="401"/>
      <c r="LSD67" s="401"/>
      <c r="LSE67" s="401"/>
      <c r="LSF67" s="401"/>
      <c r="LSG67" s="401"/>
      <c r="LSH67" s="401"/>
      <c r="LSI67" s="401"/>
      <c r="LSJ67" s="401"/>
      <c r="LSK67" s="401"/>
      <c r="LSL67" s="401"/>
      <c r="LSM67" s="401"/>
      <c r="LSN67" s="401"/>
      <c r="LSO67" s="401"/>
      <c r="LSP67" s="401"/>
      <c r="LSQ67" s="401"/>
      <c r="LSR67" s="401"/>
      <c r="LSS67" s="401"/>
      <c r="LST67" s="401"/>
      <c r="LSU67" s="401"/>
      <c r="LSV67" s="401"/>
      <c r="LSW67" s="401"/>
      <c r="LSX67" s="401"/>
      <c r="LSY67" s="401"/>
      <c r="LSZ67" s="401"/>
      <c r="LTA67" s="401"/>
      <c r="LTB67" s="401"/>
      <c r="LTC67" s="401"/>
      <c r="LTD67" s="401"/>
      <c r="LTE67" s="401"/>
      <c r="LTF67" s="401"/>
      <c r="LTG67" s="401"/>
      <c r="LTH67" s="401"/>
      <c r="LTI67" s="401"/>
      <c r="LTJ67" s="401"/>
      <c r="LTK67" s="401"/>
      <c r="LTL67" s="401"/>
      <c r="LTM67" s="401"/>
      <c r="LTN67" s="401"/>
      <c r="LTO67" s="401"/>
      <c r="LTP67" s="401"/>
      <c r="LTQ67" s="401"/>
      <c r="LTR67" s="401"/>
      <c r="LTS67" s="401"/>
      <c r="LTT67" s="401"/>
      <c r="LTU67" s="401"/>
      <c r="LTV67" s="401"/>
      <c r="LTW67" s="401"/>
      <c r="LTX67" s="401"/>
      <c r="LTY67" s="401"/>
      <c r="LTZ67" s="401"/>
      <c r="LUA67" s="401"/>
      <c r="LUB67" s="401"/>
      <c r="LUC67" s="401"/>
      <c r="LUD67" s="401"/>
      <c r="LUE67" s="401"/>
      <c r="LUF67" s="401"/>
      <c r="LUG67" s="401"/>
      <c r="LUH67" s="401"/>
      <c r="LUI67" s="401"/>
      <c r="LUJ67" s="401"/>
      <c r="LUK67" s="401"/>
      <c r="LUL67" s="401"/>
      <c r="LUM67" s="401"/>
      <c r="LUN67" s="401"/>
      <c r="LUO67" s="401"/>
      <c r="LUP67" s="401"/>
      <c r="LUQ67" s="401"/>
      <c r="LUR67" s="401"/>
      <c r="LUS67" s="401"/>
      <c r="LUT67" s="401"/>
      <c r="LUU67" s="401"/>
      <c r="LUV67" s="401"/>
      <c r="LUW67" s="401"/>
      <c r="LUX67" s="401"/>
      <c r="LUY67" s="401"/>
      <c r="LUZ67" s="401"/>
      <c r="LVA67" s="401"/>
      <c r="LVB67" s="401"/>
      <c r="LVC67" s="401"/>
      <c r="LVD67" s="401"/>
      <c r="LVE67" s="401"/>
      <c r="LVF67" s="401"/>
      <c r="LVG67" s="401"/>
      <c r="LVH67" s="401"/>
      <c r="LVI67" s="401"/>
      <c r="LVJ67" s="401"/>
      <c r="LVK67" s="401"/>
      <c r="LVL67" s="401"/>
      <c r="LVM67" s="401"/>
      <c r="LVN67" s="401"/>
      <c r="LVO67" s="401"/>
      <c r="LVP67" s="401"/>
      <c r="LVQ67" s="401"/>
      <c r="LVR67" s="401"/>
      <c r="LVS67" s="401"/>
      <c r="LVT67" s="401"/>
      <c r="LVU67" s="401"/>
      <c r="LVV67" s="401"/>
      <c r="LVW67" s="401"/>
      <c r="LVX67" s="401"/>
      <c r="LVY67" s="401"/>
      <c r="LVZ67" s="401"/>
      <c r="LWA67" s="401"/>
      <c r="LWB67" s="401"/>
      <c r="LWC67" s="401"/>
      <c r="LWD67" s="401"/>
      <c r="LWE67" s="401"/>
      <c r="LWF67" s="401"/>
      <c r="LWG67" s="401"/>
      <c r="LWH67" s="401"/>
      <c r="LWI67" s="401"/>
      <c r="LWJ67" s="401"/>
      <c r="LWK67" s="401"/>
      <c r="LWL67" s="401"/>
      <c r="LWM67" s="401"/>
      <c r="LWN67" s="401"/>
      <c r="LWO67" s="401"/>
      <c r="LWP67" s="401"/>
      <c r="LWQ67" s="401"/>
      <c r="LWR67" s="401"/>
      <c r="LWS67" s="401"/>
      <c r="LWT67" s="401"/>
      <c r="LWU67" s="401"/>
      <c r="LWV67" s="401"/>
      <c r="LWW67" s="401"/>
      <c r="LWX67" s="401"/>
      <c r="LWY67" s="401"/>
      <c r="LWZ67" s="401"/>
      <c r="LXA67" s="401"/>
      <c r="LXB67" s="401"/>
      <c r="LXC67" s="401"/>
      <c r="LXD67" s="401"/>
      <c r="LXE67" s="401"/>
      <c r="LXF67" s="401"/>
      <c r="LXG67" s="401"/>
      <c r="LXH67" s="401"/>
      <c r="LXI67" s="401"/>
      <c r="LXJ67" s="401"/>
      <c r="LXK67" s="401"/>
      <c r="LXL67" s="401"/>
      <c r="LXM67" s="401"/>
      <c r="LXN67" s="401"/>
      <c r="LXO67" s="401"/>
      <c r="LXP67" s="401"/>
      <c r="LXQ67" s="401"/>
      <c r="LXR67" s="401"/>
      <c r="LXS67" s="401"/>
      <c r="LXT67" s="401"/>
      <c r="LXU67" s="401"/>
      <c r="LXV67" s="401"/>
      <c r="LXW67" s="401"/>
      <c r="LXX67" s="401"/>
      <c r="LXY67" s="401"/>
      <c r="LXZ67" s="401"/>
      <c r="LYA67" s="401"/>
      <c r="LYB67" s="401"/>
      <c r="LYC67" s="401"/>
      <c r="LYD67" s="401"/>
      <c r="LYE67" s="401"/>
      <c r="LYF67" s="401"/>
      <c r="LYG67" s="401"/>
      <c r="LYH67" s="401"/>
      <c r="LYI67" s="401"/>
      <c r="LYJ67" s="401"/>
      <c r="LYK67" s="401"/>
      <c r="LYL67" s="401"/>
      <c r="LYM67" s="401"/>
      <c r="LYN67" s="401"/>
      <c r="LYO67" s="401"/>
      <c r="LYP67" s="401"/>
      <c r="LYQ67" s="401"/>
      <c r="LYR67" s="401"/>
      <c r="LYS67" s="401"/>
      <c r="LYT67" s="401"/>
      <c r="LYU67" s="401"/>
      <c r="LYV67" s="401"/>
      <c r="LYW67" s="401"/>
      <c r="LYX67" s="401"/>
      <c r="LYY67" s="401"/>
      <c r="LYZ67" s="401"/>
      <c r="LZA67" s="401"/>
      <c r="LZB67" s="401"/>
      <c r="LZC67" s="401"/>
      <c r="LZD67" s="401"/>
      <c r="LZE67" s="401"/>
      <c r="LZF67" s="401"/>
      <c r="LZG67" s="401"/>
      <c r="LZH67" s="401"/>
      <c r="LZI67" s="401"/>
      <c r="LZJ67" s="401"/>
      <c r="LZK67" s="401"/>
      <c r="LZL67" s="401"/>
      <c r="LZM67" s="401"/>
      <c r="LZN67" s="401"/>
      <c r="LZO67" s="401"/>
      <c r="LZP67" s="401"/>
      <c r="LZQ67" s="401"/>
      <c r="LZR67" s="401"/>
      <c r="LZS67" s="401"/>
      <c r="LZT67" s="401"/>
      <c r="LZU67" s="401"/>
      <c r="LZV67" s="401"/>
      <c r="LZW67" s="401"/>
      <c r="LZX67" s="401"/>
      <c r="LZY67" s="401"/>
      <c r="LZZ67" s="401"/>
      <c r="MAA67" s="401"/>
      <c r="MAB67" s="401"/>
      <c r="MAC67" s="401"/>
      <c r="MAD67" s="401"/>
      <c r="MAE67" s="401"/>
      <c r="MAF67" s="401"/>
      <c r="MAG67" s="401"/>
      <c r="MAH67" s="401"/>
      <c r="MAI67" s="401"/>
      <c r="MAJ67" s="401"/>
      <c r="MAK67" s="401"/>
      <c r="MAL67" s="401"/>
      <c r="MAM67" s="401"/>
      <c r="MAN67" s="401"/>
      <c r="MAO67" s="401"/>
      <c r="MAP67" s="401"/>
      <c r="MAQ67" s="401"/>
      <c r="MAR67" s="401"/>
      <c r="MAS67" s="401"/>
      <c r="MAT67" s="401"/>
      <c r="MAU67" s="401"/>
      <c r="MAV67" s="401"/>
      <c r="MAW67" s="401"/>
      <c r="MAX67" s="401"/>
      <c r="MAY67" s="401"/>
      <c r="MAZ67" s="401"/>
      <c r="MBA67" s="401"/>
      <c r="MBB67" s="401"/>
      <c r="MBC67" s="401"/>
      <c r="MBD67" s="401"/>
      <c r="MBE67" s="401"/>
      <c r="MBF67" s="401"/>
      <c r="MBG67" s="401"/>
      <c r="MBH67" s="401"/>
      <c r="MBI67" s="401"/>
      <c r="MBJ67" s="401"/>
      <c r="MBK67" s="401"/>
      <c r="MBL67" s="401"/>
      <c r="MBM67" s="401"/>
      <c r="MBN67" s="401"/>
      <c r="MBO67" s="401"/>
      <c r="MBP67" s="401"/>
      <c r="MBQ67" s="401"/>
      <c r="MBR67" s="401"/>
      <c r="MBS67" s="401"/>
      <c r="MBT67" s="401"/>
      <c r="MBU67" s="401"/>
      <c r="MBV67" s="401"/>
      <c r="MBW67" s="401"/>
      <c r="MBX67" s="401"/>
      <c r="MBY67" s="401"/>
      <c r="MBZ67" s="401"/>
      <c r="MCA67" s="401"/>
      <c r="MCB67" s="401"/>
      <c r="MCC67" s="401"/>
      <c r="MCD67" s="401"/>
      <c r="MCE67" s="401"/>
      <c r="MCF67" s="401"/>
      <c r="MCG67" s="401"/>
      <c r="MCH67" s="401"/>
      <c r="MCI67" s="401"/>
      <c r="MCJ67" s="401"/>
      <c r="MCK67" s="401"/>
      <c r="MCL67" s="401"/>
      <c r="MCM67" s="401"/>
      <c r="MCN67" s="401"/>
      <c r="MCO67" s="401"/>
      <c r="MCP67" s="401"/>
      <c r="MCQ67" s="401"/>
      <c r="MCR67" s="401"/>
      <c r="MCS67" s="401"/>
      <c r="MCT67" s="401"/>
      <c r="MCU67" s="401"/>
      <c r="MCV67" s="401"/>
      <c r="MCW67" s="401"/>
      <c r="MCX67" s="401"/>
      <c r="MCY67" s="401"/>
      <c r="MCZ67" s="401"/>
      <c r="MDA67" s="401"/>
      <c r="MDB67" s="401"/>
      <c r="MDC67" s="401"/>
      <c r="MDD67" s="401"/>
      <c r="MDE67" s="401"/>
      <c r="MDF67" s="401"/>
      <c r="MDG67" s="401"/>
      <c r="MDH67" s="401"/>
      <c r="MDI67" s="401"/>
      <c r="MDJ67" s="401"/>
      <c r="MDK67" s="401"/>
      <c r="MDL67" s="401"/>
      <c r="MDM67" s="401"/>
      <c r="MDN67" s="401"/>
      <c r="MDO67" s="401"/>
      <c r="MDP67" s="401"/>
      <c r="MDQ67" s="401"/>
      <c r="MDR67" s="401"/>
      <c r="MDS67" s="401"/>
      <c r="MDT67" s="401"/>
      <c r="MDU67" s="401"/>
      <c r="MDV67" s="401"/>
      <c r="MDW67" s="401"/>
      <c r="MDX67" s="401"/>
      <c r="MDY67" s="401"/>
      <c r="MDZ67" s="401"/>
      <c r="MEA67" s="401"/>
      <c r="MEB67" s="401"/>
      <c r="MEC67" s="401"/>
      <c r="MED67" s="401"/>
      <c r="MEE67" s="401"/>
      <c r="MEF67" s="401"/>
      <c r="MEG67" s="401"/>
      <c r="MEH67" s="401"/>
      <c r="MEI67" s="401"/>
      <c r="MEJ67" s="401"/>
      <c r="MEK67" s="401"/>
      <c r="MEL67" s="401"/>
      <c r="MEM67" s="401"/>
      <c r="MEN67" s="401"/>
      <c r="MEO67" s="401"/>
      <c r="MEP67" s="401"/>
      <c r="MEQ67" s="401"/>
      <c r="MER67" s="401"/>
      <c r="MES67" s="401"/>
      <c r="MET67" s="401"/>
      <c r="MEU67" s="401"/>
      <c r="MEV67" s="401"/>
      <c r="MEW67" s="401"/>
      <c r="MEX67" s="401"/>
      <c r="MEY67" s="401"/>
      <c r="MEZ67" s="401"/>
      <c r="MFA67" s="401"/>
      <c r="MFB67" s="401"/>
      <c r="MFC67" s="401"/>
      <c r="MFD67" s="401"/>
      <c r="MFE67" s="401"/>
      <c r="MFF67" s="401"/>
      <c r="MFG67" s="401"/>
      <c r="MFH67" s="401"/>
      <c r="MFI67" s="401"/>
      <c r="MFJ67" s="401"/>
      <c r="MFK67" s="401"/>
      <c r="MFL67" s="401"/>
      <c r="MFM67" s="401"/>
      <c r="MFN67" s="401"/>
      <c r="MFO67" s="401"/>
      <c r="MFP67" s="401"/>
      <c r="MFQ67" s="401"/>
      <c r="MFR67" s="401"/>
      <c r="MFS67" s="401"/>
      <c r="MFT67" s="401"/>
      <c r="MFU67" s="401"/>
      <c r="MFV67" s="401"/>
      <c r="MFW67" s="401"/>
      <c r="MFX67" s="401"/>
      <c r="MFY67" s="401"/>
      <c r="MFZ67" s="401"/>
      <c r="MGA67" s="401"/>
      <c r="MGB67" s="401"/>
      <c r="MGC67" s="401"/>
      <c r="MGD67" s="401"/>
      <c r="MGE67" s="401"/>
      <c r="MGF67" s="401"/>
      <c r="MGG67" s="401"/>
      <c r="MGH67" s="401"/>
      <c r="MGI67" s="401"/>
      <c r="MGJ67" s="401"/>
      <c r="MGK67" s="401"/>
      <c r="MGL67" s="401"/>
      <c r="MGM67" s="401"/>
      <c r="MGN67" s="401"/>
      <c r="MGO67" s="401"/>
      <c r="MGP67" s="401"/>
      <c r="MGQ67" s="401"/>
      <c r="MGR67" s="401"/>
      <c r="MGS67" s="401"/>
      <c r="MGT67" s="401"/>
      <c r="MGU67" s="401"/>
      <c r="MGV67" s="401"/>
      <c r="MGW67" s="401"/>
      <c r="MGX67" s="401"/>
      <c r="MGY67" s="401"/>
      <c r="MGZ67" s="401"/>
      <c r="MHA67" s="401"/>
      <c r="MHB67" s="401"/>
      <c r="MHC67" s="401"/>
      <c r="MHD67" s="401"/>
      <c r="MHE67" s="401"/>
      <c r="MHF67" s="401"/>
      <c r="MHG67" s="401"/>
      <c r="MHH67" s="401"/>
      <c r="MHI67" s="401"/>
      <c r="MHJ67" s="401"/>
      <c r="MHK67" s="401"/>
      <c r="MHL67" s="401"/>
      <c r="MHM67" s="401"/>
      <c r="MHN67" s="401"/>
      <c r="MHO67" s="401"/>
      <c r="MHP67" s="401"/>
      <c r="MHQ67" s="401"/>
      <c r="MHR67" s="401"/>
      <c r="MHS67" s="401"/>
      <c r="MHT67" s="401"/>
      <c r="MHU67" s="401"/>
      <c r="MHV67" s="401"/>
      <c r="MHW67" s="401"/>
      <c r="MHX67" s="401"/>
      <c r="MHY67" s="401"/>
      <c r="MHZ67" s="401"/>
      <c r="MIA67" s="401"/>
      <c r="MIB67" s="401"/>
      <c r="MIC67" s="401"/>
      <c r="MID67" s="401"/>
      <c r="MIE67" s="401"/>
      <c r="MIF67" s="401"/>
      <c r="MIG67" s="401"/>
      <c r="MIH67" s="401"/>
      <c r="MII67" s="401"/>
      <c r="MIJ67" s="401"/>
      <c r="MIK67" s="401"/>
      <c r="MIL67" s="401"/>
      <c r="MIM67" s="401"/>
      <c r="MIN67" s="401"/>
      <c r="MIO67" s="401"/>
      <c r="MIP67" s="401"/>
      <c r="MIQ67" s="401"/>
      <c r="MIR67" s="401"/>
      <c r="MIS67" s="401"/>
      <c r="MIT67" s="401"/>
      <c r="MIU67" s="401"/>
      <c r="MIV67" s="401"/>
      <c r="MIW67" s="401"/>
      <c r="MIX67" s="401"/>
      <c r="MIY67" s="401"/>
      <c r="MIZ67" s="401"/>
      <c r="MJA67" s="401"/>
      <c r="MJB67" s="401"/>
      <c r="MJC67" s="401"/>
      <c r="MJD67" s="401"/>
      <c r="MJE67" s="401"/>
      <c r="MJF67" s="401"/>
      <c r="MJG67" s="401"/>
      <c r="MJH67" s="401"/>
      <c r="MJI67" s="401"/>
      <c r="MJJ67" s="401"/>
      <c r="MJK67" s="401"/>
      <c r="MJL67" s="401"/>
      <c r="MJM67" s="401"/>
      <c r="MJN67" s="401"/>
      <c r="MJO67" s="401"/>
      <c r="MJP67" s="401"/>
      <c r="MJQ67" s="401"/>
      <c r="MJR67" s="401"/>
      <c r="MJS67" s="401"/>
      <c r="MJT67" s="401"/>
      <c r="MJU67" s="401"/>
      <c r="MJV67" s="401"/>
      <c r="MJW67" s="401"/>
      <c r="MJX67" s="401"/>
      <c r="MJY67" s="401"/>
      <c r="MJZ67" s="401"/>
      <c r="MKA67" s="401"/>
      <c r="MKB67" s="401"/>
      <c r="MKC67" s="401"/>
      <c r="MKD67" s="401"/>
      <c r="MKE67" s="401"/>
      <c r="MKF67" s="401"/>
      <c r="MKG67" s="401"/>
      <c r="MKH67" s="401"/>
      <c r="MKI67" s="401"/>
      <c r="MKJ67" s="401"/>
      <c r="MKK67" s="401"/>
      <c r="MKL67" s="401"/>
      <c r="MKM67" s="401"/>
      <c r="MKN67" s="401"/>
      <c r="MKO67" s="401"/>
      <c r="MKP67" s="401"/>
      <c r="MKQ67" s="401"/>
      <c r="MKR67" s="401"/>
      <c r="MKS67" s="401"/>
      <c r="MKT67" s="401"/>
      <c r="MKU67" s="401"/>
      <c r="MKV67" s="401"/>
      <c r="MKW67" s="401"/>
      <c r="MKX67" s="401"/>
      <c r="MKY67" s="401"/>
      <c r="MKZ67" s="401"/>
      <c r="MLA67" s="401"/>
      <c r="MLB67" s="401"/>
      <c r="MLC67" s="401"/>
      <c r="MLD67" s="401"/>
      <c r="MLE67" s="401"/>
      <c r="MLF67" s="401"/>
      <c r="MLG67" s="401"/>
      <c r="MLH67" s="401"/>
      <c r="MLI67" s="401"/>
      <c r="MLJ67" s="401"/>
      <c r="MLK67" s="401"/>
      <c r="MLL67" s="401"/>
      <c r="MLM67" s="401"/>
      <c r="MLN67" s="401"/>
      <c r="MLO67" s="401"/>
      <c r="MLP67" s="401"/>
      <c r="MLQ67" s="401"/>
      <c r="MLR67" s="401"/>
      <c r="MLS67" s="401"/>
      <c r="MLT67" s="401"/>
      <c r="MLU67" s="401"/>
      <c r="MLV67" s="401"/>
      <c r="MLW67" s="401"/>
      <c r="MLX67" s="401"/>
      <c r="MLY67" s="401"/>
      <c r="MLZ67" s="401"/>
      <c r="MMA67" s="401"/>
      <c r="MMB67" s="401"/>
      <c r="MMC67" s="401"/>
      <c r="MMD67" s="401"/>
      <c r="MME67" s="401"/>
      <c r="MMF67" s="401"/>
      <c r="MMG67" s="401"/>
      <c r="MMH67" s="401"/>
      <c r="MMI67" s="401"/>
      <c r="MMJ67" s="401"/>
      <c r="MMK67" s="401"/>
      <c r="MML67" s="401"/>
      <c r="MMM67" s="401"/>
      <c r="MMN67" s="401"/>
      <c r="MMO67" s="401"/>
      <c r="MMP67" s="401"/>
      <c r="MMQ67" s="401"/>
      <c r="MMR67" s="401"/>
      <c r="MMS67" s="401"/>
      <c r="MMT67" s="401"/>
      <c r="MMU67" s="401"/>
      <c r="MMV67" s="401"/>
      <c r="MMW67" s="401"/>
      <c r="MMX67" s="401"/>
      <c r="MMY67" s="401"/>
      <c r="MMZ67" s="401"/>
      <c r="MNA67" s="401"/>
      <c r="MNB67" s="401"/>
      <c r="MNC67" s="401"/>
      <c r="MND67" s="401"/>
      <c r="MNE67" s="401"/>
      <c r="MNF67" s="401"/>
      <c r="MNG67" s="401"/>
      <c r="MNH67" s="401"/>
      <c r="MNI67" s="401"/>
      <c r="MNJ67" s="401"/>
      <c r="MNK67" s="401"/>
      <c r="MNL67" s="401"/>
      <c r="MNM67" s="401"/>
      <c r="MNN67" s="401"/>
      <c r="MNO67" s="401"/>
      <c r="MNP67" s="401"/>
      <c r="MNQ67" s="401"/>
      <c r="MNR67" s="401"/>
      <c r="MNS67" s="401"/>
      <c r="MNT67" s="401"/>
      <c r="MNU67" s="401"/>
      <c r="MNV67" s="401"/>
      <c r="MNW67" s="401"/>
      <c r="MNX67" s="401"/>
      <c r="MNY67" s="401"/>
      <c r="MNZ67" s="401"/>
      <c r="MOA67" s="401"/>
      <c r="MOB67" s="401"/>
      <c r="MOC67" s="401"/>
      <c r="MOD67" s="401"/>
      <c r="MOE67" s="401"/>
      <c r="MOF67" s="401"/>
      <c r="MOG67" s="401"/>
      <c r="MOH67" s="401"/>
      <c r="MOI67" s="401"/>
      <c r="MOJ67" s="401"/>
      <c r="MOK67" s="401"/>
      <c r="MOL67" s="401"/>
      <c r="MOM67" s="401"/>
      <c r="MON67" s="401"/>
      <c r="MOO67" s="401"/>
      <c r="MOP67" s="401"/>
      <c r="MOQ67" s="401"/>
      <c r="MOR67" s="401"/>
      <c r="MOS67" s="401"/>
      <c r="MOT67" s="401"/>
      <c r="MOU67" s="401"/>
      <c r="MOV67" s="401"/>
      <c r="MOW67" s="401"/>
      <c r="MOX67" s="401"/>
      <c r="MOY67" s="401"/>
      <c r="MOZ67" s="401"/>
      <c r="MPA67" s="401"/>
      <c r="MPB67" s="401"/>
      <c r="MPC67" s="401"/>
      <c r="MPD67" s="401"/>
      <c r="MPE67" s="401"/>
      <c r="MPF67" s="401"/>
      <c r="MPG67" s="401"/>
      <c r="MPH67" s="401"/>
      <c r="MPI67" s="401"/>
      <c r="MPJ67" s="401"/>
      <c r="MPK67" s="401"/>
      <c r="MPL67" s="401"/>
      <c r="MPM67" s="401"/>
      <c r="MPN67" s="401"/>
      <c r="MPO67" s="401"/>
      <c r="MPP67" s="401"/>
      <c r="MPQ67" s="401"/>
      <c r="MPR67" s="401"/>
      <c r="MPS67" s="401"/>
      <c r="MPT67" s="401"/>
      <c r="MPU67" s="401"/>
      <c r="MPV67" s="401"/>
      <c r="MPW67" s="401"/>
      <c r="MPX67" s="401"/>
      <c r="MPY67" s="401"/>
      <c r="MPZ67" s="401"/>
      <c r="MQA67" s="401"/>
      <c r="MQB67" s="401"/>
      <c r="MQC67" s="401"/>
      <c r="MQD67" s="401"/>
      <c r="MQE67" s="401"/>
      <c r="MQF67" s="401"/>
      <c r="MQG67" s="401"/>
      <c r="MQH67" s="401"/>
      <c r="MQI67" s="401"/>
      <c r="MQJ67" s="401"/>
      <c r="MQK67" s="401"/>
      <c r="MQL67" s="401"/>
      <c r="MQM67" s="401"/>
      <c r="MQN67" s="401"/>
      <c r="MQO67" s="401"/>
      <c r="MQP67" s="401"/>
      <c r="MQQ67" s="401"/>
      <c r="MQR67" s="401"/>
      <c r="MQS67" s="401"/>
      <c r="MQT67" s="401"/>
      <c r="MQU67" s="401"/>
      <c r="MQV67" s="401"/>
      <c r="MQW67" s="401"/>
      <c r="MQX67" s="401"/>
      <c r="MQY67" s="401"/>
      <c r="MQZ67" s="401"/>
      <c r="MRA67" s="401"/>
      <c r="MRB67" s="401"/>
      <c r="MRC67" s="401"/>
      <c r="MRD67" s="401"/>
      <c r="MRE67" s="401"/>
      <c r="MRF67" s="401"/>
      <c r="MRG67" s="401"/>
      <c r="MRH67" s="401"/>
      <c r="MRI67" s="401"/>
      <c r="MRJ67" s="401"/>
      <c r="MRK67" s="401"/>
      <c r="MRL67" s="401"/>
      <c r="MRM67" s="401"/>
      <c r="MRN67" s="401"/>
      <c r="MRO67" s="401"/>
      <c r="MRP67" s="401"/>
      <c r="MRQ67" s="401"/>
      <c r="MRR67" s="401"/>
      <c r="MRS67" s="401"/>
      <c r="MRT67" s="401"/>
      <c r="MRU67" s="401"/>
      <c r="MRV67" s="401"/>
      <c r="MRW67" s="401"/>
      <c r="MRX67" s="401"/>
      <c r="MRY67" s="401"/>
      <c r="MRZ67" s="401"/>
      <c r="MSA67" s="401"/>
      <c r="MSB67" s="401"/>
      <c r="MSC67" s="401"/>
      <c r="MSD67" s="401"/>
      <c r="MSE67" s="401"/>
      <c r="MSF67" s="401"/>
      <c r="MSG67" s="401"/>
      <c r="MSH67" s="401"/>
      <c r="MSI67" s="401"/>
      <c r="MSJ67" s="401"/>
      <c r="MSK67" s="401"/>
      <c r="MSL67" s="401"/>
      <c r="MSM67" s="401"/>
      <c r="MSN67" s="401"/>
      <c r="MSO67" s="401"/>
      <c r="MSP67" s="401"/>
      <c r="MSQ67" s="401"/>
      <c r="MSR67" s="401"/>
      <c r="MSS67" s="401"/>
      <c r="MST67" s="401"/>
      <c r="MSU67" s="401"/>
      <c r="MSV67" s="401"/>
      <c r="MSW67" s="401"/>
      <c r="MSX67" s="401"/>
      <c r="MSY67" s="401"/>
      <c r="MSZ67" s="401"/>
      <c r="MTA67" s="401"/>
      <c r="MTB67" s="401"/>
      <c r="MTC67" s="401"/>
      <c r="MTD67" s="401"/>
      <c r="MTE67" s="401"/>
      <c r="MTF67" s="401"/>
      <c r="MTG67" s="401"/>
      <c r="MTH67" s="401"/>
      <c r="MTI67" s="401"/>
      <c r="MTJ67" s="401"/>
      <c r="MTK67" s="401"/>
      <c r="MTL67" s="401"/>
      <c r="MTM67" s="401"/>
      <c r="MTN67" s="401"/>
      <c r="MTO67" s="401"/>
      <c r="MTP67" s="401"/>
      <c r="MTQ67" s="401"/>
      <c r="MTR67" s="401"/>
      <c r="MTS67" s="401"/>
      <c r="MTT67" s="401"/>
      <c r="MTU67" s="401"/>
      <c r="MTV67" s="401"/>
      <c r="MTW67" s="401"/>
      <c r="MTX67" s="401"/>
      <c r="MTY67" s="401"/>
      <c r="MTZ67" s="401"/>
      <c r="MUA67" s="401"/>
      <c r="MUB67" s="401"/>
      <c r="MUC67" s="401"/>
      <c r="MUD67" s="401"/>
      <c r="MUE67" s="401"/>
      <c r="MUF67" s="401"/>
      <c r="MUG67" s="401"/>
      <c r="MUH67" s="401"/>
      <c r="MUI67" s="401"/>
      <c r="MUJ67" s="401"/>
      <c r="MUK67" s="401"/>
      <c r="MUL67" s="401"/>
      <c r="MUM67" s="401"/>
      <c r="MUN67" s="401"/>
      <c r="MUO67" s="401"/>
      <c r="MUP67" s="401"/>
      <c r="MUQ67" s="401"/>
      <c r="MUR67" s="401"/>
      <c r="MUS67" s="401"/>
      <c r="MUT67" s="401"/>
      <c r="MUU67" s="401"/>
      <c r="MUV67" s="401"/>
      <c r="MUW67" s="401"/>
      <c r="MUX67" s="401"/>
      <c r="MUY67" s="401"/>
      <c r="MUZ67" s="401"/>
      <c r="MVA67" s="401"/>
      <c r="MVB67" s="401"/>
      <c r="MVC67" s="401"/>
      <c r="MVD67" s="401"/>
      <c r="MVE67" s="401"/>
      <c r="MVF67" s="401"/>
      <c r="MVG67" s="401"/>
      <c r="MVH67" s="401"/>
      <c r="MVI67" s="401"/>
      <c r="MVJ67" s="401"/>
      <c r="MVK67" s="401"/>
      <c r="MVL67" s="401"/>
      <c r="MVM67" s="401"/>
      <c r="MVN67" s="401"/>
      <c r="MVO67" s="401"/>
      <c r="MVP67" s="401"/>
      <c r="MVQ67" s="401"/>
      <c r="MVR67" s="401"/>
      <c r="MVS67" s="401"/>
      <c r="MVT67" s="401"/>
      <c r="MVU67" s="401"/>
      <c r="MVV67" s="401"/>
      <c r="MVW67" s="401"/>
      <c r="MVX67" s="401"/>
      <c r="MVY67" s="401"/>
      <c r="MVZ67" s="401"/>
      <c r="MWA67" s="401"/>
      <c r="MWB67" s="401"/>
      <c r="MWC67" s="401"/>
      <c r="MWD67" s="401"/>
      <c r="MWE67" s="401"/>
      <c r="MWF67" s="401"/>
      <c r="MWG67" s="401"/>
      <c r="MWH67" s="401"/>
      <c r="MWI67" s="401"/>
      <c r="MWJ67" s="401"/>
      <c r="MWK67" s="401"/>
      <c r="MWL67" s="401"/>
      <c r="MWM67" s="401"/>
      <c r="MWN67" s="401"/>
      <c r="MWO67" s="401"/>
      <c r="MWP67" s="401"/>
      <c r="MWQ67" s="401"/>
      <c r="MWR67" s="401"/>
      <c r="MWS67" s="401"/>
      <c r="MWT67" s="401"/>
      <c r="MWU67" s="401"/>
      <c r="MWV67" s="401"/>
      <c r="MWW67" s="401"/>
      <c r="MWX67" s="401"/>
      <c r="MWY67" s="401"/>
      <c r="MWZ67" s="401"/>
      <c r="MXA67" s="401"/>
      <c r="MXB67" s="401"/>
      <c r="MXC67" s="401"/>
      <c r="MXD67" s="401"/>
      <c r="MXE67" s="401"/>
      <c r="MXF67" s="401"/>
      <c r="MXG67" s="401"/>
      <c r="MXH67" s="401"/>
      <c r="MXI67" s="401"/>
      <c r="MXJ67" s="401"/>
      <c r="MXK67" s="401"/>
      <c r="MXL67" s="401"/>
      <c r="MXM67" s="401"/>
      <c r="MXN67" s="401"/>
      <c r="MXO67" s="401"/>
      <c r="MXP67" s="401"/>
      <c r="MXQ67" s="401"/>
      <c r="MXR67" s="401"/>
      <c r="MXS67" s="401"/>
      <c r="MXT67" s="401"/>
      <c r="MXU67" s="401"/>
      <c r="MXV67" s="401"/>
      <c r="MXW67" s="401"/>
      <c r="MXX67" s="401"/>
      <c r="MXY67" s="401"/>
      <c r="MXZ67" s="401"/>
      <c r="MYA67" s="401"/>
      <c r="MYB67" s="401"/>
      <c r="MYC67" s="401"/>
      <c r="MYD67" s="401"/>
      <c r="MYE67" s="401"/>
      <c r="MYF67" s="401"/>
      <c r="MYG67" s="401"/>
      <c r="MYH67" s="401"/>
      <c r="MYI67" s="401"/>
      <c r="MYJ67" s="401"/>
      <c r="MYK67" s="401"/>
      <c r="MYL67" s="401"/>
      <c r="MYM67" s="401"/>
      <c r="MYN67" s="401"/>
      <c r="MYO67" s="401"/>
      <c r="MYP67" s="401"/>
      <c r="MYQ67" s="401"/>
      <c r="MYR67" s="401"/>
      <c r="MYS67" s="401"/>
      <c r="MYT67" s="401"/>
      <c r="MYU67" s="401"/>
      <c r="MYV67" s="401"/>
      <c r="MYW67" s="401"/>
      <c r="MYX67" s="401"/>
      <c r="MYY67" s="401"/>
      <c r="MYZ67" s="401"/>
      <c r="MZA67" s="401"/>
      <c r="MZB67" s="401"/>
      <c r="MZC67" s="401"/>
      <c r="MZD67" s="401"/>
      <c r="MZE67" s="401"/>
      <c r="MZF67" s="401"/>
      <c r="MZG67" s="401"/>
      <c r="MZH67" s="401"/>
      <c r="MZI67" s="401"/>
      <c r="MZJ67" s="401"/>
      <c r="MZK67" s="401"/>
      <c r="MZL67" s="401"/>
      <c r="MZM67" s="401"/>
      <c r="MZN67" s="401"/>
      <c r="MZO67" s="401"/>
      <c r="MZP67" s="401"/>
      <c r="MZQ67" s="401"/>
      <c r="MZR67" s="401"/>
      <c r="MZS67" s="401"/>
      <c r="MZT67" s="401"/>
      <c r="MZU67" s="401"/>
      <c r="MZV67" s="401"/>
      <c r="MZW67" s="401"/>
      <c r="MZX67" s="401"/>
      <c r="MZY67" s="401"/>
      <c r="MZZ67" s="401"/>
      <c r="NAA67" s="401"/>
      <c r="NAB67" s="401"/>
      <c r="NAC67" s="401"/>
      <c r="NAD67" s="401"/>
      <c r="NAE67" s="401"/>
      <c r="NAF67" s="401"/>
      <c r="NAG67" s="401"/>
      <c r="NAH67" s="401"/>
      <c r="NAI67" s="401"/>
      <c r="NAJ67" s="401"/>
      <c r="NAK67" s="401"/>
      <c r="NAL67" s="401"/>
      <c r="NAM67" s="401"/>
      <c r="NAN67" s="401"/>
      <c r="NAO67" s="401"/>
      <c r="NAP67" s="401"/>
      <c r="NAQ67" s="401"/>
      <c r="NAR67" s="401"/>
      <c r="NAS67" s="401"/>
      <c r="NAT67" s="401"/>
      <c r="NAU67" s="401"/>
      <c r="NAV67" s="401"/>
      <c r="NAW67" s="401"/>
      <c r="NAX67" s="401"/>
      <c r="NAY67" s="401"/>
      <c r="NAZ67" s="401"/>
      <c r="NBA67" s="401"/>
      <c r="NBB67" s="401"/>
      <c r="NBC67" s="401"/>
      <c r="NBD67" s="401"/>
      <c r="NBE67" s="401"/>
      <c r="NBF67" s="401"/>
      <c r="NBG67" s="401"/>
      <c r="NBH67" s="401"/>
      <c r="NBI67" s="401"/>
      <c r="NBJ67" s="401"/>
      <c r="NBK67" s="401"/>
      <c r="NBL67" s="401"/>
      <c r="NBM67" s="401"/>
      <c r="NBN67" s="401"/>
      <c r="NBO67" s="401"/>
      <c r="NBP67" s="401"/>
      <c r="NBQ67" s="401"/>
      <c r="NBR67" s="401"/>
      <c r="NBS67" s="401"/>
      <c r="NBT67" s="401"/>
      <c r="NBU67" s="401"/>
      <c r="NBV67" s="401"/>
      <c r="NBW67" s="401"/>
      <c r="NBX67" s="401"/>
      <c r="NBY67" s="401"/>
      <c r="NBZ67" s="401"/>
      <c r="NCA67" s="401"/>
      <c r="NCB67" s="401"/>
      <c r="NCC67" s="401"/>
      <c r="NCD67" s="401"/>
      <c r="NCE67" s="401"/>
      <c r="NCF67" s="401"/>
      <c r="NCG67" s="401"/>
      <c r="NCH67" s="401"/>
      <c r="NCI67" s="401"/>
      <c r="NCJ67" s="401"/>
      <c r="NCK67" s="401"/>
      <c r="NCL67" s="401"/>
      <c r="NCM67" s="401"/>
      <c r="NCN67" s="401"/>
      <c r="NCO67" s="401"/>
      <c r="NCP67" s="401"/>
      <c r="NCQ67" s="401"/>
      <c r="NCR67" s="401"/>
      <c r="NCS67" s="401"/>
      <c r="NCT67" s="401"/>
      <c r="NCU67" s="401"/>
      <c r="NCV67" s="401"/>
      <c r="NCW67" s="401"/>
      <c r="NCX67" s="401"/>
      <c r="NCY67" s="401"/>
      <c r="NCZ67" s="401"/>
      <c r="NDA67" s="401"/>
      <c r="NDB67" s="401"/>
      <c r="NDC67" s="401"/>
      <c r="NDD67" s="401"/>
      <c r="NDE67" s="401"/>
      <c r="NDF67" s="401"/>
      <c r="NDG67" s="401"/>
      <c r="NDH67" s="401"/>
      <c r="NDI67" s="401"/>
      <c r="NDJ67" s="401"/>
      <c r="NDK67" s="401"/>
      <c r="NDL67" s="401"/>
      <c r="NDM67" s="401"/>
      <c r="NDN67" s="401"/>
      <c r="NDO67" s="401"/>
      <c r="NDP67" s="401"/>
      <c r="NDQ67" s="401"/>
      <c r="NDR67" s="401"/>
      <c r="NDS67" s="401"/>
      <c r="NDT67" s="401"/>
      <c r="NDU67" s="401"/>
      <c r="NDV67" s="401"/>
      <c r="NDW67" s="401"/>
      <c r="NDX67" s="401"/>
      <c r="NDY67" s="401"/>
      <c r="NDZ67" s="401"/>
      <c r="NEA67" s="401"/>
      <c r="NEB67" s="401"/>
      <c r="NEC67" s="401"/>
      <c r="NED67" s="401"/>
      <c r="NEE67" s="401"/>
      <c r="NEF67" s="401"/>
      <c r="NEG67" s="401"/>
      <c r="NEH67" s="401"/>
      <c r="NEI67" s="401"/>
      <c r="NEJ67" s="401"/>
      <c r="NEK67" s="401"/>
      <c r="NEL67" s="401"/>
      <c r="NEM67" s="401"/>
      <c r="NEN67" s="401"/>
      <c r="NEO67" s="401"/>
      <c r="NEP67" s="401"/>
      <c r="NEQ67" s="401"/>
      <c r="NER67" s="401"/>
      <c r="NES67" s="401"/>
      <c r="NET67" s="401"/>
      <c r="NEU67" s="401"/>
      <c r="NEV67" s="401"/>
      <c r="NEW67" s="401"/>
      <c r="NEX67" s="401"/>
      <c r="NEY67" s="401"/>
      <c r="NEZ67" s="401"/>
      <c r="NFA67" s="401"/>
      <c r="NFB67" s="401"/>
      <c r="NFC67" s="401"/>
      <c r="NFD67" s="401"/>
      <c r="NFE67" s="401"/>
      <c r="NFF67" s="401"/>
      <c r="NFG67" s="401"/>
      <c r="NFH67" s="401"/>
      <c r="NFI67" s="401"/>
      <c r="NFJ67" s="401"/>
      <c r="NFK67" s="401"/>
      <c r="NFL67" s="401"/>
      <c r="NFM67" s="401"/>
      <c r="NFN67" s="401"/>
      <c r="NFO67" s="401"/>
      <c r="NFP67" s="401"/>
      <c r="NFQ67" s="401"/>
      <c r="NFR67" s="401"/>
      <c r="NFS67" s="401"/>
      <c r="NFT67" s="401"/>
      <c r="NFU67" s="401"/>
      <c r="NFV67" s="401"/>
      <c r="NFW67" s="401"/>
      <c r="NFX67" s="401"/>
      <c r="NFY67" s="401"/>
      <c r="NFZ67" s="401"/>
      <c r="NGA67" s="401"/>
      <c r="NGB67" s="401"/>
      <c r="NGC67" s="401"/>
      <c r="NGD67" s="401"/>
      <c r="NGE67" s="401"/>
      <c r="NGF67" s="401"/>
      <c r="NGG67" s="401"/>
      <c r="NGH67" s="401"/>
      <c r="NGI67" s="401"/>
      <c r="NGJ67" s="401"/>
      <c r="NGK67" s="401"/>
      <c r="NGL67" s="401"/>
      <c r="NGM67" s="401"/>
      <c r="NGN67" s="401"/>
      <c r="NGO67" s="401"/>
      <c r="NGP67" s="401"/>
      <c r="NGQ67" s="401"/>
      <c r="NGR67" s="401"/>
      <c r="NGS67" s="401"/>
      <c r="NGT67" s="401"/>
      <c r="NGU67" s="401"/>
      <c r="NGV67" s="401"/>
      <c r="NGW67" s="401"/>
      <c r="NGX67" s="401"/>
      <c r="NGY67" s="401"/>
      <c r="NGZ67" s="401"/>
      <c r="NHA67" s="401"/>
      <c r="NHB67" s="401"/>
      <c r="NHC67" s="401"/>
      <c r="NHD67" s="401"/>
      <c r="NHE67" s="401"/>
      <c r="NHF67" s="401"/>
      <c r="NHG67" s="401"/>
      <c r="NHH67" s="401"/>
      <c r="NHI67" s="401"/>
      <c r="NHJ67" s="401"/>
      <c r="NHK67" s="401"/>
      <c r="NHL67" s="401"/>
      <c r="NHM67" s="401"/>
      <c r="NHN67" s="401"/>
      <c r="NHO67" s="401"/>
      <c r="NHP67" s="401"/>
      <c r="NHQ67" s="401"/>
      <c r="NHR67" s="401"/>
      <c r="NHS67" s="401"/>
      <c r="NHT67" s="401"/>
      <c r="NHU67" s="401"/>
      <c r="NHV67" s="401"/>
      <c r="NHW67" s="401"/>
      <c r="NHX67" s="401"/>
      <c r="NHY67" s="401"/>
      <c r="NHZ67" s="401"/>
      <c r="NIA67" s="401"/>
      <c r="NIB67" s="401"/>
      <c r="NIC67" s="401"/>
      <c r="NID67" s="401"/>
      <c r="NIE67" s="401"/>
      <c r="NIF67" s="401"/>
      <c r="NIG67" s="401"/>
      <c r="NIH67" s="401"/>
      <c r="NII67" s="401"/>
      <c r="NIJ67" s="401"/>
      <c r="NIK67" s="401"/>
      <c r="NIL67" s="401"/>
      <c r="NIM67" s="401"/>
      <c r="NIN67" s="401"/>
      <c r="NIO67" s="401"/>
      <c r="NIP67" s="401"/>
      <c r="NIQ67" s="401"/>
      <c r="NIR67" s="401"/>
      <c r="NIS67" s="401"/>
      <c r="NIT67" s="401"/>
      <c r="NIU67" s="401"/>
      <c r="NIV67" s="401"/>
      <c r="NIW67" s="401"/>
      <c r="NIX67" s="401"/>
      <c r="NIY67" s="401"/>
      <c r="NIZ67" s="401"/>
      <c r="NJA67" s="401"/>
      <c r="NJB67" s="401"/>
      <c r="NJC67" s="401"/>
      <c r="NJD67" s="401"/>
      <c r="NJE67" s="401"/>
      <c r="NJF67" s="401"/>
      <c r="NJG67" s="401"/>
      <c r="NJH67" s="401"/>
      <c r="NJI67" s="401"/>
      <c r="NJJ67" s="401"/>
      <c r="NJK67" s="401"/>
      <c r="NJL67" s="401"/>
      <c r="NJM67" s="401"/>
      <c r="NJN67" s="401"/>
      <c r="NJO67" s="401"/>
      <c r="NJP67" s="401"/>
      <c r="NJQ67" s="401"/>
      <c r="NJR67" s="401"/>
      <c r="NJS67" s="401"/>
      <c r="NJT67" s="401"/>
      <c r="NJU67" s="401"/>
      <c r="NJV67" s="401"/>
      <c r="NJW67" s="401"/>
      <c r="NJX67" s="401"/>
      <c r="NJY67" s="401"/>
      <c r="NJZ67" s="401"/>
      <c r="NKA67" s="401"/>
      <c r="NKB67" s="401"/>
      <c r="NKC67" s="401"/>
      <c r="NKD67" s="401"/>
      <c r="NKE67" s="401"/>
      <c r="NKF67" s="401"/>
      <c r="NKG67" s="401"/>
      <c r="NKH67" s="401"/>
      <c r="NKI67" s="401"/>
      <c r="NKJ67" s="401"/>
      <c r="NKK67" s="401"/>
      <c r="NKL67" s="401"/>
      <c r="NKM67" s="401"/>
      <c r="NKN67" s="401"/>
      <c r="NKO67" s="401"/>
      <c r="NKP67" s="401"/>
      <c r="NKQ67" s="401"/>
      <c r="NKR67" s="401"/>
      <c r="NKS67" s="401"/>
      <c r="NKT67" s="401"/>
      <c r="NKU67" s="401"/>
      <c r="NKV67" s="401"/>
      <c r="NKW67" s="401"/>
      <c r="NKX67" s="401"/>
      <c r="NKY67" s="401"/>
      <c r="NKZ67" s="401"/>
      <c r="NLA67" s="401"/>
      <c r="NLB67" s="401"/>
      <c r="NLC67" s="401"/>
      <c r="NLD67" s="401"/>
      <c r="NLE67" s="401"/>
      <c r="NLF67" s="401"/>
      <c r="NLG67" s="401"/>
      <c r="NLH67" s="401"/>
      <c r="NLI67" s="401"/>
      <c r="NLJ67" s="401"/>
      <c r="NLK67" s="401"/>
      <c r="NLL67" s="401"/>
      <c r="NLM67" s="401"/>
      <c r="NLN67" s="401"/>
      <c r="NLO67" s="401"/>
      <c r="NLP67" s="401"/>
      <c r="NLQ67" s="401"/>
      <c r="NLR67" s="401"/>
      <c r="NLS67" s="401"/>
      <c r="NLT67" s="401"/>
      <c r="NLU67" s="401"/>
      <c r="NLV67" s="401"/>
      <c r="NLW67" s="401"/>
      <c r="NLX67" s="401"/>
      <c r="NLY67" s="401"/>
      <c r="NLZ67" s="401"/>
      <c r="NMA67" s="401"/>
      <c r="NMB67" s="401"/>
      <c r="NMC67" s="401"/>
      <c r="NMD67" s="401"/>
      <c r="NME67" s="401"/>
      <c r="NMF67" s="401"/>
      <c r="NMG67" s="401"/>
      <c r="NMH67" s="401"/>
      <c r="NMI67" s="401"/>
      <c r="NMJ67" s="401"/>
      <c r="NMK67" s="401"/>
      <c r="NML67" s="401"/>
      <c r="NMM67" s="401"/>
      <c r="NMN67" s="401"/>
      <c r="NMO67" s="401"/>
      <c r="NMP67" s="401"/>
      <c r="NMQ67" s="401"/>
      <c r="NMR67" s="401"/>
      <c r="NMS67" s="401"/>
      <c r="NMT67" s="401"/>
      <c r="NMU67" s="401"/>
      <c r="NMV67" s="401"/>
      <c r="NMW67" s="401"/>
      <c r="NMX67" s="401"/>
      <c r="NMY67" s="401"/>
      <c r="NMZ67" s="401"/>
      <c r="NNA67" s="401"/>
      <c r="NNB67" s="401"/>
      <c r="NNC67" s="401"/>
      <c r="NND67" s="401"/>
      <c r="NNE67" s="401"/>
      <c r="NNF67" s="401"/>
      <c r="NNG67" s="401"/>
      <c r="NNH67" s="401"/>
      <c r="NNI67" s="401"/>
      <c r="NNJ67" s="401"/>
      <c r="NNK67" s="401"/>
      <c r="NNL67" s="401"/>
      <c r="NNM67" s="401"/>
      <c r="NNN67" s="401"/>
      <c r="NNO67" s="401"/>
      <c r="NNP67" s="401"/>
      <c r="NNQ67" s="401"/>
      <c r="NNR67" s="401"/>
      <c r="NNS67" s="401"/>
      <c r="NNT67" s="401"/>
      <c r="NNU67" s="401"/>
      <c r="NNV67" s="401"/>
      <c r="NNW67" s="401"/>
      <c r="NNX67" s="401"/>
      <c r="NNY67" s="401"/>
      <c r="NNZ67" s="401"/>
      <c r="NOA67" s="401"/>
      <c r="NOB67" s="401"/>
      <c r="NOC67" s="401"/>
      <c r="NOD67" s="401"/>
      <c r="NOE67" s="401"/>
      <c r="NOF67" s="401"/>
      <c r="NOG67" s="401"/>
      <c r="NOH67" s="401"/>
      <c r="NOI67" s="401"/>
      <c r="NOJ67" s="401"/>
      <c r="NOK67" s="401"/>
      <c r="NOL67" s="401"/>
      <c r="NOM67" s="401"/>
      <c r="NON67" s="401"/>
      <c r="NOO67" s="401"/>
      <c r="NOP67" s="401"/>
      <c r="NOQ67" s="401"/>
      <c r="NOR67" s="401"/>
      <c r="NOS67" s="401"/>
      <c r="NOT67" s="401"/>
      <c r="NOU67" s="401"/>
      <c r="NOV67" s="401"/>
      <c r="NOW67" s="401"/>
      <c r="NOX67" s="401"/>
      <c r="NOY67" s="401"/>
      <c r="NOZ67" s="401"/>
      <c r="NPA67" s="401"/>
      <c r="NPB67" s="401"/>
      <c r="NPC67" s="401"/>
      <c r="NPD67" s="401"/>
      <c r="NPE67" s="401"/>
      <c r="NPF67" s="401"/>
      <c r="NPG67" s="401"/>
      <c r="NPH67" s="401"/>
      <c r="NPI67" s="401"/>
      <c r="NPJ67" s="401"/>
      <c r="NPK67" s="401"/>
      <c r="NPL67" s="401"/>
      <c r="NPM67" s="401"/>
      <c r="NPN67" s="401"/>
      <c r="NPO67" s="401"/>
      <c r="NPP67" s="401"/>
      <c r="NPQ67" s="401"/>
      <c r="NPR67" s="401"/>
      <c r="NPS67" s="401"/>
      <c r="NPT67" s="401"/>
      <c r="NPU67" s="401"/>
      <c r="NPV67" s="401"/>
      <c r="NPW67" s="401"/>
      <c r="NPX67" s="401"/>
      <c r="NPY67" s="401"/>
      <c r="NPZ67" s="401"/>
      <c r="NQA67" s="401"/>
      <c r="NQB67" s="401"/>
      <c r="NQC67" s="401"/>
      <c r="NQD67" s="401"/>
      <c r="NQE67" s="401"/>
      <c r="NQF67" s="401"/>
      <c r="NQG67" s="401"/>
      <c r="NQH67" s="401"/>
      <c r="NQI67" s="401"/>
      <c r="NQJ67" s="401"/>
      <c r="NQK67" s="401"/>
      <c r="NQL67" s="401"/>
      <c r="NQM67" s="401"/>
      <c r="NQN67" s="401"/>
      <c r="NQO67" s="401"/>
      <c r="NQP67" s="401"/>
      <c r="NQQ67" s="401"/>
      <c r="NQR67" s="401"/>
      <c r="NQS67" s="401"/>
      <c r="NQT67" s="401"/>
      <c r="NQU67" s="401"/>
      <c r="NQV67" s="401"/>
      <c r="NQW67" s="401"/>
      <c r="NQX67" s="401"/>
      <c r="NQY67" s="401"/>
      <c r="NQZ67" s="401"/>
      <c r="NRA67" s="401"/>
      <c r="NRB67" s="401"/>
      <c r="NRC67" s="401"/>
      <c r="NRD67" s="401"/>
      <c r="NRE67" s="401"/>
      <c r="NRF67" s="401"/>
      <c r="NRG67" s="401"/>
      <c r="NRH67" s="401"/>
      <c r="NRI67" s="401"/>
      <c r="NRJ67" s="401"/>
      <c r="NRK67" s="401"/>
      <c r="NRL67" s="401"/>
      <c r="NRM67" s="401"/>
      <c r="NRN67" s="401"/>
      <c r="NRO67" s="401"/>
      <c r="NRP67" s="401"/>
      <c r="NRQ67" s="401"/>
      <c r="NRR67" s="401"/>
      <c r="NRS67" s="401"/>
      <c r="NRT67" s="401"/>
      <c r="NRU67" s="401"/>
      <c r="NRV67" s="401"/>
      <c r="NRW67" s="401"/>
      <c r="NRX67" s="401"/>
      <c r="NRY67" s="401"/>
      <c r="NRZ67" s="401"/>
      <c r="NSA67" s="401"/>
      <c r="NSB67" s="401"/>
      <c r="NSC67" s="401"/>
      <c r="NSD67" s="401"/>
      <c r="NSE67" s="401"/>
      <c r="NSF67" s="401"/>
      <c r="NSG67" s="401"/>
      <c r="NSH67" s="401"/>
      <c r="NSI67" s="401"/>
      <c r="NSJ67" s="401"/>
      <c r="NSK67" s="401"/>
      <c r="NSL67" s="401"/>
      <c r="NSM67" s="401"/>
      <c r="NSN67" s="401"/>
      <c r="NSO67" s="401"/>
      <c r="NSP67" s="401"/>
      <c r="NSQ67" s="401"/>
      <c r="NSR67" s="401"/>
      <c r="NSS67" s="401"/>
      <c r="NST67" s="401"/>
      <c r="NSU67" s="401"/>
      <c r="NSV67" s="401"/>
      <c r="NSW67" s="401"/>
      <c r="NSX67" s="401"/>
      <c r="NSY67" s="401"/>
      <c r="NSZ67" s="401"/>
      <c r="NTA67" s="401"/>
      <c r="NTB67" s="401"/>
      <c r="NTC67" s="401"/>
      <c r="NTD67" s="401"/>
      <c r="NTE67" s="401"/>
      <c r="NTF67" s="401"/>
      <c r="NTG67" s="401"/>
      <c r="NTH67" s="401"/>
      <c r="NTI67" s="401"/>
      <c r="NTJ67" s="401"/>
      <c r="NTK67" s="401"/>
      <c r="NTL67" s="401"/>
      <c r="NTM67" s="401"/>
      <c r="NTN67" s="401"/>
      <c r="NTO67" s="401"/>
      <c r="NTP67" s="401"/>
      <c r="NTQ67" s="401"/>
      <c r="NTR67" s="401"/>
      <c r="NTS67" s="401"/>
      <c r="NTT67" s="401"/>
      <c r="NTU67" s="401"/>
      <c r="NTV67" s="401"/>
      <c r="NTW67" s="401"/>
      <c r="NTX67" s="401"/>
      <c r="NTY67" s="401"/>
      <c r="NTZ67" s="401"/>
      <c r="NUA67" s="401"/>
      <c r="NUB67" s="401"/>
      <c r="NUC67" s="401"/>
      <c r="NUD67" s="401"/>
      <c r="NUE67" s="401"/>
      <c r="NUF67" s="401"/>
      <c r="NUG67" s="401"/>
      <c r="NUH67" s="401"/>
      <c r="NUI67" s="401"/>
      <c r="NUJ67" s="401"/>
      <c r="NUK67" s="401"/>
      <c r="NUL67" s="401"/>
      <c r="NUM67" s="401"/>
      <c r="NUN67" s="401"/>
      <c r="NUO67" s="401"/>
      <c r="NUP67" s="401"/>
      <c r="NUQ67" s="401"/>
      <c r="NUR67" s="401"/>
      <c r="NUS67" s="401"/>
      <c r="NUT67" s="401"/>
      <c r="NUU67" s="401"/>
      <c r="NUV67" s="401"/>
      <c r="NUW67" s="401"/>
      <c r="NUX67" s="401"/>
      <c r="NUY67" s="401"/>
      <c r="NUZ67" s="401"/>
      <c r="NVA67" s="401"/>
      <c r="NVB67" s="401"/>
      <c r="NVC67" s="401"/>
      <c r="NVD67" s="401"/>
      <c r="NVE67" s="401"/>
      <c r="NVF67" s="401"/>
      <c r="NVG67" s="401"/>
      <c r="NVH67" s="401"/>
      <c r="NVI67" s="401"/>
      <c r="NVJ67" s="401"/>
      <c r="NVK67" s="401"/>
      <c r="NVL67" s="401"/>
      <c r="NVM67" s="401"/>
      <c r="NVN67" s="401"/>
      <c r="NVO67" s="401"/>
      <c r="NVP67" s="401"/>
      <c r="NVQ67" s="401"/>
      <c r="NVR67" s="401"/>
      <c r="NVS67" s="401"/>
      <c r="NVT67" s="401"/>
      <c r="NVU67" s="401"/>
      <c r="NVV67" s="401"/>
      <c r="NVW67" s="401"/>
      <c r="NVX67" s="401"/>
      <c r="NVY67" s="401"/>
      <c r="NVZ67" s="401"/>
      <c r="NWA67" s="401"/>
      <c r="NWB67" s="401"/>
      <c r="NWC67" s="401"/>
      <c r="NWD67" s="401"/>
      <c r="NWE67" s="401"/>
      <c r="NWF67" s="401"/>
      <c r="NWG67" s="401"/>
      <c r="NWH67" s="401"/>
      <c r="NWI67" s="401"/>
      <c r="NWJ67" s="401"/>
      <c r="NWK67" s="401"/>
      <c r="NWL67" s="401"/>
      <c r="NWM67" s="401"/>
      <c r="NWN67" s="401"/>
      <c r="NWO67" s="401"/>
      <c r="NWP67" s="401"/>
      <c r="NWQ67" s="401"/>
      <c r="NWR67" s="401"/>
      <c r="NWS67" s="401"/>
      <c r="NWT67" s="401"/>
      <c r="NWU67" s="401"/>
      <c r="NWV67" s="401"/>
      <c r="NWW67" s="401"/>
      <c r="NWX67" s="401"/>
      <c r="NWY67" s="401"/>
      <c r="NWZ67" s="401"/>
      <c r="NXA67" s="401"/>
      <c r="NXB67" s="401"/>
      <c r="NXC67" s="401"/>
      <c r="NXD67" s="401"/>
      <c r="NXE67" s="401"/>
      <c r="NXF67" s="401"/>
      <c r="NXG67" s="401"/>
      <c r="NXH67" s="401"/>
      <c r="NXI67" s="401"/>
      <c r="NXJ67" s="401"/>
      <c r="NXK67" s="401"/>
      <c r="NXL67" s="401"/>
      <c r="NXM67" s="401"/>
      <c r="NXN67" s="401"/>
      <c r="NXO67" s="401"/>
      <c r="NXP67" s="401"/>
      <c r="NXQ67" s="401"/>
      <c r="NXR67" s="401"/>
      <c r="NXS67" s="401"/>
      <c r="NXT67" s="401"/>
      <c r="NXU67" s="401"/>
      <c r="NXV67" s="401"/>
      <c r="NXW67" s="401"/>
      <c r="NXX67" s="401"/>
      <c r="NXY67" s="401"/>
      <c r="NXZ67" s="401"/>
      <c r="NYA67" s="401"/>
      <c r="NYB67" s="401"/>
      <c r="NYC67" s="401"/>
      <c r="NYD67" s="401"/>
      <c r="NYE67" s="401"/>
      <c r="NYF67" s="401"/>
      <c r="NYG67" s="401"/>
      <c r="NYH67" s="401"/>
      <c r="NYI67" s="401"/>
      <c r="NYJ67" s="401"/>
      <c r="NYK67" s="401"/>
      <c r="NYL67" s="401"/>
      <c r="NYM67" s="401"/>
      <c r="NYN67" s="401"/>
      <c r="NYO67" s="401"/>
      <c r="NYP67" s="401"/>
      <c r="NYQ67" s="401"/>
      <c r="NYR67" s="401"/>
      <c r="NYS67" s="401"/>
      <c r="NYT67" s="401"/>
      <c r="NYU67" s="401"/>
      <c r="NYV67" s="401"/>
      <c r="NYW67" s="401"/>
      <c r="NYX67" s="401"/>
      <c r="NYY67" s="401"/>
      <c r="NYZ67" s="401"/>
      <c r="NZA67" s="401"/>
      <c r="NZB67" s="401"/>
      <c r="NZC67" s="401"/>
      <c r="NZD67" s="401"/>
      <c r="NZE67" s="401"/>
      <c r="NZF67" s="401"/>
      <c r="NZG67" s="401"/>
      <c r="NZH67" s="401"/>
      <c r="NZI67" s="401"/>
      <c r="NZJ67" s="401"/>
      <c r="NZK67" s="401"/>
      <c r="NZL67" s="401"/>
      <c r="NZM67" s="401"/>
      <c r="NZN67" s="401"/>
      <c r="NZO67" s="401"/>
      <c r="NZP67" s="401"/>
      <c r="NZQ67" s="401"/>
      <c r="NZR67" s="401"/>
      <c r="NZS67" s="401"/>
      <c r="NZT67" s="401"/>
      <c r="NZU67" s="401"/>
      <c r="NZV67" s="401"/>
      <c r="NZW67" s="401"/>
      <c r="NZX67" s="401"/>
      <c r="NZY67" s="401"/>
      <c r="NZZ67" s="401"/>
      <c r="OAA67" s="401"/>
      <c r="OAB67" s="401"/>
      <c r="OAC67" s="401"/>
      <c r="OAD67" s="401"/>
      <c r="OAE67" s="401"/>
      <c r="OAF67" s="401"/>
      <c r="OAG67" s="401"/>
      <c r="OAH67" s="401"/>
      <c r="OAI67" s="401"/>
      <c r="OAJ67" s="401"/>
      <c r="OAK67" s="401"/>
      <c r="OAL67" s="401"/>
      <c r="OAM67" s="401"/>
      <c r="OAN67" s="401"/>
      <c r="OAO67" s="401"/>
      <c r="OAP67" s="401"/>
      <c r="OAQ67" s="401"/>
      <c r="OAR67" s="401"/>
      <c r="OAS67" s="401"/>
      <c r="OAT67" s="401"/>
      <c r="OAU67" s="401"/>
      <c r="OAV67" s="401"/>
      <c r="OAW67" s="401"/>
      <c r="OAX67" s="401"/>
      <c r="OAY67" s="401"/>
      <c r="OAZ67" s="401"/>
      <c r="OBA67" s="401"/>
      <c r="OBB67" s="401"/>
      <c r="OBC67" s="401"/>
      <c r="OBD67" s="401"/>
      <c r="OBE67" s="401"/>
      <c r="OBF67" s="401"/>
      <c r="OBG67" s="401"/>
      <c r="OBH67" s="401"/>
      <c r="OBI67" s="401"/>
      <c r="OBJ67" s="401"/>
      <c r="OBK67" s="401"/>
      <c r="OBL67" s="401"/>
      <c r="OBM67" s="401"/>
      <c r="OBN67" s="401"/>
      <c r="OBO67" s="401"/>
      <c r="OBP67" s="401"/>
      <c r="OBQ67" s="401"/>
      <c r="OBR67" s="401"/>
      <c r="OBS67" s="401"/>
      <c r="OBT67" s="401"/>
      <c r="OBU67" s="401"/>
      <c r="OBV67" s="401"/>
      <c r="OBW67" s="401"/>
      <c r="OBX67" s="401"/>
      <c r="OBY67" s="401"/>
      <c r="OBZ67" s="401"/>
      <c r="OCA67" s="401"/>
      <c r="OCB67" s="401"/>
      <c r="OCC67" s="401"/>
      <c r="OCD67" s="401"/>
      <c r="OCE67" s="401"/>
      <c r="OCF67" s="401"/>
      <c r="OCG67" s="401"/>
      <c r="OCH67" s="401"/>
      <c r="OCI67" s="401"/>
      <c r="OCJ67" s="401"/>
      <c r="OCK67" s="401"/>
      <c r="OCL67" s="401"/>
      <c r="OCM67" s="401"/>
      <c r="OCN67" s="401"/>
      <c r="OCO67" s="401"/>
      <c r="OCP67" s="401"/>
      <c r="OCQ67" s="401"/>
      <c r="OCR67" s="401"/>
      <c r="OCS67" s="401"/>
      <c r="OCT67" s="401"/>
      <c r="OCU67" s="401"/>
      <c r="OCV67" s="401"/>
      <c r="OCW67" s="401"/>
      <c r="OCX67" s="401"/>
      <c r="OCY67" s="401"/>
      <c r="OCZ67" s="401"/>
      <c r="ODA67" s="401"/>
      <c r="ODB67" s="401"/>
      <c r="ODC67" s="401"/>
      <c r="ODD67" s="401"/>
      <c r="ODE67" s="401"/>
      <c r="ODF67" s="401"/>
      <c r="ODG67" s="401"/>
      <c r="ODH67" s="401"/>
      <c r="ODI67" s="401"/>
      <c r="ODJ67" s="401"/>
      <c r="ODK67" s="401"/>
      <c r="ODL67" s="401"/>
      <c r="ODM67" s="401"/>
      <c r="ODN67" s="401"/>
      <c r="ODO67" s="401"/>
      <c r="ODP67" s="401"/>
      <c r="ODQ67" s="401"/>
      <c r="ODR67" s="401"/>
      <c r="ODS67" s="401"/>
      <c r="ODT67" s="401"/>
      <c r="ODU67" s="401"/>
      <c r="ODV67" s="401"/>
      <c r="ODW67" s="401"/>
      <c r="ODX67" s="401"/>
      <c r="ODY67" s="401"/>
      <c r="ODZ67" s="401"/>
      <c r="OEA67" s="401"/>
      <c r="OEB67" s="401"/>
      <c r="OEC67" s="401"/>
      <c r="OED67" s="401"/>
      <c r="OEE67" s="401"/>
      <c r="OEF67" s="401"/>
      <c r="OEG67" s="401"/>
      <c r="OEH67" s="401"/>
      <c r="OEI67" s="401"/>
      <c r="OEJ67" s="401"/>
      <c r="OEK67" s="401"/>
      <c r="OEL67" s="401"/>
      <c r="OEM67" s="401"/>
      <c r="OEN67" s="401"/>
      <c r="OEO67" s="401"/>
      <c r="OEP67" s="401"/>
      <c r="OEQ67" s="401"/>
      <c r="OER67" s="401"/>
      <c r="OES67" s="401"/>
      <c r="OET67" s="401"/>
      <c r="OEU67" s="401"/>
      <c r="OEV67" s="401"/>
      <c r="OEW67" s="401"/>
      <c r="OEX67" s="401"/>
      <c r="OEY67" s="401"/>
      <c r="OEZ67" s="401"/>
      <c r="OFA67" s="401"/>
      <c r="OFB67" s="401"/>
      <c r="OFC67" s="401"/>
      <c r="OFD67" s="401"/>
      <c r="OFE67" s="401"/>
      <c r="OFF67" s="401"/>
      <c r="OFG67" s="401"/>
      <c r="OFH67" s="401"/>
      <c r="OFI67" s="401"/>
      <c r="OFJ67" s="401"/>
      <c r="OFK67" s="401"/>
      <c r="OFL67" s="401"/>
      <c r="OFM67" s="401"/>
      <c r="OFN67" s="401"/>
      <c r="OFO67" s="401"/>
      <c r="OFP67" s="401"/>
      <c r="OFQ67" s="401"/>
      <c r="OFR67" s="401"/>
      <c r="OFS67" s="401"/>
      <c r="OFT67" s="401"/>
      <c r="OFU67" s="401"/>
      <c r="OFV67" s="401"/>
      <c r="OFW67" s="401"/>
      <c r="OFX67" s="401"/>
      <c r="OFY67" s="401"/>
      <c r="OFZ67" s="401"/>
      <c r="OGA67" s="401"/>
      <c r="OGB67" s="401"/>
      <c r="OGC67" s="401"/>
      <c r="OGD67" s="401"/>
      <c r="OGE67" s="401"/>
      <c r="OGF67" s="401"/>
      <c r="OGG67" s="401"/>
      <c r="OGH67" s="401"/>
      <c r="OGI67" s="401"/>
      <c r="OGJ67" s="401"/>
      <c r="OGK67" s="401"/>
      <c r="OGL67" s="401"/>
      <c r="OGM67" s="401"/>
      <c r="OGN67" s="401"/>
      <c r="OGO67" s="401"/>
      <c r="OGP67" s="401"/>
      <c r="OGQ67" s="401"/>
      <c r="OGR67" s="401"/>
      <c r="OGS67" s="401"/>
      <c r="OGT67" s="401"/>
      <c r="OGU67" s="401"/>
      <c r="OGV67" s="401"/>
      <c r="OGW67" s="401"/>
      <c r="OGX67" s="401"/>
      <c r="OGY67" s="401"/>
      <c r="OGZ67" s="401"/>
      <c r="OHA67" s="401"/>
      <c r="OHB67" s="401"/>
      <c r="OHC67" s="401"/>
      <c r="OHD67" s="401"/>
      <c r="OHE67" s="401"/>
      <c r="OHF67" s="401"/>
      <c r="OHG67" s="401"/>
      <c r="OHH67" s="401"/>
      <c r="OHI67" s="401"/>
      <c r="OHJ67" s="401"/>
      <c r="OHK67" s="401"/>
      <c r="OHL67" s="401"/>
      <c r="OHM67" s="401"/>
      <c r="OHN67" s="401"/>
      <c r="OHO67" s="401"/>
      <c r="OHP67" s="401"/>
      <c r="OHQ67" s="401"/>
      <c r="OHR67" s="401"/>
      <c r="OHS67" s="401"/>
      <c r="OHT67" s="401"/>
      <c r="OHU67" s="401"/>
      <c r="OHV67" s="401"/>
      <c r="OHW67" s="401"/>
      <c r="OHX67" s="401"/>
      <c r="OHY67" s="401"/>
      <c r="OHZ67" s="401"/>
      <c r="OIA67" s="401"/>
      <c r="OIB67" s="401"/>
      <c r="OIC67" s="401"/>
      <c r="OID67" s="401"/>
      <c r="OIE67" s="401"/>
      <c r="OIF67" s="401"/>
      <c r="OIG67" s="401"/>
      <c r="OIH67" s="401"/>
      <c r="OII67" s="401"/>
      <c r="OIJ67" s="401"/>
      <c r="OIK67" s="401"/>
      <c r="OIL67" s="401"/>
      <c r="OIM67" s="401"/>
      <c r="OIN67" s="401"/>
      <c r="OIO67" s="401"/>
      <c r="OIP67" s="401"/>
      <c r="OIQ67" s="401"/>
      <c r="OIR67" s="401"/>
      <c r="OIS67" s="401"/>
      <c r="OIT67" s="401"/>
      <c r="OIU67" s="401"/>
      <c r="OIV67" s="401"/>
      <c r="OIW67" s="401"/>
      <c r="OIX67" s="401"/>
      <c r="OIY67" s="401"/>
      <c r="OIZ67" s="401"/>
      <c r="OJA67" s="401"/>
      <c r="OJB67" s="401"/>
      <c r="OJC67" s="401"/>
      <c r="OJD67" s="401"/>
      <c r="OJE67" s="401"/>
      <c r="OJF67" s="401"/>
      <c r="OJG67" s="401"/>
      <c r="OJH67" s="401"/>
      <c r="OJI67" s="401"/>
      <c r="OJJ67" s="401"/>
      <c r="OJK67" s="401"/>
      <c r="OJL67" s="401"/>
      <c r="OJM67" s="401"/>
      <c r="OJN67" s="401"/>
      <c r="OJO67" s="401"/>
      <c r="OJP67" s="401"/>
      <c r="OJQ67" s="401"/>
      <c r="OJR67" s="401"/>
      <c r="OJS67" s="401"/>
      <c r="OJT67" s="401"/>
      <c r="OJU67" s="401"/>
      <c r="OJV67" s="401"/>
      <c r="OJW67" s="401"/>
      <c r="OJX67" s="401"/>
      <c r="OJY67" s="401"/>
      <c r="OJZ67" s="401"/>
      <c r="OKA67" s="401"/>
      <c r="OKB67" s="401"/>
      <c r="OKC67" s="401"/>
      <c r="OKD67" s="401"/>
      <c r="OKE67" s="401"/>
      <c r="OKF67" s="401"/>
      <c r="OKG67" s="401"/>
      <c r="OKH67" s="401"/>
      <c r="OKI67" s="401"/>
      <c r="OKJ67" s="401"/>
      <c r="OKK67" s="401"/>
      <c r="OKL67" s="401"/>
      <c r="OKM67" s="401"/>
      <c r="OKN67" s="401"/>
      <c r="OKO67" s="401"/>
      <c r="OKP67" s="401"/>
      <c r="OKQ67" s="401"/>
      <c r="OKR67" s="401"/>
      <c r="OKS67" s="401"/>
      <c r="OKT67" s="401"/>
      <c r="OKU67" s="401"/>
      <c r="OKV67" s="401"/>
      <c r="OKW67" s="401"/>
      <c r="OKX67" s="401"/>
      <c r="OKY67" s="401"/>
      <c r="OKZ67" s="401"/>
      <c r="OLA67" s="401"/>
      <c r="OLB67" s="401"/>
      <c r="OLC67" s="401"/>
      <c r="OLD67" s="401"/>
      <c r="OLE67" s="401"/>
      <c r="OLF67" s="401"/>
      <c r="OLG67" s="401"/>
      <c r="OLH67" s="401"/>
      <c r="OLI67" s="401"/>
      <c r="OLJ67" s="401"/>
      <c r="OLK67" s="401"/>
      <c r="OLL67" s="401"/>
      <c r="OLM67" s="401"/>
      <c r="OLN67" s="401"/>
      <c r="OLO67" s="401"/>
      <c r="OLP67" s="401"/>
      <c r="OLQ67" s="401"/>
      <c r="OLR67" s="401"/>
      <c r="OLS67" s="401"/>
      <c r="OLT67" s="401"/>
      <c r="OLU67" s="401"/>
      <c r="OLV67" s="401"/>
      <c r="OLW67" s="401"/>
      <c r="OLX67" s="401"/>
      <c r="OLY67" s="401"/>
      <c r="OLZ67" s="401"/>
      <c r="OMA67" s="401"/>
      <c r="OMB67" s="401"/>
      <c r="OMC67" s="401"/>
      <c r="OMD67" s="401"/>
      <c r="OME67" s="401"/>
      <c r="OMF67" s="401"/>
      <c r="OMG67" s="401"/>
      <c r="OMH67" s="401"/>
      <c r="OMI67" s="401"/>
      <c r="OMJ67" s="401"/>
      <c r="OMK67" s="401"/>
      <c r="OML67" s="401"/>
      <c r="OMM67" s="401"/>
      <c r="OMN67" s="401"/>
      <c r="OMO67" s="401"/>
      <c r="OMP67" s="401"/>
      <c r="OMQ67" s="401"/>
      <c r="OMR67" s="401"/>
      <c r="OMS67" s="401"/>
      <c r="OMT67" s="401"/>
      <c r="OMU67" s="401"/>
      <c r="OMV67" s="401"/>
      <c r="OMW67" s="401"/>
      <c r="OMX67" s="401"/>
      <c r="OMY67" s="401"/>
      <c r="OMZ67" s="401"/>
      <c r="ONA67" s="401"/>
      <c r="ONB67" s="401"/>
      <c r="ONC67" s="401"/>
      <c r="OND67" s="401"/>
      <c r="ONE67" s="401"/>
      <c r="ONF67" s="401"/>
      <c r="ONG67" s="401"/>
      <c r="ONH67" s="401"/>
      <c r="ONI67" s="401"/>
      <c r="ONJ67" s="401"/>
      <c r="ONK67" s="401"/>
      <c r="ONL67" s="401"/>
      <c r="ONM67" s="401"/>
      <c r="ONN67" s="401"/>
      <c r="ONO67" s="401"/>
      <c r="ONP67" s="401"/>
      <c r="ONQ67" s="401"/>
      <c r="ONR67" s="401"/>
      <c r="ONS67" s="401"/>
      <c r="ONT67" s="401"/>
      <c r="ONU67" s="401"/>
      <c r="ONV67" s="401"/>
      <c r="ONW67" s="401"/>
      <c r="ONX67" s="401"/>
      <c r="ONY67" s="401"/>
      <c r="ONZ67" s="401"/>
      <c r="OOA67" s="401"/>
      <c r="OOB67" s="401"/>
      <c r="OOC67" s="401"/>
      <c r="OOD67" s="401"/>
      <c r="OOE67" s="401"/>
      <c r="OOF67" s="401"/>
      <c r="OOG67" s="401"/>
      <c r="OOH67" s="401"/>
      <c r="OOI67" s="401"/>
      <c r="OOJ67" s="401"/>
      <c r="OOK67" s="401"/>
      <c r="OOL67" s="401"/>
      <c r="OOM67" s="401"/>
      <c r="OON67" s="401"/>
      <c r="OOO67" s="401"/>
      <c r="OOP67" s="401"/>
      <c r="OOQ67" s="401"/>
      <c r="OOR67" s="401"/>
      <c r="OOS67" s="401"/>
      <c r="OOT67" s="401"/>
      <c r="OOU67" s="401"/>
      <c r="OOV67" s="401"/>
      <c r="OOW67" s="401"/>
      <c r="OOX67" s="401"/>
      <c r="OOY67" s="401"/>
      <c r="OOZ67" s="401"/>
      <c r="OPA67" s="401"/>
      <c r="OPB67" s="401"/>
      <c r="OPC67" s="401"/>
      <c r="OPD67" s="401"/>
      <c r="OPE67" s="401"/>
      <c r="OPF67" s="401"/>
      <c r="OPG67" s="401"/>
      <c r="OPH67" s="401"/>
      <c r="OPI67" s="401"/>
      <c r="OPJ67" s="401"/>
      <c r="OPK67" s="401"/>
      <c r="OPL67" s="401"/>
      <c r="OPM67" s="401"/>
      <c r="OPN67" s="401"/>
      <c r="OPO67" s="401"/>
      <c r="OPP67" s="401"/>
      <c r="OPQ67" s="401"/>
      <c r="OPR67" s="401"/>
      <c r="OPS67" s="401"/>
      <c r="OPT67" s="401"/>
      <c r="OPU67" s="401"/>
      <c r="OPV67" s="401"/>
      <c r="OPW67" s="401"/>
      <c r="OPX67" s="401"/>
      <c r="OPY67" s="401"/>
      <c r="OPZ67" s="401"/>
      <c r="OQA67" s="401"/>
      <c r="OQB67" s="401"/>
      <c r="OQC67" s="401"/>
      <c r="OQD67" s="401"/>
      <c r="OQE67" s="401"/>
      <c r="OQF67" s="401"/>
      <c r="OQG67" s="401"/>
      <c r="OQH67" s="401"/>
      <c r="OQI67" s="401"/>
      <c r="OQJ67" s="401"/>
      <c r="OQK67" s="401"/>
      <c r="OQL67" s="401"/>
      <c r="OQM67" s="401"/>
      <c r="OQN67" s="401"/>
      <c r="OQO67" s="401"/>
      <c r="OQP67" s="401"/>
      <c r="OQQ67" s="401"/>
      <c r="OQR67" s="401"/>
      <c r="OQS67" s="401"/>
      <c r="OQT67" s="401"/>
      <c r="OQU67" s="401"/>
      <c r="OQV67" s="401"/>
      <c r="OQW67" s="401"/>
      <c r="OQX67" s="401"/>
      <c r="OQY67" s="401"/>
      <c r="OQZ67" s="401"/>
      <c r="ORA67" s="401"/>
      <c r="ORB67" s="401"/>
      <c r="ORC67" s="401"/>
      <c r="ORD67" s="401"/>
      <c r="ORE67" s="401"/>
      <c r="ORF67" s="401"/>
      <c r="ORG67" s="401"/>
      <c r="ORH67" s="401"/>
      <c r="ORI67" s="401"/>
      <c r="ORJ67" s="401"/>
      <c r="ORK67" s="401"/>
      <c r="ORL67" s="401"/>
      <c r="ORM67" s="401"/>
      <c r="ORN67" s="401"/>
      <c r="ORO67" s="401"/>
      <c r="ORP67" s="401"/>
      <c r="ORQ67" s="401"/>
      <c r="ORR67" s="401"/>
      <c r="ORS67" s="401"/>
      <c r="ORT67" s="401"/>
      <c r="ORU67" s="401"/>
      <c r="ORV67" s="401"/>
      <c r="ORW67" s="401"/>
      <c r="ORX67" s="401"/>
      <c r="ORY67" s="401"/>
      <c r="ORZ67" s="401"/>
      <c r="OSA67" s="401"/>
      <c r="OSB67" s="401"/>
      <c r="OSC67" s="401"/>
      <c r="OSD67" s="401"/>
      <c r="OSE67" s="401"/>
      <c r="OSF67" s="401"/>
      <c r="OSG67" s="401"/>
      <c r="OSH67" s="401"/>
      <c r="OSI67" s="401"/>
      <c r="OSJ67" s="401"/>
      <c r="OSK67" s="401"/>
      <c r="OSL67" s="401"/>
      <c r="OSM67" s="401"/>
      <c r="OSN67" s="401"/>
      <c r="OSO67" s="401"/>
      <c r="OSP67" s="401"/>
      <c r="OSQ67" s="401"/>
      <c r="OSR67" s="401"/>
      <c r="OSS67" s="401"/>
      <c r="OST67" s="401"/>
      <c r="OSU67" s="401"/>
      <c r="OSV67" s="401"/>
      <c r="OSW67" s="401"/>
      <c r="OSX67" s="401"/>
      <c r="OSY67" s="401"/>
      <c r="OSZ67" s="401"/>
      <c r="OTA67" s="401"/>
      <c r="OTB67" s="401"/>
      <c r="OTC67" s="401"/>
      <c r="OTD67" s="401"/>
      <c r="OTE67" s="401"/>
      <c r="OTF67" s="401"/>
      <c r="OTG67" s="401"/>
      <c r="OTH67" s="401"/>
      <c r="OTI67" s="401"/>
      <c r="OTJ67" s="401"/>
      <c r="OTK67" s="401"/>
      <c r="OTL67" s="401"/>
      <c r="OTM67" s="401"/>
      <c r="OTN67" s="401"/>
      <c r="OTO67" s="401"/>
      <c r="OTP67" s="401"/>
      <c r="OTQ67" s="401"/>
      <c r="OTR67" s="401"/>
      <c r="OTS67" s="401"/>
      <c r="OTT67" s="401"/>
      <c r="OTU67" s="401"/>
      <c r="OTV67" s="401"/>
      <c r="OTW67" s="401"/>
      <c r="OTX67" s="401"/>
      <c r="OTY67" s="401"/>
      <c r="OTZ67" s="401"/>
      <c r="OUA67" s="401"/>
      <c r="OUB67" s="401"/>
      <c r="OUC67" s="401"/>
      <c r="OUD67" s="401"/>
      <c r="OUE67" s="401"/>
      <c r="OUF67" s="401"/>
      <c r="OUG67" s="401"/>
      <c r="OUH67" s="401"/>
      <c r="OUI67" s="401"/>
      <c r="OUJ67" s="401"/>
      <c r="OUK67" s="401"/>
      <c r="OUL67" s="401"/>
      <c r="OUM67" s="401"/>
      <c r="OUN67" s="401"/>
      <c r="OUO67" s="401"/>
      <c r="OUP67" s="401"/>
      <c r="OUQ67" s="401"/>
      <c r="OUR67" s="401"/>
      <c r="OUS67" s="401"/>
      <c r="OUT67" s="401"/>
      <c r="OUU67" s="401"/>
      <c r="OUV67" s="401"/>
      <c r="OUW67" s="401"/>
      <c r="OUX67" s="401"/>
      <c r="OUY67" s="401"/>
      <c r="OUZ67" s="401"/>
      <c r="OVA67" s="401"/>
      <c r="OVB67" s="401"/>
      <c r="OVC67" s="401"/>
      <c r="OVD67" s="401"/>
      <c r="OVE67" s="401"/>
      <c r="OVF67" s="401"/>
      <c r="OVG67" s="401"/>
      <c r="OVH67" s="401"/>
      <c r="OVI67" s="401"/>
      <c r="OVJ67" s="401"/>
      <c r="OVK67" s="401"/>
      <c r="OVL67" s="401"/>
      <c r="OVM67" s="401"/>
      <c r="OVN67" s="401"/>
      <c r="OVO67" s="401"/>
      <c r="OVP67" s="401"/>
      <c r="OVQ67" s="401"/>
      <c r="OVR67" s="401"/>
      <c r="OVS67" s="401"/>
      <c r="OVT67" s="401"/>
      <c r="OVU67" s="401"/>
      <c r="OVV67" s="401"/>
      <c r="OVW67" s="401"/>
      <c r="OVX67" s="401"/>
      <c r="OVY67" s="401"/>
      <c r="OVZ67" s="401"/>
      <c r="OWA67" s="401"/>
      <c r="OWB67" s="401"/>
      <c r="OWC67" s="401"/>
      <c r="OWD67" s="401"/>
      <c r="OWE67" s="401"/>
      <c r="OWF67" s="401"/>
      <c r="OWG67" s="401"/>
      <c r="OWH67" s="401"/>
      <c r="OWI67" s="401"/>
      <c r="OWJ67" s="401"/>
      <c r="OWK67" s="401"/>
      <c r="OWL67" s="401"/>
      <c r="OWM67" s="401"/>
      <c r="OWN67" s="401"/>
      <c r="OWO67" s="401"/>
      <c r="OWP67" s="401"/>
      <c r="OWQ67" s="401"/>
      <c r="OWR67" s="401"/>
      <c r="OWS67" s="401"/>
      <c r="OWT67" s="401"/>
      <c r="OWU67" s="401"/>
      <c r="OWV67" s="401"/>
      <c r="OWW67" s="401"/>
      <c r="OWX67" s="401"/>
      <c r="OWY67" s="401"/>
      <c r="OWZ67" s="401"/>
      <c r="OXA67" s="401"/>
      <c r="OXB67" s="401"/>
      <c r="OXC67" s="401"/>
      <c r="OXD67" s="401"/>
      <c r="OXE67" s="401"/>
      <c r="OXF67" s="401"/>
      <c r="OXG67" s="401"/>
      <c r="OXH67" s="401"/>
      <c r="OXI67" s="401"/>
      <c r="OXJ67" s="401"/>
      <c r="OXK67" s="401"/>
      <c r="OXL67" s="401"/>
      <c r="OXM67" s="401"/>
      <c r="OXN67" s="401"/>
      <c r="OXO67" s="401"/>
      <c r="OXP67" s="401"/>
      <c r="OXQ67" s="401"/>
      <c r="OXR67" s="401"/>
      <c r="OXS67" s="401"/>
      <c r="OXT67" s="401"/>
      <c r="OXU67" s="401"/>
      <c r="OXV67" s="401"/>
      <c r="OXW67" s="401"/>
      <c r="OXX67" s="401"/>
      <c r="OXY67" s="401"/>
      <c r="OXZ67" s="401"/>
      <c r="OYA67" s="401"/>
      <c r="OYB67" s="401"/>
      <c r="OYC67" s="401"/>
      <c r="OYD67" s="401"/>
      <c r="OYE67" s="401"/>
      <c r="OYF67" s="401"/>
      <c r="OYG67" s="401"/>
      <c r="OYH67" s="401"/>
      <c r="OYI67" s="401"/>
      <c r="OYJ67" s="401"/>
      <c r="OYK67" s="401"/>
      <c r="OYL67" s="401"/>
      <c r="OYM67" s="401"/>
      <c r="OYN67" s="401"/>
      <c r="OYO67" s="401"/>
      <c r="OYP67" s="401"/>
      <c r="OYQ67" s="401"/>
      <c r="OYR67" s="401"/>
      <c r="OYS67" s="401"/>
      <c r="OYT67" s="401"/>
      <c r="OYU67" s="401"/>
      <c r="OYV67" s="401"/>
      <c r="OYW67" s="401"/>
      <c r="OYX67" s="401"/>
      <c r="OYY67" s="401"/>
      <c r="OYZ67" s="401"/>
      <c r="OZA67" s="401"/>
      <c r="OZB67" s="401"/>
      <c r="OZC67" s="401"/>
      <c r="OZD67" s="401"/>
      <c r="OZE67" s="401"/>
      <c r="OZF67" s="401"/>
      <c r="OZG67" s="401"/>
      <c r="OZH67" s="401"/>
      <c r="OZI67" s="401"/>
      <c r="OZJ67" s="401"/>
      <c r="OZK67" s="401"/>
      <c r="OZL67" s="401"/>
      <c r="OZM67" s="401"/>
      <c r="OZN67" s="401"/>
      <c r="OZO67" s="401"/>
      <c r="OZP67" s="401"/>
      <c r="OZQ67" s="401"/>
      <c r="OZR67" s="401"/>
      <c r="OZS67" s="401"/>
      <c r="OZT67" s="401"/>
      <c r="OZU67" s="401"/>
      <c r="OZV67" s="401"/>
      <c r="OZW67" s="401"/>
      <c r="OZX67" s="401"/>
      <c r="OZY67" s="401"/>
      <c r="OZZ67" s="401"/>
      <c r="PAA67" s="401"/>
      <c r="PAB67" s="401"/>
      <c r="PAC67" s="401"/>
      <c r="PAD67" s="401"/>
      <c r="PAE67" s="401"/>
      <c r="PAF67" s="401"/>
      <c r="PAG67" s="401"/>
      <c r="PAH67" s="401"/>
      <c r="PAI67" s="401"/>
      <c r="PAJ67" s="401"/>
      <c r="PAK67" s="401"/>
      <c r="PAL67" s="401"/>
      <c r="PAM67" s="401"/>
      <c r="PAN67" s="401"/>
      <c r="PAO67" s="401"/>
      <c r="PAP67" s="401"/>
      <c r="PAQ67" s="401"/>
      <c r="PAR67" s="401"/>
      <c r="PAS67" s="401"/>
      <c r="PAT67" s="401"/>
      <c r="PAU67" s="401"/>
      <c r="PAV67" s="401"/>
      <c r="PAW67" s="401"/>
      <c r="PAX67" s="401"/>
      <c r="PAY67" s="401"/>
      <c r="PAZ67" s="401"/>
      <c r="PBA67" s="401"/>
      <c r="PBB67" s="401"/>
      <c r="PBC67" s="401"/>
      <c r="PBD67" s="401"/>
      <c r="PBE67" s="401"/>
      <c r="PBF67" s="401"/>
      <c r="PBG67" s="401"/>
      <c r="PBH67" s="401"/>
      <c r="PBI67" s="401"/>
      <c r="PBJ67" s="401"/>
      <c r="PBK67" s="401"/>
      <c r="PBL67" s="401"/>
      <c r="PBM67" s="401"/>
      <c r="PBN67" s="401"/>
      <c r="PBO67" s="401"/>
      <c r="PBP67" s="401"/>
      <c r="PBQ67" s="401"/>
      <c r="PBR67" s="401"/>
      <c r="PBS67" s="401"/>
      <c r="PBT67" s="401"/>
      <c r="PBU67" s="401"/>
      <c r="PBV67" s="401"/>
      <c r="PBW67" s="401"/>
      <c r="PBX67" s="401"/>
      <c r="PBY67" s="401"/>
      <c r="PBZ67" s="401"/>
      <c r="PCA67" s="401"/>
      <c r="PCB67" s="401"/>
      <c r="PCC67" s="401"/>
      <c r="PCD67" s="401"/>
      <c r="PCE67" s="401"/>
      <c r="PCF67" s="401"/>
      <c r="PCG67" s="401"/>
      <c r="PCH67" s="401"/>
      <c r="PCI67" s="401"/>
      <c r="PCJ67" s="401"/>
      <c r="PCK67" s="401"/>
      <c r="PCL67" s="401"/>
      <c r="PCM67" s="401"/>
      <c r="PCN67" s="401"/>
      <c r="PCO67" s="401"/>
      <c r="PCP67" s="401"/>
      <c r="PCQ67" s="401"/>
      <c r="PCR67" s="401"/>
      <c r="PCS67" s="401"/>
      <c r="PCT67" s="401"/>
      <c r="PCU67" s="401"/>
      <c r="PCV67" s="401"/>
      <c r="PCW67" s="401"/>
      <c r="PCX67" s="401"/>
      <c r="PCY67" s="401"/>
      <c r="PCZ67" s="401"/>
      <c r="PDA67" s="401"/>
      <c r="PDB67" s="401"/>
      <c r="PDC67" s="401"/>
      <c r="PDD67" s="401"/>
      <c r="PDE67" s="401"/>
      <c r="PDF67" s="401"/>
      <c r="PDG67" s="401"/>
      <c r="PDH67" s="401"/>
      <c r="PDI67" s="401"/>
      <c r="PDJ67" s="401"/>
      <c r="PDK67" s="401"/>
      <c r="PDL67" s="401"/>
      <c r="PDM67" s="401"/>
      <c r="PDN67" s="401"/>
      <c r="PDO67" s="401"/>
      <c r="PDP67" s="401"/>
      <c r="PDQ67" s="401"/>
      <c r="PDR67" s="401"/>
      <c r="PDS67" s="401"/>
      <c r="PDT67" s="401"/>
      <c r="PDU67" s="401"/>
      <c r="PDV67" s="401"/>
      <c r="PDW67" s="401"/>
      <c r="PDX67" s="401"/>
      <c r="PDY67" s="401"/>
      <c r="PDZ67" s="401"/>
      <c r="PEA67" s="401"/>
      <c r="PEB67" s="401"/>
      <c r="PEC67" s="401"/>
      <c r="PED67" s="401"/>
      <c r="PEE67" s="401"/>
      <c r="PEF67" s="401"/>
      <c r="PEG67" s="401"/>
      <c r="PEH67" s="401"/>
      <c r="PEI67" s="401"/>
      <c r="PEJ67" s="401"/>
      <c r="PEK67" s="401"/>
      <c r="PEL67" s="401"/>
      <c r="PEM67" s="401"/>
      <c r="PEN67" s="401"/>
      <c r="PEO67" s="401"/>
      <c r="PEP67" s="401"/>
      <c r="PEQ67" s="401"/>
      <c r="PER67" s="401"/>
      <c r="PES67" s="401"/>
      <c r="PET67" s="401"/>
      <c r="PEU67" s="401"/>
      <c r="PEV67" s="401"/>
      <c r="PEW67" s="401"/>
      <c r="PEX67" s="401"/>
      <c r="PEY67" s="401"/>
      <c r="PEZ67" s="401"/>
      <c r="PFA67" s="401"/>
      <c r="PFB67" s="401"/>
      <c r="PFC67" s="401"/>
      <c r="PFD67" s="401"/>
      <c r="PFE67" s="401"/>
      <c r="PFF67" s="401"/>
      <c r="PFG67" s="401"/>
      <c r="PFH67" s="401"/>
      <c r="PFI67" s="401"/>
      <c r="PFJ67" s="401"/>
      <c r="PFK67" s="401"/>
      <c r="PFL67" s="401"/>
      <c r="PFM67" s="401"/>
      <c r="PFN67" s="401"/>
      <c r="PFO67" s="401"/>
      <c r="PFP67" s="401"/>
      <c r="PFQ67" s="401"/>
      <c r="PFR67" s="401"/>
      <c r="PFS67" s="401"/>
      <c r="PFT67" s="401"/>
      <c r="PFU67" s="401"/>
      <c r="PFV67" s="401"/>
      <c r="PFW67" s="401"/>
      <c r="PFX67" s="401"/>
      <c r="PFY67" s="401"/>
      <c r="PFZ67" s="401"/>
      <c r="PGA67" s="401"/>
      <c r="PGB67" s="401"/>
      <c r="PGC67" s="401"/>
      <c r="PGD67" s="401"/>
      <c r="PGE67" s="401"/>
      <c r="PGF67" s="401"/>
      <c r="PGG67" s="401"/>
      <c r="PGH67" s="401"/>
      <c r="PGI67" s="401"/>
      <c r="PGJ67" s="401"/>
      <c r="PGK67" s="401"/>
      <c r="PGL67" s="401"/>
      <c r="PGM67" s="401"/>
      <c r="PGN67" s="401"/>
      <c r="PGO67" s="401"/>
      <c r="PGP67" s="401"/>
      <c r="PGQ67" s="401"/>
      <c r="PGR67" s="401"/>
      <c r="PGS67" s="401"/>
      <c r="PGT67" s="401"/>
      <c r="PGU67" s="401"/>
      <c r="PGV67" s="401"/>
      <c r="PGW67" s="401"/>
      <c r="PGX67" s="401"/>
      <c r="PGY67" s="401"/>
      <c r="PGZ67" s="401"/>
      <c r="PHA67" s="401"/>
      <c r="PHB67" s="401"/>
      <c r="PHC67" s="401"/>
      <c r="PHD67" s="401"/>
      <c r="PHE67" s="401"/>
      <c r="PHF67" s="401"/>
      <c r="PHG67" s="401"/>
      <c r="PHH67" s="401"/>
      <c r="PHI67" s="401"/>
      <c r="PHJ67" s="401"/>
      <c r="PHK67" s="401"/>
      <c r="PHL67" s="401"/>
      <c r="PHM67" s="401"/>
      <c r="PHN67" s="401"/>
      <c r="PHO67" s="401"/>
      <c r="PHP67" s="401"/>
      <c r="PHQ67" s="401"/>
      <c r="PHR67" s="401"/>
      <c r="PHS67" s="401"/>
      <c r="PHT67" s="401"/>
      <c r="PHU67" s="401"/>
      <c r="PHV67" s="401"/>
      <c r="PHW67" s="401"/>
      <c r="PHX67" s="401"/>
      <c r="PHY67" s="401"/>
      <c r="PHZ67" s="401"/>
      <c r="PIA67" s="401"/>
      <c r="PIB67" s="401"/>
      <c r="PIC67" s="401"/>
      <c r="PID67" s="401"/>
      <c r="PIE67" s="401"/>
      <c r="PIF67" s="401"/>
      <c r="PIG67" s="401"/>
      <c r="PIH67" s="401"/>
      <c r="PII67" s="401"/>
      <c r="PIJ67" s="401"/>
      <c r="PIK67" s="401"/>
      <c r="PIL67" s="401"/>
      <c r="PIM67" s="401"/>
      <c r="PIN67" s="401"/>
      <c r="PIO67" s="401"/>
      <c r="PIP67" s="401"/>
      <c r="PIQ67" s="401"/>
      <c r="PIR67" s="401"/>
      <c r="PIS67" s="401"/>
      <c r="PIT67" s="401"/>
      <c r="PIU67" s="401"/>
      <c r="PIV67" s="401"/>
      <c r="PIW67" s="401"/>
      <c r="PIX67" s="401"/>
      <c r="PIY67" s="401"/>
      <c r="PIZ67" s="401"/>
      <c r="PJA67" s="401"/>
      <c r="PJB67" s="401"/>
      <c r="PJC67" s="401"/>
      <c r="PJD67" s="401"/>
      <c r="PJE67" s="401"/>
      <c r="PJF67" s="401"/>
      <c r="PJG67" s="401"/>
      <c r="PJH67" s="401"/>
      <c r="PJI67" s="401"/>
      <c r="PJJ67" s="401"/>
      <c r="PJK67" s="401"/>
      <c r="PJL67" s="401"/>
      <c r="PJM67" s="401"/>
      <c r="PJN67" s="401"/>
      <c r="PJO67" s="401"/>
      <c r="PJP67" s="401"/>
      <c r="PJQ67" s="401"/>
      <c r="PJR67" s="401"/>
      <c r="PJS67" s="401"/>
      <c r="PJT67" s="401"/>
      <c r="PJU67" s="401"/>
      <c r="PJV67" s="401"/>
      <c r="PJW67" s="401"/>
      <c r="PJX67" s="401"/>
      <c r="PJY67" s="401"/>
      <c r="PJZ67" s="401"/>
      <c r="PKA67" s="401"/>
      <c r="PKB67" s="401"/>
      <c r="PKC67" s="401"/>
      <c r="PKD67" s="401"/>
      <c r="PKE67" s="401"/>
      <c r="PKF67" s="401"/>
      <c r="PKG67" s="401"/>
      <c r="PKH67" s="401"/>
      <c r="PKI67" s="401"/>
      <c r="PKJ67" s="401"/>
      <c r="PKK67" s="401"/>
      <c r="PKL67" s="401"/>
      <c r="PKM67" s="401"/>
      <c r="PKN67" s="401"/>
      <c r="PKO67" s="401"/>
      <c r="PKP67" s="401"/>
      <c r="PKQ67" s="401"/>
      <c r="PKR67" s="401"/>
      <c r="PKS67" s="401"/>
      <c r="PKT67" s="401"/>
      <c r="PKU67" s="401"/>
      <c r="PKV67" s="401"/>
      <c r="PKW67" s="401"/>
      <c r="PKX67" s="401"/>
      <c r="PKY67" s="401"/>
      <c r="PKZ67" s="401"/>
      <c r="PLA67" s="401"/>
      <c r="PLB67" s="401"/>
      <c r="PLC67" s="401"/>
      <c r="PLD67" s="401"/>
      <c r="PLE67" s="401"/>
      <c r="PLF67" s="401"/>
      <c r="PLG67" s="401"/>
      <c r="PLH67" s="401"/>
      <c r="PLI67" s="401"/>
      <c r="PLJ67" s="401"/>
      <c r="PLK67" s="401"/>
      <c r="PLL67" s="401"/>
      <c r="PLM67" s="401"/>
      <c r="PLN67" s="401"/>
      <c r="PLO67" s="401"/>
      <c r="PLP67" s="401"/>
      <c r="PLQ67" s="401"/>
      <c r="PLR67" s="401"/>
      <c r="PLS67" s="401"/>
      <c r="PLT67" s="401"/>
      <c r="PLU67" s="401"/>
      <c r="PLV67" s="401"/>
      <c r="PLW67" s="401"/>
      <c r="PLX67" s="401"/>
      <c r="PLY67" s="401"/>
      <c r="PLZ67" s="401"/>
      <c r="PMA67" s="401"/>
      <c r="PMB67" s="401"/>
      <c r="PMC67" s="401"/>
      <c r="PMD67" s="401"/>
      <c r="PME67" s="401"/>
      <c r="PMF67" s="401"/>
      <c r="PMG67" s="401"/>
      <c r="PMH67" s="401"/>
      <c r="PMI67" s="401"/>
      <c r="PMJ67" s="401"/>
      <c r="PMK67" s="401"/>
      <c r="PML67" s="401"/>
      <c r="PMM67" s="401"/>
      <c r="PMN67" s="401"/>
      <c r="PMO67" s="401"/>
      <c r="PMP67" s="401"/>
      <c r="PMQ67" s="401"/>
      <c r="PMR67" s="401"/>
      <c r="PMS67" s="401"/>
      <c r="PMT67" s="401"/>
      <c r="PMU67" s="401"/>
      <c r="PMV67" s="401"/>
      <c r="PMW67" s="401"/>
      <c r="PMX67" s="401"/>
      <c r="PMY67" s="401"/>
      <c r="PMZ67" s="401"/>
      <c r="PNA67" s="401"/>
      <c r="PNB67" s="401"/>
      <c r="PNC67" s="401"/>
      <c r="PND67" s="401"/>
      <c r="PNE67" s="401"/>
      <c r="PNF67" s="401"/>
      <c r="PNG67" s="401"/>
      <c r="PNH67" s="401"/>
      <c r="PNI67" s="401"/>
      <c r="PNJ67" s="401"/>
      <c r="PNK67" s="401"/>
      <c r="PNL67" s="401"/>
      <c r="PNM67" s="401"/>
      <c r="PNN67" s="401"/>
      <c r="PNO67" s="401"/>
      <c r="PNP67" s="401"/>
      <c r="PNQ67" s="401"/>
      <c r="PNR67" s="401"/>
      <c r="PNS67" s="401"/>
      <c r="PNT67" s="401"/>
      <c r="PNU67" s="401"/>
      <c r="PNV67" s="401"/>
      <c r="PNW67" s="401"/>
      <c r="PNX67" s="401"/>
      <c r="PNY67" s="401"/>
      <c r="PNZ67" s="401"/>
      <c r="POA67" s="401"/>
      <c r="POB67" s="401"/>
      <c r="POC67" s="401"/>
      <c r="POD67" s="401"/>
      <c r="POE67" s="401"/>
      <c r="POF67" s="401"/>
      <c r="POG67" s="401"/>
      <c r="POH67" s="401"/>
      <c r="POI67" s="401"/>
      <c r="POJ67" s="401"/>
      <c r="POK67" s="401"/>
      <c r="POL67" s="401"/>
      <c r="POM67" s="401"/>
      <c r="PON67" s="401"/>
      <c r="POO67" s="401"/>
      <c r="POP67" s="401"/>
      <c r="POQ67" s="401"/>
      <c r="POR67" s="401"/>
      <c r="POS67" s="401"/>
      <c r="POT67" s="401"/>
      <c r="POU67" s="401"/>
      <c r="POV67" s="401"/>
      <c r="POW67" s="401"/>
      <c r="POX67" s="401"/>
      <c r="POY67" s="401"/>
      <c r="POZ67" s="401"/>
      <c r="PPA67" s="401"/>
      <c r="PPB67" s="401"/>
      <c r="PPC67" s="401"/>
      <c r="PPD67" s="401"/>
      <c r="PPE67" s="401"/>
      <c r="PPF67" s="401"/>
      <c r="PPG67" s="401"/>
      <c r="PPH67" s="401"/>
      <c r="PPI67" s="401"/>
      <c r="PPJ67" s="401"/>
      <c r="PPK67" s="401"/>
      <c r="PPL67" s="401"/>
      <c r="PPM67" s="401"/>
      <c r="PPN67" s="401"/>
      <c r="PPO67" s="401"/>
      <c r="PPP67" s="401"/>
      <c r="PPQ67" s="401"/>
      <c r="PPR67" s="401"/>
      <c r="PPS67" s="401"/>
      <c r="PPT67" s="401"/>
      <c r="PPU67" s="401"/>
      <c r="PPV67" s="401"/>
      <c r="PPW67" s="401"/>
      <c r="PPX67" s="401"/>
      <c r="PPY67" s="401"/>
      <c r="PPZ67" s="401"/>
      <c r="PQA67" s="401"/>
      <c r="PQB67" s="401"/>
      <c r="PQC67" s="401"/>
      <c r="PQD67" s="401"/>
      <c r="PQE67" s="401"/>
      <c r="PQF67" s="401"/>
      <c r="PQG67" s="401"/>
      <c r="PQH67" s="401"/>
      <c r="PQI67" s="401"/>
      <c r="PQJ67" s="401"/>
      <c r="PQK67" s="401"/>
      <c r="PQL67" s="401"/>
      <c r="PQM67" s="401"/>
      <c r="PQN67" s="401"/>
      <c r="PQO67" s="401"/>
      <c r="PQP67" s="401"/>
      <c r="PQQ67" s="401"/>
      <c r="PQR67" s="401"/>
      <c r="PQS67" s="401"/>
      <c r="PQT67" s="401"/>
      <c r="PQU67" s="401"/>
      <c r="PQV67" s="401"/>
      <c r="PQW67" s="401"/>
      <c r="PQX67" s="401"/>
      <c r="PQY67" s="401"/>
      <c r="PQZ67" s="401"/>
      <c r="PRA67" s="401"/>
      <c r="PRB67" s="401"/>
      <c r="PRC67" s="401"/>
      <c r="PRD67" s="401"/>
      <c r="PRE67" s="401"/>
      <c r="PRF67" s="401"/>
      <c r="PRG67" s="401"/>
      <c r="PRH67" s="401"/>
      <c r="PRI67" s="401"/>
      <c r="PRJ67" s="401"/>
      <c r="PRK67" s="401"/>
      <c r="PRL67" s="401"/>
      <c r="PRM67" s="401"/>
      <c r="PRN67" s="401"/>
      <c r="PRO67" s="401"/>
      <c r="PRP67" s="401"/>
      <c r="PRQ67" s="401"/>
      <c r="PRR67" s="401"/>
      <c r="PRS67" s="401"/>
      <c r="PRT67" s="401"/>
      <c r="PRU67" s="401"/>
      <c r="PRV67" s="401"/>
      <c r="PRW67" s="401"/>
      <c r="PRX67" s="401"/>
      <c r="PRY67" s="401"/>
      <c r="PRZ67" s="401"/>
      <c r="PSA67" s="401"/>
      <c r="PSB67" s="401"/>
      <c r="PSC67" s="401"/>
      <c r="PSD67" s="401"/>
      <c r="PSE67" s="401"/>
      <c r="PSF67" s="401"/>
      <c r="PSG67" s="401"/>
      <c r="PSH67" s="401"/>
      <c r="PSI67" s="401"/>
      <c r="PSJ67" s="401"/>
      <c r="PSK67" s="401"/>
      <c r="PSL67" s="401"/>
      <c r="PSM67" s="401"/>
      <c r="PSN67" s="401"/>
      <c r="PSO67" s="401"/>
      <c r="PSP67" s="401"/>
      <c r="PSQ67" s="401"/>
      <c r="PSR67" s="401"/>
      <c r="PSS67" s="401"/>
      <c r="PST67" s="401"/>
      <c r="PSU67" s="401"/>
      <c r="PSV67" s="401"/>
      <c r="PSW67" s="401"/>
      <c r="PSX67" s="401"/>
      <c r="PSY67" s="401"/>
      <c r="PSZ67" s="401"/>
      <c r="PTA67" s="401"/>
      <c r="PTB67" s="401"/>
      <c r="PTC67" s="401"/>
      <c r="PTD67" s="401"/>
      <c r="PTE67" s="401"/>
      <c r="PTF67" s="401"/>
      <c r="PTG67" s="401"/>
      <c r="PTH67" s="401"/>
      <c r="PTI67" s="401"/>
      <c r="PTJ67" s="401"/>
      <c r="PTK67" s="401"/>
      <c r="PTL67" s="401"/>
      <c r="PTM67" s="401"/>
      <c r="PTN67" s="401"/>
      <c r="PTO67" s="401"/>
      <c r="PTP67" s="401"/>
      <c r="PTQ67" s="401"/>
      <c r="PTR67" s="401"/>
      <c r="PTS67" s="401"/>
      <c r="PTT67" s="401"/>
      <c r="PTU67" s="401"/>
      <c r="PTV67" s="401"/>
      <c r="PTW67" s="401"/>
      <c r="PTX67" s="401"/>
      <c r="PTY67" s="401"/>
      <c r="PTZ67" s="401"/>
      <c r="PUA67" s="401"/>
      <c r="PUB67" s="401"/>
      <c r="PUC67" s="401"/>
      <c r="PUD67" s="401"/>
      <c r="PUE67" s="401"/>
      <c r="PUF67" s="401"/>
      <c r="PUG67" s="401"/>
      <c r="PUH67" s="401"/>
      <c r="PUI67" s="401"/>
      <c r="PUJ67" s="401"/>
      <c r="PUK67" s="401"/>
      <c r="PUL67" s="401"/>
      <c r="PUM67" s="401"/>
      <c r="PUN67" s="401"/>
      <c r="PUO67" s="401"/>
      <c r="PUP67" s="401"/>
      <c r="PUQ67" s="401"/>
      <c r="PUR67" s="401"/>
      <c r="PUS67" s="401"/>
      <c r="PUT67" s="401"/>
      <c r="PUU67" s="401"/>
      <c r="PUV67" s="401"/>
      <c r="PUW67" s="401"/>
      <c r="PUX67" s="401"/>
      <c r="PUY67" s="401"/>
      <c r="PUZ67" s="401"/>
      <c r="PVA67" s="401"/>
      <c r="PVB67" s="401"/>
      <c r="PVC67" s="401"/>
      <c r="PVD67" s="401"/>
      <c r="PVE67" s="401"/>
      <c r="PVF67" s="401"/>
      <c r="PVG67" s="401"/>
      <c r="PVH67" s="401"/>
      <c r="PVI67" s="401"/>
      <c r="PVJ67" s="401"/>
      <c r="PVK67" s="401"/>
      <c r="PVL67" s="401"/>
      <c r="PVM67" s="401"/>
      <c r="PVN67" s="401"/>
      <c r="PVO67" s="401"/>
      <c r="PVP67" s="401"/>
      <c r="PVQ67" s="401"/>
      <c r="PVR67" s="401"/>
      <c r="PVS67" s="401"/>
      <c r="PVT67" s="401"/>
      <c r="PVU67" s="401"/>
      <c r="PVV67" s="401"/>
      <c r="PVW67" s="401"/>
      <c r="PVX67" s="401"/>
      <c r="PVY67" s="401"/>
      <c r="PVZ67" s="401"/>
      <c r="PWA67" s="401"/>
      <c r="PWB67" s="401"/>
      <c r="PWC67" s="401"/>
      <c r="PWD67" s="401"/>
      <c r="PWE67" s="401"/>
      <c r="PWF67" s="401"/>
      <c r="PWG67" s="401"/>
      <c r="PWH67" s="401"/>
      <c r="PWI67" s="401"/>
      <c r="PWJ67" s="401"/>
      <c r="PWK67" s="401"/>
      <c r="PWL67" s="401"/>
      <c r="PWM67" s="401"/>
      <c r="PWN67" s="401"/>
      <c r="PWO67" s="401"/>
      <c r="PWP67" s="401"/>
      <c r="PWQ67" s="401"/>
      <c r="PWR67" s="401"/>
      <c r="PWS67" s="401"/>
      <c r="PWT67" s="401"/>
      <c r="PWU67" s="401"/>
      <c r="PWV67" s="401"/>
      <c r="PWW67" s="401"/>
      <c r="PWX67" s="401"/>
      <c r="PWY67" s="401"/>
      <c r="PWZ67" s="401"/>
      <c r="PXA67" s="401"/>
      <c r="PXB67" s="401"/>
      <c r="PXC67" s="401"/>
      <c r="PXD67" s="401"/>
      <c r="PXE67" s="401"/>
      <c r="PXF67" s="401"/>
      <c r="PXG67" s="401"/>
      <c r="PXH67" s="401"/>
      <c r="PXI67" s="401"/>
      <c r="PXJ67" s="401"/>
      <c r="PXK67" s="401"/>
      <c r="PXL67" s="401"/>
      <c r="PXM67" s="401"/>
      <c r="PXN67" s="401"/>
      <c r="PXO67" s="401"/>
      <c r="PXP67" s="401"/>
      <c r="PXQ67" s="401"/>
      <c r="PXR67" s="401"/>
      <c r="PXS67" s="401"/>
      <c r="PXT67" s="401"/>
      <c r="PXU67" s="401"/>
      <c r="PXV67" s="401"/>
      <c r="PXW67" s="401"/>
      <c r="PXX67" s="401"/>
      <c r="PXY67" s="401"/>
      <c r="PXZ67" s="401"/>
      <c r="PYA67" s="401"/>
      <c r="PYB67" s="401"/>
      <c r="PYC67" s="401"/>
      <c r="PYD67" s="401"/>
      <c r="PYE67" s="401"/>
      <c r="PYF67" s="401"/>
      <c r="PYG67" s="401"/>
      <c r="PYH67" s="401"/>
      <c r="PYI67" s="401"/>
      <c r="PYJ67" s="401"/>
      <c r="PYK67" s="401"/>
      <c r="PYL67" s="401"/>
      <c r="PYM67" s="401"/>
      <c r="PYN67" s="401"/>
      <c r="PYO67" s="401"/>
      <c r="PYP67" s="401"/>
      <c r="PYQ67" s="401"/>
      <c r="PYR67" s="401"/>
      <c r="PYS67" s="401"/>
      <c r="PYT67" s="401"/>
      <c r="PYU67" s="401"/>
      <c r="PYV67" s="401"/>
      <c r="PYW67" s="401"/>
      <c r="PYX67" s="401"/>
      <c r="PYY67" s="401"/>
      <c r="PYZ67" s="401"/>
      <c r="PZA67" s="401"/>
      <c r="PZB67" s="401"/>
      <c r="PZC67" s="401"/>
      <c r="PZD67" s="401"/>
      <c r="PZE67" s="401"/>
      <c r="PZF67" s="401"/>
      <c r="PZG67" s="401"/>
      <c r="PZH67" s="401"/>
      <c r="PZI67" s="401"/>
      <c r="PZJ67" s="401"/>
      <c r="PZK67" s="401"/>
      <c r="PZL67" s="401"/>
      <c r="PZM67" s="401"/>
      <c r="PZN67" s="401"/>
      <c r="PZO67" s="401"/>
      <c r="PZP67" s="401"/>
      <c r="PZQ67" s="401"/>
      <c r="PZR67" s="401"/>
      <c r="PZS67" s="401"/>
      <c r="PZT67" s="401"/>
      <c r="PZU67" s="401"/>
      <c r="PZV67" s="401"/>
      <c r="PZW67" s="401"/>
      <c r="PZX67" s="401"/>
      <c r="PZY67" s="401"/>
      <c r="PZZ67" s="401"/>
      <c r="QAA67" s="401"/>
      <c r="QAB67" s="401"/>
      <c r="QAC67" s="401"/>
      <c r="QAD67" s="401"/>
      <c r="QAE67" s="401"/>
      <c r="QAF67" s="401"/>
      <c r="QAG67" s="401"/>
      <c r="QAH67" s="401"/>
      <c r="QAI67" s="401"/>
      <c r="QAJ67" s="401"/>
      <c r="QAK67" s="401"/>
      <c r="QAL67" s="401"/>
      <c r="QAM67" s="401"/>
      <c r="QAN67" s="401"/>
      <c r="QAO67" s="401"/>
      <c r="QAP67" s="401"/>
      <c r="QAQ67" s="401"/>
      <c r="QAR67" s="401"/>
      <c r="QAS67" s="401"/>
      <c r="QAT67" s="401"/>
      <c r="QAU67" s="401"/>
      <c r="QAV67" s="401"/>
      <c r="QAW67" s="401"/>
      <c r="QAX67" s="401"/>
      <c r="QAY67" s="401"/>
      <c r="QAZ67" s="401"/>
      <c r="QBA67" s="401"/>
      <c r="QBB67" s="401"/>
      <c r="QBC67" s="401"/>
      <c r="QBD67" s="401"/>
      <c r="QBE67" s="401"/>
      <c r="QBF67" s="401"/>
      <c r="QBG67" s="401"/>
      <c r="QBH67" s="401"/>
      <c r="QBI67" s="401"/>
      <c r="QBJ67" s="401"/>
      <c r="QBK67" s="401"/>
      <c r="QBL67" s="401"/>
      <c r="QBM67" s="401"/>
      <c r="QBN67" s="401"/>
      <c r="QBO67" s="401"/>
      <c r="QBP67" s="401"/>
      <c r="QBQ67" s="401"/>
      <c r="QBR67" s="401"/>
      <c r="QBS67" s="401"/>
      <c r="QBT67" s="401"/>
      <c r="QBU67" s="401"/>
      <c r="QBV67" s="401"/>
      <c r="QBW67" s="401"/>
      <c r="QBX67" s="401"/>
      <c r="QBY67" s="401"/>
      <c r="QBZ67" s="401"/>
      <c r="QCA67" s="401"/>
      <c r="QCB67" s="401"/>
      <c r="QCC67" s="401"/>
      <c r="QCD67" s="401"/>
      <c r="QCE67" s="401"/>
      <c r="QCF67" s="401"/>
      <c r="QCG67" s="401"/>
      <c r="QCH67" s="401"/>
      <c r="QCI67" s="401"/>
      <c r="QCJ67" s="401"/>
      <c r="QCK67" s="401"/>
      <c r="QCL67" s="401"/>
      <c r="QCM67" s="401"/>
      <c r="QCN67" s="401"/>
      <c r="QCO67" s="401"/>
      <c r="QCP67" s="401"/>
      <c r="QCQ67" s="401"/>
      <c r="QCR67" s="401"/>
      <c r="QCS67" s="401"/>
      <c r="QCT67" s="401"/>
      <c r="QCU67" s="401"/>
      <c r="QCV67" s="401"/>
      <c r="QCW67" s="401"/>
      <c r="QCX67" s="401"/>
      <c r="QCY67" s="401"/>
      <c r="QCZ67" s="401"/>
      <c r="QDA67" s="401"/>
      <c r="QDB67" s="401"/>
      <c r="QDC67" s="401"/>
      <c r="QDD67" s="401"/>
      <c r="QDE67" s="401"/>
      <c r="QDF67" s="401"/>
      <c r="QDG67" s="401"/>
      <c r="QDH67" s="401"/>
      <c r="QDI67" s="401"/>
      <c r="QDJ67" s="401"/>
      <c r="QDK67" s="401"/>
      <c r="QDL67" s="401"/>
      <c r="QDM67" s="401"/>
      <c r="QDN67" s="401"/>
      <c r="QDO67" s="401"/>
      <c r="QDP67" s="401"/>
      <c r="QDQ67" s="401"/>
      <c r="QDR67" s="401"/>
      <c r="QDS67" s="401"/>
      <c r="QDT67" s="401"/>
      <c r="QDU67" s="401"/>
      <c r="QDV67" s="401"/>
      <c r="QDW67" s="401"/>
      <c r="QDX67" s="401"/>
      <c r="QDY67" s="401"/>
      <c r="QDZ67" s="401"/>
      <c r="QEA67" s="401"/>
      <c r="QEB67" s="401"/>
      <c r="QEC67" s="401"/>
      <c r="QED67" s="401"/>
      <c r="QEE67" s="401"/>
      <c r="QEF67" s="401"/>
      <c r="QEG67" s="401"/>
      <c r="QEH67" s="401"/>
      <c r="QEI67" s="401"/>
      <c r="QEJ67" s="401"/>
      <c r="QEK67" s="401"/>
      <c r="QEL67" s="401"/>
      <c r="QEM67" s="401"/>
      <c r="QEN67" s="401"/>
      <c r="QEO67" s="401"/>
      <c r="QEP67" s="401"/>
      <c r="QEQ67" s="401"/>
      <c r="QER67" s="401"/>
      <c r="QES67" s="401"/>
      <c r="QET67" s="401"/>
      <c r="QEU67" s="401"/>
      <c r="QEV67" s="401"/>
      <c r="QEW67" s="401"/>
      <c r="QEX67" s="401"/>
      <c r="QEY67" s="401"/>
      <c r="QEZ67" s="401"/>
      <c r="QFA67" s="401"/>
      <c r="QFB67" s="401"/>
      <c r="QFC67" s="401"/>
      <c r="QFD67" s="401"/>
      <c r="QFE67" s="401"/>
      <c r="QFF67" s="401"/>
      <c r="QFG67" s="401"/>
      <c r="QFH67" s="401"/>
      <c r="QFI67" s="401"/>
      <c r="QFJ67" s="401"/>
      <c r="QFK67" s="401"/>
      <c r="QFL67" s="401"/>
      <c r="QFM67" s="401"/>
      <c r="QFN67" s="401"/>
      <c r="QFO67" s="401"/>
      <c r="QFP67" s="401"/>
      <c r="QFQ67" s="401"/>
      <c r="QFR67" s="401"/>
      <c r="QFS67" s="401"/>
      <c r="QFT67" s="401"/>
      <c r="QFU67" s="401"/>
      <c r="QFV67" s="401"/>
      <c r="QFW67" s="401"/>
      <c r="QFX67" s="401"/>
      <c r="QFY67" s="401"/>
      <c r="QFZ67" s="401"/>
      <c r="QGA67" s="401"/>
      <c r="QGB67" s="401"/>
      <c r="QGC67" s="401"/>
      <c r="QGD67" s="401"/>
      <c r="QGE67" s="401"/>
      <c r="QGF67" s="401"/>
      <c r="QGG67" s="401"/>
      <c r="QGH67" s="401"/>
      <c r="QGI67" s="401"/>
      <c r="QGJ67" s="401"/>
      <c r="QGK67" s="401"/>
      <c r="QGL67" s="401"/>
      <c r="QGM67" s="401"/>
      <c r="QGN67" s="401"/>
      <c r="QGO67" s="401"/>
      <c r="QGP67" s="401"/>
      <c r="QGQ67" s="401"/>
      <c r="QGR67" s="401"/>
      <c r="QGS67" s="401"/>
      <c r="QGT67" s="401"/>
      <c r="QGU67" s="401"/>
      <c r="QGV67" s="401"/>
      <c r="QGW67" s="401"/>
      <c r="QGX67" s="401"/>
      <c r="QGY67" s="401"/>
      <c r="QGZ67" s="401"/>
      <c r="QHA67" s="401"/>
      <c r="QHB67" s="401"/>
      <c r="QHC67" s="401"/>
      <c r="QHD67" s="401"/>
      <c r="QHE67" s="401"/>
      <c r="QHF67" s="401"/>
      <c r="QHG67" s="401"/>
      <c r="QHH67" s="401"/>
      <c r="QHI67" s="401"/>
      <c r="QHJ67" s="401"/>
      <c r="QHK67" s="401"/>
      <c r="QHL67" s="401"/>
      <c r="QHM67" s="401"/>
      <c r="QHN67" s="401"/>
      <c r="QHO67" s="401"/>
      <c r="QHP67" s="401"/>
      <c r="QHQ67" s="401"/>
      <c r="QHR67" s="401"/>
      <c r="QHS67" s="401"/>
      <c r="QHT67" s="401"/>
      <c r="QHU67" s="401"/>
      <c r="QHV67" s="401"/>
      <c r="QHW67" s="401"/>
      <c r="QHX67" s="401"/>
      <c r="QHY67" s="401"/>
      <c r="QHZ67" s="401"/>
      <c r="QIA67" s="401"/>
      <c r="QIB67" s="401"/>
      <c r="QIC67" s="401"/>
      <c r="QID67" s="401"/>
      <c r="QIE67" s="401"/>
      <c r="QIF67" s="401"/>
      <c r="QIG67" s="401"/>
      <c r="QIH67" s="401"/>
      <c r="QII67" s="401"/>
      <c r="QIJ67" s="401"/>
      <c r="QIK67" s="401"/>
      <c r="QIL67" s="401"/>
      <c r="QIM67" s="401"/>
      <c r="QIN67" s="401"/>
      <c r="QIO67" s="401"/>
      <c r="QIP67" s="401"/>
      <c r="QIQ67" s="401"/>
      <c r="QIR67" s="401"/>
      <c r="QIS67" s="401"/>
      <c r="QIT67" s="401"/>
      <c r="QIU67" s="401"/>
      <c r="QIV67" s="401"/>
      <c r="QIW67" s="401"/>
      <c r="QIX67" s="401"/>
      <c r="QIY67" s="401"/>
      <c r="QIZ67" s="401"/>
      <c r="QJA67" s="401"/>
      <c r="QJB67" s="401"/>
      <c r="QJC67" s="401"/>
      <c r="QJD67" s="401"/>
      <c r="QJE67" s="401"/>
      <c r="QJF67" s="401"/>
      <c r="QJG67" s="401"/>
      <c r="QJH67" s="401"/>
      <c r="QJI67" s="401"/>
      <c r="QJJ67" s="401"/>
      <c r="QJK67" s="401"/>
      <c r="QJL67" s="401"/>
      <c r="QJM67" s="401"/>
      <c r="QJN67" s="401"/>
      <c r="QJO67" s="401"/>
      <c r="QJP67" s="401"/>
      <c r="QJQ67" s="401"/>
      <c r="QJR67" s="401"/>
      <c r="QJS67" s="401"/>
      <c r="QJT67" s="401"/>
      <c r="QJU67" s="401"/>
      <c r="QJV67" s="401"/>
      <c r="QJW67" s="401"/>
      <c r="QJX67" s="401"/>
      <c r="QJY67" s="401"/>
      <c r="QJZ67" s="401"/>
      <c r="QKA67" s="401"/>
      <c r="QKB67" s="401"/>
      <c r="QKC67" s="401"/>
      <c r="QKD67" s="401"/>
      <c r="QKE67" s="401"/>
      <c r="QKF67" s="401"/>
      <c r="QKG67" s="401"/>
      <c r="QKH67" s="401"/>
      <c r="QKI67" s="401"/>
      <c r="QKJ67" s="401"/>
      <c r="QKK67" s="401"/>
      <c r="QKL67" s="401"/>
      <c r="QKM67" s="401"/>
      <c r="QKN67" s="401"/>
      <c r="QKO67" s="401"/>
      <c r="QKP67" s="401"/>
      <c r="QKQ67" s="401"/>
      <c r="QKR67" s="401"/>
      <c r="QKS67" s="401"/>
      <c r="QKT67" s="401"/>
      <c r="QKU67" s="401"/>
      <c r="QKV67" s="401"/>
      <c r="QKW67" s="401"/>
      <c r="QKX67" s="401"/>
      <c r="QKY67" s="401"/>
      <c r="QKZ67" s="401"/>
      <c r="QLA67" s="401"/>
      <c r="QLB67" s="401"/>
      <c r="QLC67" s="401"/>
      <c r="QLD67" s="401"/>
      <c r="QLE67" s="401"/>
      <c r="QLF67" s="401"/>
      <c r="QLG67" s="401"/>
      <c r="QLH67" s="401"/>
      <c r="QLI67" s="401"/>
      <c r="QLJ67" s="401"/>
      <c r="QLK67" s="401"/>
      <c r="QLL67" s="401"/>
      <c r="QLM67" s="401"/>
      <c r="QLN67" s="401"/>
      <c r="QLO67" s="401"/>
      <c r="QLP67" s="401"/>
      <c r="QLQ67" s="401"/>
      <c r="QLR67" s="401"/>
      <c r="QLS67" s="401"/>
      <c r="QLT67" s="401"/>
      <c r="QLU67" s="401"/>
      <c r="QLV67" s="401"/>
      <c r="QLW67" s="401"/>
      <c r="QLX67" s="401"/>
      <c r="QLY67" s="401"/>
      <c r="QLZ67" s="401"/>
      <c r="QMA67" s="401"/>
      <c r="QMB67" s="401"/>
      <c r="QMC67" s="401"/>
      <c r="QMD67" s="401"/>
      <c r="QME67" s="401"/>
      <c r="QMF67" s="401"/>
      <c r="QMG67" s="401"/>
      <c r="QMH67" s="401"/>
      <c r="QMI67" s="401"/>
      <c r="QMJ67" s="401"/>
      <c r="QMK67" s="401"/>
      <c r="QML67" s="401"/>
      <c r="QMM67" s="401"/>
      <c r="QMN67" s="401"/>
      <c r="QMO67" s="401"/>
      <c r="QMP67" s="401"/>
      <c r="QMQ67" s="401"/>
      <c r="QMR67" s="401"/>
      <c r="QMS67" s="401"/>
      <c r="QMT67" s="401"/>
      <c r="QMU67" s="401"/>
      <c r="QMV67" s="401"/>
      <c r="QMW67" s="401"/>
      <c r="QMX67" s="401"/>
      <c r="QMY67" s="401"/>
      <c r="QMZ67" s="401"/>
      <c r="QNA67" s="401"/>
      <c r="QNB67" s="401"/>
      <c r="QNC67" s="401"/>
      <c r="QND67" s="401"/>
      <c r="QNE67" s="401"/>
      <c r="QNF67" s="401"/>
      <c r="QNG67" s="401"/>
      <c r="QNH67" s="401"/>
      <c r="QNI67" s="401"/>
      <c r="QNJ67" s="401"/>
      <c r="QNK67" s="401"/>
      <c r="QNL67" s="401"/>
      <c r="QNM67" s="401"/>
      <c r="QNN67" s="401"/>
      <c r="QNO67" s="401"/>
      <c r="QNP67" s="401"/>
      <c r="QNQ67" s="401"/>
      <c r="QNR67" s="401"/>
      <c r="QNS67" s="401"/>
      <c r="QNT67" s="401"/>
      <c r="QNU67" s="401"/>
      <c r="QNV67" s="401"/>
      <c r="QNW67" s="401"/>
      <c r="QNX67" s="401"/>
      <c r="QNY67" s="401"/>
      <c r="QNZ67" s="401"/>
      <c r="QOA67" s="401"/>
      <c r="QOB67" s="401"/>
      <c r="QOC67" s="401"/>
      <c r="QOD67" s="401"/>
      <c r="QOE67" s="401"/>
      <c r="QOF67" s="401"/>
      <c r="QOG67" s="401"/>
      <c r="QOH67" s="401"/>
      <c r="QOI67" s="401"/>
      <c r="QOJ67" s="401"/>
      <c r="QOK67" s="401"/>
      <c r="QOL67" s="401"/>
      <c r="QOM67" s="401"/>
      <c r="QON67" s="401"/>
      <c r="QOO67" s="401"/>
      <c r="QOP67" s="401"/>
      <c r="QOQ67" s="401"/>
      <c r="QOR67" s="401"/>
      <c r="QOS67" s="401"/>
      <c r="QOT67" s="401"/>
      <c r="QOU67" s="401"/>
      <c r="QOV67" s="401"/>
      <c r="QOW67" s="401"/>
      <c r="QOX67" s="401"/>
      <c r="QOY67" s="401"/>
      <c r="QOZ67" s="401"/>
      <c r="QPA67" s="401"/>
      <c r="QPB67" s="401"/>
      <c r="QPC67" s="401"/>
      <c r="QPD67" s="401"/>
      <c r="QPE67" s="401"/>
      <c r="QPF67" s="401"/>
      <c r="QPG67" s="401"/>
      <c r="QPH67" s="401"/>
      <c r="QPI67" s="401"/>
      <c r="QPJ67" s="401"/>
      <c r="QPK67" s="401"/>
      <c r="QPL67" s="401"/>
      <c r="QPM67" s="401"/>
      <c r="QPN67" s="401"/>
      <c r="QPO67" s="401"/>
      <c r="QPP67" s="401"/>
      <c r="QPQ67" s="401"/>
      <c r="QPR67" s="401"/>
      <c r="QPS67" s="401"/>
      <c r="QPT67" s="401"/>
      <c r="QPU67" s="401"/>
      <c r="QPV67" s="401"/>
      <c r="QPW67" s="401"/>
      <c r="QPX67" s="401"/>
      <c r="QPY67" s="401"/>
      <c r="QPZ67" s="401"/>
      <c r="QQA67" s="401"/>
      <c r="QQB67" s="401"/>
      <c r="QQC67" s="401"/>
      <c r="QQD67" s="401"/>
      <c r="QQE67" s="401"/>
      <c r="QQF67" s="401"/>
      <c r="QQG67" s="401"/>
      <c r="QQH67" s="401"/>
      <c r="QQI67" s="401"/>
      <c r="QQJ67" s="401"/>
      <c r="QQK67" s="401"/>
      <c r="QQL67" s="401"/>
      <c r="QQM67" s="401"/>
      <c r="QQN67" s="401"/>
      <c r="QQO67" s="401"/>
      <c r="QQP67" s="401"/>
      <c r="QQQ67" s="401"/>
      <c r="QQR67" s="401"/>
      <c r="QQS67" s="401"/>
      <c r="QQT67" s="401"/>
      <c r="QQU67" s="401"/>
      <c r="QQV67" s="401"/>
      <c r="QQW67" s="401"/>
      <c r="QQX67" s="401"/>
      <c r="QQY67" s="401"/>
      <c r="QQZ67" s="401"/>
      <c r="QRA67" s="401"/>
      <c r="QRB67" s="401"/>
      <c r="QRC67" s="401"/>
      <c r="QRD67" s="401"/>
      <c r="QRE67" s="401"/>
      <c r="QRF67" s="401"/>
      <c r="QRG67" s="401"/>
      <c r="QRH67" s="401"/>
      <c r="QRI67" s="401"/>
      <c r="QRJ67" s="401"/>
      <c r="QRK67" s="401"/>
      <c r="QRL67" s="401"/>
      <c r="QRM67" s="401"/>
      <c r="QRN67" s="401"/>
      <c r="QRO67" s="401"/>
      <c r="QRP67" s="401"/>
      <c r="QRQ67" s="401"/>
      <c r="QRR67" s="401"/>
      <c r="QRS67" s="401"/>
      <c r="QRT67" s="401"/>
      <c r="QRU67" s="401"/>
      <c r="QRV67" s="401"/>
      <c r="QRW67" s="401"/>
      <c r="QRX67" s="401"/>
      <c r="QRY67" s="401"/>
      <c r="QRZ67" s="401"/>
      <c r="QSA67" s="401"/>
      <c r="QSB67" s="401"/>
      <c r="QSC67" s="401"/>
      <c r="QSD67" s="401"/>
      <c r="QSE67" s="401"/>
      <c r="QSF67" s="401"/>
      <c r="QSG67" s="401"/>
      <c r="QSH67" s="401"/>
      <c r="QSI67" s="401"/>
      <c r="QSJ67" s="401"/>
      <c r="QSK67" s="401"/>
      <c r="QSL67" s="401"/>
      <c r="QSM67" s="401"/>
      <c r="QSN67" s="401"/>
      <c r="QSO67" s="401"/>
      <c r="QSP67" s="401"/>
      <c r="QSQ67" s="401"/>
      <c r="QSR67" s="401"/>
      <c r="QSS67" s="401"/>
      <c r="QST67" s="401"/>
      <c r="QSU67" s="401"/>
      <c r="QSV67" s="401"/>
      <c r="QSW67" s="401"/>
      <c r="QSX67" s="401"/>
      <c r="QSY67" s="401"/>
      <c r="QSZ67" s="401"/>
      <c r="QTA67" s="401"/>
      <c r="QTB67" s="401"/>
      <c r="QTC67" s="401"/>
      <c r="QTD67" s="401"/>
      <c r="QTE67" s="401"/>
      <c r="QTF67" s="401"/>
      <c r="QTG67" s="401"/>
      <c r="QTH67" s="401"/>
      <c r="QTI67" s="401"/>
      <c r="QTJ67" s="401"/>
      <c r="QTK67" s="401"/>
      <c r="QTL67" s="401"/>
      <c r="QTM67" s="401"/>
      <c r="QTN67" s="401"/>
      <c r="QTO67" s="401"/>
      <c r="QTP67" s="401"/>
      <c r="QTQ67" s="401"/>
      <c r="QTR67" s="401"/>
      <c r="QTS67" s="401"/>
      <c r="QTT67" s="401"/>
      <c r="QTU67" s="401"/>
      <c r="QTV67" s="401"/>
      <c r="QTW67" s="401"/>
      <c r="QTX67" s="401"/>
      <c r="QTY67" s="401"/>
      <c r="QTZ67" s="401"/>
      <c r="QUA67" s="401"/>
      <c r="QUB67" s="401"/>
      <c r="QUC67" s="401"/>
      <c r="QUD67" s="401"/>
      <c r="QUE67" s="401"/>
      <c r="QUF67" s="401"/>
      <c r="QUG67" s="401"/>
      <c r="QUH67" s="401"/>
      <c r="QUI67" s="401"/>
      <c r="QUJ67" s="401"/>
      <c r="QUK67" s="401"/>
      <c r="QUL67" s="401"/>
      <c r="QUM67" s="401"/>
      <c r="QUN67" s="401"/>
      <c r="QUO67" s="401"/>
      <c r="QUP67" s="401"/>
      <c r="QUQ67" s="401"/>
      <c r="QUR67" s="401"/>
      <c r="QUS67" s="401"/>
      <c r="QUT67" s="401"/>
      <c r="QUU67" s="401"/>
      <c r="QUV67" s="401"/>
      <c r="QUW67" s="401"/>
      <c r="QUX67" s="401"/>
      <c r="QUY67" s="401"/>
      <c r="QUZ67" s="401"/>
      <c r="QVA67" s="401"/>
      <c r="QVB67" s="401"/>
      <c r="QVC67" s="401"/>
      <c r="QVD67" s="401"/>
      <c r="QVE67" s="401"/>
      <c r="QVF67" s="401"/>
      <c r="QVG67" s="401"/>
      <c r="QVH67" s="401"/>
      <c r="QVI67" s="401"/>
      <c r="QVJ67" s="401"/>
      <c r="QVK67" s="401"/>
      <c r="QVL67" s="401"/>
      <c r="QVM67" s="401"/>
      <c r="QVN67" s="401"/>
      <c r="QVO67" s="401"/>
      <c r="QVP67" s="401"/>
      <c r="QVQ67" s="401"/>
      <c r="QVR67" s="401"/>
      <c r="QVS67" s="401"/>
      <c r="QVT67" s="401"/>
      <c r="QVU67" s="401"/>
      <c r="QVV67" s="401"/>
      <c r="QVW67" s="401"/>
      <c r="QVX67" s="401"/>
      <c r="QVY67" s="401"/>
      <c r="QVZ67" s="401"/>
      <c r="QWA67" s="401"/>
      <c r="QWB67" s="401"/>
      <c r="QWC67" s="401"/>
      <c r="QWD67" s="401"/>
      <c r="QWE67" s="401"/>
      <c r="QWF67" s="401"/>
      <c r="QWG67" s="401"/>
      <c r="QWH67" s="401"/>
      <c r="QWI67" s="401"/>
      <c r="QWJ67" s="401"/>
      <c r="QWK67" s="401"/>
      <c r="QWL67" s="401"/>
      <c r="QWM67" s="401"/>
      <c r="QWN67" s="401"/>
      <c r="QWO67" s="401"/>
      <c r="QWP67" s="401"/>
      <c r="QWQ67" s="401"/>
      <c r="QWR67" s="401"/>
      <c r="QWS67" s="401"/>
      <c r="QWT67" s="401"/>
      <c r="QWU67" s="401"/>
      <c r="QWV67" s="401"/>
      <c r="QWW67" s="401"/>
      <c r="QWX67" s="401"/>
      <c r="QWY67" s="401"/>
      <c r="QWZ67" s="401"/>
      <c r="QXA67" s="401"/>
      <c r="QXB67" s="401"/>
      <c r="QXC67" s="401"/>
      <c r="QXD67" s="401"/>
      <c r="QXE67" s="401"/>
      <c r="QXF67" s="401"/>
      <c r="QXG67" s="401"/>
      <c r="QXH67" s="401"/>
      <c r="QXI67" s="401"/>
      <c r="QXJ67" s="401"/>
      <c r="QXK67" s="401"/>
      <c r="QXL67" s="401"/>
      <c r="QXM67" s="401"/>
      <c r="QXN67" s="401"/>
      <c r="QXO67" s="401"/>
      <c r="QXP67" s="401"/>
      <c r="QXQ67" s="401"/>
      <c r="QXR67" s="401"/>
      <c r="QXS67" s="401"/>
      <c r="QXT67" s="401"/>
      <c r="QXU67" s="401"/>
      <c r="QXV67" s="401"/>
      <c r="QXW67" s="401"/>
      <c r="QXX67" s="401"/>
      <c r="QXY67" s="401"/>
      <c r="QXZ67" s="401"/>
      <c r="QYA67" s="401"/>
      <c r="QYB67" s="401"/>
      <c r="QYC67" s="401"/>
      <c r="QYD67" s="401"/>
      <c r="QYE67" s="401"/>
      <c r="QYF67" s="401"/>
      <c r="QYG67" s="401"/>
      <c r="QYH67" s="401"/>
      <c r="QYI67" s="401"/>
      <c r="QYJ67" s="401"/>
      <c r="QYK67" s="401"/>
      <c r="QYL67" s="401"/>
      <c r="QYM67" s="401"/>
      <c r="QYN67" s="401"/>
      <c r="QYO67" s="401"/>
      <c r="QYP67" s="401"/>
      <c r="QYQ67" s="401"/>
      <c r="QYR67" s="401"/>
      <c r="QYS67" s="401"/>
      <c r="QYT67" s="401"/>
      <c r="QYU67" s="401"/>
      <c r="QYV67" s="401"/>
      <c r="QYW67" s="401"/>
      <c r="QYX67" s="401"/>
      <c r="QYY67" s="401"/>
      <c r="QYZ67" s="401"/>
      <c r="QZA67" s="401"/>
      <c r="QZB67" s="401"/>
      <c r="QZC67" s="401"/>
      <c r="QZD67" s="401"/>
      <c r="QZE67" s="401"/>
      <c r="QZF67" s="401"/>
      <c r="QZG67" s="401"/>
      <c r="QZH67" s="401"/>
      <c r="QZI67" s="401"/>
      <c r="QZJ67" s="401"/>
      <c r="QZK67" s="401"/>
      <c r="QZL67" s="401"/>
      <c r="QZM67" s="401"/>
      <c r="QZN67" s="401"/>
      <c r="QZO67" s="401"/>
      <c r="QZP67" s="401"/>
      <c r="QZQ67" s="401"/>
      <c r="QZR67" s="401"/>
      <c r="QZS67" s="401"/>
      <c r="QZT67" s="401"/>
      <c r="QZU67" s="401"/>
      <c r="QZV67" s="401"/>
      <c r="QZW67" s="401"/>
      <c r="QZX67" s="401"/>
      <c r="QZY67" s="401"/>
      <c r="QZZ67" s="401"/>
      <c r="RAA67" s="401"/>
      <c r="RAB67" s="401"/>
      <c r="RAC67" s="401"/>
      <c r="RAD67" s="401"/>
      <c r="RAE67" s="401"/>
      <c r="RAF67" s="401"/>
      <c r="RAG67" s="401"/>
      <c r="RAH67" s="401"/>
      <c r="RAI67" s="401"/>
      <c r="RAJ67" s="401"/>
      <c r="RAK67" s="401"/>
      <c r="RAL67" s="401"/>
      <c r="RAM67" s="401"/>
      <c r="RAN67" s="401"/>
      <c r="RAO67" s="401"/>
      <c r="RAP67" s="401"/>
      <c r="RAQ67" s="401"/>
      <c r="RAR67" s="401"/>
      <c r="RAS67" s="401"/>
      <c r="RAT67" s="401"/>
      <c r="RAU67" s="401"/>
      <c r="RAV67" s="401"/>
      <c r="RAW67" s="401"/>
      <c r="RAX67" s="401"/>
      <c r="RAY67" s="401"/>
      <c r="RAZ67" s="401"/>
      <c r="RBA67" s="401"/>
      <c r="RBB67" s="401"/>
      <c r="RBC67" s="401"/>
      <c r="RBD67" s="401"/>
      <c r="RBE67" s="401"/>
      <c r="RBF67" s="401"/>
      <c r="RBG67" s="401"/>
      <c r="RBH67" s="401"/>
      <c r="RBI67" s="401"/>
      <c r="RBJ67" s="401"/>
      <c r="RBK67" s="401"/>
      <c r="RBL67" s="401"/>
      <c r="RBM67" s="401"/>
      <c r="RBN67" s="401"/>
      <c r="RBO67" s="401"/>
      <c r="RBP67" s="401"/>
      <c r="RBQ67" s="401"/>
      <c r="RBR67" s="401"/>
      <c r="RBS67" s="401"/>
      <c r="RBT67" s="401"/>
      <c r="RBU67" s="401"/>
      <c r="RBV67" s="401"/>
      <c r="RBW67" s="401"/>
      <c r="RBX67" s="401"/>
      <c r="RBY67" s="401"/>
      <c r="RBZ67" s="401"/>
      <c r="RCA67" s="401"/>
      <c r="RCB67" s="401"/>
      <c r="RCC67" s="401"/>
      <c r="RCD67" s="401"/>
      <c r="RCE67" s="401"/>
      <c r="RCF67" s="401"/>
      <c r="RCG67" s="401"/>
      <c r="RCH67" s="401"/>
      <c r="RCI67" s="401"/>
      <c r="RCJ67" s="401"/>
      <c r="RCK67" s="401"/>
      <c r="RCL67" s="401"/>
      <c r="RCM67" s="401"/>
      <c r="RCN67" s="401"/>
      <c r="RCO67" s="401"/>
      <c r="RCP67" s="401"/>
      <c r="RCQ67" s="401"/>
      <c r="RCR67" s="401"/>
      <c r="RCS67" s="401"/>
      <c r="RCT67" s="401"/>
      <c r="RCU67" s="401"/>
      <c r="RCV67" s="401"/>
      <c r="RCW67" s="401"/>
      <c r="RCX67" s="401"/>
      <c r="RCY67" s="401"/>
      <c r="RCZ67" s="401"/>
      <c r="RDA67" s="401"/>
      <c r="RDB67" s="401"/>
      <c r="RDC67" s="401"/>
      <c r="RDD67" s="401"/>
      <c r="RDE67" s="401"/>
      <c r="RDF67" s="401"/>
      <c r="RDG67" s="401"/>
      <c r="RDH67" s="401"/>
      <c r="RDI67" s="401"/>
      <c r="RDJ67" s="401"/>
      <c r="RDK67" s="401"/>
      <c r="RDL67" s="401"/>
      <c r="RDM67" s="401"/>
      <c r="RDN67" s="401"/>
      <c r="RDO67" s="401"/>
      <c r="RDP67" s="401"/>
      <c r="RDQ67" s="401"/>
      <c r="RDR67" s="401"/>
      <c r="RDS67" s="401"/>
      <c r="RDT67" s="401"/>
      <c r="RDU67" s="401"/>
      <c r="RDV67" s="401"/>
      <c r="RDW67" s="401"/>
      <c r="RDX67" s="401"/>
      <c r="RDY67" s="401"/>
      <c r="RDZ67" s="401"/>
      <c r="REA67" s="401"/>
      <c r="REB67" s="401"/>
      <c r="REC67" s="401"/>
      <c r="RED67" s="401"/>
      <c r="REE67" s="401"/>
      <c r="REF67" s="401"/>
      <c r="REG67" s="401"/>
      <c r="REH67" s="401"/>
      <c r="REI67" s="401"/>
      <c r="REJ67" s="401"/>
      <c r="REK67" s="401"/>
      <c r="REL67" s="401"/>
      <c r="REM67" s="401"/>
      <c r="REN67" s="401"/>
      <c r="REO67" s="401"/>
      <c r="REP67" s="401"/>
      <c r="REQ67" s="401"/>
      <c r="RER67" s="401"/>
      <c r="RES67" s="401"/>
      <c r="RET67" s="401"/>
      <c r="REU67" s="401"/>
      <c r="REV67" s="401"/>
      <c r="REW67" s="401"/>
      <c r="REX67" s="401"/>
      <c r="REY67" s="401"/>
      <c r="REZ67" s="401"/>
      <c r="RFA67" s="401"/>
      <c r="RFB67" s="401"/>
      <c r="RFC67" s="401"/>
      <c r="RFD67" s="401"/>
      <c r="RFE67" s="401"/>
      <c r="RFF67" s="401"/>
      <c r="RFG67" s="401"/>
      <c r="RFH67" s="401"/>
      <c r="RFI67" s="401"/>
      <c r="RFJ67" s="401"/>
      <c r="RFK67" s="401"/>
      <c r="RFL67" s="401"/>
      <c r="RFM67" s="401"/>
      <c r="RFN67" s="401"/>
      <c r="RFO67" s="401"/>
      <c r="RFP67" s="401"/>
      <c r="RFQ67" s="401"/>
      <c r="RFR67" s="401"/>
      <c r="RFS67" s="401"/>
      <c r="RFT67" s="401"/>
      <c r="RFU67" s="401"/>
      <c r="RFV67" s="401"/>
      <c r="RFW67" s="401"/>
      <c r="RFX67" s="401"/>
      <c r="RFY67" s="401"/>
      <c r="RFZ67" s="401"/>
      <c r="RGA67" s="401"/>
      <c r="RGB67" s="401"/>
      <c r="RGC67" s="401"/>
      <c r="RGD67" s="401"/>
      <c r="RGE67" s="401"/>
      <c r="RGF67" s="401"/>
      <c r="RGG67" s="401"/>
      <c r="RGH67" s="401"/>
      <c r="RGI67" s="401"/>
      <c r="RGJ67" s="401"/>
      <c r="RGK67" s="401"/>
      <c r="RGL67" s="401"/>
      <c r="RGM67" s="401"/>
      <c r="RGN67" s="401"/>
      <c r="RGO67" s="401"/>
      <c r="RGP67" s="401"/>
      <c r="RGQ67" s="401"/>
      <c r="RGR67" s="401"/>
      <c r="RGS67" s="401"/>
      <c r="RGT67" s="401"/>
      <c r="RGU67" s="401"/>
      <c r="RGV67" s="401"/>
      <c r="RGW67" s="401"/>
      <c r="RGX67" s="401"/>
      <c r="RGY67" s="401"/>
      <c r="RGZ67" s="401"/>
      <c r="RHA67" s="401"/>
      <c r="RHB67" s="401"/>
      <c r="RHC67" s="401"/>
      <c r="RHD67" s="401"/>
      <c r="RHE67" s="401"/>
      <c r="RHF67" s="401"/>
      <c r="RHG67" s="401"/>
      <c r="RHH67" s="401"/>
      <c r="RHI67" s="401"/>
      <c r="RHJ67" s="401"/>
      <c r="RHK67" s="401"/>
      <c r="RHL67" s="401"/>
      <c r="RHM67" s="401"/>
      <c r="RHN67" s="401"/>
      <c r="RHO67" s="401"/>
      <c r="RHP67" s="401"/>
      <c r="RHQ67" s="401"/>
      <c r="RHR67" s="401"/>
      <c r="RHS67" s="401"/>
      <c r="RHT67" s="401"/>
      <c r="RHU67" s="401"/>
      <c r="RHV67" s="401"/>
      <c r="RHW67" s="401"/>
      <c r="RHX67" s="401"/>
      <c r="RHY67" s="401"/>
      <c r="RHZ67" s="401"/>
      <c r="RIA67" s="401"/>
      <c r="RIB67" s="401"/>
      <c r="RIC67" s="401"/>
      <c r="RID67" s="401"/>
      <c r="RIE67" s="401"/>
      <c r="RIF67" s="401"/>
      <c r="RIG67" s="401"/>
      <c r="RIH67" s="401"/>
      <c r="RII67" s="401"/>
      <c r="RIJ67" s="401"/>
      <c r="RIK67" s="401"/>
      <c r="RIL67" s="401"/>
      <c r="RIM67" s="401"/>
      <c r="RIN67" s="401"/>
      <c r="RIO67" s="401"/>
      <c r="RIP67" s="401"/>
      <c r="RIQ67" s="401"/>
      <c r="RIR67" s="401"/>
      <c r="RIS67" s="401"/>
      <c r="RIT67" s="401"/>
      <c r="RIU67" s="401"/>
      <c r="RIV67" s="401"/>
      <c r="RIW67" s="401"/>
      <c r="RIX67" s="401"/>
      <c r="RIY67" s="401"/>
      <c r="RIZ67" s="401"/>
      <c r="RJA67" s="401"/>
      <c r="RJB67" s="401"/>
      <c r="RJC67" s="401"/>
      <c r="RJD67" s="401"/>
      <c r="RJE67" s="401"/>
      <c r="RJF67" s="401"/>
      <c r="RJG67" s="401"/>
      <c r="RJH67" s="401"/>
      <c r="RJI67" s="401"/>
      <c r="RJJ67" s="401"/>
      <c r="RJK67" s="401"/>
      <c r="RJL67" s="401"/>
      <c r="RJM67" s="401"/>
      <c r="RJN67" s="401"/>
      <c r="RJO67" s="401"/>
      <c r="RJP67" s="401"/>
      <c r="RJQ67" s="401"/>
      <c r="RJR67" s="401"/>
      <c r="RJS67" s="401"/>
      <c r="RJT67" s="401"/>
      <c r="RJU67" s="401"/>
      <c r="RJV67" s="401"/>
      <c r="RJW67" s="401"/>
      <c r="RJX67" s="401"/>
      <c r="RJY67" s="401"/>
      <c r="RJZ67" s="401"/>
      <c r="RKA67" s="401"/>
      <c r="RKB67" s="401"/>
      <c r="RKC67" s="401"/>
      <c r="RKD67" s="401"/>
      <c r="RKE67" s="401"/>
      <c r="RKF67" s="401"/>
      <c r="RKG67" s="401"/>
      <c r="RKH67" s="401"/>
      <c r="RKI67" s="401"/>
      <c r="RKJ67" s="401"/>
      <c r="RKK67" s="401"/>
      <c r="RKL67" s="401"/>
      <c r="RKM67" s="401"/>
      <c r="RKN67" s="401"/>
      <c r="RKO67" s="401"/>
      <c r="RKP67" s="401"/>
      <c r="RKQ67" s="401"/>
      <c r="RKR67" s="401"/>
      <c r="RKS67" s="401"/>
      <c r="RKT67" s="401"/>
      <c r="RKU67" s="401"/>
      <c r="RKV67" s="401"/>
      <c r="RKW67" s="401"/>
      <c r="RKX67" s="401"/>
      <c r="RKY67" s="401"/>
      <c r="RKZ67" s="401"/>
      <c r="RLA67" s="401"/>
      <c r="RLB67" s="401"/>
      <c r="RLC67" s="401"/>
      <c r="RLD67" s="401"/>
      <c r="RLE67" s="401"/>
      <c r="RLF67" s="401"/>
      <c r="RLG67" s="401"/>
      <c r="RLH67" s="401"/>
      <c r="RLI67" s="401"/>
      <c r="RLJ67" s="401"/>
      <c r="RLK67" s="401"/>
      <c r="RLL67" s="401"/>
      <c r="RLM67" s="401"/>
      <c r="RLN67" s="401"/>
      <c r="RLO67" s="401"/>
      <c r="RLP67" s="401"/>
      <c r="RLQ67" s="401"/>
      <c r="RLR67" s="401"/>
      <c r="RLS67" s="401"/>
      <c r="RLT67" s="401"/>
      <c r="RLU67" s="401"/>
      <c r="RLV67" s="401"/>
      <c r="RLW67" s="401"/>
      <c r="RLX67" s="401"/>
      <c r="RLY67" s="401"/>
      <c r="RLZ67" s="401"/>
      <c r="RMA67" s="401"/>
      <c r="RMB67" s="401"/>
      <c r="RMC67" s="401"/>
      <c r="RMD67" s="401"/>
      <c r="RME67" s="401"/>
      <c r="RMF67" s="401"/>
      <c r="RMG67" s="401"/>
      <c r="RMH67" s="401"/>
      <c r="RMI67" s="401"/>
      <c r="RMJ67" s="401"/>
      <c r="RMK67" s="401"/>
      <c r="RML67" s="401"/>
      <c r="RMM67" s="401"/>
      <c r="RMN67" s="401"/>
      <c r="RMO67" s="401"/>
      <c r="RMP67" s="401"/>
      <c r="RMQ67" s="401"/>
      <c r="RMR67" s="401"/>
      <c r="RMS67" s="401"/>
      <c r="RMT67" s="401"/>
      <c r="RMU67" s="401"/>
      <c r="RMV67" s="401"/>
      <c r="RMW67" s="401"/>
      <c r="RMX67" s="401"/>
      <c r="RMY67" s="401"/>
      <c r="RMZ67" s="401"/>
      <c r="RNA67" s="401"/>
      <c r="RNB67" s="401"/>
      <c r="RNC67" s="401"/>
      <c r="RND67" s="401"/>
      <c r="RNE67" s="401"/>
      <c r="RNF67" s="401"/>
      <c r="RNG67" s="401"/>
      <c r="RNH67" s="401"/>
      <c r="RNI67" s="401"/>
      <c r="RNJ67" s="401"/>
      <c r="RNK67" s="401"/>
      <c r="RNL67" s="401"/>
      <c r="RNM67" s="401"/>
      <c r="RNN67" s="401"/>
      <c r="RNO67" s="401"/>
      <c r="RNP67" s="401"/>
      <c r="RNQ67" s="401"/>
      <c r="RNR67" s="401"/>
      <c r="RNS67" s="401"/>
      <c r="RNT67" s="401"/>
      <c r="RNU67" s="401"/>
      <c r="RNV67" s="401"/>
      <c r="RNW67" s="401"/>
      <c r="RNX67" s="401"/>
      <c r="RNY67" s="401"/>
      <c r="RNZ67" s="401"/>
      <c r="ROA67" s="401"/>
      <c r="ROB67" s="401"/>
      <c r="ROC67" s="401"/>
      <c r="ROD67" s="401"/>
      <c r="ROE67" s="401"/>
      <c r="ROF67" s="401"/>
      <c r="ROG67" s="401"/>
      <c r="ROH67" s="401"/>
      <c r="ROI67" s="401"/>
      <c r="ROJ67" s="401"/>
      <c r="ROK67" s="401"/>
      <c r="ROL67" s="401"/>
      <c r="ROM67" s="401"/>
      <c r="RON67" s="401"/>
      <c r="ROO67" s="401"/>
      <c r="ROP67" s="401"/>
      <c r="ROQ67" s="401"/>
      <c r="ROR67" s="401"/>
      <c r="ROS67" s="401"/>
      <c r="ROT67" s="401"/>
      <c r="ROU67" s="401"/>
      <c r="ROV67" s="401"/>
      <c r="ROW67" s="401"/>
      <c r="ROX67" s="401"/>
      <c r="ROY67" s="401"/>
      <c r="ROZ67" s="401"/>
      <c r="RPA67" s="401"/>
      <c r="RPB67" s="401"/>
      <c r="RPC67" s="401"/>
      <c r="RPD67" s="401"/>
      <c r="RPE67" s="401"/>
      <c r="RPF67" s="401"/>
      <c r="RPG67" s="401"/>
      <c r="RPH67" s="401"/>
      <c r="RPI67" s="401"/>
      <c r="RPJ67" s="401"/>
      <c r="RPK67" s="401"/>
      <c r="RPL67" s="401"/>
      <c r="RPM67" s="401"/>
      <c r="RPN67" s="401"/>
      <c r="RPO67" s="401"/>
      <c r="RPP67" s="401"/>
      <c r="RPQ67" s="401"/>
      <c r="RPR67" s="401"/>
      <c r="RPS67" s="401"/>
      <c r="RPT67" s="401"/>
      <c r="RPU67" s="401"/>
      <c r="RPV67" s="401"/>
      <c r="RPW67" s="401"/>
      <c r="RPX67" s="401"/>
      <c r="RPY67" s="401"/>
      <c r="RPZ67" s="401"/>
      <c r="RQA67" s="401"/>
      <c r="RQB67" s="401"/>
      <c r="RQC67" s="401"/>
      <c r="RQD67" s="401"/>
      <c r="RQE67" s="401"/>
      <c r="RQF67" s="401"/>
      <c r="RQG67" s="401"/>
      <c r="RQH67" s="401"/>
      <c r="RQI67" s="401"/>
      <c r="RQJ67" s="401"/>
      <c r="RQK67" s="401"/>
      <c r="RQL67" s="401"/>
      <c r="RQM67" s="401"/>
      <c r="RQN67" s="401"/>
      <c r="RQO67" s="401"/>
      <c r="RQP67" s="401"/>
      <c r="RQQ67" s="401"/>
      <c r="RQR67" s="401"/>
      <c r="RQS67" s="401"/>
      <c r="RQT67" s="401"/>
      <c r="RQU67" s="401"/>
      <c r="RQV67" s="401"/>
      <c r="RQW67" s="401"/>
      <c r="RQX67" s="401"/>
      <c r="RQY67" s="401"/>
      <c r="RQZ67" s="401"/>
      <c r="RRA67" s="401"/>
      <c r="RRB67" s="401"/>
      <c r="RRC67" s="401"/>
      <c r="RRD67" s="401"/>
      <c r="RRE67" s="401"/>
      <c r="RRF67" s="401"/>
      <c r="RRG67" s="401"/>
      <c r="RRH67" s="401"/>
      <c r="RRI67" s="401"/>
      <c r="RRJ67" s="401"/>
      <c r="RRK67" s="401"/>
      <c r="RRL67" s="401"/>
      <c r="RRM67" s="401"/>
      <c r="RRN67" s="401"/>
      <c r="RRO67" s="401"/>
      <c r="RRP67" s="401"/>
      <c r="RRQ67" s="401"/>
      <c r="RRR67" s="401"/>
      <c r="RRS67" s="401"/>
      <c r="RRT67" s="401"/>
      <c r="RRU67" s="401"/>
      <c r="RRV67" s="401"/>
      <c r="RRW67" s="401"/>
      <c r="RRX67" s="401"/>
      <c r="RRY67" s="401"/>
      <c r="RRZ67" s="401"/>
      <c r="RSA67" s="401"/>
      <c r="RSB67" s="401"/>
      <c r="RSC67" s="401"/>
      <c r="RSD67" s="401"/>
      <c r="RSE67" s="401"/>
      <c r="RSF67" s="401"/>
      <c r="RSG67" s="401"/>
      <c r="RSH67" s="401"/>
      <c r="RSI67" s="401"/>
      <c r="RSJ67" s="401"/>
      <c r="RSK67" s="401"/>
      <c r="RSL67" s="401"/>
      <c r="RSM67" s="401"/>
      <c r="RSN67" s="401"/>
      <c r="RSO67" s="401"/>
      <c r="RSP67" s="401"/>
      <c r="RSQ67" s="401"/>
      <c r="RSR67" s="401"/>
      <c r="RSS67" s="401"/>
      <c r="RST67" s="401"/>
      <c r="RSU67" s="401"/>
      <c r="RSV67" s="401"/>
      <c r="RSW67" s="401"/>
      <c r="RSX67" s="401"/>
      <c r="RSY67" s="401"/>
      <c r="RSZ67" s="401"/>
      <c r="RTA67" s="401"/>
      <c r="RTB67" s="401"/>
      <c r="RTC67" s="401"/>
      <c r="RTD67" s="401"/>
      <c r="RTE67" s="401"/>
      <c r="RTF67" s="401"/>
      <c r="RTG67" s="401"/>
      <c r="RTH67" s="401"/>
      <c r="RTI67" s="401"/>
      <c r="RTJ67" s="401"/>
      <c r="RTK67" s="401"/>
      <c r="RTL67" s="401"/>
      <c r="RTM67" s="401"/>
      <c r="RTN67" s="401"/>
      <c r="RTO67" s="401"/>
      <c r="RTP67" s="401"/>
      <c r="RTQ67" s="401"/>
      <c r="RTR67" s="401"/>
      <c r="RTS67" s="401"/>
      <c r="RTT67" s="401"/>
      <c r="RTU67" s="401"/>
      <c r="RTV67" s="401"/>
      <c r="RTW67" s="401"/>
      <c r="RTX67" s="401"/>
      <c r="RTY67" s="401"/>
      <c r="RTZ67" s="401"/>
      <c r="RUA67" s="401"/>
      <c r="RUB67" s="401"/>
      <c r="RUC67" s="401"/>
      <c r="RUD67" s="401"/>
      <c r="RUE67" s="401"/>
      <c r="RUF67" s="401"/>
      <c r="RUG67" s="401"/>
      <c r="RUH67" s="401"/>
      <c r="RUI67" s="401"/>
      <c r="RUJ67" s="401"/>
      <c r="RUK67" s="401"/>
      <c r="RUL67" s="401"/>
      <c r="RUM67" s="401"/>
      <c r="RUN67" s="401"/>
      <c r="RUO67" s="401"/>
      <c r="RUP67" s="401"/>
      <c r="RUQ67" s="401"/>
      <c r="RUR67" s="401"/>
      <c r="RUS67" s="401"/>
      <c r="RUT67" s="401"/>
      <c r="RUU67" s="401"/>
      <c r="RUV67" s="401"/>
      <c r="RUW67" s="401"/>
      <c r="RUX67" s="401"/>
      <c r="RUY67" s="401"/>
      <c r="RUZ67" s="401"/>
      <c r="RVA67" s="401"/>
      <c r="RVB67" s="401"/>
      <c r="RVC67" s="401"/>
      <c r="RVD67" s="401"/>
      <c r="RVE67" s="401"/>
      <c r="RVF67" s="401"/>
      <c r="RVG67" s="401"/>
      <c r="RVH67" s="401"/>
      <c r="RVI67" s="401"/>
      <c r="RVJ67" s="401"/>
      <c r="RVK67" s="401"/>
      <c r="RVL67" s="401"/>
      <c r="RVM67" s="401"/>
      <c r="RVN67" s="401"/>
      <c r="RVO67" s="401"/>
      <c r="RVP67" s="401"/>
      <c r="RVQ67" s="401"/>
      <c r="RVR67" s="401"/>
      <c r="RVS67" s="401"/>
      <c r="RVT67" s="401"/>
      <c r="RVU67" s="401"/>
      <c r="RVV67" s="401"/>
      <c r="RVW67" s="401"/>
      <c r="RVX67" s="401"/>
      <c r="RVY67" s="401"/>
      <c r="RVZ67" s="401"/>
      <c r="RWA67" s="401"/>
      <c r="RWB67" s="401"/>
      <c r="RWC67" s="401"/>
      <c r="RWD67" s="401"/>
      <c r="RWE67" s="401"/>
      <c r="RWF67" s="401"/>
      <c r="RWG67" s="401"/>
      <c r="RWH67" s="401"/>
      <c r="RWI67" s="401"/>
      <c r="RWJ67" s="401"/>
      <c r="RWK67" s="401"/>
      <c r="RWL67" s="401"/>
      <c r="RWM67" s="401"/>
      <c r="RWN67" s="401"/>
      <c r="RWO67" s="401"/>
      <c r="RWP67" s="401"/>
      <c r="RWQ67" s="401"/>
      <c r="RWR67" s="401"/>
      <c r="RWS67" s="401"/>
      <c r="RWT67" s="401"/>
      <c r="RWU67" s="401"/>
      <c r="RWV67" s="401"/>
      <c r="RWW67" s="401"/>
      <c r="RWX67" s="401"/>
      <c r="RWY67" s="401"/>
      <c r="RWZ67" s="401"/>
      <c r="RXA67" s="401"/>
      <c r="RXB67" s="401"/>
      <c r="RXC67" s="401"/>
      <c r="RXD67" s="401"/>
      <c r="RXE67" s="401"/>
      <c r="RXF67" s="401"/>
      <c r="RXG67" s="401"/>
      <c r="RXH67" s="401"/>
      <c r="RXI67" s="401"/>
      <c r="RXJ67" s="401"/>
      <c r="RXK67" s="401"/>
      <c r="RXL67" s="401"/>
      <c r="RXM67" s="401"/>
      <c r="RXN67" s="401"/>
      <c r="RXO67" s="401"/>
      <c r="RXP67" s="401"/>
      <c r="RXQ67" s="401"/>
      <c r="RXR67" s="401"/>
      <c r="RXS67" s="401"/>
      <c r="RXT67" s="401"/>
      <c r="RXU67" s="401"/>
      <c r="RXV67" s="401"/>
      <c r="RXW67" s="401"/>
      <c r="RXX67" s="401"/>
      <c r="RXY67" s="401"/>
      <c r="RXZ67" s="401"/>
      <c r="RYA67" s="401"/>
      <c r="RYB67" s="401"/>
      <c r="RYC67" s="401"/>
      <c r="RYD67" s="401"/>
      <c r="RYE67" s="401"/>
      <c r="RYF67" s="401"/>
      <c r="RYG67" s="401"/>
      <c r="RYH67" s="401"/>
      <c r="RYI67" s="401"/>
      <c r="RYJ67" s="401"/>
      <c r="RYK67" s="401"/>
      <c r="RYL67" s="401"/>
      <c r="RYM67" s="401"/>
      <c r="RYN67" s="401"/>
      <c r="RYO67" s="401"/>
      <c r="RYP67" s="401"/>
      <c r="RYQ67" s="401"/>
      <c r="RYR67" s="401"/>
      <c r="RYS67" s="401"/>
      <c r="RYT67" s="401"/>
      <c r="RYU67" s="401"/>
      <c r="RYV67" s="401"/>
      <c r="RYW67" s="401"/>
      <c r="RYX67" s="401"/>
      <c r="RYY67" s="401"/>
      <c r="RYZ67" s="401"/>
      <c r="RZA67" s="401"/>
      <c r="RZB67" s="401"/>
      <c r="RZC67" s="401"/>
      <c r="RZD67" s="401"/>
      <c r="RZE67" s="401"/>
      <c r="RZF67" s="401"/>
      <c r="RZG67" s="401"/>
      <c r="RZH67" s="401"/>
      <c r="RZI67" s="401"/>
      <c r="RZJ67" s="401"/>
      <c r="RZK67" s="401"/>
      <c r="RZL67" s="401"/>
      <c r="RZM67" s="401"/>
      <c r="RZN67" s="401"/>
      <c r="RZO67" s="401"/>
      <c r="RZP67" s="401"/>
      <c r="RZQ67" s="401"/>
      <c r="RZR67" s="401"/>
      <c r="RZS67" s="401"/>
      <c r="RZT67" s="401"/>
      <c r="RZU67" s="401"/>
      <c r="RZV67" s="401"/>
      <c r="RZW67" s="401"/>
      <c r="RZX67" s="401"/>
      <c r="RZY67" s="401"/>
      <c r="RZZ67" s="401"/>
      <c r="SAA67" s="401"/>
      <c r="SAB67" s="401"/>
      <c r="SAC67" s="401"/>
      <c r="SAD67" s="401"/>
      <c r="SAE67" s="401"/>
      <c r="SAF67" s="401"/>
      <c r="SAG67" s="401"/>
      <c r="SAH67" s="401"/>
      <c r="SAI67" s="401"/>
      <c r="SAJ67" s="401"/>
      <c r="SAK67" s="401"/>
      <c r="SAL67" s="401"/>
      <c r="SAM67" s="401"/>
      <c r="SAN67" s="401"/>
      <c r="SAO67" s="401"/>
      <c r="SAP67" s="401"/>
      <c r="SAQ67" s="401"/>
      <c r="SAR67" s="401"/>
      <c r="SAS67" s="401"/>
      <c r="SAT67" s="401"/>
      <c r="SAU67" s="401"/>
      <c r="SAV67" s="401"/>
      <c r="SAW67" s="401"/>
      <c r="SAX67" s="401"/>
      <c r="SAY67" s="401"/>
      <c r="SAZ67" s="401"/>
      <c r="SBA67" s="401"/>
      <c r="SBB67" s="401"/>
      <c r="SBC67" s="401"/>
      <c r="SBD67" s="401"/>
      <c r="SBE67" s="401"/>
      <c r="SBF67" s="401"/>
      <c r="SBG67" s="401"/>
      <c r="SBH67" s="401"/>
      <c r="SBI67" s="401"/>
      <c r="SBJ67" s="401"/>
      <c r="SBK67" s="401"/>
      <c r="SBL67" s="401"/>
      <c r="SBM67" s="401"/>
      <c r="SBN67" s="401"/>
      <c r="SBO67" s="401"/>
      <c r="SBP67" s="401"/>
      <c r="SBQ67" s="401"/>
      <c r="SBR67" s="401"/>
      <c r="SBS67" s="401"/>
      <c r="SBT67" s="401"/>
      <c r="SBU67" s="401"/>
      <c r="SBV67" s="401"/>
      <c r="SBW67" s="401"/>
      <c r="SBX67" s="401"/>
      <c r="SBY67" s="401"/>
      <c r="SBZ67" s="401"/>
      <c r="SCA67" s="401"/>
      <c r="SCB67" s="401"/>
      <c r="SCC67" s="401"/>
      <c r="SCD67" s="401"/>
      <c r="SCE67" s="401"/>
      <c r="SCF67" s="401"/>
      <c r="SCG67" s="401"/>
      <c r="SCH67" s="401"/>
      <c r="SCI67" s="401"/>
      <c r="SCJ67" s="401"/>
      <c r="SCK67" s="401"/>
      <c r="SCL67" s="401"/>
      <c r="SCM67" s="401"/>
      <c r="SCN67" s="401"/>
      <c r="SCO67" s="401"/>
      <c r="SCP67" s="401"/>
      <c r="SCQ67" s="401"/>
      <c r="SCR67" s="401"/>
      <c r="SCS67" s="401"/>
      <c r="SCT67" s="401"/>
      <c r="SCU67" s="401"/>
      <c r="SCV67" s="401"/>
      <c r="SCW67" s="401"/>
      <c r="SCX67" s="401"/>
      <c r="SCY67" s="401"/>
      <c r="SCZ67" s="401"/>
      <c r="SDA67" s="401"/>
      <c r="SDB67" s="401"/>
      <c r="SDC67" s="401"/>
      <c r="SDD67" s="401"/>
      <c r="SDE67" s="401"/>
      <c r="SDF67" s="401"/>
      <c r="SDG67" s="401"/>
      <c r="SDH67" s="401"/>
      <c r="SDI67" s="401"/>
      <c r="SDJ67" s="401"/>
      <c r="SDK67" s="401"/>
      <c r="SDL67" s="401"/>
      <c r="SDM67" s="401"/>
      <c r="SDN67" s="401"/>
      <c r="SDO67" s="401"/>
      <c r="SDP67" s="401"/>
      <c r="SDQ67" s="401"/>
      <c r="SDR67" s="401"/>
      <c r="SDS67" s="401"/>
      <c r="SDT67" s="401"/>
      <c r="SDU67" s="401"/>
      <c r="SDV67" s="401"/>
      <c r="SDW67" s="401"/>
      <c r="SDX67" s="401"/>
      <c r="SDY67" s="401"/>
      <c r="SDZ67" s="401"/>
      <c r="SEA67" s="401"/>
      <c r="SEB67" s="401"/>
      <c r="SEC67" s="401"/>
      <c r="SED67" s="401"/>
      <c r="SEE67" s="401"/>
      <c r="SEF67" s="401"/>
      <c r="SEG67" s="401"/>
      <c r="SEH67" s="401"/>
      <c r="SEI67" s="401"/>
      <c r="SEJ67" s="401"/>
      <c r="SEK67" s="401"/>
      <c r="SEL67" s="401"/>
      <c r="SEM67" s="401"/>
      <c r="SEN67" s="401"/>
      <c r="SEO67" s="401"/>
      <c r="SEP67" s="401"/>
      <c r="SEQ67" s="401"/>
      <c r="SER67" s="401"/>
      <c r="SES67" s="401"/>
      <c r="SET67" s="401"/>
      <c r="SEU67" s="401"/>
      <c r="SEV67" s="401"/>
      <c r="SEW67" s="401"/>
      <c r="SEX67" s="401"/>
      <c r="SEY67" s="401"/>
      <c r="SEZ67" s="401"/>
      <c r="SFA67" s="401"/>
      <c r="SFB67" s="401"/>
      <c r="SFC67" s="401"/>
      <c r="SFD67" s="401"/>
      <c r="SFE67" s="401"/>
      <c r="SFF67" s="401"/>
      <c r="SFG67" s="401"/>
      <c r="SFH67" s="401"/>
      <c r="SFI67" s="401"/>
      <c r="SFJ67" s="401"/>
      <c r="SFK67" s="401"/>
      <c r="SFL67" s="401"/>
      <c r="SFM67" s="401"/>
      <c r="SFN67" s="401"/>
      <c r="SFO67" s="401"/>
      <c r="SFP67" s="401"/>
      <c r="SFQ67" s="401"/>
      <c r="SFR67" s="401"/>
      <c r="SFS67" s="401"/>
      <c r="SFT67" s="401"/>
      <c r="SFU67" s="401"/>
      <c r="SFV67" s="401"/>
      <c r="SFW67" s="401"/>
      <c r="SFX67" s="401"/>
      <c r="SFY67" s="401"/>
      <c r="SFZ67" s="401"/>
      <c r="SGA67" s="401"/>
      <c r="SGB67" s="401"/>
      <c r="SGC67" s="401"/>
      <c r="SGD67" s="401"/>
      <c r="SGE67" s="401"/>
      <c r="SGF67" s="401"/>
      <c r="SGG67" s="401"/>
      <c r="SGH67" s="401"/>
      <c r="SGI67" s="401"/>
      <c r="SGJ67" s="401"/>
      <c r="SGK67" s="401"/>
      <c r="SGL67" s="401"/>
      <c r="SGM67" s="401"/>
      <c r="SGN67" s="401"/>
      <c r="SGO67" s="401"/>
      <c r="SGP67" s="401"/>
      <c r="SGQ67" s="401"/>
      <c r="SGR67" s="401"/>
      <c r="SGS67" s="401"/>
      <c r="SGT67" s="401"/>
      <c r="SGU67" s="401"/>
      <c r="SGV67" s="401"/>
      <c r="SGW67" s="401"/>
      <c r="SGX67" s="401"/>
      <c r="SGY67" s="401"/>
      <c r="SGZ67" s="401"/>
      <c r="SHA67" s="401"/>
      <c r="SHB67" s="401"/>
      <c r="SHC67" s="401"/>
      <c r="SHD67" s="401"/>
      <c r="SHE67" s="401"/>
      <c r="SHF67" s="401"/>
      <c r="SHG67" s="401"/>
      <c r="SHH67" s="401"/>
      <c r="SHI67" s="401"/>
      <c r="SHJ67" s="401"/>
      <c r="SHK67" s="401"/>
      <c r="SHL67" s="401"/>
      <c r="SHM67" s="401"/>
      <c r="SHN67" s="401"/>
      <c r="SHO67" s="401"/>
      <c r="SHP67" s="401"/>
      <c r="SHQ67" s="401"/>
      <c r="SHR67" s="401"/>
      <c r="SHS67" s="401"/>
      <c r="SHT67" s="401"/>
      <c r="SHU67" s="401"/>
      <c r="SHV67" s="401"/>
      <c r="SHW67" s="401"/>
      <c r="SHX67" s="401"/>
      <c r="SHY67" s="401"/>
      <c r="SHZ67" s="401"/>
      <c r="SIA67" s="401"/>
      <c r="SIB67" s="401"/>
      <c r="SIC67" s="401"/>
      <c r="SID67" s="401"/>
      <c r="SIE67" s="401"/>
      <c r="SIF67" s="401"/>
      <c r="SIG67" s="401"/>
      <c r="SIH67" s="401"/>
      <c r="SII67" s="401"/>
      <c r="SIJ67" s="401"/>
      <c r="SIK67" s="401"/>
      <c r="SIL67" s="401"/>
      <c r="SIM67" s="401"/>
      <c r="SIN67" s="401"/>
      <c r="SIO67" s="401"/>
      <c r="SIP67" s="401"/>
      <c r="SIQ67" s="401"/>
      <c r="SIR67" s="401"/>
      <c r="SIS67" s="401"/>
      <c r="SIT67" s="401"/>
      <c r="SIU67" s="401"/>
      <c r="SIV67" s="401"/>
      <c r="SIW67" s="401"/>
      <c r="SIX67" s="401"/>
      <c r="SIY67" s="401"/>
      <c r="SIZ67" s="401"/>
      <c r="SJA67" s="401"/>
      <c r="SJB67" s="401"/>
      <c r="SJC67" s="401"/>
      <c r="SJD67" s="401"/>
      <c r="SJE67" s="401"/>
      <c r="SJF67" s="401"/>
      <c r="SJG67" s="401"/>
      <c r="SJH67" s="401"/>
      <c r="SJI67" s="401"/>
      <c r="SJJ67" s="401"/>
      <c r="SJK67" s="401"/>
      <c r="SJL67" s="401"/>
      <c r="SJM67" s="401"/>
      <c r="SJN67" s="401"/>
      <c r="SJO67" s="401"/>
      <c r="SJP67" s="401"/>
      <c r="SJQ67" s="401"/>
      <c r="SJR67" s="401"/>
      <c r="SJS67" s="401"/>
      <c r="SJT67" s="401"/>
      <c r="SJU67" s="401"/>
      <c r="SJV67" s="401"/>
      <c r="SJW67" s="401"/>
      <c r="SJX67" s="401"/>
      <c r="SJY67" s="401"/>
      <c r="SJZ67" s="401"/>
      <c r="SKA67" s="401"/>
      <c r="SKB67" s="401"/>
      <c r="SKC67" s="401"/>
      <c r="SKD67" s="401"/>
      <c r="SKE67" s="401"/>
      <c r="SKF67" s="401"/>
      <c r="SKG67" s="401"/>
      <c r="SKH67" s="401"/>
      <c r="SKI67" s="401"/>
      <c r="SKJ67" s="401"/>
      <c r="SKK67" s="401"/>
      <c r="SKL67" s="401"/>
      <c r="SKM67" s="401"/>
      <c r="SKN67" s="401"/>
      <c r="SKO67" s="401"/>
      <c r="SKP67" s="401"/>
      <c r="SKQ67" s="401"/>
      <c r="SKR67" s="401"/>
      <c r="SKS67" s="401"/>
      <c r="SKT67" s="401"/>
      <c r="SKU67" s="401"/>
      <c r="SKV67" s="401"/>
      <c r="SKW67" s="401"/>
      <c r="SKX67" s="401"/>
      <c r="SKY67" s="401"/>
      <c r="SKZ67" s="401"/>
      <c r="SLA67" s="401"/>
      <c r="SLB67" s="401"/>
      <c r="SLC67" s="401"/>
      <c r="SLD67" s="401"/>
      <c r="SLE67" s="401"/>
      <c r="SLF67" s="401"/>
      <c r="SLG67" s="401"/>
      <c r="SLH67" s="401"/>
      <c r="SLI67" s="401"/>
      <c r="SLJ67" s="401"/>
      <c r="SLK67" s="401"/>
      <c r="SLL67" s="401"/>
      <c r="SLM67" s="401"/>
      <c r="SLN67" s="401"/>
      <c r="SLO67" s="401"/>
      <c r="SLP67" s="401"/>
      <c r="SLQ67" s="401"/>
      <c r="SLR67" s="401"/>
      <c r="SLS67" s="401"/>
      <c r="SLT67" s="401"/>
      <c r="SLU67" s="401"/>
      <c r="SLV67" s="401"/>
      <c r="SLW67" s="401"/>
      <c r="SLX67" s="401"/>
      <c r="SLY67" s="401"/>
      <c r="SLZ67" s="401"/>
      <c r="SMA67" s="401"/>
      <c r="SMB67" s="401"/>
      <c r="SMC67" s="401"/>
      <c r="SMD67" s="401"/>
      <c r="SME67" s="401"/>
      <c r="SMF67" s="401"/>
      <c r="SMG67" s="401"/>
      <c r="SMH67" s="401"/>
      <c r="SMI67" s="401"/>
      <c r="SMJ67" s="401"/>
      <c r="SMK67" s="401"/>
      <c r="SML67" s="401"/>
      <c r="SMM67" s="401"/>
      <c r="SMN67" s="401"/>
      <c r="SMO67" s="401"/>
      <c r="SMP67" s="401"/>
      <c r="SMQ67" s="401"/>
      <c r="SMR67" s="401"/>
      <c r="SMS67" s="401"/>
      <c r="SMT67" s="401"/>
      <c r="SMU67" s="401"/>
      <c r="SMV67" s="401"/>
      <c r="SMW67" s="401"/>
      <c r="SMX67" s="401"/>
      <c r="SMY67" s="401"/>
      <c r="SMZ67" s="401"/>
      <c r="SNA67" s="401"/>
      <c r="SNB67" s="401"/>
      <c r="SNC67" s="401"/>
      <c r="SND67" s="401"/>
      <c r="SNE67" s="401"/>
      <c r="SNF67" s="401"/>
      <c r="SNG67" s="401"/>
      <c r="SNH67" s="401"/>
      <c r="SNI67" s="401"/>
      <c r="SNJ67" s="401"/>
      <c r="SNK67" s="401"/>
      <c r="SNL67" s="401"/>
      <c r="SNM67" s="401"/>
      <c r="SNN67" s="401"/>
      <c r="SNO67" s="401"/>
      <c r="SNP67" s="401"/>
      <c r="SNQ67" s="401"/>
      <c r="SNR67" s="401"/>
      <c r="SNS67" s="401"/>
      <c r="SNT67" s="401"/>
      <c r="SNU67" s="401"/>
      <c r="SNV67" s="401"/>
      <c r="SNW67" s="401"/>
      <c r="SNX67" s="401"/>
      <c r="SNY67" s="401"/>
      <c r="SNZ67" s="401"/>
      <c r="SOA67" s="401"/>
      <c r="SOB67" s="401"/>
      <c r="SOC67" s="401"/>
      <c r="SOD67" s="401"/>
      <c r="SOE67" s="401"/>
      <c r="SOF67" s="401"/>
      <c r="SOG67" s="401"/>
      <c r="SOH67" s="401"/>
      <c r="SOI67" s="401"/>
      <c r="SOJ67" s="401"/>
      <c r="SOK67" s="401"/>
      <c r="SOL67" s="401"/>
      <c r="SOM67" s="401"/>
      <c r="SON67" s="401"/>
      <c r="SOO67" s="401"/>
      <c r="SOP67" s="401"/>
      <c r="SOQ67" s="401"/>
      <c r="SOR67" s="401"/>
      <c r="SOS67" s="401"/>
      <c r="SOT67" s="401"/>
      <c r="SOU67" s="401"/>
      <c r="SOV67" s="401"/>
      <c r="SOW67" s="401"/>
      <c r="SOX67" s="401"/>
      <c r="SOY67" s="401"/>
      <c r="SOZ67" s="401"/>
      <c r="SPA67" s="401"/>
      <c r="SPB67" s="401"/>
      <c r="SPC67" s="401"/>
      <c r="SPD67" s="401"/>
      <c r="SPE67" s="401"/>
      <c r="SPF67" s="401"/>
      <c r="SPG67" s="401"/>
      <c r="SPH67" s="401"/>
      <c r="SPI67" s="401"/>
      <c r="SPJ67" s="401"/>
      <c r="SPK67" s="401"/>
      <c r="SPL67" s="401"/>
      <c r="SPM67" s="401"/>
      <c r="SPN67" s="401"/>
      <c r="SPO67" s="401"/>
      <c r="SPP67" s="401"/>
      <c r="SPQ67" s="401"/>
      <c r="SPR67" s="401"/>
      <c r="SPS67" s="401"/>
      <c r="SPT67" s="401"/>
      <c r="SPU67" s="401"/>
      <c r="SPV67" s="401"/>
      <c r="SPW67" s="401"/>
      <c r="SPX67" s="401"/>
      <c r="SPY67" s="401"/>
      <c r="SPZ67" s="401"/>
      <c r="SQA67" s="401"/>
      <c r="SQB67" s="401"/>
      <c r="SQC67" s="401"/>
      <c r="SQD67" s="401"/>
      <c r="SQE67" s="401"/>
      <c r="SQF67" s="401"/>
      <c r="SQG67" s="401"/>
      <c r="SQH67" s="401"/>
      <c r="SQI67" s="401"/>
      <c r="SQJ67" s="401"/>
      <c r="SQK67" s="401"/>
      <c r="SQL67" s="401"/>
      <c r="SQM67" s="401"/>
      <c r="SQN67" s="401"/>
      <c r="SQO67" s="401"/>
      <c r="SQP67" s="401"/>
      <c r="SQQ67" s="401"/>
      <c r="SQR67" s="401"/>
      <c r="SQS67" s="401"/>
      <c r="SQT67" s="401"/>
      <c r="SQU67" s="401"/>
      <c r="SQV67" s="401"/>
      <c r="SQW67" s="401"/>
      <c r="SQX67" s="401"/>
      <c r="SQY67" s="401"/>
      <c r="SQZ67" s="401"/>
      <c r="SRA67" s="401"/>
      <c r="SRB67" s="401"/>
      <c r="SRC67" s="401"/>
      <c r="SRD67" s="401"/>
      <c r="SRE67" s="401"/>
      <c r="SRF67" s="401"/>
      <c r="SRG67" s="401"/>
      <c r="SRH67" s="401"/>
      <c r="SRI67" s="401"/>
      <c r="SRJ67" s="401"/>
      <c r="SRK67" s="401"/>
      <c r="SRL67" s="401"/>
      <c r="SRM67" s="401"/>
      <c r="SRN67" s="401"/>
      <c r="SRO67" s="401"/>
      <c r="SRP67" s="401"/>
      <c r="SRQ67" s="401"/>
      <c r="SRR67" s="401"/>
      <c r="SRS67" s="401"/>
      <c r="SRT67" s="401"/>
      <c r="SRU67" s="401"/>
      <c r="SRV67" s="401"/>
      <c r="SRW67" s="401"/>
      <c r="SRX67" s="401"/>
      <c r="SRY67" s="401"/>
      <c r="SRZ67" s="401"/>
      <c r="SSA67" s="401"/>
      <c r="SSB67" s="401"/>
      <c r="SSC67" s="401"/>
      <c r="SSD67" s="401"/>
      <c r="SSE67" s="401"/>
      <c r="SSF67" s="401"/>
      <c r="SSG67" s="401"/>
      <c r="SSH67" s="401"/>
      <c r="SSI67" s="401"/>
      <c r="SSJ67" s="401"/>
      <c r="SSK67" s="401"/>
      <c r="SSL67" s="401"/>
      <c r="SSM67" s="401"/>
      <c r="SSN67" s="401"/>
      <c r="SSO67" s="401"/>
      <c r="SSP67" s="401"/>
      <c r="SSQ67" s="401"/>
      <c r="SSR67" s="401"/>
      <c r="SSS67" s="401"/>
      <c r="SST67" s="401"/>
      <c r="SSU67" s="401"/>
      <c r="SSV67" s="401"/>
      <c r="SSW67" s="401"/>
      <c r="SSX67" s="401"/>
      <c r="SSY67" s="401"/>
      <c r="SSZ67" s="401"/>
      <c r="STA67" s="401"/>
      <c r="STB67" s="401"/>
      <c r="STC67" s="401"/>
      <c r="STD67" s="401"/>
      <c r="STE67" s="401"/>
      <c r="STF67" s="401"/>
      <c r="STG67" s="401"/>
      <c r="STH67" s="401"/>
      <c r="STI67" s="401"/>
      <c r="STJ67" s="401"/>
      <c r="STK67" s="401"/>
      <c r="STL67" s="401"/>
      <c r="STM67" s="401"/>
      <c r="STN67" s="401"/>
      <c r="STO67" s="401"/>
      <c r="STP67" s="401"/>
      <c r="STQ67" s="401"/>
      <c r="STR67" s="401"/>
      <c r="STS67" s="401"/>
      <c r="STT67" s="401"/>
      <c r="STU67" s="401"/>
      <c r="STV67" s="401"/>
      <c r="STW67" s="401"/>
      <c r="STX67" s="401"/>
      <c r="STY67" s="401"/>
      <c r="STZ67" s="401"/>
      <c r="SUA67" s="401"/>
      <c r="SUB67" s="401"/>
      <c r="SUC67" s="401"/>
      <c r="SUD67" s="401"/>
      <c r="SUE67" s="401"/>
      <c r="SUF67" s="401"/>
      <c r="SUG67" s="401"/>
      <c r="SUH67" s="401"/>
      <c r="SUI67" s="401"/>
      <c r="SUJ67" s="401"/>
      <c r="SUK67" s="401"/>
      <c r="SUL67" s="401"/>
      <c r="SUM67" s="401"/>
      <c r="SUN67" s="401"/>
      <c r="SUO67" s="401"/>
      <c r="SUP67" s="401"/>
      <c r="SUQ67" s="401"/>
      <c r="SUR67" s="401"/>
      <c r="SUS67" s="401"/>
      <c r="SUT67" s="401"/>
      <c r="SUU67" s="401"/>
      <c r="SUV67" s="401"/>
      <c r="SUW67" s="401"/>
      <c r="SUX67" s="401"/>
      <c r="SUY67" s="401"/>
      <c r="SUZ67" s="401"/>
      <c r="SVA67" s="401"/>
      <c r="SVB67" s="401"/>
      <c r="SVC67" s="401"/>
      <c r="SVD67" s="401"/>
      <c r="SVE67" s="401"/>
      <c r="SVF67" s="401"/>
      <c r="SVG67" s="401"/>
      <c r="SVH67" s="401"/>
      <c r="SVI67" s="401"/>
      <c r="SVJ67" s="401"/>
      <c r="SVK67" s="401"/>
      <c r="SVL67" s="401"/>
      <c r="SVM67" s="401"/>
      <c r="SVN67" s="401"/>
      <c r="SVO67" s="401"/>
      <c r="SVP67" s="401"/>
      <c r="SVQ67" s="401"/>
      <c r="SVR67" s="401"/>
      <c r="SVS67" s="401"/>
      <c r="SVT67" s="401"/>
      <c r="SVU67" s="401"/>
      <c r="SVV67" s="401"/>
      <c r="SVW67" s="401"/>
      <c r="SVX67" s="401"/>
      <c r="SVY67" s="401"/>
      <c r="SVZ67" s="401"/>
      <c r="SWA67" s="401"/>
      <c r="SWB67" s="401"/>
      <c r="SWC67" s="401"/>
      <c r="SWD67" s="401"/>
      <c r="SWE67" s="401"/>
      <c r="SWF67" s="401"/>
      <c r="SWG67" s="401"/>
      <c r="SWH67" s="401"/>
      <c r="SWI67" s="401"/>
      <c r="SWJ67" s="401"/>
      <c r="SWK67" s="401"/>
      <c r="SWL67" s="401"/>
      <c r="SWM67" s="401"/>
      <c r="SWN67" s="401"/>
      <c r="SWO67" s="401"/>
      <c r="SWP67" s="401"/>
      <c r="SWQ67" s="401"/>
      <c r="SWR67" s="401"/>
      <c r="SWS67" s="401"/>
      <c r="SWT67" s="401"/>
      <c r="SWU67" s="401"/>
      <c r="SWV67" s="401"/>
      <c r="SWW67" s="401"/>
      <c r="SWX67" s="401"/>
      <c r="SWY67" s="401"/>
      <c r="SWZ67" s="401"/>
      <c r="SXA67" s="401"/>
      <c r="SXB67" s="401"/>
      <c r="SXC67" s="401"/>
      <c r="SXD67" s="401"/>
      <c r="SXE67" s="401"/>
      <c r="SXF67" s="401"/>
      <c r="SXG67" s="401"/>
      <c r="SXH67" s="401"/>
      <c r="SXI67" s="401"/>
      <c r="SXJ67" s="401"/>
      <c r="SXK67" s="401"/>
      <c r="SXL67" s="401"/>
      <c r="SXM67" s="401"/>
      <c r="SXN67" s="401"/>
      <c r="SXO67" s="401"/>
      <c r="SXP67" s="401"/>
      <c r="SXQ67" s="401"/>
      <c r="SXR67" s="401"/>
      <c r="SXS67" s="401"/>
      <c r="SXT67" s="401"/>
      <c r="SXU67" s="401"/>
      <c r="SXV67" s="401"/>
      <c r="SXW67" s="401"/>
      <c r="SXX67" s="401"/>
      <c r="SXY67" s="401"/>
      <c r="SXZ67" s="401"/>
      <c r="SYA67" s="401"/>
      <c r="SYB67" s="401"/>
      <c r="SYC67" s="401"/>
      <c r="SYD67" s="401"/>
      <c r="SYE67" s="401"/>
      <c r="SYF67" s="401"/>
      <c r="SYG67" s="401"/>
      <c r="SYH67" s="401"/>
      <c r="SYI67" s="401"/>
      <c r="SYJ67" s="401"/>
      <c r="SYK67" s="401"/>
      <c r="SYL67" s="401"/>
      <c r="SYM67" s="401"/>
      <c r="SYN67" s="401"/>
      <c r="SYO67" s="401"/>
      <c r="SYP67" s="401"/>
      <c r="SYQ67" s="401"/>
      <c r="SYR67" s="401"/>
      <c r="SYS67" s="401"/>
      <c r="SYT67" s="401"/>
      <c r="SYU67" s="401"/>
      <c r="SYV67" s="401"/>
      <c r="SYW67" s="401"/>
      <c r="SYX67" s="401"/>
      <c r="SYY67" s="401"/>
      <c r="SYZ67" s="401"/>
      <c r="SZA67" s="401"/>
      <c r="SZB67" s="401"/>
      <c r="SZC67" s="401"/>
      <c r="SZD67" s="401"/>
      <c r="SZE67" s="401"/>
      <c r="SZF67" s="401"/>
      <c r="SZG67" s="401"/>
      <c r="SZH67" s="401"/>
      <c r="SZI67" s="401"/>
      <c r="SZJ67" s="401"/>
      <c r="SZK67" s="401"/>
      <c r="SZL67" s="401"/>
      <c r="SZM67" s="401"/>
      <c r="SZN67" s="401"/>
      <c r="SZO67" s="401"/>
      <c r="SZP67" s="401"/>
      <c r="SZQ67" s="401"/>
      <c r="SZR67" s="401"/>
      <c r="SZS67" s="401"/>
      <c r="SZT67" s="401"/>
      <c r="SZU67" s="401"/>
      <c r="SZV67" s="401"/>
      <c r="SZW67" s="401"/>
      <c r="SZX67" s="401"/>
      <c r="SZY67" s="401"/>
      <c r="SZZ67" s="401"/>
      <c r="TAA67" s="401"/>
      <c r="TAB67" s="401"/>
      <c r="TAC67" s="401"/>
      <c r="TAD67" s="401"/>
      <c r="TAE67" s="401"/>
      <c r="TAF67" s="401"/>
      <c r="TAG67" s="401"/>
      <c r="TAH67" s="401"/>
      <c r="TAI67" s="401"/>
      <c r="TAJ67" s="401"/>
      <c r="TAK67" s="401"/>
      <c r="TAL67" s="401"/>
      <c r="TAM67" s="401"/>
      <c r="TAN67" s="401"/>
      <c r="TAO67" s="401"/>
      <c r="TAP67" s="401"/>
      <c r="TAQ67" s="401"/>
      <c r="TAR67" s="401"/>
      <c r="TAS67" s="401"/>
      <c r="TAT67" s="401"/>
      <c r="TAU67" s="401"/>
      <c r="TAV67" s="401"/>
      <c r="TAW67" s="401"/>
      <c r="TAX67" s="401"/>
      <c r="TAY67" s="401"/>
      <c r="TAZ67" s="401"/>
      <c r="TBA67" s="401"/>
      <c r="TBB67" s="401"/>
      <c r="TBC67" s="401"/>
      <c r="TBD67" s="401"/>
      <c r="TBE67" s="401"/>
      <c r="TBF67" s="401"/>
      <c r="TBG67" s="401"/>
      <c r="TBH67" s="401"/>
      <c r="TBI67" s="401"/>
      <c r="TBJ67" s="401"/>
      <c r="TBK67" s="401"/>
      <c r="TBL67" s="401"/>
      <c r="TBM67" s="401"/>
      <c r="TBN67" s="401"/>
      <c r="TBO67" s="401"/>
      <c r="TBP67" s="401"/>
      <c r="TBQ67" s="401"/>
      <c r="TBR67" s="401"/>
      <c r="TBS67" s="401"/>
      <c r="TBT67" s="401"/>
      <c r="TBU67" s="401"/>
      <c r="TBV67" s="401"/>
      <c r="TBW67" s="401"/>
      <c r="TBX67" s="401"/>
      <c r="TBY67" s="401"/>
      <c r="TBZ67" s="401"/>
      <c r="TCA67" s="401"/>
      <c r="TCB67" s="401"/>
      <c r="TCC67" s="401"/>
      <c r="TCD67" s="401"/>
      <c r="TCE67" s="401"/>
      <c r="TCF67" s="401"/>
      <c r="TCG67" s="401"/>
      <c r="TCH67" s="401"/>
      <c r="TCI67" s="401"/>
      <c r="TCJ67" s="401"/>
      <c r="TCK67" s="401"/>
      <c r="TCL67" s="401"/>
      <c r="TCM67" s="401"/>
      <c r="TCN67" s="401"/>
      <c r="TCO67" s="401"/>
      <c r="TCP67" s="401"/>
      <c r="TCQ67" s="401"/>
      <c r="TCR67" s="401"/>
      <c r="TCS67" s="401"/>
      <c r="TCT67" s="401"/>
      <c r="TCU67" s="401"/>
      <c r="TCV67" s="401"/>
      <c r="TCW67" s="401"/>
      <c r="TCX67" s="401"/>
      <c r="TCY67" s="401"/>
      <c r="TCZ67" s="401"/>
      <c r="TDA67" s="401"/>
      <c r="TDB67" s="401"/>
      <c r="TDC67" s="401"/>
      <c r="TDD67" s="401"/>
      <c r="TDE67" s="401"/>
      <c r="TDF67" s="401"/>
      <c r="TDG67" s="401"/>
      <c r="TDH67" s="401"/>
      <c r="TDI67" s="401"/>
      <c r="TDJ67" s="401"/>
      <c r="TDK67" s="401"/>
      <c r="TDL67" s="401"/>
      <c r="TDM67" s="401"/>
      <c r="TDN67" s="401"/>
      <c r="TDO67" s="401"/>
      <c r="TDP67" s="401"/>
      <c r="TDQ67" s="401"/>
      <c r="TDR67" s="401"/>
      <c r="TDS67" s="401"/>
      <c r="TDT67" s="401"/>
      <c r="TDU67" s="401"/>
      <c r="TDV67" s="401"/>
      <c r="TDW67" s="401"/>
      <c r="TDX67" s="401"/>
      <c r="TDY67" s="401"/>
      <c r="TDZ67" s="401"/>
      <c r="TEA67" s="401"/>
      <c r="TEB67" s="401"/>
      <c r="TEC67" s="401"/>
      <c r="TED67" s="401"/>
      <c r="TEE67" s="401"/>
      <c r="TEF67" s="401"/>
      <c r="TEG67" s="401"/>
      <c r="TEH67" s="401"/>
      <c r="TEI67" s="401"/>
      <c r="TEJ67" s="401"/>
      <c r="TEK67" s="401"/>
      <c r="TEL67" s="401"/>
      <c r="TEM67" s="401"/>
      <c r="TEN67" s="401"/>
      <c r="TEO67" s="401"/>
      <c r="TEP67" s="401"/>
      <c r="TEQ67" s="401"/>
      <c r="TER67" s="401"/>
      <c r="TES67" s="401"/>
      <c r="TET67" s="401"/>
      <c r="TEU67" s="401"/>
      <c r="TEV67" s="401"/>
      <c r="TEW67" s="401"/>
      <c r="TEX67" s="401"/>
      <c r="TEY67" s="401"/>
      <c r="TEZ67" s="401"/>
      <c r="TFA67" s="401"/>
      <c r="TFB67" s="401"/>
      <c r="TFC67" s="401"/>
      <c r="TFD67" s="401"/>
      <c r="TFE67" s="401"/>
      <c r="TFF67" s="401"/>
      <c r="TFG67" s="401"/>
      <c r="TFH67" s="401"/>
      <c r="TFI67" s="401"/>
      <c r="TFJ67" s="401"/>
      <c r="TFK67" s="401"/>
      <c r="TFL67" s="401"/>
      <c r="TFM67" s="401"/>
      <c r="TFN67" s="401"/>
      <c r="TFO67" s="401"/>
      <c r="TFP67" s="401"/>
      <c r="TFQ67" s="401"/>
      <c r="TFR67" s="401"/>
      <c r="TFS67" s="401"/>
      <c r="TFT67" s="401"/>
      <c r="TFU67" s="401"/>
      <c r="TFV67" s="401"/>
      <c r="TFW67" s="401"/>
      <c r="TFX67" s="401"/>
      <c r="TFY67" s="401"/>
      <c r="TFZ67" s="401"/>
      <c r="TGA67" s="401"/>
      <c r="TGB67" s="401"/>
      <c r="TGC67" s="401"/>
      <c r="TGD67" s="401"/>
      <c r="TGE67" s="401"/>
      <c r="TGF67" s="401"/>
      <c r="TGG67" s="401"/>
      <c r="TGH67" s="401"/>
      <c r="TGI67" s="401"/>
      <c r="TGJ67" s="401"/>
      <c r="TGK67" s="401"/>
      <c r="TGL67" s="401"/>
      <c r="TGM67" s="401"/>
      <c r="TGN67" s="401"/>
      <c r="TGO67" s="401"/>
      <c r="TGP67" s="401"/>
      <c r="TGQ67" s="401"/>
      <c r="TGR67" s="401"/>
      <c r="TGS67" s="401"/>
      <c r="TGT67" s="401"/>
      <c r="TGU67" s="401"/>
      <c r="TGV67" s="401"/>
      <c r="TGW67" s="401"/>
      <c r="TGX67" s="401"/>
      <c r="TGY67" s="401"/>
      <c r="TGZ67" s="401"/>
      <c r="THA67" s="401"/>
      <c r="THB67" s="401"/>
      <c r="THC67" s="401"/>
      <c r="THD67" s="401"/>
      <c r="THE67" s="401"/>
      <c r="THF67" s="401"/>
      <c r="THG67" s="401"/>
      <c r="THH67" s="401"/>
      <c r="THI67" s="401"/>
      <c r="THJ67" s="401"/>
      <c r="THK67" s="401"/>
      <c r="THL67" s="401"/>
      <c r="THM67" s="401"/>
      <c r="THN67" s="401"/>
      <c r="THO67" s="401"/>
      <c r="THP67" s="401"/>
      <c r="THQ67" s="401"/>
      <c r="THR67" s="401"/>
      <c r="THS67" s="401"/>
      <c r="THT67" s="401"/>
      <c r="THU67" s="401"/>
      <c r="THV67" s="401"/>
      <c r="THW67" s="401"/>
      <c r="THX67" s="401"/>
      <c r="THY67" s="401"/>
      <c r="THZ67" s="401"/>
      <c r="TIA67" s="401"/>
      <c r="TIB67" s="401"/>
      <c r="TIC67" s="401"/>
      <c r="TID67" s="401"/>
      <c r="TIE67" s="401"/>
      <c r="TIF67" s="401"/>
      <c r="TIG67" s="401"/>
      <c r="TIH67" s="401"/>
      <c r="TII67" s="401"/>
      <c r="TIJ67" s="401"/>
      <c r="TIK67" s="401"/>
      <c r="TIL67" s="401"/>
      <c r="TIM67" s="401"/>
      <c r="TIN67" s="401"/>
      <c r="TIO67" s="401"/>
      <c r="TIP67" s="401"/>
      <c r="TIQ67" s="401"/>
      <c r="TIR67" s="401"/>
      <c r="TIS67" s="401"/>
      <c r="TIT67" s="401"/>
      <c r="TIU67" s="401"/>
      <c r="TIV67" s="401"/>
      <c r="TIW67" s="401"/>
      <c r="TIX67" s="401"/>
      <c r="TIY67" s="401"/>
      <c r="TIZ67" s="401"/>
      <c r="TJA67" s="401"/>
      <c r="TJB67" s="401"/>
      <c r="TJC67" s="401"/>
      <c r="TJD67" s="401"/>
      <c r="TJE67" s="401"/>
      <c r="TJF67" s="401"/>
      <c r="TJG67" s="401"/>
      <c r="TJH67" s="401"/>
      <c r="TJI67" s="401"/>
      <c r="TJJ67" s="401"/>
      <c r="TJK67" s="401"/>
      <c r="TJL67" s="401"/>
      <c r="TJM67" s="401"/>
      <c r="TJN67" s="401"/>
      <c r="TJO67" s="401"/>
      <c r="TJP67" s="401"/>
      <c r="TJQ67" s="401"/>
      <c r="TJR67" s="401"/>
      <c r="TJS67" s="401"/>
      <c r="TJT67" s="401"/>
      <c r="TJU67" s="401"/>
      <c r="TJV67" s="401"/>
      <c r="TJW67" s="401"/>
      <c r="TJX67" s="401"/>
      <c r="TJY67" s="401"/>
      <c r="TJZ67" s="401"/>
      <c r="TKA67" s="401"/>
      <c r="TKB67" s="401"/>
      <c r="TKC67" s="401"/>
      <c r="TKD67" s="401"/>
      <c r="TKE67" s="401"/>
      <c r="TKF67" s="401"/>
      <c r="TKG67" s="401"/>
      <c r="TKH67" s="401"/>
      <c r="TKI67" s="401"/>
      <c r="TKJ67" s="401"/>
      <c r="TKK67" s="401"/>
      <c r="TKL67" s="401"/>
      <c r="TKM67" s="401"/>
      <c r="TKN67" s="401"/>
      <c r="TKO67" s="401"/>
      <c r="TKP67" s="401"/>
      <c r="TKQ67" s="401"/>
      <c r="TKR67" s="401"/>
      <c r="TKS67" s="401"/>
      <c r="TKT67" s="401"/>
      <c r="TKU67" s="401"/>
      <c r="TKV67" s="401"/>
      <c r="TKW67" s="401"/>
      <c r="TKX67" s="401"/>
      <c r="TKY67" s="401"/>
      <c r="TKZ67" s="401"/>
      <c r="TLA67" s="401"/>
      <c r="TLB67" s="401"/>
      <c r="TLC67" s="401"/>
      <c r="TLD67" s="401"/>
      <c r="TLE67" s="401"/>
      <c r="TLF67" s="401"/>
      <c r="TLG67" s="401"/>
      <c r="TLH67" s="401"/>
      <c r="TLI67" s="401"/>
      <c r="TLJ67" s="401"/>
      <c r="TLK67" s="401"/>
      <c r="TLL67" s="401"/>
      <c r="TLM67" s="401"/>
      <c r="TLN67" s="401"/>
      <c r="TLO67" s="401"/>
      <c r="TLP67" s="401"/>
      <c r="TLQ67" s="401"/>
      <c r="TLR67" s="401"/>
      <c r="TLS67" s="401"/>
      <c r="TLT67" s="401"/>
      <c r="TLU67" s="401"/>
      <c r="TLV67" s="401"/>
      <c r="TLW67" s="401"/>
      <c r="TLX67" s="401"/>
      <c r="TLY67" s="401"/>
      <c r="TLZ67" s="401"/>
      <c r="TMA67" s="401"/>
      <c r="TMB67" s="401"/>
      <c r="TMC67" s="401"/>
      <c r="TMD67" s="401"/>
      <c r="TME67" s="401"/>
      <c r="TMF67" s="401"/>
      <c r="TMG67" s="401"/>
      <c r="TMH67" s="401"/>
      <c r="TMI67" s="401"/>
      <c r="TMJ67" s="401"/>
      <c r="TMK67" s="401"/>
      <c r="TML67" s="401"/>
      <c r="TMM67" s="401"/>
      <c r="TMN67" s="401"/>
      <c r="TMO67" s="401"/>
      <c r="TMP67" s="401"/>
      <c r="TMQ67" s="401"/>
      <c r="TMR67" s="401"/>
      <c r="TMS67" s="401"/>
      <c r="TMT67" s="401"/>
      <c r="TMU67" s="401"/>
      <c r="TMV67" s="401"/>
      <c r="TMW67" s="401"/>
      <c r="TMX67" s="401"/>
      <c r="TMY67" s="401"/>
      <c r="TMZ67" s="401"/>
      <c r="TNA67" s="401"/>
      <c r="TNB67" s="401"/>
      <c r="TNC67" s="401"/>
      <c r="TND67" s="401"/>
      <c r="TNE67" s="401"/>
      <c r="TNF67" s="401"/>
      <c r="TNG67" s="401"/>
      <c r="TNH67" s="401"/>
      <c r="TNI67" s="401"/>
      <c r="TNJ67" s="401"/>
      <c r="TNK67" s="401"/>
      <c r="TNL67" s="401"/>
      <c r="TNM67" s="401"/>
      <c r="TNN67" s="401"/>
      <c r="TNO67" s="401"/>
      <c r="TNP67" s="401"/>
      <c r="TNQ67" s="401"/>
      <c r="TNR67" s="401"/>
      <c r="TNS67" s="401"/>
      <c r="TNT67" s="401"/>
      <c r="TNU67" s="401"/>
      <c r="TNV67" s="401"/>
      <c r="TNW67" s="401"/>
      <c r="TNX67" s="401"/>
      <c r="TNY67" s="401"/>
      <c r="TNZ67" s="401"/>
      <c r="TOA67" s="401"/>
      <c r="TOB67" s="401"/>
      <c r="TOC67" s="401"/>
      <c r="TOD67" s="401"/>
      <c r="TOE67" s="401"/>
      <c r="TOF67" s="401"/>
      <c r="TOG67" s="401"/>
      <c r="TOH67" s="401"/>
      <c r="TOI67" s="401"/>
      <c r="TOJ67" s="401"/>
      <c r="TOK67" s="401"/>
      <c r="TOL67" s="401"/>
      <c r="TOM67" s="401"/>
      <c r="TON67" s="401"/>
      <c r="TOO67" s="401"/>
      <c r="TOP67" s="401"/>
      <c r="TOQ67" s="401"/>
      <c r="TOR67" s="401"/>
      <c r="TOS67" s="401"/>
      <c r="TOT67" s="401"/>
      <c r="TOU67" s="401"/>
      <c r="TOV67" s="401"/>
      <c r="TOW67" s="401"/>
      <c r="TOX67" s="401"/>
      <c r="TOY67" s="401"/>
      <c r="TOZ67" s="401"/>
      <c r="TPA67" s="401"/>
      <c r="TPB67" s="401"/>
      <c r="TPC67" s="401"/>
      <c r="TPD67" s="401"/>
      <c r="TPE67" s="401"/>
      <c r="TPF67" s="401"/>
      <c r="TPG67" s="401"/>
      <c r="TPH67" s="401"/>
      <c r="TPI67" s="401"/>
      <c r="TPJ67" s="401"/>
      <c r="TPK67" s="401"/>
      <c r="TPL67" s="401"/>
      <c r="TPM67" s="401"/>
      <c r="TPN67" s="401"/>
      <c r="TPO67" s="401"/>
      <c r="TPP67" s="401"/>
      <c r="TPQ67" s="401"/>
      <c r="TPR67" s="401"/>
      <c r="TPS67" s="401"/>
      <c r="TPT67" s="401"/>
      <c r="TPU67" s="401"/>
      <c r="TPV67" s="401"/>
      <c r="TPW67" s="401"/>
      <c r="TPX67" s="401"/>
      <c r="TPY67" s="401"/>
      <c r="TPZ67" s="401"/>
      <c r="TQA67" s="401"/>
      <c r="TQB67" s="401"/>
      <c r="TQC67" s="401"/>
      <c r="TQD67" s="401"/>
      <c r="TQE67" s="401"/>
      <c r="TQF67" s="401"/>
      <c r="TQG67" s="401"/>
      <c r="TQH67" s="401"/>
      <c r="TQI67" s="401"/>
      <c r="TQJ67" s="401"/>
      <c r="TQK67" s="401"/>
      <c r="TQL67" s="401"/>
      <c r="TQM67" s="401"/>
      <c r="TQN67" s="401"/>
      <c r="TQO67" s="401"/>
      <c r="TQP67" s="401"/>
      <c r="TQQ67" s="401"/>
      <c r="TQR67" s="401"/>
      <c r="TQS67" s="401"/>
      <c r="TQT67" s="401"/>
      <c r="TQU67" s="401"/>
      <c r="TQV67" s="401"/>
      <c r="TQW67" s="401"/>
      <c r="TQX67" s="401"/>
      <c r="TQY67" s="401"/>
      <c r="TQZ67" s="401"/>
      <c r="TRA67" s="401"/>
      <c r="TRB67" s="401"/>
      <c r="TRC67" s="401"/>
      <c r="TRD67" s="401"/>
      <c r="TRE67" s="401"/>
      <c r="TRF67" s="401"/>
      <c r="TRG67" s="401"/>
      <c r="TRH67" s="401"/>
      <c r="TRI67" s="401"/>
      <c r="TRJ67" s="401"/>
      <c r="TRK67" s="401"/>
      <c r="TRL67" s="401"/>
      <c r="TRM67" s="401"/>
      <c r="TRN67" s="401"/>
      <c r="TRO67" s="401"/>
      <c r="TRP67" s="401"/>
      <c r="TRQ67" s="401"/>
      <c r="TRR67" s="401"/>
      <c r="TRS67" s="401"/>
      <c r="TRT67" s="401"/>
      <c r="TRU67" s="401"/>
      <c r="TRV67" s="401"/>
      <c r="TRW67" s="401"/>
      <c r="TRX67" s="401"/>
      <c r="TRY67" s="401"/>
      <c r="TRZ67" s="401"/>
      <c r="TSA67" s="401"/>
      <c r="TSB67" s="401"/>
      <c r="TSC67" s="401"/>
      <c r="TSD67" s="401"/>
      <c r="TSE67" s="401"/>
      <c r="TSF67" s="401"/>
      <c r="TSG67" s="401"/>
      <c r="TSH67" s="401"/>
      <c r="TSI67" s="401"/>
      <c r="TSJ67" s="401"/>
      <c r="TSK67" s="401"/>
      <c r="TSL67" s="401"/>
      <c r="TSM67" s="401"/>
      <c r="TSN67" s="401"/>
      <c r="TSO67" s="401"/>
      <c r="TSP67" s="401"/>
      <c r="TSQ67" s="401"/>
      <c r="TSR67" s="401"/>
      <c r="TSS67" s="401"/>
      <c r="TST67" s="401"/>
      <c r="TSU67" s="401"/>
      <c r="TSV67" s="401"/>
      <c r="TSW67" s="401"/>
      <c r="TSX67" s="401"/>
      <c r="TSY67" s="401"/>
      <c r="TSZ67" s="401"/>
      <c r="TTA67" s="401"/>
      <c r="TTB67" s="401"/>
      <c r="TTC67" s="401"/>
      <c r="TTD67" s="401"/>
      <c r="TTE67" s="401"/>
      <c r="TTF67" s="401"/>
      <c r="TTG67" s="401"/>
      <c r="TTH67" s="401"/>
      <c r="TTI67" s="401"/>
      <c r="TTJ67" s="401"/>
      <c r="TTK67" s="401"/>
      <c r="TTL67" s="401"/>
      <c r="TTM67" s="401"/>
      <c r="TTN67" s="401"/>
      <c r="TTO67" s="401"/>
      <c r="TTP67" s="401"/>
      <c r="TTQ67" s="401"/>
      <c r="TTR67" s="401"/>
      <c r="TTS67" s="401"/>
      <c r="TTT67" s="401"/>
      <c r="TTU67" s="401"/>
      <c r="TTV67" s="401"/>
      <c r="TTW67" s="401"/>
      <c r="TTX67" s="401"/>
      <c r="TTY67" s="401"/>
      <c r="TTZ67" s="401"/>
      <c r="TUA67" s="401"/>
      <c r="TUB67" s="401"/>
      <c r="TUC67" s="401"/>
      <c r="TUD67" s="401"/>
      <c r="TUE67" s="401"/>
      <c r="TUF67" s="401"/>
      <c r="TUG67" s="401"/>
      <c r="TUH67" s="401"/>
      <c r="TUI67" s="401"/>
      <c r="TUJ67" s="401"/>
      <c r="TUK67" s="401"/>
      <c r="TUL67" s="401"/>
      <c r="TUM67" s="401"/>
      <c r="TUN67" s="401"/>
      <c r="TUO67" s="401"/>
      <c r="TUP67" s="401"/>
      <c r="TUQ67" s="401"/>
      <c r="TUR67" s="401"/>
      <c r="TUS67" s="401"/>
      <c r="TUT67" s="401"/>
      <c r="TUU67" s="401"/>
      <c r="TUV67" s="401"/>
      <c r="TUW67" s="401"/>
      <c r="TUX67" s="401"/>
      <c r="TUY67" s="401"/>
      <c r="TUZ67" s="401"/>
      <c r="TVA67" s="401"/>
      <c r="TVB67" s="401"/>
      <c r="TVC67" s="401"/>
      <c r="TVD67" s="401"/>
      <c r="TVE67" s="401"/>
      <c r="TVF67" s="401"/>
      <c r="TVG67" s="401"/>
      <c r="TVH67" s="401"/>
      <c r="TVI67" s="401"/>
      <c r="TVJ67" s="401"/>
      <c r="TVK67" s="401"/>
      <c r="TVL67" s="401"/>
      <c r="TVM67" s="401"/>
      <c r="TVN67" s="401"/>
      <c r="TVO67" s="401"/>
      <c r="TVP67" s="401"/>
      <c r="TVQ67" s="401"/>
      <c r="TVR67" s="401"/>
      <c r="TVS67" s="401"/>
      <c r="TVT67" s="401"/>
      <c r="TVU67" s="401"/>
      <c r="TVV67" s="401"/>
      <c r="TVW67" s="401"/>
      <c r="TVX67" s="401"/>
      <c r="TVY67" s="401"/>
      <c r="TVZ67" s="401"/>
      <c r="TWA67" s="401"/>
      <c r="TWB67" s="401"/>
      <c r="TWC67" s="401"/>
      <c r="TWD67" s="401"/>
      <c r="TWE67" s="401"/>
      <c r="TWF67" s="401"/>
      <c r="TWG67" s="401"/>
      <c r="TWH67" s="401"/>
      <c r="TWI67" s="401"/>
      <c r="TWJ67" s="401"/>
      <c r="TWK67" s="401"/>
      <c r="TWL67" s="401"/>
      <c r="TWM67" s="401"/>
      <c r="TWN67" s="401"/>
      <c r="TWO67" s="401"/>
      <c r="TWP67" s="401"/>
      <c r="TWQ67" s="401"/>
      <c r="TWR67" s="401"/>
      <c r="TWS67" s="401"/>
      <c r="TWT67" s="401"/>
      <c r="TWU67" s="401"/>
      <c r="TWV67" s="401"/>
      <c r="TWW67" s="401"/>
      <c r="TWX67" s="401"/>
      <c r="TWY67" s="401"/>
      <c r="TWZ67" s="401"/>
      <c r="TXA67" s="401"/>
      <c r="TXB67" s="401"/>
      <c r="TXC67" s="401"/>
      <c r="TXD67" s="401"/>
      <c r="TXE67" s="401"/>
      <c r="TXF67" s="401"/>
      <c r="TXG67" s="401"/>
      <c r="TXH67" s="401"/>
      <c r="TXI67" s="401"/>
      <c r="TXJ67" s="401"/>
      <c r="TXK67" s="401"/>
      <c r="TXL67" s="401"/>
      <c r="TXM67" s="401"/>
      <c r="TXN67" s="401"/>
      <c r="TXO67" s="401"/>
      <c r="TXP67" s="401"/>
      <c r="TXQ67" s="401"/>
      <c r="TXR67" s="401"/>
      <c r="TXS67" s="401"/>
      <c r="TXT67" s="401"/>
      <c r="TXU67" s="401"/>
      <c r="TXV67" s="401"/>
      <c r="TXW67" s="401"/>
      <c r="TXX67" s="401"/>
      <c r="TXY67" s="401"/>
      <c r="TXZ67" s="401"/>
      <c r="TYA67" s="401"/>
      <c r="TYB67" s="401"/>
      <c r="TYC67" s="401"/>
      <c r="TYD67" s="401"/>
      <c r="TYE67" s="401"/>
      <c r="TYF67" s="401"/>
      <c r="TYG67" s="401"/>
      <c r="TYH67" s="401"/>
      <c r="TYI67" s="401"/>
      <c r="TYJ67" s="401"/>
      <c r="TYK67" s="401"/>
      <c r="TYL67" s="401"/>
      <c r="TYM67" s="401"/>
      <c r="TYN67" s="401"/>
      <c r="TYO67" s="401"/>
      <c r="TYP67" s="401"/>
      <c r="TYQ67" s="401"/>
      <c r="TYR67" s="401"/>
      <c r="TYS67" s="401"/>
      <c r="TYT67" s="401"/>
      <c r="TYU67" s="401"/>
      <c r="TYV67" s="401"/>
      <c r="TYW67" s="401"/>
      <c r="TYX67" s="401"/>
      <c r="TYY67" s="401"/>
      <c r="TYZ67" s="401"/>
      <c r="TZA67" s="401"/>
      <c r="TZB67" s="401"/>
      <c r="TZC67" s="401"/>
      <c r="TZD67" s="401"/>
      <c r="TZE67" s="401"/>
      <c r="TZF67" s="401"/>
      <c r="TZG67" s="401"/>
      <c r="TZH67" s="401"/>
      <c r="TZI67" s="401"/>
      <c r="TZJ67" s="401"/>
      <c r="TZK67" s="401"/>
      <c r="TZL67" s="401"/>
      <c r="TZM67" s="401"/>
      <c r="TZN67" s="401"/>
      <c r="TZO67" s="401"/>
      <c r="TZP67" s="401"/>
      <c r="TZQ67" s="401"/>
      <c r="TZR67" s="401"/>
      <c r="TZS67" s="401"/>
      <c r="TZT67" s="401"/>
      <c r="TZU67" s="401"/>
      <c r="TZV67" s="401"/>
      <c r="TZW67" s="401"/>
      <c r="TZX67" s="401"/>
      <c r="TZY67" s="401"/>
      <c r="TZZ67" s="401"/>
      <c r="UAA67" s="401"/>
      <c r="UAB67" s="401"/>
      <c r="UAC67" s="401"/>
      <c r="UAD67" s="401"/>
      <c r="UAE67" s="401"/>
      <c r="UAF67" s="401"/>
      <c r="UAG67" s="401"/>
      <c r="UAH67" s="401"/>
      <c r="UAI67" s="401"/>
      <c r="UAJ67" s="401"/>
      <c r="UAK67" s="401"/>
      <c r="UAL67" s="401"/>
      <c r="UAM67" s="401"/>
      <c r="UAN67" s="401"/>
      <c r="UAO67" s="401"/>
      <c r="UAP67" s="401"/>
      <c r="UAQ67" s="401"/>
      <c r="UAR67" s="401"/>
      <c r="UAS67" s="401"/>
      <c r="UAT67" s="401"/>
      <c r="UAU67" s="401"/>
      <c r="UAV67" s="401"/>
      <c r="UAW67" s="401"/>
      <c r="UAX67" s="401"/>
      <c r="UAY67" s="401"/>
      <c r="UAZ67" s="401"/>
      <c r="UBA67" s="401"/>
      <c r="UBB67" s="401"/>
      <c r="UBC67" s="401"/>
      <c r="UBD67" s="401"/>
      <c r="UBE67" s="401"/>
      <c r="UBF67" s="401"/>
      <c r="UBG67" s="401"/>
      <c r="UBH67" s="401"/>
      <c r="UBI67" s="401"/>
      <c r="UBJ67" s="401"/>
      <c r="UBK67" s="401"/>
      <c r="UBL67" s="401"/>
      <c r="UBM67" s="401"/>
      <c r="UBN67" s="401"/>
      <c r="UBO67" s="401"/>
      <c r="UBP67" s="401"/>
      <c r="UBQ67" s="401"/>
      <c r="UBR67" s="401"/>
      <c r="UBS67" s="401"/>
      <c r="UBT67" s="401"/>
      <c r="UBU67" s="401"/>
      <c r="UBV67" s="401"/>
      <c r="UBW67" s="401"/>
      <c r="UBX67" s="401"/>
      <c r="UBY67" s="401"/>
      <c r="UBZ67" s="401"/>
      <c r="UCA67" s="401"/>
      <c r="UCB67" s="401"/>
      <c r="UCC67" s="401"/>
      <c r="UCD67" s="401"/>
      <c r="UCE67" s="401"/>
      <c r="UCF67" s="401"/>
      <c r="UCG67" s="401"/>
      <c r="UCH67" s="401"/>
      <c r="UCI67" s="401"/>
      <c r="UCJ67" s="401"/>
      <c r="UCK67" s="401"/>
      <c r="UCL67" s="401"/>
      <c r="UCM67" s="401"/>
      <c r="UCN67" s="401"/>
      <c r="UCO67" s="401"/>
      <c r="UCP67" s="401"/>
      <c r="UCQ67" s="401"/>
      <c r="UCR67" s="401"/>
      <c r="UCS67" s="401"/>
      <c r="UCT67" s="401"/>
      <c r="UCU67" s="401"/>
      <c r="UCV67" s="401"/>
      <c r="UCW67" s="401"/>
      <c r="UCX67" s="401"/>
      <c r="UCY67" s="401"/>
      <c r="UCZ67" s="401"/>
      <c r="UDA67" s="401"/>
      <c r="UDB67" s="401"/>
      <c r="UDC67" s="401"/>
      <c r="UDD67" s="401"/>
      <c r="UDE67" s="401"/>
      <c r="UDF67" s="401"/>
      <c r="UDG67" s="401"/>
      <c r="UDH67" s="401"/>
      <c r="UDI67" s="401"/>
      <c r="UDJ67" s="401"/>
      <c r="UDK67" s="401"/>
      <c r="UDL67" s="401"/>
      <c r="UDM67" s="401"/>
      <c r="UDN67" s="401"/>
      <c r="UDO67" s="401"/>
      <c r="UDP67" s="401"/>
      <c r="UDQ67" s="401"/>
      <c r="UDR67" s="401"/>
      <c r="UDS67" s="401"/>
      <c r="UDT67" s="401"/>
      <c r="UDU67" s="401"/>
      <c r="UDV67" s="401"/>
      <c r="UDW67" s="401"/>
      <c r="UDX67" s="401"/>
      <c r="UDY67" s="401"/>
      <c r="UDZ67" s="401"/>
      <c r="UEA67" s="401"/>
      <c r="UEB67" s="401"/>
      <c r="UEC67" s="401"/>
      <c r="UED67" s="401"/>
      <c r="UEE67" s="401"/>
      <c r="UEF67" s="401"/>
      <c r="UEG67" s="401"/>
      <c r="UEH67" s="401"/>
      <c r="UEI67" s="401"/>
      <c r="UEJ67" s="401"/>
      <c r="UEK67" s="401"/>
      <c r="UEL67" s="401"/>
      <c r="UEM67" s="401"/>
      <c r="UEN67" s="401"/>
      <c r="UEO67" s="401"/>
      <c r="UEP67" s="401"/>
      <c r="UEQ67" s="401"/>
      <c r="UER67" s="401"/>
      <c r="UES67" s="401"/>
      <c r="UET67" s="401"/>
      <c r="UEU67" s="401"/>
      <c r="UEV67" s="401"/>
      <c r="UEW67" s="401"/>
      <c r="UEX67" s="401"/>
      <c r="UEY67" s="401"/>
      <c r="UEZ67" s="401"/>
      <c r="UFA67" s="401"/>
      <c r="UFB67" s="401"/>
      <c r="UFC67" s="401"/>
      <c r="UFD67" s="401"/>
      <c r="UFE67" s="401"/>
      <c r="UFF67" s="401"/>
      <c r="UFG67" s="401"/>
      <c r="UFH67" s="401"/>
      <c r="UFI67" s="401"/>
      <c r="UFJ67" s="401"/>
      <c r="UFK67" s="401"/>
      <c r="UFL67" s="401"/>
      <c r="UFM67" s="401"/>
      <c r="UFN67" s="401"/>
      <c r="UFO67" s="401"/>
      <c r="UFP67" s="401"/>
      <c r="UFQ67" s="401"/>
      <c r="UFR67" s="401"/>
      <c r="UFS67" s="401"/>
      <c r="UFT67" s="401"/>
      <c r="UFU67" s="401"/>
      <c r="UFV67" s="401"/>
      <c r="UFW67" s="401"/>
      <c r="UFX67" s="401"/>
      <c r="UFY67" s="401"/>
      <c r="UFZ67" s="401"/>
      <c r="UGA67" s="401"/>
      <c r="UGB67" s="401"/>
      <c r="UGC67" s="401"/>
      <c r="UGD67" s="401"/>
      <c r="UGE67" s="401"/>
      <c r="UGF67" s="401"/>
      <c r="UGG67" s="401"/>
      <c r="UGH67" s="401"/>
      <c r="UGI67" s="401"/>
      <c r="UGJ67" s="401"/>
      <c r="UGK67" s="401"/>
      <c r="UGL67" s="401"/>
      <c r="UGM67" s="401"/>
      <c r="UGN67" s="401"/>
      <c r="UGO67" s="401"/>
      <c r="UGP67" s="401"/>
      <c r="UGQ67" s="401"/>
      <c r="UGR67" s="401"/>
      <c r="UGS67" s="401"/>
      <c r="UGT67" s="401"/>
      <c r="UGU67" s="401"/>
      <c r="UGV67" s="401"/>
      <c r="UGW67" s="401"/>
      <c r="UGX67" s="401"/>
      <c r="UGY67" s="401"/>
      <c r="UGZ67" s="401"/>
      <c r="UHA67" s="401"/>
      <c r="UHB67" s="401"/>
      <c r="UHC67" s="401"/>
      <c r="UHD67" s="401"/>
      <c r="UHE67" s="401"/>
      <c r="UHF67" s="401"/>
      <c r="UHG67" s="401"/>
      <c r="UHH67" s="401"/>
      <c r="UHI67" s="401"/>
      <c r="UHJ67" s="401"/>
      <c r="UHK67" s="401"/>
      <c r="UHL67" s="401"/>
      <c r="UHM67" s="401"/>
      <c r="UHN67" s="401"/>
      <c r="UHO67" s="401"/>
      <c r="UHP67" s="401"/>
      <c r="UHQ67" s="401"/>
      <c r="UHR67" s="401"/>
      <c r="UHS67" s="401"/>
      <c r="UHT67" s="401"/>
      <c r="UHU67" s="401"/>
      <c r="UHV67" s="401"/>
      <c r="UHW67" s="401"/>
      <c r="UHX67" s="401"/>
      <c r="UHY67" s="401"/>
      <c r="UHZ67" s="401"/>
      <c r="UIA67" s="401"/>
      <c r="UIB67" s="401"/>
      <c r="UIC67" s="401"/>
      <c r="UID67" s="401"/>
      <c r="UIE67" s="401"/>
      <c r="UIF67" s="401"/>
      <c r="UIG67" s="401"/>
      <c r="UIH67" s="401"/>
      <c r="UII67" s="401"/>
      <c r="UIJ67" s="401"/>
      <c r="UIK67" s="401"/>
      <c r="UIL67" s="401"/>
      <c r="UIM67" s="401"/>
      <c r="UIN67" s="401"/>
      <c r="UIO67" s="401"/>
      <c r="UIP67" s="401"/>
      <c r="UIQ67" s="401"/>
      <c r="UIR67" s="401"/>
      <c r="UIS67" s="401"/>
      <c r="UIT67" s="401"/>
      <c r="UIU67" s="401"/>
      <c r="UIV67" s="401"/>
      <c r="UIW67" s="401"/>
      <c r="UIX67" s="401"/>
      <c r="UIY67" s="401"/>
      <c r="UIZ67" s="401"/>
      <c r="UJA67" s="401"/>
      <c r="UJB67" s="401"/>
      <c r="UJC67" s="401"/>
      <c r="UJD67" s="401"/>
      <c r="UJE67" s="401"/>
      <c r="UJF67" s="401"/>
      <c r="UJG67" s="401"/>
      <c r="UJH67" s="401"/>
      <c r="UJI67" s="401"/>
      <c r="UJJ67" s="401"/>
      <c r="UJK67" s="401"/>
      <c r="UJL67" s="401"/>
      <c r="UJM67" s="401"/>
      <c r="UJN67" s="401"/>
      <c r="UJO67" s="401"/>
      <c r="UJP67" s="401"/>
      <c r="UJQ67" s="401"/>
      <c r="UJR67" s="401"/>
      <c r="UJS67" s="401"/>
      <c r="UJT67" s="401"/>
      <c r="UJU67" s="401"/>
      <c r="UJV67" s="401"/>
      <c r="UJW67" s="401"/>
      <c r="UJX67" s="401"/>
      <c r="UJY67" s="401"/>
      <c r="UJZ67" s="401"/>
      <c r="UKA67" s="401"/>
      <c r="UKB67" s="401"/>
      <c r="UKC67" s="401"/>
      <c r="UKD67" s="401"/>
      <c r="UKE67" s="401"/>
      <c r="UKF67" s="401"/>
      <c r="UKG67" s="401"/>
      <c r="UKH67" s="401"/>
      <c r="UKI67" s="401"/>
      <c r="UKJ67" s="401"/>
      <c r="UKK67" s="401"/>
      <c r="UKL67" s="401"/>
      <c r="UKM67" s="401"/>
      <c r="UKN67" s="401"/>
      <c r="UKO67" s="401"/>
      <c r="UKP67" s="401"/>
      <c r="UKQ67" s="401"/>
      <c r="UKR67" s="401"/>
      <c r="UKS67" s="401"/>
      <c r="UKT67" s="401"/>
      <c r="UKU67" s="401"/>
      <c r="UKV67" s="401"/>
      <c r="UKW67" s="401"/>
      <c r="UKX67" s="401"/>
      <c r="UKY67" s="401"/>
      <c r="UKZ67" s="401"/>
      <c r="ULA67" s="401"/>
      <c r="ULB67" s="401"/>
      <c r="ULC67" s="401"/>
      <c r="ULD67" s="401"/>
      <c r="ULE67" s="401"/>
      <c r="ULF67" s="401"/>
      <c r="ULG67" s="401"/>
      <c r="ULH67" s="401"/>
      <c r="ULI67" s="401"/>
      <c r="ULJ67" s="401"/>
      <c r="ULK67" s="401"/>
      <c r="ULL67" s="401"/>
      <c r="ULM67" s="401"/>
      <c r="ULN67" s="401"/>
      <c r="ULO67" s="401"/>
      <c r="ULP67" s="401"/>
      <c r="ULQ67" s="401"/>
      <c r="ULR67" s="401"/>
      <c r="ULS67" s="401"/>
      <c r="ULT67" s="401"/>
      <c r="ULU67" s="401"/>
      <c r="ULV67" s="401"/>
      <c r="ULW67" s="401"/>
      <c r="ULX67" s="401"/>
      <c r="ULY67" s="401"/>
      <c r="ULZ67" s="401"/>
      <c r="UMA67" s="401"/>
      <c r="UMB67" s="401"/>
      <c r="UMC67" s="401"/>
      <c r="UMD67" s="401"/>
      <c r="UME67" s="401"/>
      <c r="UMF67" s="401"/>
      <c r="UMG67" s="401"/>
      <c r="UMH67" s="401"/>
      <c r="UMI67" s="401"/>
      <c r="UMJ67" s="401"/>
      <c r="UMK67" s="401"/>
      <c r="UML67" s="401"/>
      <c r="UMM67" s="401"/>
      <c r="UMN67" s="401"/>
      <c r="UMO67" s="401"/>
      <c r="UMP67" s="401"/>
      <c r="UMQ67" s="401"/>
      <c r="UMR67" s="401"/>
      <c r="UMS67" s="401"/>
      <c r="UMT67" s="401"/>
      <c r="UMU67" s="401"/>
      <c r="UMV67" s="401"/>
      <c r="UMW67" s="401"/>
      <c r="UMX67" s="401"/>
      <c r="UMY67" s="401"/>
      <c r="UMZ67" s="401"/>
      <c r="UNA67" s="401"/>
      <c r="UNB67" s="401"/>
      <c r="UNC67" s="401"/>
      <c r="UND67" s="401"/>
      <c r="UNE67" s="401"/>
      <c r="UNF67" s="401"/>
      <c r="UNG67" s="401"/>
      <c r="UNH67" s="401"/>
      <c r="UNI67" s="401"/>
      <c r="UNJ67" s="401"/>
      <c r="UNK67" s="401"/>
      <c r="UNL67" s="401"/>
      <c r="UNM67" s="401"/>
      <c r="UNN67" s="401"/>
      <c r="UNO67" s="401"/>
      <c r="UNP67" s="401"/>
      <c r="UNQ67" s="401"/>
      <c r="UNR67" s="401"/>
      <c r="UNS67" s="401"/>
      <c r="UNT67" s="401"/>
      <c r="UNU67" s="401"/>
      <c r="UNV67" s="401"/>
      <c r="UNW67" s="401"/>
      <c r="UNX67" s="401"/>
      <c r="UNY67" s="401"/>
      <c r="UNZ67" s="401"/>
      <c r="UOA67" s="401"/>
      <c r="UOB67" s="401"/>
      <c r="UOC67" s="401"/>
      <c r="UOD67" s="401"/>
      <c r="UOE67" s="401"/>
      <c r="UOF67" s="401"/>
      <c r="UOG67" s="401"/>
      <c r="UOH67" s="401"/>
      <c r="UOI67" s="401"/>
      <c r="UOJ67" s="401"/>
      <c r="UOK67" s="401"/>
      <c r="UOL67" s="401"/>
      <c r="UOM67" s="401"/>
      <c r="UON67" s="401"/>
      <c r="UOO67" s="401"/>
      <c r="UOP67" s="401"/>
      <c r="UOQ67" s="401"/>
      <c r="UOR67" s="401"/>
      <c r="UOS67" s="401"/>
      <c r="UOT67" s="401"/>
      <c r="UOU67" s="401"/>
      <c r="UOV67" s="401"/>
      <c r="UOW67" s="401"/>
      <c r="UOX67" s="401"/>
      <c r="UOY67" s="401"/>
      <c r="UOZ67" s="401"/>
      <c r="UPA67" s="401"/>
      <c r="UPB67" s="401"/>
      <c r="UPC67" s="401"/>
      <c r="UPD67" s="401"/>
      <c r="UPE67" s="401"/>
      <c r="UPF67" s="401"/>
      <c r="UPG67" s="401"/>
      <c r="UPH67" s="401"/>
      <c r="UPI67" s="401"/>
      <c r="UPJ67" s="401"/>
      <c r="UPK67" s="401"/>
      <c r="UPL67" s="401"/>
      <c r="UPM67" s="401"/>
      <c r="UPN67" s="401"/>
      <c r="UPO67" s="401"/>
      <c r="UPP67" s="401"/>
      <c r="UPQ67" s="401"/>
      <c r="UPR67" s="401"/>
      <c r="UPS67" s="401"/>
      <c r="UPT67" s="401"/>
      <c r="UPU67" s="401"/>
      <c r="UPV67" s="401"/>
      <c r="UPW67" s="401"/>
      <c r="UPX67" s="401"/>
      <c r="UPY67" s="401"/>
      <c r="UPZ67" s="401"/>
      <c r="UQA67" s="401"/>
      <c r="UQB67" s="401"/>
      <c r="UQC67" s="401"/>
      <c r="UQD67" s="401"/>
      <c r="UQE67" s="401"/>
      <c r="UQF67" s="401"/>
      <c r="UQG67" s="401"/>
      <c r="UQH67" s="401"/>
      <c r="UQI67" s="401"/>
      <c r="UQJ67" s="401"/>
      <c r="UQK67" s="401"/>
      <c r="UQL67" s="401"/>
      <c r="UQM67" s="401"/>
      <c r="UQN67" s="401"/>
      <c r="UQO67" s="401"/>
      <c r="UQP67" s="401"/>
      <c r="UQQ67" s="401"/>
      <c r="UQR67" s="401"/>
      <c r="UQS67" s="401"/>
      <c r="UQT67" s="401"/>
      <c r="UQU67" s="401"/>
      <c r="UQV67" s="401"/>
      <c r="UQW67" s="401"/>
      <c r="UQX67" s="401"/>
      <c r="UQY67" s="401"/>
      <c r="UQZ67" s="401"/>
      <c r="URA67" s="401"/>
      <c r="URB67" s="401"/>
      <c r="URC67" s="401"/>
      <c r="URD67" s="401"/>
      <c r="URE67" s="401"/>
      <c r="URF67" s="401"/>
      <c r="URG67" s="401"/>
      <c r="URH67" s="401"/>
      <c r="URI67" s="401"/>
      <c r="URJ67" s="401"/>
      <c r="URK67" s="401"/>
      <c r="URL67" s="401"/>
      <c r="URM67" s="401"/>
      <c r="URN67" s="401"/>
      <c r="URO67" s="401"/>
      <c r="URP67" s="401"/>
      <c r="URQ67" s="401"/>
      <c r="URR67" s="401"/>
      <c r="URS67" s="401"/>
      <c r="URT67" s="401"/>
      <c r="URU67" s="401"/>
      <c r="URV67" s="401"/>
      <c r="URW67" s="401"/>
      <c r="URX67" s="401"/>
      <c r="URY67" s="401"/>
      <c r="URZ67" s="401"/>
      <c r="USA67" s="401"/>
      <c r="USB67" s="401"/>
      <c r="USC67" s="401"/>
      <c r="USD67" s="401"/>
      <c r="USE67" s="401"/>
      <c r="USF67" s="401"/>
      <c r="USG67" s="401"/>
      <c r="USH67" s="401"/>
      <c r="USI67" s="401"/>
      <c r="USJ67" s="401"/>
      <c r="USK67" s="401"/>
      <c r="USL67" s="401"/>
      <c r="USM67" s="401"/>
      <c r="USN67" s="401"/>
      <c r="USO67" s="401"/>
      <c r="USP67" s="401"/>
      <c r="USQ67" s="401"/>
      <c r="USR67" s="401"/>
      <c r="USS67" s="401"/>
      <c r="UST67" s="401"/>
      <c r="USU67" s="401"/>
      <c r="USV67" s="401"/>
      <c r="USW67" s="401"/>
      <c r="USX67" s="401"/>
      <c r="USY67" s="401"/>
      <c r="USZ67" s="401"/>
      <c r="UTA67" s="401"/>
      <c r="UTB67" s="401"/>
      <c r="UTC67" s="401"/>
      <c r="UTD67" s="401"/>
      <c r="UTE67" s="401"/>
      <c r="UTF67" s="401"/>
      <c r="UTG67" s="401"/>
      <c r="UTH67" s="401"/>
      <c r="UTI67" s="401"/>
      <c r="UTJ67" s="401"/>
      <c r="UTK67" s="401"/>
      <c r="UTL67" s="401"/>
      <c r="UTM67" s="401"/>
      <c r="UTN67" s="401"/>
      <c r="UTO67" s="401"/>
      <c r="UTP67" s="401"/>
      <c r="UTQ67" s="401"/>
      <c r="UTR67" s="401"/>
      <c r="UTS67" s="401"/>
      <c r="UTT67" s="401"/>
      <c r="UTU67" s="401"/>
      <c r="UTV67" s="401"/>
      <c r="UTW67" s="401"/>
      <c r="UTX67" s="401"/>
      <c r="UTY67" s="401"/>
      <c r="UTZ67" s="401"/>
      <c r="UUA67" s="401"/>
      <c r="UUB67" s="401"/>
      <c r="UUC67" s="401"/>
      <c r="UUD67" s="401"/>
      <c r="UUE67" s="401"/>
      <c r="UUF67" s="401"/>
      <c r="UUG67" s="401"/>
      <c r="UUH67" s="401"/>
      <c r="UUI67" s="401"/>
      <c r="UUJ67" s="401"/>
      <c r="UUK67" s="401"/>
      <c r="UUL67" s="401"/>
      <c r="UUM67" s="401"/>
      <c r="UUN67" s="401"/>
      <c r="UUO67" s="401"/>
      <c r="UUP67" s="401"/>
      <c r="UUQ67" s="401"/>
      <c r="UUR67" s="401"/>
      <c r="UUS67" s="401"/>
      <c r="UUT67" s="401"/>
      <c r="UUU67" s="401"/>
      <c r="UUV67" s="401"/>
      <c r="UUW67" s="401"/>
      <c r="UUX67" s="401"/>
      <c r="UUY67" s="401"/>
      <c r="UUZ67" s="401"/>
      <c r="UVA67" s="401"/>
      <c r="UVB67" s="401"/>
      <c r="UVC67" s="401"/>
      <c r="UVD67" s="401"/>
      <c r="UVE67" s="401"/>
      <c r="UVF67" s="401"/>
      <c r="UVG67" s="401"/>
      <c r="UVH67" s="401"/>
      <c r="UVI67" s="401"/>
      <c r="UVJ67" s="401"/>
      <c r="UVK67" s="401"/>
      <c r="UVL67" s="401"/>
      <c r="UVM67" s="401"/>
      <c r="UVN67" s="401"/>
      <c r="UVO67" s="401"/>
      <c r="UVP67" s="401"/>
      <c r="UVQ67" s="401"/>
      <c r="UVR67" s="401"/>
      <c r="UVS67" s="401"/>
      <c r="UVT67" s="401"/>
      <c r="UVU67" s="401"/>
      <c r="UVV67" s="401"/>
      <c r="UVW67" s="401"/>
      <c r="UVX67" s="401"/>
      <c r="UVY67" s="401"/>
      <c r="UVZ67" s="401"/>
      <c r="UWA67" s="401"/>
      <c r="UWB67" s="401"/>
      <c r="UWC67" s="401"/>
      <c r="UWD67" s="401"/>
      <c r="UWE67" s="401"/>
      <c r="UWF67" s="401"/>
      <c r="UWG67" s="401"/>
      <c r="UWH67" s="401"/>
      <c r="UWI67" s="401"/>
      <c r="UWJ67" s="401"/>
      <c r="UWK67" s="401"/>
      <c r="UWL67" s="401"/>
      <c r="UWM67" s="401"/>
      <c r="UWN67" s="401"/>
      <c r="UWO67" s="401"/>
      <c r="UWP67" s="401"/>
      <c r="UWQ67" s="401"/>
      <c r="UWR67" s="401"/>
      <c r="UWS67" s="401"/>
      <c r="UWT67" s="401"/>
      <c r="UWU67" s="401"/>
      <c r="UWV67" s="401"/>
      <c r="UWW67" s="401"/>
      <c r="UWX67" s="401"/>
      <c r="UWY67" s="401"/>
      <c r="UWZ67" s="401"/>
      <c r="UXA67" s="401"/>
      <c r="UXB67" s="401"/>
      <c r="UXC67" s="401"/>
      <c r="UXD67" s="401"/>
      <c r="UXE67" s="401"/>
      <c r="UXF67" s="401"/>
      <c r="UXG67" s="401"/>
      <c r="UXH67" s="401"/>
      <c r="UXI67" s="401"/>
      <c r="UXJ67" s="401"/>
      <c r="UXK67" s="401"/>
      <c r="UXL67" s="401"/>
      <c r="UXM67" s="401"/>
      <c r="UXN67" s="401"/>
      <c r="UXO67" s="401"/>
      <c r="UXP67" s="401"/>
      <c r="UXQ67" s="401"/>
      <c r="UXR67" s="401"/>
      <c r="UXS67" s="401"/>
      <c r="UXT67" s="401"/>
      <c r="UXU67" s="401"/>
      <c r="UXV67" s="401"/>
      <c r="UXW67" s="401"/>
      <c r="UXX67" s="401"/>
      <c r="UXY67" s="401"/>
      <c r="UXZ67" s="401"/>
      <c r="UYA67" s="401"/>
      <c r="UYB67" s="401"/>
      <c r="UYC67" s="401"/>
      <c r="UYD67" s="401"/>
      <c r="UYE67" s="401"/>
      <c r="UYF67" s="401"/>
      <c r="UYG67" s="401"/>
      <c r="UYH67" s="401"/>
      <c r="UYI67" s="401"/>
      <c r="UYJ67" s="401"/>
      <c r="UYK67" s="401"/>
      <c r="UYL67" s="401"/>
      <c r="UYM67" s="401"/>
      <c r="UYN67" s="401"/>
      <c r="UYO67" s="401"/>
      <c r="UYP67" s="401"/>
      <c r="UYQ67" s="401"/>
      <c r="UYR67" s="401"/>
      <c r="UYS67" s="401"/>
      <c r="UYT67" s="401"/>
      <c r="UYU67" s="401"/>
      <c r="UYV67" s="401"/>
      <c r="UYW67" s="401"/>
      <c r="UYX67" s="401"/>
      <c r="UYY67" s="401"/>
      <c r="UYZ67" s="401"/>
      <c r="UZA67" s="401"/>
      <c r="UZB67" s="401"/>
      <c r="UZC67" s="401"/>
      <c r="UZD67" s="401"/>
      <c r="UZE67" s="401"/>
      <c r="UZF67" s="401"/>
      <c r="UZG67" s="401"/>
      <c r="UZH67" s="401"/>
      <c r="UZI67" s="401"/>
      <c r="UZJ67" s="401"/>
      <c r="UZK67" s="401"/>
      <c r="UZL67" s="401"/>
      <c r="UZM67" s="401"/>
      <c r="UZN67" s="401"/>
      <c r="UZO67" s="401"/>
      <c r="UZP67" s="401"/>
      <c r="UZQ67" s="401"/>
      <c r="UZR67" s="401"/>
      <c r="UZS67" s="401"/>
      <c r="UZT67" s="401"/>
      <c r="UZU67" s="401"/>
      <c r="UZV67" s="401"/>
      <c r="UZW67" s="401"/>
      <c r="UZX67" s="401"/>
      <c r="UZY67" s="401"/>
      <c r="UZZ67" s="401"/>
      <c r="VAA67" s="401"/>
      <c r="VAB67" s="401"/>
      <c r="VAC67" s="401"/>
      <c r="VAD67" s="401"/>
      <c r="VAE67" s="401"/>
      <c r="VAF67" s="401"/>
      <c r="VAG67" s="401"/>
      <c r="VAH67" s="401"/>
      <c r="VAI67" s="401"/>
      <c r="VAJ67" s="401"/>
      <c r="VAK67" s="401"/>
      <c r="VAL67" s="401"/>
      <c r="VAM67" s="401"/>
      <c r="VAN67" s="401"/>
      <c r="VAO67" s="401"/>
      <c r="VAP67" s="401"/>
      <c r="VAQ67" s="401"/>
      <c r="VAR67" s="401"/>
      <c r="VAS67" s="401"/>
      <c r="VAT67" s="401"/>
      <c r="VAU67" s="401"/>
      <c r="VAV67" s="401"/>
      <c r="VAW67" s="401"/>
      <c r="VAX67" s="401"/>
      <c r="VAY67" s="401"/>
      <c r="VAZ67" s="401"/>
      <c r="VBA67" s="401"/>
      <c r="VBB67" s="401"/>
      <c r="VBC67" s="401"/>
      <c r="VBD67" s="401"/>
      <c r="VBE67" s="401"/>
      <c r="VBF67" s="401"/>
      <c r="VBG67" s="401"/>
      <c r="VBH67" s="401"/>
      <c r="VBI67" s="401"/>
      <c r="VBJ67" s="401"/>
      <c r="VBK67" s="401"/>
      <c r="VBL67" s="401"/>
      <c r="VBM67" s="401"/>
      <c r="VBN67" s="401"/>
      <c r="VBO67" s="401"/>
      <c r="VBP67" s="401"/>
      <c r="VBQ67" s="401"/>
      <c r="VBR67" s="401"/>
      <c r="VBS67" s="401"/>
      <c r="VBT67" s="401"/>
      <c r="VBU67" s="401"/>
      <c r="VBV67" s="401"/>
      <c r="VBW67" s="401"/>
      <c r="VBX67" s="401"/>
      <c r="VBY67" s="401"/>
      <c r="VBZ67" s="401"/>
      <c r="VCA67" s="401"/>
      <c r="VCB67" s="401"/>
      <c r="VCC67" s="401"/>
      <c r="VCD67" s="401"/>
      <c r="VCE67" s="401"/>
      <c r="VCF67" s="401"/>
      <c r="VCG67" s="401"/>
      <c r="VCH67" s="401"/>
      <c r="VCI67" s="401"/>
      <c r="VCJ67" s="401"/>
      <c r="VCK67" s="401"/>
      <c r="VCL67" s="401"/>
      <c r="VCM67" s="401"/>
      <c r="VCN67" s="401"/>
      <c r="VCO67" s="401"/>
      <c r="VCP67" s="401"/>
      <c r="VCQ67" s="401"/>
      <c r="VCR67" s="401"/>
      <c r="VCS67" s="401"/>
      <c r="VCT67" s="401"/>
      <c r="VCU67" s="401"/>
      <c r="VCV67" s="401"/>
      <c r="VCW67" s="401"/>
      <c r="VCX67" s="401"/>
      <c r="VCY67" s="401"/>
      <c r="VCZ67" s="401"/>
      <c r="VDA67" s="401"/>
      <c r="VDB67" s="401"/>
      <c r="VDC67" s="401"/>
      <c r="VDD67" s="401"/>
      <c r="VDE67" s="401"/>
      <c r="VDF67" s="401"/>
      <c r="VDG67" s="401"/>
      <c r="VDH67" s="401"/>
      <c r="VDI67" s="401"/>
      <c r="VDJ67" s="401"/>
      <c r="VDK67" s="401"/>
      <c r="VDL67" s="401"/>
      <c r="VDM67" s="401"/>
      <c r="VDN67" s="401"/>
      <c r="VDO67" s="401"/>
      <c r="VDP67" s="401"/>
      <c r="VDQ67" s="401"/>
      <c r="VDR67" s="401"/>
      <c r="VDS67" s="401"/>
      <c r="VDT67" s="401"/>
      <c r="VDU67" s="401"/>
      <c r="VDV67" s="401"/>
      <c r="VDW67" s="401"/>
      <c r="VDX67" s="401"/>
      <c r="VDY67" s="401"/>
      <c r="VDZ67" s="401"/>
      <c r="VEA67" s="401"/>
      <c r="VEB67" s="401"/>
      <c r="VEC67" s="401"/>
      <c r="VED67" s="401"/>
      <c r="VEE67" s="401"/>
      <c r="VEF67" s="401"/>
      <c r="VEG67" s="401"/>
      <c r="VEH67" s="401"/>
      <c r="VEI67" s="401"/>
      <c r="VEJ67" s="401"/>
      <c r="VEK67" s="401"/>
      <c r="VEL67" s="401"/>
      <c r="VEM67" s="401"/>
      <c r="VEN67" s="401"/>
      <c r="VEO67" s="401"/>
      <c r="VEP67" s="401"/>
      <c r="VEQ67" s="401"/>
      <c r="VER67" s="401"/>
      <c r="VES67" s="401"/>
      <c r="VET67" s="401"/>
      <c r="VEU67" s="401"/>
      <c r="VEV67" s="401"/>
      <c r="VEW67" s="401"/>
      <c r="VEX67" s="401"/>
      <c r="VEY67" s="401"/>
      <c r="VEZ67" s="401"/>
      <c r="VFA67" s="401"/>
      <c r="VFB67" s="401"/>
      <c r="VFC67" s="401"/>
      <c r="VFD67" s="401"/>
      <c r="VFE67" s="401"/>
      <c r="VFF67" s="401"/>
      <c r="VFG67" s="401"/>
      <c r="VFH67" s="401"/>
      <c r="VFI67" s="401"/>
      <c r="VFJ67" s="401"/>
      <c r="VFK67" s="401"/>
      <c r="VFL67" s="401"/>
      <c r="VFM67" s="401"/>
      <c r="VFN67" s="401"/>
      <c r="VFO67" s="401"/>
      <c r="VFP67" s="401"/>
      <c r="VFQ67" s="401"/>
      <c r="VFR67" s="401"/>
      <c r="VFS67" s="401"/>
      <c r="VFT67" s="401"/>
      <c r="VFU67" s="401"/>
      <c r="VFV67" s="401"/>
      <c r="VFW67" s="401"/>
      <c r="VFX67" s="401"/>
      <c r="VFY67" s="401"/>
      <c r="VFZ67" s="401"/>
      <c r="VGA67" s="401"/>
      <c r="VGB67" s="401"/>
      <c r="VGC67" s="401"/>
      <c r="VGD67" s="401"/>
      <c r="VGE67" s="401"/>
      <c r="VGF67" s="401"/>
      <c r="VGG67" s="401"/>
      <c r="VGH67" s="401"/>
      <c r="VGI67" s="401"/>
      <c r="VGJ67" s="401"/>
      <c r="VGK67" s="401"/>
      <c r="VGL67" s="401"/>
      <c r="VGM67" s="401"/>
      <c r="VGN67" s="401"/>
      <c r="VGO67" s="401"/>
      <c r="VGP67" s="401"/>
      <c r="VGQ67" s="401"/>
      <c r="VGR67" s="401"/>
      <c r="VGS67" s="401"/>
      <c r="VGT67" s="401"/>
      <c r="VGU67" s="401"/>
      <c r="VGV67" s="401"/>
      <c r="VGW67" s="401"/>
      <c r="VGX67" s="401"/>
      <c r="VGY67" s="401"/>
      <c r="VGZ67" s="401"/>
      <c r="VHA67" s="401"/>
      <c r="VHB67" s="401"/>
      <c r="VHC67" s="401"/>
      <c r="VHD67" s="401"/>
      <c r="VHE67" s="401"/>
      <c r="VHF67" s="401"/>
      <c r="VHG67" s="401"/>
      <c r="VHH67" s="401"/>
      <c r="VHI67" s="401"/>
      <c r="VHJ67" s="401"/>
      <c r="VHK67" s="401"/>
      <c r="VHL67" s="401"/>
      <c r="VHM67" s="401"/>
      <c r="VHN67" s="401"/>
      <c r="VHO67" s="401"/>
      <c r="VHP67" s="401"/>
      <c r="VHQ67" s="401"/>
      <c r="VHR67" s="401"/>
      <c r="VHS67" s="401"/>
      <c r="VHT67" s="401"/>
      <c r="VHU67" s="401"/>
      <c r="VHV67" s="401"/>
      <c r="VHW67" s="401"/>
      <c r="VHX67" s="401"/>
      <c r="VHY67" s="401"/>
      <c r="VHZ67" s="401"/>
      <c r="VIA67" s="401"/>
      <c r="VIB67" s="401"/>
      <c r="VIC67" s="401"/>
      <c r="VID67" s="401"/>
      <c r="VIE67" s="401"/>
      <c r="VIF67" s="401"/>
      <c r="VIG67" s="401"/>
      <c r="VIH67" s="401"/>
      <c r="VII67" s="401"/>
      <c r="VIJ67" s="401"/>
      <c r="VIK67" s="401"/>
      <c r="VIL67" s="401"/>
      <c r="VIM67" s="401"/>
      <c r="VIN67" s="401"/>
      <c r="VIO67" s="401"/>
      <c r="VIP67" s="401"/>
      <c r="VIQ67" s="401"/>
      <c r="VIR67" s="401"/>
      <c r="VIS67" s="401"/>
      <c r="VIT67" s="401"/>
      <c r="VIU67" s="401"/>
      <c r="VIV67" s="401"/>
      <c r="VIW67" s="401"/>
      <c r="VIX67" s="401"/>
      <c r="VIY67" s="401"/>
      <c r="VIZ67" s="401"/>
      <c r="VJA67" s="401"/>
      <c r="VJB67" s="401"/>
      <c r="VJC67" s="401"/>
      <c r="VJD67" s="401"/>
      <c r="VJE67" s="401"/>
      <c r="VJF67" s="401"/>
      <c r="VJG67" s="401"/>
      <c r="VJH67" s="401"/>
      <c r="VJI67" s="401"/>
      <c r="VJJ67" s="401"/>
      <c r="VJK67" s="401"/>
      <c r="VJL67" s="401"/>
      <c r="VJM67" s="401"/>
      <c r="VJN67" s="401"/>
      <c r="VJO67" s="401"/>
      <c r="VJP67" s="401"/>
      <c r="VJQ67" s="401"/>
      <c r="VJR67" s="401"/>
      <c r="VJS67" s="401"/>
      <c r="VJT67" s="401"/>
      <c r="VJU67" s="401"/>
      <c r="VJV67" s="401"/>
      <c r="VJW67" s="401"/>
      <c r="VJX67" s="401"/>
      <c r="VJY67" s="401"/>
      <c r="VJZ67" s="401"/>
      <c r="VKA67" s="401"/>
      <c r="VKB67" s="401"/>
      <c r="VKC67" s="401"/>
      <c r="VKD67" s="401"/>
      <c r="VKE67" s="401"/>
      <c r="VKF67" s="401"/>
      <c r="VKG67" s="401"/>
      <c r="VKH67" s="401"/>
      <c r="VKI67" s="401"/>
      <c r="VKJ67" s="401"/>
      <c r="VKK67" s="401"/>
      <c r="VKL67" s="401"/>
      <c r="VKM67" s="401"/>
      <c r="VKN67" s="401"/>
      <c r="VKO67" s="401"/>
      <c r="VKP67" s="401"/>
      <c r="VKQ67" s="401"/>
      <c r="VKR67" s="401"/>
      <c r="VKS67" s="401"/>
      <c r="VKT67" s="401"/>
      <c r="VKU67" s="401"/>
      <c r="VKV67" s="401"/>
      <c r="VKW67" s="401"/>
      <c r="VKX67" s="401"/>
      <c r="VKY67" s="401"/>
      <c r="VKZ67" s="401"/>
      <c r="VLA67" s="401"/>
      <c r="VLB67" s="401"/>
      <c r="VLC67" s="401"/>
      <c r="VLD67" s="401"/>
      <c r="VLE67" s="401"/>
      <c r="VLF67" s="401"/>
      <c r="VLG67" s="401"/>
      <c r="VLH67" s="401"/>
      <c r="VLI67" s="401"/>
      <c r="VLJ67" s="401"/>
      <c r="VLK67" s="401"/>
      <c r="VLL67" s="401"/>
      <c r="VLM67" s="401"/>
      <c r="VLN67" s="401"/>
      <c r="VLO67" s="401"/>
      <c r="VLP67" s="401"/>
      <c r="VLQ67" s="401"/>
      <c r="VLR67" s="401"/>
      <c r="VLS67" s="401"/>
      <c r="VLT67" s="401"/>
      <c r="VLU67" s="401"/>
      <c r="VLV67" s="401"/>
      <c r="VLW67" s="401"/>
      <c r="VLX67" s="401"/>
      <c r="VLY67" s="401"/>
      <c r="VLZ67" s="401"/>
      <c r="VMA67" s="401"/>
      <c r="VMB67" s="401"/>
      <c r="VMC67" s="401"/>
      <c r="VMD67" s="401"/>
      <c r="VME67" s="401"/>
      <c r="VMF67" s="401"/>
      <c r="VMG67" s="401"/>
      <c r="VMH67" s="401"/>
      <c r="VMI67" s="401"/>
      <c r="VMJ67" s="401"/>
      <c r="VMK67" s="401"/>
      <c r="VML67" s="401"/>
      <c r="VMM67" s="401"/>
      <c r="VMN67" s="401"/>
      <c r="VMO67" s="401"/>
      <c r="VMP67" s="401"/>
      <c r="VMQ67" s="401"/>
      <c r="VMR67" s="401"/>
      <c r="VMS67" s="401"/>
      <c r="VMT67" s="401"/>
      <c r="VMU67" s="401"/>
      <c r="VMV67" s="401"/>
      <c r="VMW67" s="401"/>
      <c r="VMX67" s="401"/>
      <c r="VMY67" s="401"/>
      <c r="VMZ67" s="401"/>
      <c r="VNA67" s="401"/>
      <c r="VNB67" s="401"/>
      <c r="VNC67" s="401"/>
      <c r="VND67" s="401"/>
      <c r="VNE67" s="401"/>
      <c r="VNF67" s="401"/>
      <c r="VNG67" s="401"/>
      <c r="VNH67" s="401"/>
      <c r="VNI67" s="401"/>
      <c r="VNJ67" s="401"/>
      <c r="VNK67" s="401"/>
      <c r="VNL67" s="401"/>
      <c r="VNM67" s="401"/>
      <c r="VNN67" s="401"/>
      <c r="VNO67" s="401"/>
      <c r="VNP67" s="401"/>
      <c r="VNQ67" s="401"/>
      <c r="VNR67" s="401"/>
      <c r="VNS67" s="401"/>
      <c r="VNT67" s="401"/>
      <c r="VNU67" s="401"/>
      <c r="VNV67" s="401"/>
      <c r="VNW67" s="401"/>
      <c r="VNX67" s="401"/>
      <c r="VNY67" s="401"/>
      <c r="VNZ67" s="401"/>
      <c r="VOA67" s="401"/>
      <c r="VOB67" s="401"/>
      <c r="VOC67" s="401"/>
      <c r="VOD67" s="401"/>
      <c r="VOE67" s="401"/>
      <c r="VOF67" s="401"/>
      <c r="VOG67" s="401"/>
      <c r="VOH67" s="401"/>
      <c r="VOI67" s="401"/>
      <c r="VOJ67" s="401"/>
      <c r="VOK67" s="401"/>
      <c r="VOL67" s="401"/>
      <c r="VOM67" s="401"/>
      <c r="VON67" s="401"/>
      <c r="VOO67" s="401"/>
      <c r="VOP67" s="401"/>
      <c r="VOQ67" s="401"/>
      <c r="VOR67" s="401"/>
      <c r="VOS67" s="401"/>
      <c r="VOT67" s="401"/>
      <c r="VOU67" s="401"/>
      <c r="VOV67" s="401"/>
      <c r="VOW67" s="401"/>
      <c r="VOX67" s="401"/>
      <c r="VOY67" s="401"/>
      <c r="VOZ67" s="401"/>
      <c r="VPA67" s="401"/>
      <c r="VPB67" s="401"/>
      <c r="VPC67" s="401"/>
      <c r="VPD67" s="401"/>
      <c r="VPE67" s="401"/>
      <c r="VPF67" s="401"/>
      <c r="VPG67" s="401"/>
      <c r="VPH67" s="401"/>
      <c r="VPI67" s="401"/>
      <c r="VPJ67" s="401"/>
      <c r="VPK67" s="401"/>
      <c r="VPL67" s="401"/>
      <c r="VPM67" s="401"/>
      <c r="VPN67" s="401"/>
      <c r="VPO67" s="401"/>
      <c r="VPP67" s="401"/>
      <c r="VPQ67" s="401"/>
      <c r="VPR67" s="401"/>
      <c r="VPS67" s="401"/>
      <c r="VPT67" s="401"/>
      <c r="VPU67" s="401"/>
      <c r="VPV67" s="401"/>
      <c r="VPW67" s="401"/>
      <c r="VPX67" s="401"/>
      <c r="VPY67" s="401"/>
      <c r="VPZ67" s="401"/>
      <c r="VQA67" s="401"/>
      <c r="VQB67" s="401"/>
      <c r="VQC67" s="401"/>
      <c r="VQD67" s="401"/>
      <c r="VQE67" s="401"/>
      <c r="VQF67" s="401"/>
      <c r="VQG67" s="401"/>
      <c r="VQH67" s="401"/>
      <c r="VQI67" s="401"/>
      <c r="VQJ67" s="401"/>
      <c r="VQK67" s="401"/>
      <c r="VQL67" s="401"/>
      <c r="VQM67" s="401"/>
      <c r="VQN67" s="401"/>
      <c r="VQO67" s="401"/>
      <c r="VQP67" s="401"/>
      <c r="VQQ67" s="401"/>
      <c r="VQR67" s="401"/>
      <c r="VQS67" s="401"/>
      <c r="VQT67" s="401"/>
      <c r="VQU67" s="401"/>
      <c r="VQV67" s="401"/>
      <c r="VQW67" s="401"/>
      <c r="VQX67" s="401"/>
      <c r="VQY67" s="401"/>
      <c r="VQZ67" s="401"/>
      <c r="VRA67" s="401"/>
      <c r="VRB67" s="401"/>
      <c r="VRC67" s="401"/>
      <c r="VRD67" s="401"/>
      <c r="VRE67" s="401"/>
      <c r="VRF67" s="401"/>
      <c r="VRG67" s="401"/>
      <c r="VRH67" s="401"/>
      <c r="VRI67" s="401"/>
      <c r="VRJ67" s="401"/>
      <c r="VRK67" s="401"/>
      <c r="VRL67" s="401"/>
      <c r="VRM67" s="401"/>
      <c r="VRN67" s="401"/>
      <c r="VRO67" s="401"/>
      <c r="VRP67" s="401"/>
      <c r="VRQ67" s="401"/>
      <c r="VRR67" s="401"/>
      <c r="VRS67" s="401"/>
      <c r="VRT67" s="401"/>
      <c r="VRU67" s="401"/>
      <c r="VRV67" s="401"/>
      <c r="VRW67" s="401"/>
      <c r="VRX67" s="401"/>
      <c r="VRY67" s="401"/>
      <c r="VRZ67" s="401"/>
      <c r="VSA67" s="401"/>
      <c r="VSB67" s="401"/>
      <c r="VSC67" s="401"/>
      <c r="VSD67" s="401"/>
      <c r="VSE67" s="401"/>
      <c r="VSF67" s="401"/>
      <c r="VSG67" s="401"/>
      <c r="VSH67" s="401"/>
      <c r="VSI67" s="401"/>
      <c r="VSJ67" s="401"/>
      <c r="VSK67" s="401"/>
      <c r="VSL67" s="401"/>
      <c r="VSM67" s="401"/>
      <c r="VSN67" s="401"/>
      <c r="VSO67" s="401"/>
      <c r="VSP67" s="401"/>
      <c r="VSQ67" s="401"/>
      <c r="VSR67" s="401"/>
      <c r="VSS67" s="401"/>
      <c r="VST67" s="401"/>
      <c r="VSU67" s="401"/>
      <c r="VSV67" s="401"/>
      <c r="VSW67" s="401"/>
      <c r="VSX67" s="401"/>
      <c r="VSY67" s="401"/>
      <c r="VSZ67" s="401"/>
      <c r="VTA67" s="401"/>
      <c r="VTB67" s="401"/>
      <c r="VTC67" s="401"/>
      <c r="VTD67" s="401"/>
      <c r="VTE67" s="401"/>
      <c r="VTF67" s="401"/>
      <c r="VTG67" s="401"/>
      <c r="VTH67" s="401"/>
      <c r="VTI67" s="401"/>
      <c r="VTJ67" s="401"/>
      <c r="VTK67" s="401"/>
      <c r="VTL67" s="401"/>
      <c r="VTM67" s="401"/>
      <c r="VTN67" s="401"/>
      <c r="VTO67" s="401"/>
      <c r="VTP67" s="401"/>
      <c r="VTQ67" s="401"/>
      <c r="VTR67" s="401"/>
      <c r="VTS67" s="401"/>
      <c r="VTT67" s="401"/>
      <c r="VTU67" s="401"/>
      <c r="VTV67" s="401"/>
      <c r="VTW67" s="401"/>
      <c r="VTX67" s="401"/>
      <c r="VTY67" s="401"/>
      <c r="VTZ67" s="401"/>
      <c r="VUA67" s="401"/>
      <c r="VUB67" s="401"/>
      <c r="VUC67" s="401"/>
      <c r="VUD67" s="401"/>
      <c r="VUE67" s="401"/>
      <c r="VUF67" s="401"/>
      <c r="VUG67" s="401"/>
      <c r="VUH67" s="401"/>
      <c r="VUI67" s="401"/>
      <c r="VUJ67" s="401"/>
      <c r="VUK67" s="401"/>
      <c r="VUL67" s="401"/>
      <c r="VUM67" s="401"/>
      <c r="VUN67" s="401"/>
      <c r="VUO67" s="401"/>
      <c r="VUP67" s="401"/>
      <c r="VUQ67" s="401"/>
      <c r="VUR67" s="401"/>
      <c r="VUS67" s="401"/>
      <c r="VUT67" s="401"/>
      <c r="VUU67" s="401"/>
      <c r="VUV67" s="401"/>
      <c r="VUW67" s="401"/>
      <c r="VUX67" s="401"/>
      <c r="VUY67" s="401"/>
      <c r="VUZ67" s="401"/>
      <c r="VVA67" s="401"/>
      <c r="VVB67" s="401"/>
      <c r="VVC67" s="401"/>
      <c r="VVD67" s="401"/>
      <c r="VVE67" s="401"/>
      <c r="VVF67" s="401"/>
      <c r="VVG67" s="401"/>
      <c r="VVH67" s="401"/>
      <c r="VVI67" s="401"/>
      <c r="VVJ67" s="401"/>
      <c r="VVK67" s="401"/>
      <c r="VVL67" s="401"/>
      <c r="VVM67" s="401"/>
      <c r="VVN67" s="401"/>
      <c r="VVO67" s="401"/>
      <c r="VVP67" s="401"/>
      <c r="VVQ67" s="401"/>
      <c r="VVR67" s="401"/>
      <c r="VVS67" s="401"/>
      <c r="VVT67" s="401"/>
      <c r="VVU67" s="401"/>
      <c r="VVV67" s="401"/>
      <c r="VVW67" s="401"/>
      <c r="VVX67" s="401"/>
      <c r="VVY67" s="401"/>
      <c r="VVZ67" s="401"/>
      <c r="VWA67" s="401"/>
      <c r="VWB67" s="401"/>
      <c r="VWC67" s="401"/>
      <c r="VWD67" s="401"/>
      <c r="VWE67" s="401"/>
      <c r="VWF67" s="401"/>
      <c r="VWG67" s="401"/>
      <c r="VWH67" s="401"/>
      <c r="VWI67" s="401"/>
      <c r="VWJ67" s="401"/>
      <c r="VWK67" s="401"/>
      <c r="VWL67" s="401"/>
      <c r="VWM67" s="401"/>
      <c r="VWN67" s="401"/>
      <c r="VWO67" s="401"/>
      <c r="VWP67" s="401"/>
      <c r="VWQ67" s="401"/>
      <c r="VWR67" s="401"/>
      <c r="VWS67" s="401"/>
      <c r="VWT67" s="401"/>
      <c r="VWU67" s="401"/>
      <c r="VWV67" s="401"/>
      <c r="VWW67" s="401"/>
      <c r="VWX67" s="401"/>
      <c r="VWY67" s="401"/>
      <c r="VWZ67" s="401"/>
      <c r="VXA67" s="401"/>
      <c r="VXB67" s="401"/>
      <c r="VXC67" s="401"/>
      <c r="VXD67" s="401"/>
      <c r="VXE67" s="401"/>
      <c r="VXF67" s="401"/>
      <c r="VXG67" s="401"/>
      <c r="VXH67" s="401"/>
      <c r="VXI67" s="401"/>
      <c r="VXJ67" s="401"/>
      <c r="VXK67" s="401"/>
      <c r="VXL67" s="401"/>
      <c r="VXM67" s="401"/>
      <c r="VXN67" s="401"/>
      <c r="VXO67" s="401"/>
      <c r="VXP67" s="401"/>
      <c r="VXQ67" s="401"/>
      <c r="VXR67" s="401"/>
      <c r="VXS67" s="401"/>
      <c r="VXT67" s="401"/>
      <c r="VXU67" s="401"/>
      <c r="VXV67" s="401"/>
      <c r="VXW67" s="401"/>
      <c r="VXX67" s="401"/>
      <c r="VXY67" s="401"/>
      <c r="VXZ67" s="401"/>
      <c r="VYA67" s="401"/>
      <c r="VYB67" s="401"/>
      <c r="VYC67" s="401"/>
      <c r="VYD67" s="401"/>
      <c r="VYE67" s="401"/>
      <c r="VYF67" s="401"/>
      <c r="VYG67" s="401"/>
      <c r="VYH67" s="401"/>
      <c r="VYI67" s="401"/>
      <c r="VYJ67" s="401"/>
      <c r="VYK67" s="401"/>
      <c r="VYL67" s="401"/>
      <c r="VYM67" s="401"/>
      <c r="VYN67" s="401"/>
      <c r="VYO67" s="401"/>
      <c r="VYP67" s="401"/>
      <c r="VYQ67" s="401"/>
      <c r="VYR67" s="401"/>
      <c r="VYS67" s="401"/>
      <c r="VYT67" s="401"/>
      <c r="VYU67" s="401"/>
      <c r="VYV67" s="401"/>
      <c r="VYW67" s="401"/>
      <c r="VYX67" s="401"/>
      <c r="VYY67" s="401"/>
      <c r="VYZ67" s="401"/>
      <c r="VZA67" s="401"/>
      <c r="VZB67" s="401"/>
      <c r="VZC67" s="401"/>
      <c r="VZD67" s="401"/>
      <c r="VZE67" s="401"/>
      <c r="VZF67" s="401"/>
      <c r="VZG67" s="401"/>
      <c r="VZH67" s="401"/>
      <c r="VZI67" s="401"/>
      <c r="VZJ67" s="401"/>
      <c r="VZK67" s="401"/>
      <c r="VZL67" s="401"/>
      <c r="VZM67" s="401"/>
      <c r="VZN67" s="401"/>
      <c r="VZO67" s="401"/>
      <c r="VZP67" s="401"/>
      <c r="VZQ67" s="401"/>
      <c r="VZR67" s="401"/>
      <c r="VZS67" s="401"/>
      <c r="VZT67" s="401"/>
      <c r="VZU67" s="401"/>
      <c r="VZV67" s="401"/>
      <c r="VZW67" s="401"/>
      <c r="VZX67" s="401"/>
      <c r="VZY67" s="401"/>
      <c r="VZZ67" s="401"/>
      <c r="WAA67" s="401"/>
      <c r="WAB67" s="401"/>
      <c r="WAC67" s="401"/>
      <c r="WAD67" s="401"/>
      <c r="WAE67" s="401"/>
      <c r="WAF67" s="401"/>
      <c r="WAG67" s="401"/>
      <c r="WAH67" s="401"/>
      <c r="WAI67" s="401"/>
      <c r="WAJ67" s="401"/>
      <c r="WAK67" s="401"/>
      <c r="WAL67" s="401"/>
      <c r="WAM67" s="401"/>
      <c r="WAN67" s="401"/>
      <c r="WAO67" s="401"/>
      <c r="WAP67" s="401"/>
      <c r="WAQ67" s="401"/>
      <c r="WAR67" s="401"/>
      <c r="WAS67" s="401"/>
      <c r="WAT67" s="401"/>
      <c r="WAU67" s="401"/>
      <c r="WAV67" s="401"/>
      <c r="WAW67" s="401"/>
      <c r="WAX67" s="401"/>
      <c r="WAY67" s="401"/>
      <c r="WAZ67" s="401"/>
      <c r="WBA67" s="401"/>
      <c r="WBB67" s="401"/>
      <c r="WBC67" s="401"/>
      <c r="WBD67" s="401"/>
      <c r="WBE67" s="401"/>
      <c r="WBF67" s="401"/>
      <c r="WBG67" s="401"/>
      <c r="WBH67" s="401"/>
      <c r="WBI67" s="401"/>
      <c r="WBJ67" s="401"/>
      <c r="WBK67" s="401"/>
      <c r="WBL67" s="401"/>
      <c r="WBM67" s="401"/>
      <c r="WBN67" s="401"/>
      <c r="WBO67" s="401"/>
      <c r="WBP67" s="401"/>
      <c r="WBQ67" s="401"/>
      <c r="WBR67" s="401"/>
      <c r="WBS67" s="401"/>
      <c r="WBT67" s="401"/>
      <c r="WBU67" s="401"/>
      <c r="WBV67" s="401"/>
      <c r="WBW67" s="401"/>
      <c r="WBX67" s="401"/>
      <c r="WBY67" s="401"/>
      <c r="WBZ67" s="401"/>
      <c r="WCA67" s="401"/>
      <c r="WCB67" s="401"/>
      <c r="WCC67" s="401"/>
      <c r="WCD67" s="401"/>
      <c r="WCE67" s="401"/>
      <c r="WCF67" s="401"/>
      <c r="WCG67" s="401"/>
      <c r="WCH67" s="401"/>
      <c r="WCI67" s="401"/>
      <c r="WCJ67" s="401"/>
      <c r="WCK67" s="401"/>
      <c r="WCL67" s="401"/>
      <c r="WCM67" s="401"/>
      <c r="WCN67" s="401"/>
      <c r="WCO67" s="401"/>
      <c r="WCP67" s="401"/>
      <c r="WCQ67" s="401"/>
      <c r="WCR67" s="401"/>
      <c r="WCS67" s="401"/>
      <c r="WCT67" s="401"/>
      <c r="WCU67" s="401"/>
      <c r="WCV67" s="401"/>
      <c r="WCW67" s="401"/>
      <c r="WCX67" s="401"/>
      <c r="WCY67" s="401"/>
      <c r="WCZ67" s="401"/>
      <c r="WDA67" s="401"/>
      <c r="WDB67" s="401"/>
      <c r="WDC67" s="401"/>
      <c r="WDD67" s="401"/>
      <c r="WDE67" s="401"/>
      <c r="WDF67" s="401"/>
      <c r="WDG67" s="401"/>
      <c r="WDH67" s="401"/>
      <c r="WDI67" s="401"/>
      <c r="WDJ67" s="401"/>
      <c r="WDK67" s="401"/>
      <c r="WDL67" s="401"/>
      <c r="WDM67" s="401"/>
      <c r="WDN67" s="401"/>
      <c r="WDO67" s="401"/>
      <c r="WDP67" s="401"/>
      <c r="WDQ67" s="401"/>
      <c r="WDR67" s="401"/>
      <c r="WDS67" s="401"/>
      <c r="WDT67" s="401"/>
      <c r="WDU67" s="401"/>
      <c r="WDV67" s="401"/>
      <c r="WDW67" s="401"/>
      <c r="WDX67" s="401"/>
      <c r="WDY67" s="401"/>
      <c r="WDZ67" s="401"/>
      <c r="WEA67" s="401"/>
      <c r="WEB67" s="401"/>
      <c r="WEC67" s="401"/>
      <c r="WED67" s="401"/>
      <c r="WEE67" s="401"/>
      <c r="WEF67" s="401"/>
      <c r="WEG67" s="401"/>
      <c r="WEH67" s="401"/>
      <c r="WEI67" s="401"/>
      <c r="WEJ67" s="401"/>
      <c r="WEK67" s="401"/>
      <c r="WEL67" s="401"/>
      <c r="WEM67" s="401"/>
      <c r="WEN67" s="401"/>
      <c r="WEO67" s="401"/>
      <c r="WEP67" s="401"/>
      <c r="WEQ67" s="401"/>
      <c r="WER67" s="401"/>
      <c r="WES67" s="401"/>
      <c r="WET67" s="401"/>
      <c r="WEU67" s="401"/>
      <c r="WEV67" s="401"/>
      <c r="WEW67" s="401"/>
      <c r="WEX67" s="401"/>
      <c r="WEY67" s="401"/>
      <c r="WEZ67" s="401"/>
      <c r="WFA67" s="401"/>
      <c r="WFB67" s="401"/>
      <c r="WFC67" s="401"/>
      <c r="WFD67" s="401"/>
      <c r="WFE67" s="401"/>
      <c r="WFF67" s="401"/>
      <c r="WFG67" s="401"/>
      <c r="WFH67" s="401"/>
      <c r="WFI67" s="401"/>
      <c r="WFJ67" s="401"/>
      <c r="WFK67" s="401"/>
      <c r="WFL67" s="401"/>
      <c r="WFM67" s="401"/>
      <c r="WFN67" s="401"/>
      <c r="WFO67" s="401"/>
      <c r="WFP67" s="401"/>
      <c r="WFQ67" s="401"/>
      <c r="WFR67" s="401"/>
      <c r="WFS67" s="401"/>
      <c r="WFT67" s="401"/>
      <c r="WFU67" s="401"/>
      <c r="WFV67" s="401"/>
      <c r="WFW67" s="401"/>
      <c r="WFX67" s="401"/>
      <c r="WFY67" s="401"/>
      <c r="WFZ67" s="401"/>
      <c r="WGA67" s="401"/>
      <c r="WGB67" s="401"/>
      <c r="WGC67" s="401"/>
      <c r="WGD67" s="401"/>
      <c r="WGE67" s="401"/>
      <c r="WGF67" s="401"/>
      <c r="WGG67" s="401"/>
      <c r="WGH67" s="401"/>
      <c r="WGI67" s="401"/>
      <c r="WGJ67" s="401"/>
      <c r="WGK67" s="401"/>
      <c r="WGL67" s="401"/>
      <c r="WGM67" s="401"/>
      <c r="WGN67" s="401"/>
      <c r="WGO67" s="401"/>
      <c r="WGP67" s="401"/>
      <c r="WGQ67" s="401"/>
      <c r="WGR67" s="401"/>
      <c r="WGS67" s="401"/>
      <c r="WGT67" s="401"/>
      <c r="WGU67" s="401"/>
      <c r="WGV67" s="401"/>
      <c r="WGW67" s="401"/>
      <c r="WGX67" s="401"/>
      <c r="WGY67" s="401"/>
      <c r="WGZ67" s="401"/>
      <c r="WHA67" s="401"/>
      <c r="WHB67" s="401"/>
      <c r="WHC67" s="401"/>
      <c r="WHD67" s="401"/>
      <c r="WHE67" s="401"/>
      <c r="WHF67" s="401"/>
      <c r="WHG67" s="401"/>
      <c r="WHH67" s="401"/>
      <c r="WHI67" s="401"/>
      <c r="WHJ67" s="401"/>
      <c r="WHK67" s="401"/>
      <c r="WHL67" s="401"/>
      <c r="WHM67" s="401"/>
      <c r="WHN67" s="401"/>
      <c r="WHO67" s="401"/>
      <c r="WHP67" s="401"/>
      <c r="WHQ67" s="401"/>
      <c r="WHR67" s="401"/>
      <c r="WHS67" s="401"/>
      <c r="WHT67" s="401"/>
      <c r="WHU67" s="401"/>
      <c r="WHV67" s="401"/>
      <c r="WHW67" s="401"/>
      <c r="WHX67" s="401"/>
      <c r="WHY67" s="401"/>
      <c r="WHZ67" s="401"/>
      <c r="WIA67" s="401"/>
      <c r="WIB67" s="401"/>
      <c r="WIC67" s="401"/>
      <c r="WID67" s="401"/>
      <c r="WIE67" s="401"/>
      <c r="WIF67" s="401"/>
      <c r="WIG67" s="401"/>
      <c r="WIH67" s="401"/>
      <c r="WII67" s="401"/>
      <c r="WIJ67" s="401"/>
      <c r="WIK67" s="401"/>
      <c r="WIL67" s="401"/>
      <c r="WIM67" s="401"/>
      <c r="WIN67" s="401"/>
      <c r="WIO67" s="401"/>
      <c r="WIP67" s="401"/>
      <c r="WIQ67" s="401"/>
      <c r="WIR67" s="401"/>
      <c r="WIS67" s="401"/>
      <c r="WIT67" s="401"/>
      <c r="WIU67" s="401"/>
      <c r="WIV67" s="401"/>
      <c r="WIW67" s="401"/>
      <c r="WIX67" s="401"/>
      <c r="WIY67" s="401"/>
      <c r="WIZ67" s="401"/>
      <c r="WJA67" s="401"/>
      <c r="WJB67" s="401"/>
      <c r="WJC67" s="401"/>
      <c r="WJD67" s="401"/>
      <c r="WJE67" s="401"/>
      <c r="WJF67" s="401"/>
      <c r="WJG67" s="401"/>
      <c r="WJH67" s="401"/>
      <c r="WJI67" s="401"/>
      <c r="WJJ67" s="401"/>
      <c r="WJK67" s="401"/>
      <c r="WJL67" s="401"/>
      <c r="WJM67" s="401"/>
      <c r="WJN67" s="401"/>
      <c r="WJO67" s="401"/>
      <c r="WJP67" s="401"/>
      <c r="WJQ67" s="401"/>
      <c r="WJR67" s="401"/>
      <c r="WJS67" s="401"/>
      <c r="WJT67" s="401"/>
      <c r="WJU67" s="401"/>
      <c r="WJV67" s="401"/>
      <c r="WJW67" s="401"/>
      <c r="WJX67" s="401"/>
      <c r="WJY67" s="401"/>
      <c r="WJZ67" s="401"/>
      <c r="WKA67" s="401"/>
      <c r="WKB67" s="401"/>
      <c r="WKC67" s="401"/>
      <c r="WKD67" s="401"/>
      <c r="WKE67" s="401"/>
      <c r="WKF67" s="401"/>
      <c r="WKG67" s="401"/>
      <c r="WKH67" s="401"/>
      <c r="WKI67" s="401"/>
      <c r="WKJ67" s="401"/>
      <c r="WKK67" s="401"/>
      <c r="WKL67" s="401"/>
      <c r="WKM67" s="401"/>
      <c r="WKN67" s="401"/>
      <c r="WKO67" s="401"/>
      <c r="WKP67" s="401"/>
      <c r="WKQ67" s="401"/>
      <c r="WKR67" s="401"/>
      <c r="WKS67" s="401"/>
      <c r="WKT67" s="401"/>
      <c r="WKU67" s="401"/>
      <c r="WKV67" s="401"/>
      <c r="WKW67" s="401"/>
      <c r="WKX67" s="401"/>
      <c r="WKY67" s="401"/>
      <c r="WKZ67" s="401"/>
      <c r="WLA67" s="401"/>
      <c r="WLB67" s="401"/>
      <c r="WLC67" s="401"/>
      <c r="WLD67" s="401"/>
      <c r="WLE67" s="401"/>
      <c r="WLF67" s="401"/>
      <c r="WLG67" s="401"/>
      <c r="WLH67" s="401"/>
      <c r="WLI67" s="401"/>
      <c r="WLJ67" s="401"/>
      <c r="WLK67" s="401"/>
      <c r="WLL67" s="401"/>
      <c r="WLM67" s="401"/>
      <c r="WLN67" s="401"/>
      <c r="WLO67" s="401"/>
      <c r="WLP67" s="401"/>
      <c r="WLQ67" s="401"/>
      <c r="WLR67" s="401"/>
      <c r="WLS67" s="401"/>
      <c r="WLT67" s="401"/>
      <c r="WLU67" s="401"/>
      <c r="WLV67" s="401"/>
      <c r="WLW67" s="401"/>
      <c r="WLX67" s="401"/>
      <c r="WLY67" s="401"/>
      <c r="WLZ67" s="401"/>
      <c r="WMA67" s="401"/>
      <c r="WMB67" s="401"/>
      <c r="WMC67" s="401"/>
      <c r="WMD67" s="401"/>
      <c r="WME67" s="401"/>
      <c r="WMF67" s="401"/>
      <c r="WMG67" s="401"/>
      <c r="WMH67" s="401"/>
      <c r="WMI67" s="401"/>
      <c r="WMJ67" s="401"/>
      <c r="WMK67" s="401"/>
      <c r="WML67" s="401"/>
      <c r="WMM67" s="401"/>
      <c r="WMN67" s="401"/>
      <c r="WMO67" s="401"/>
      <c r="WMP67" s="401"/>
      <c r="WMQ67" s="401"/>
      <c r="WMR67" s="401"/>
      <c r="WMS67" s="401"/>
      <c r="WMT67" s="401"/>
      <c r="WMU67" s="401"/>
      <c r="WMV67" s="401"/>
      <c r="WMW67" s="401"/>
      <c r="WMX67" s="401"/>
      <c r="WMY67" s="401"/>
      <c r="WMZ67" s="401"/>
      <c r="WNA67" s="401"/>
      <c r="WNB67" s="401"/>
      <c r="WNC67" s="401"/>
      <c r="WND67" s="401"/>
      <c r="WNE67" s="401"/>
      <c r="WNF67" s="401"/>
      <c r="WNG67" s="401"/>
      <c r="WNH67" s="401"/>
      <c r="WNI67" s="401"/>
      <c r="WNJ67" s="401"/>
      <c r="WNK67" s="401"/>
      <c r="WNL67" s="401"/>
      <c r="WNM67" s="401"/>
      <c r="WNN67" s="401"/>
      <c r="WNO67" s="401"/>
      <c r="WNP67" s="401"/>
      <c r="WNQ67" s="401"/>
      <c r="WNR67" s="401"/>
      <c r="WNS67" s="401"/>
      <c r="WNT67" s="401"/>
      <c r="WNU67" s="401"/>
      <c r="WNV67" s="401"/>
      <c r="WNW67" s="401"/>
      <c r="WNX67" s="401"/>
      <c r="WNY67" s="401"/>
      <c r="WNZ67" s="401"/>
      <c r="WOA67" s="401"/>
      <c r="WOB67" s="401"/>
      <c r="WOC67" s="401"/>
      <c r="WOD67" s="401"/>
      <c r="WOE67" s="401"/>
      <c r="WOF67" s="401"/>
      <c r="WOG67" s="401"/>
      <c r="WOH67" s="401"/>
      <c r="WOI67" s="401"/>
      <c r="WOJ67" s="401"/>
      <c r="WOK67" s="401"/>
      <c r="WOL67" s="401"/>
      <c r="WOM67" s="401"/>
      <c r="WON67" s="401"/>
      <c r="WOO67" s="401"/>
      <c r="WOP67" s="401"/>
      <c r="WOQ67" s="401"/>
      <c r="WOR67" s="401"/>
      <c r="WOS67" s="401"/>
      <c r="WOT67" s="401"/>
      <c r="WOU67" s="401"/>
      <c r="WOV67" s="401"/>
      <c r="WOW67" s="401"/>
      <c r="WOX67" s="401"/>
      <c r="WOY67" s="401"/>
      <c r="WOZ67" s="401"/>
      <c r="WPA67" s="401"/>
      <c r="WPB67" s="401"/>
      <c r="WPC67" s="401"/>
      <c r="WPD67" s="401"/>
      <c r="WPE67" s="401"/>
      <c r="WPF67" s="401"/>
      <c r="WPG67" s="401"/>
      <c r="WPH67" s="401"/>
      <c r="WPI67" s="401"/>
      <c r="WPJ67" s="401"/>
      <c r="WPK67" s="401"/>
      <c r="WPL67" s="401"/>
      <c r="WPM67" s="401"/>
      <c r="WPN67" s="401"/>
      <c r="WPO67" s="401"/>
      <c r="WPP67" s="401"/>
      <c r="WPQ67" s="401"/>
      <c r="WPR67" s="401"/>
      <c r="WPS67" s="401"/>
      <c r="WPT67" s="401"/>
      <c r="WPU67" s="401"/>
      <c r="WPV67" s="401"/>
      <c r="WPW67" s="401"/>
      <c r="WPX67" s="401"/>
      <c r="WPY67" s="401"/>
      <c r="WPZ67" s="401"/>
      <c r="WQA67" s="401"/>
      <c r="WQB67" s="401"/>
      <c r="WQC67" s="401"/>
      <c r="WQD67" s="401"/>
      <c r="WQE67" s="401"/>
      <c r="WQF67" s="401"/>
      <c r="WQG67" s="401"/>
      <c r="WQH67" s="401"/>
      <c r="WQI67" s="401"/>
      <c r="WQJ67" s="401"/>
      <c r="WQK67" s="401"/>
      <c r="WQL67" s="401"/>
      <c r="WQM67" s="401"/>
      <c r="WQN67" s="401"/>
      <c r="WQO67" s="401"/>
      <c r="WQP67" s="401"/>
      <c r="WQQ67" s="401"/>
      <c r="WQR67" s="401"/>
      <c r="WQS67" s="401"/>
      <c r="WQT67" s="401"/>
      <c r="WQU67" s="401"/>
      <c r="WQV67" s="401"/>
      <c r="WQW67" s="401"/>
      <c r="WQX67" s="401"/>
      <c r="WQY67" s="401"/>
      <c r="WQZ67" s="401"/>
      <c r="WRA67" s="401"/>
      <c r="WRB67" s="401"/>
      <c r="WRC67" s="401"/>
      <c r="WRD67" s="401"/>
      <c r="WRE67" s="401"/>
      <c r="WRF67" s="401"/>
      <c r="WRG67" s="401"/>
      <c r="WRH67" s="401"/>
      <c r="WRI67" s="401"/>
      <c r="WRJ67" s="401"/>
      <c r="WRK67" s="401"/>
      <c r="WRL67" s="401"/>
      <c r="WRM67" s="401"/>
      <c r="WRN67" s="401"/>
      <c r="WRO67" s="401"/>
      <c r="WRP67" s="401"/>
      <c r="WRQ67" s="401"/>
      <c r="WRR67" s="401"/>
      <c r="WRS67" s="401"/>
      <c r="WRT67" s="401"/>
      <c r="WRU67" s="401"/>
      <c r="WRV67" s="401"/>
      <c r="WRW67" s="401"/>
      <c r="WRX67" s="401"/>
      <c r="WRY67" s="401"/>
      <c r="WRZ67" s="401"/>
      <c r="WSA67" s="401"/>
      <c r="WSB67" s="401"/>
      <c r="WSC67" s="401"/>
      <c r="WSD67" s="401"/>
      <c r="WSE67" s="401"/>
      <c r="WSF67" s="401"/>
      <c r="WSG67" s="401"/>
      <c r="WSH67" s="401"/>
      <c r="WSI67" s="401"/>
      <c r="WSJ67" s="401"/>
      <c r="WSK67" s="401"/>
      <c r="WSL67" s="401"/>
      <c r="WSM67" s="401"/>
      <c r="WSN67" s="401"/>
      <c r="WSO67" s="401"/>
      <c r="WSP67" s="401"/>
      <c r="WSQ67" s="401"/>
      <c r="WSR67" s="401"/>
      <c r="WSS67" s="401"/>
      <c r="WST67" s="401"/>
      <c r="WSU67" s="401"/>
      <c r="WSV67" s="401"/>
      <c r="WSW67" s="401"/>
      <c r="WSX67" s="401"/>
      <c r="WSY67" s="401"/>
      <c r="WSZ67" s="401"/>
      <c r="WTA67" s="401"/>
      <c r="WTB67" s="401"/>
      <c r="WTC67" s="401"/>
      <c r="WTD67" s="401"/>
      <c r="WTE67" s="401"/>
      <c r="WTF67" s="401"/>
      <c r="WTG67" s="401"/>
      <c r="WTH67" s="401"/>
      <c r="WTI67" s="401"/>
      <c r="WTJ67" s="401"/>
      <c r="WTK67" s="401"/>
      <c r="WTL67" s="401"/>
      <c r="WTM67" s="401"/>
      <c r="WTN67" s="401"/>
      <c r="WTO67" s="401"/>
      <c r="WTP67" s="401"/>
      <c r="WTQ67" s="401"/>
      <c r="WTR67" s="401"/>
      <c r="WTS67" s="401"/>
      <c r="WTT67" s="401"/>
      <c r="WTU67" s="401"/>
      <c r="WTV67" s="401"/>
      <c r="WTW67" s="401"/>
      <c r="WTX67" s="401"/>
      <c r="WTY67" s="401"/>
      <c r="WTZ67" s="401"/>
      <c r="WUA67" s="401"/>
      <c r="WUB67" s="401"/>
      <c r="WUC67" s="401"/>
      <c r="WUD67" s="401"/>
      <c r="WUE67" s="401"/>
      <c r="WUF67" s="401"/>
      <c r="WUG67" s="401"/>
      <c r="WUH67" s="401"/>
      <c r="WUI67" s="401"/>
      <c r="WUJ67" s="401"/>
      <c r="WUK67" s="401"/>
      <c r="WUL67" s="401"/>
      <c r="WUM67" s="401"/>
      <c r="WUN67" s="401"/>
      <c r="WUO67" s="401"/>
      <c r="WUP67" s="401"/>
      <c r="WUQ67" s="401"/>
      <c r="WUR67" s="401"/>
      <c r="WUS67" s="401"/>
      <c r="WUT67" s="401"/>
      <c r="WUU67" s="401"/>
      <c r="WUV67" s="401"/>
      <c r="WUW67" s="401"/>
      <c r="WUX67" s="401"/>
      <c r="WUY67" s="401"/>
      <c r="WUZ67" s="401"/>
      <c r="WVA67" s="401"/>
      <c r="WVB67" s="401"/>
      <c r="WVC67" s="401"/>
      <c r="WVD67" s="401"/>
      <c r="WVE67" s="401"/>
      <c r="WVF67" s="401"/>
      <c r="WVG67" s="401"/>
      <c r="WVH67" s="401"/>
      <c r="WVI67" s="401"/>
      <c r="WVJ67" s="401"/>
      <c r="WVK67" s="401"/>
      <c r="WVL67" s="401"/>
      <c r="WVM67" s="401"/>
      <c r="WVN67" s="401"/>
      <c r="WVO67" s="401"/>
      <c r="WVP67" s="401"/>
      <c r="WVQ67" s="401"/>
      <c r="WVR67" s="401"/>
      <c r="WVS67" s="401"/>
      <c r="WVT67" s="401"/>
      <c r="WVU67" s="401"/>
      <c r="WVV67" s="401"/>
      <c r="WVW67" s="401"/>
      <c r="WVX67" s="401"/>
      <c r="WVY67" s="401"/>
      <c r="WVZ67" s="401"/>
      <c r="WWA67" s="401"/>
      <c r="WWB67" s="401"/>
      <c r="WWC67" s="401"/>
      <c r="WWD67" s="401"/>
      <c r="WWE67" s="401"/>
      <c r="WWF67" s="401"/>
      <c r="WWG67" s="401"/>
      <c r="WWH67" s="401"/>
      <c r="WWI67" s="401"/>
      <c r="WWJ67" s="401"/>
      <c r="WWK67" s="401"/>
      <c r="WWL67" s="401"/>
      <c r="WWM67" s="401"/>
      <c r="WWN67" s="401"/>
      <c r="WWO67" s="401"/>
      <c r="WWP67" s="401"/>
      <c r="WWQ67" s="401"/>
      <c r="WWR67" s="401"/>
      <c r="WWS67" s="401"/>
      <c r="WWT67" s="401"/>
      <c r="WWU67" s="401"/>
      <c r="WWV67" s="401"/>
      <c r="WWW67" s="401"/>
      <c r="WWX67" s="401"/>
      <c r="WWY67" s="401"/>
      <c r="WWZ67" s="401"/>
      <c r="WXA67" s="401"/>
      <c r="WXB67" s="401"/>
      <c r="WXC67" s="401"/>
      <c r="WXD67" s="401"/>
      <c r="WXE67" s="401"/>
      <c r="WXF67" s="401"/>
      <c r="WXG67" s="401"/>
      <c r="WXH67" s="401"/>
      <c r="WXI67" s="401"/>
      <c r="WXJ67" s="401"/>
      <c r="WXK67" s="401"/>
      <c r="WXL67" s="401"/>
      <c r="WXM67" s="401"/>
      <c r="WXN67" s="401"/>
      <c r="WXO67" s="401"/>
      <c r="WXP67" s="401"/>
      <c r="WXQ67" s="401"/>
      <c r="WXR67" s="401"/>
      <c r="WXS67" s="401"/>
      <c r="WXT67" s="401"/>
      <c r="WXU67" s="401"/>
      <c r="WXV67" s="401"/>
      <c r="WXW67" s="401"/>
      <c r="WXX67" s="401"/>
      <c r="WXY67" s="401"/>
      <c r="WXZ67" s="401"/>
      <c r="WYA67" s="401"/>
      <c r="WYB67" s="401"/>
      <c r="WYC67" s="401"/>
      <c r="WYD67" s="401"/>
      <c r="WYE67" s="401"/>
      <c r="WYF67" s="401"/>
      <c r="WYG67" s="401"/>
      <c r="WYH67" s="401"/>
      <c r="WYI67" s="401"/>
      <c r="WYJ67" s="401"/>
      <c r="WYK67" s="401"/>
      <c r="WYL67" s="401"/>
      <c r="WYM67" s="401"/>
      <c r="WYN67" s="401"/>
      <c r="WYO67" s="401"/>
      <c r="WYP67" s="401"/>
      <c r="WYQ67" s="401"/>
      <c r="WYR67" s="401"/>
      <c r="WYS67" s="401"/>
      <c r="WYT67" s="401"/>
      <c r="WYU67" s="401"/>
      <c r="WYV67" s="401"/>
      <c r="WYW67" s="401"/>
      <c r="WYX67" s="401"/>
      <c r="WYY67" s="401"/>
      <c r="WYZ67" s="401"/>
      <c r="WZA67" s="401"/>
      <c r="WZB67" s="401"/>
      <c r="WZC67" s="401"/>
      <c r="WZD67" s="401"/>
      <c r="WZE67" s="401"/>
      <c r="WZF67" s="401"/>
      <c r="WZG67" s="401"/>
      <c r="WZH67" s="401"/>
      <c r="WZI67" s="401"/>
      <c r="WZJ67" s="401"/>
      <c r="WZK67" s="401"/>
      <c r="WZL67" s="401"/>
      <c r="WZM67" s="401"/>
      <c r="WZN67" s="401"/>
      <c r="WZO67" s="401"/>
      <c r="WZP67" s="401"/>
      <c r="WZQ67" s="401"/>
      <c r="WZR67" s="401"/>
      <c r="WZS67" s="401"/>
      <c r="WZT67" s="401"/>
      <c r="WZU67" s="401"/>
      <c r="WZV67" s="401"/>
      <c r="WZW67" s="401"/>
      <c r="WZX67" s="401"/>
      <c r="WZY67" s="401"/>
      <c r="WZZ67" s="401"/>
      <c r="XAA67" s="401"/>
      <c r="XAB67" s="401"/>
      <c r="XAC67" s="401"/>
      <c r="XAD67" s="401"/>
      <c r="XAE67" s="401"/>
      <c r="XAF67" s="401"/>
      <c r="XAG67" s="401"/>
      <c r="XAH67" s="401"/>
      <c r="XAI67" s="401"/>
      <c r="XAJ67" s="401"/>
      <c r="XAK67" s="401"/>
      <c r="XAL67" s="401"/>
      <c r="XAM67" s="401"/>
      <c r="XAN67" s="401"/>
      <c r="XAO67" s="401"/>
      <c r="XAP67" s="401"/>
      <c r="XAQ67" s="401"/>
      <c r="XAR67" s="401"/>
      <c r="XAS67" s="401"/>
      <c r="XAT67" s="401"/>
      <c r="XAU67" s="401"/>
      <c r="XAV67" s="401"/>
      <c r="XAW67" s="401"/>
      <c r="XAX67" s="401"/>
      <c r="XAY67" s="401"/>
      <c r="XAZ67" s="401"/>
      <c r="XBA67" s="401"/>
      <c r="XBB67" s="401"/>
      <c r="XBC67" s="401"/>
      <c r="XBD67" s="401"/>
      <c r="XBE67" s="401"/>
      <c r="XBF67" s="401"/>
      <c r="XBG67" s="401"/>
      <c r="XBH67" s="401"/>
      <c r="XBI67" s="401"/>
      <c r="XBJ67" s="401"/>
      <c r="XBK67" s="401"/>
      <c r="XBL67" s="401"/>
      <c r="XBM67" s="401"/>
      <c r="XBN67" s="401"/>
      <c r="XBO67" s="401"/>
      <c r="XBP67" s="401"/>
      <c r="XBQ67" s="401"/>
      <c r="XBR67" s="401"/>
      <c r="XBS67" s="401"/>
      <c r="XBT67" s="401"/>
      <c r="XBU67" s="401"/>
      <c r="XBV67" s="401"/>
      <c r="XBW67" s="401"/>
      <c r="XBX67" s="401"/>
      <c r="XBY67" s="401"/>
      <c r="XBZ67" s="401"/>
      <c r="XCA67" s="401"/>
      <c r="XCB67" s="401"/>
      <c r="XCC67" s="401"/>
      <c r="XCD67" s="401"/>
      <c r="XCE67" s="401"/>
      <c r="XCF67" s="401"/>
      <c r="XCG67" s="401"/>
      <c r="XCH67" s="401"/>
      <c r="XCI67" s="401"/>
      <c r="XCJ67" s="401"/>
      <c r="XCK67" s="401"/>
      <c r="XCL67" s="401"/>
      <c r="XCM67" s="401"/>
      <c r="XCN67" s="401"/>
      <c r="XCO67" s="401"/>
      <c r="XCP67" s="401"/>
      <c r="XCQ67" s="401"/>
      <c r="XCR67" s="401"/>
      <c r="XCS67" s="401"/>
      <c r="XCT67" s="401"/>
      <c r="XCU67" s="401"/>
      <c r="XCV67" s="401"/>
      <c r="XCW67" s="401"/>
      <c r="XCX67" s="401"/>
      <c r="XCY67" s="401"/>
      <c r="XCZ67" s="401"/>
      <c r="XDA67" s="401"/>
      <c r="XDB67" s="401"/>
      <c r="XDC67" s="401"/>
      <c r="XDD67" s="401"/>
      <c r="XDE67" s="401"/>
      <c r="XDF67" s="401"/>
      <c r="XDG67" s="401"/>
      <c r="XDH67" s="401"/>
      <c r="XDI67" s="401"/>
      <c r="XDJ67" s="401"/>
      <c r="XDK67" s="401"/>
      <c r="XDL67" s="401"/>
      <c r="XDM67" s="401"/>
      <c r="XDN67" s="401"/>
      <c r="XDO67" s="401"/>
      <c r="XDP67" s="401"/>
      <c r="XDQ67" s="401"/>
      <c r="XDR67" s="401"/>
      <c r="XDS67" s="401"/>
      <c r="XDT67" s="401"/>
      <c r="XDU67" s="401"/>
      <c r="XDV67" s="401"/>
      <c r="XDW67" s="401"/>
      <c r="XDX67" s="401"/>
      <c r="XDY67" s="401"/>
      <c r="XDZ67" s="401"/>
      <c r="XEA67" s="401"/>
      <c r="XEB67" s="401"/>
      <c r="XEC67" s="401"/>
      <c r="XED67" s="401"/>
      <c r="XEE67" s="401"/>
      <c r="XEF67" s="401"/>
      <c r="XEG67" s="401"/>
      <c r="XEH67" s="401"/>
      <c r="XEI67" s="401"/>
      <c r="XEJ67" s="401"/>
      <c r="XEK67" s="401"/>
      <c r="XEL67" s="401"/>
      <c r="XEM67" s="401"/>
      <c r="XEN67" s="401"/>
      <c r="XEO67" s="401"/>
      <c r="XEP67" s="401"/>
      <c r="XEQ67" s="401"/>
      <c r="XER67" s="401"/>
      <c r="XES67" s="401"/>
      <c r="XET67" s="401"/>
      <c r="XEU67" s="401"/>
      <c r="XEV67" s="401"/>
      <c r="XEW67" s="401"/>
      <c r="XEX67" s="401"/>
      <c r="XEY67" s="401"/>
      <c r="XEZ67" s="401"/>
      <c r="XFA67" s="401"/>
      <c r="XFB67" s="401"/>
      <c r="XFC67" s="401"/>
    </row>
    <row r="68" spans="1:16383" s="558" customFormat="1" ht="16.899999999999999">
      <c r="A68" s="418" t="s">
        <v>1052</v>
      </c>
      <c r="B68" s="311" t="s">
        <v>43</v>
      </c>
      <c r="C68" s="311" t="s">
        <v>412</v>
      </c>
      <c r="D68" s="266" t="s">
        <v>1053</v>
      </c>
      <c r="E68" s="222" t="s">
        <v>32</v>
      </c>
      <c r="F68" s="315">
        <v>10537</v>
      </c>
      <c r="G68" s="444">
        <v>45894</v>
      </c>
      <c r="H68" s="445">
        <v>45954</v>
      </c>
      <c r="I68" s="445">
        <v>45959</v>
      </c>
      <c r="J68" s="444">
        <v>45965</v>
      </c>
      <c r="K68" s="444">
        <v>45966</v>
      </c>
      <c r="L68" s="444" t="s">
        <v>38</v>
      </c>
      <c r="M68" s="311" t="s">
        <v>39</v>
      </c>
      <c r="N68" s="311" t="s">
        <v>1054</v>
      </c>
      <c r="O68" s="400">
        <v>45988</v>
      </c>
      <c r="P68" s="222" t="s">
        <v>1055</v>
      </c>
      <c r="Q68" s="401" t="s">
        <v>1056</v>
      </c>
      <c r="R68" s="401"/>
      <c r="S68" s="401"/>
      <c r="T68" s="401"/>
      <c r="U68" s="401"/>
      <c r="V68" s="401"/>
      <c r="W68" s="401"/>
      <c r="X68" s="401"/>
      <c r="Y68" s="401"/>
      <c r="Z68" s="401"/>
      <c r="AA68" s="401"/>
      <c r="AB68" s="401"/>
      <c r="AC68" s="401"/>
      <c r="AD68" s="401"/>
      <c r="AE68" s="401"/>
      <c r="AF68" s="401"/>
      <c r="AG68" s="401"/>
      <c r="AH68" s="401"/>
      <c r="AI68" s="401"/>
      <c r="AJ68" s="401"/>
      <c r="AK68" s="401"/>
      <c r="AL68" s="401"/>
      <c r="AM68" s="401"/>
      <c r="AN68" s="401"/>
      <c r="AO68" s="401"/>
      <c r="AP68" s="401"/>
      <c r="AQ68" s="401"/>
      <c r="AR68" s="401"/>
      <c r="AS68" s="401"/>
      <c r="AT68" s="401"/>
      <c r="AU68" s="401"/>
      <c r="AV68" s="401"/>
      <c r="AW68" s="401"/>
      <c r="AX68" s="401"/>
      <c r="AY68" s="401"/>
      <c r="AZ68" s="401"/>
      <c r="BA68" s="401"/>
      <c r="BB68" s="401"/>
      <c r="BC68" s="401"/>
      <c r="BD68" s="401"/>
      <c r="BE68" s="401"/>
      <c r="BF68" s="401"/>
      <c r="BG68" s="401"/>
      <c r="BH68" s="401"/>
      <c r="BI68" s="401"/>
      <c r="BJ68" s="401"/>
      <c r="BK68" s="401"/>
      <c r="BL68" s="401"/>
      <c r="BM68" s="401"/>
      <c r="BN68" s="401"/>
      <c r="BO68" s="401"/>
      <c r="BP68" s="401"/>
      <c r="BQ68" s="401"/>
      <c r="BR68" s="401"/>
      <c r="BS68" s="401"/>
      <c r="BT68" s="401"/>
      <c r="BU68" s="401"/>
      <c r="BV68" s="401"/>
      <c r="BW68" s="401"/>
      <c r="BX68" s="401"/>
      <c r="BY68" s="401"/>
      <c r="BZ68" s="401"/>
      <c r="CA68" s="401"/>
      <c r="CB68" s="401"/>
      <c r="CC68" s="401"/>
      <c r="CD68" s="401"/>
      <c r="CE68" s="401"/>
      <c r="CF68" s="401"/>
      <c r="CG68" s="401"/>
      <c r="CH68" s="401"/>
      <c r="CI68" s="401"/>
      <c r="CJ68" s="401"/>
      <c r="CK68" s="401"/>
      <c r="CL68" s="401"/>
      <c r="CM68" s="401"/>
      <c r="CN68" s="401"/>
      <c r="CO68" s="401"/>
      <c r="CP68" s="401"/>
      <c r="CQ68" s="401"/>
      <c r="CR68" s="401"/>
      <c r="CS68" s="401"/>
      <c r="CT68" s="401"/>
      <c r="CU68" s="401"/>
      <c r="CV68" s="401"/>
      <c r="CW68" s="401"/>
      <c r="CX68" s="401"/>
      <c r="CY68" s="401"/>
      <c r="CZ68" s="401"/>
      <c r="DA68" s="401"/>
      <c r="DB68" s="401"/>
      <c r="DC68" s="401"/>
      <c r="DD68" s="401"/>
      <c r="DE68" s="401"/>
      <c r="DF68" s="401"/>
      <c r="DG68" s="401"/>
      <c r="DH68" s="401"/>
      <c r="DI68" s="401"/>
      <c r="DJ68" s="401"/>
      <c r="DK68" s="401"/>
      <c r="DL68" s="401"/>
      <c r="DM68" s="401"/>
      <c r="DN68" s="401"/>
      <c r="DO68" s="401"/>
      <c r="DP68" s="401"/>
      <c r="DQ68" s="401"/>
      <c r="DR68" s="401"/>
      <c r="DS68" s="401"/>
      <c r="DT68" s="401"/>
      <c r="DU68" s="401"/>
      <c r="DV68" s="401"/>
      <c r="DW68" s="401"/>
      <c r="DX68" s="401"/>
      <c r="DY68" s="401"/>
      <c r="DZ68" s="401"/>
      <c r="EA68" s="401"/>
      <c r="EB68" s="401"/>
      <c r="EC68" s="401"/>
      <c r="ED68" s="401"/>
      <c r="EE68" s="401"/>
      <c r="EF68" s="401"/>
      <c r="EG68" s="401"/>
      <c r="EH68" s="401"/>
      <c r="EI68" s="401"/>
      <c r="EJ68" s="401"/>
      <c r="EK68" s="401"/>
      <c r="EL68" s="401"/>
      <c r="EM68" s="401"/>
      <c r="EN68" s="401"/>
      <c r="EO68" s="401"/>
      <c r="EP68" s="401"/>
      <c r="EQ68" s="401"/>
      <c r="ER68" s="401"/>
      <c r="ES68" s="401"/>
      <c r="ET68" s="401"/>
      <c r="EU68" s="401"/>
      <c r="EV68" s="401"/>
      <c r="EW68" s="401"/>
      <c r="EX68" s="401"/>
      <c r="EY68" s="401"/>
      <c r="EZ68" s="401"/>
      <c r="FA68" s="401"/>
      <c r="FB68" s="401"/>
      <c r="FC68" s="401"/>
      <c r="FD68" s="401"/>
      <c r="FE68" s="401"/>
      <c r="FF68" s="401"/>
      <c r="FG68" s="401"/>
      <c r="FH68" s="401"/>
      <c r="FI68" s="401"/>
      <c r="FJ68" s="401"/>
      <c r="FK68" s="401"/>
      <c r="FL68" s="401"/>
      <c r="FM68" s="401"/>
      <c r="FN68" s="401"/>
      <c r="FO68" s="401"/>
      <c r="FP68" s="401"/>
      <c r="FQ68" s="401"/>
      <c r="FR68" s="401"/>
      <c r="FS68" s="401"/>
      <c r="FT68" s="401"/>
      <c r="FU68" s="401"/>
      <c r="FV68" s="401"/>
      <c r="FW68" s="401"/>
      <c r="FX68" s="401"/>
      <c r="FY68" s="401"/>
      <c r="FZ68" s="401"/>
      <c r="GA68" s="401"/>
      <c r="GB68" s="401"/>
      <c r="GC68" s="401"/>
      <c r="GD68" s="401"/>
      <c r="GE68" s="401"/>
      <c r="GF68" s="401"/>
      <c r="GG68" s="401"/>
      <c r="GH68" s="401"/>
      <c r="GI68" s="401"/>
      <c r="GJ68" s="401"/>
      <c r="GK68" s="401"/>
      <c r="GL68" s="401"/>
      <c r="GM68" s="401"/>
      <c r="GN68" s="401"/>
      <c r="GO68" s="401"/>
      <c r="GP68" s="401"/>
      <c r="GQ68" s="401"/>
      <c r="GR68" s="401"/>
      <c r="GS68" s="401"/>
      <c r="GT68" s="401"/>
      <c r="GU68" s="401"/>
      <c r="GV68" s="401"/>
      <c r="GW68" s="401"/>
      <c r="GX68" s="401"/>
      <c r="GY68" s="401"/>
      <c r="GZ68" s="401"/>
      <c r="HA68" s="401"/>
      <c r="HB68" s="401"/>
      <c r="HC68" s="401"/>
      <c r="HD68" s="401"/>
      <c r="HE68" s="401"/>
      <c r="HF68" s="401"/>
      <c r="HG68" s="401"/>
      <c r="HH68" s="401"/>
      <c r="HI68" s="401"/>
      <c r="HJ68" s="401"/>
      <c r="HK68" s="401"/>
      <c r="HL68" s="401"/>
      <c r="HM68" s="401"/>
      <c r="HN68" s="401"/>
      <c r="HO68" s="401"/>
      <c r="HP68" s="401"/>
      <c r="HQ68" s="401"/>
      <c r="HR68" s="401"/>
      <c r="HS68" s="401"/>
      <c r="HT68" s="401"/>
      <c r="HU68" s="401"/>
      <c r="HV68" s="401"/>
      <c r="HW68" s="401"/>
      <c r="HX68" s="401"/>
      <c r="HY68" s="401"/>
      <c r="HZ68" s="401"/>
      <c r="IA68" s="401"/>
      <c r="IB68" s="401"/>
      <c r="IC68" s="401"/>
      <c r="ID68" s="401"/>
      <c r="IE68" s="401"/>
      <c r="IF68" s="401"/>
      <c r="IG68" s="401"/>
      <c r="IH68" s="401"/>
      <c r="II68" s="401"/>
      <c r="IJ68" s="401"/>
      <c r="IK68" s="401"/>
      <c r="IL68" s="401"/>
      <c r="IM68" s="401"/>
      <c r="IN68" s="401"/>
      <c r="IO68" s="401"/>
      <c r="IP68" s="401"/>
      <c r="IQ68" s="401"/>
      <c r="IR68" s="401"/>
      <c r="IS68" s="401"/>
      <c r="IT68" s="401"/>
      <c r="IU68" s="401"/>
      <c r="IV68" s="401"/>
      <c r="IW68" s="401"/>
      <c r="IX68" s="401"/>
      <c r="IY68" s="401"/>
      <c r="IZ68" s="401"/>
      <c r="JA68" s="401"/>
      <c r="JB68" s="401"/>
      <c r="JC68" s="401"/>
      <c r="JD68" s="401"/>
      <c r="JE68" s="401"/>
      <c r="JF68" s="401"/>
      <c r="JG68" s="401"/>
      <c r="JH68" s="401"/>
      <c r="JI68" s="401"/>
      <c r="JJ68" s="401"/>
      <c r="JK68" s="401"/>
      <c r="JL68" s="401"/>
      <c r="JM68" s="401"/>
      <c r="JN68" s="401"/>
      <c r="JO68" s="401"/>
      <c r="JP68" s="401"/>
      <c r="JQ68" s="401"/>
      <c r="JR68" s="401"/>
      <c r="JS68" s="401"/>
      <c r="JT68" s="401"/>
      <c r="JU68" s="401"/>
      <c r="JV68" s="401"/>
      <c r="JW68" s="401"/>
      <c r="JX68" s="401"/>
      <c r="JY68" s="401"/>
      <c r="JZ68" s="401"/>
      <c r="KA68" s="401"/>
      <c r="KB68" s="401"/>
      <c r="KC68" s="401"/>
      <c r="KD68" s="401"/>
      <c r="KE68" s="401"/>
      <c r="KF68" s="401"/>
      <c r="KG68" s="401"/>
      <c r="KH68" s="401"/>
      <c r="KI68" s="401"/>
      <c r="KJ68" s="401"/>
      <c r="KK68" s="401"/>
      <c r="KL68" s="401"/>
      <c r="KM68" s="401"/>
      <c r="KN68" s="401"/>
      <c r="KO68" s="401"/>
      <c r="KP68" s="401"/>
      <c r="KQ68" s="401"/>
      <c r="KR68" s="401"/>
      <c r="KS68" s="401"/>
      <c r="KT68" s="401"/>
      <c r="KU68" s="401"/>
      <c r="KV68" s="401"/>
      <c r="KW68" s="401"/>
      <c r="KX68" s="401"/>
      <c r="KY68" s="401"/>
      <c r="KZ68" s="401"/>
      <c r="LA68" s="401"/>
      <c r="LB68" s="401"/>
      <c r="LC68" s="401"/>
      <c r="LD68" s="401"/>
      <c r="LE68" s="401"/>
      <c r="LF68" s="401"/>
      <c r="LG68" s="401"/>
      <c r="LH68" s="401"/>
      <c r="LI68" s="401"/>
      <c r="LJ68" s="401"/>
      <c r="LK68" s="401"/>
      <c r="LL68" s="401"/>
      <c r="LM68" s="401"/>
      <c r="LN68" s="401"/>
      <c r="LO68" s="401"/>
      <c r="LP68" s="401"/>
      <c r="LQ68" s="401"/>
      <c r="LR68" s="401"/>
      <c r="LS68" s="401"/>
      <c r="LT68" s="401"/>
      <c r="LU68" s="401"/>
      <c r="LV68" s="401"/>
      <c r="LW68" s="401"/>
      <c r="LX68" s="401"/>
      <c r="LY68" s="401"/>
      <c r="LZ68" s="401"/>
      <c r="MA68" s="401"/>
      <c r="MB68" s="401"/>
      <c r="MC68" s="401"/>
      <c r="MD68" s="401"/>
      <c r="ME68" s="401"/>
      <c r="MF68" s="401"/>
      <c r="MG68" s="401"/>
      <c r="MH68" s="401"/>
      <c r="MI68" s="401"/>
      <c r="MJ68" s="401"/>
      <c r="MK68" s="401"/>
      <c r="ML68" s="401"/>
      <c r="MM68" s="401"/>
      <c r="MN68" s="401"/>
      <c r="MO68" s="401"/>
      <c r="MP68" s="401"/>
      <c r="MQ68" s="401"/>
      <c r="MR68" s="401"/>
      <c r="MS68" s="401"/>
      <c r="MT68" s="401"/>
      <c r="MU68" s="401"/>
      <c r="MV68" s="401"/>
      <c r="MW68" s="401"/>
      <c r="MX68" s="401"/>
      <c r="MY68" s="401"/>
      <c r="MZ68" s="401"/>
      <c r="NA68" s="401"/>
      <c r="NB68" s="401"/>
      <c r="NC68" s="401"/>
      <c r="ND68" s="401"/>
      <c r="NE68" s="401"/>
      <c r="NF68" s="401"/>
      <c r="NG68" s="401"/>
      <c r="NH68" s="401"/>
      <c r="NI68" s="401"/>
      <c r="NJ68" s="401"/>
      <c r="NK68" s="401"/>
      <c r="NL68" s="401"/>
      <c r="NM68" s="401"/>
      <c r="NN68" s="401"/>
      <c r="NO68" s="401"/>
      <c r="NP68" s="401"/>
      <c r="NQ68" s="401"/>
      <c r="NR68" s="401"/>
      <c r="NS68" s="401"/>
      <c r="NT68" s="401"/>
      <c r="NU68" s="401"/>
      <c r="NV68" s="401"/>
      <c r="NW68" s="401"/>
      <c r="NX68" s="401"/>
      <c r="NY68" s="401"/>
      <c r="NZ68" s="401"/>
      <c r="OA68" s="401"/>
      <c r="OB68" s="401"/>
      <c r="OC68" s="401"/>
      <c r="OD68" s="401"/>
      <c r="OE68" s="401"/>
      <c r="OF68" s="401"/>
      <c r="OG68" s="401"/>
      <c r="OH68" s="401"/>
      <c r="OI68" s="401"/>
      <c r="OJ68" s="401"/>
      <c r="OK68" s="401"/>
      <c r="OL68" s="401"/>
      <c r="OM68" s="401"/>
      <c r="ON68" s="401"/>
      <c r="OO68" s="401"/>
      <c r="OP68" s="401"/>
      <c r="OQ68" s="401"/>
      <c r="OR68" s="401"/>
      <c r="OS68" s="401"/>
      <c r="OT68" s="401"/>
      <c r="OU68" s="401"/>
      <c r="OV68" s="401"/>
      <c r="OW68" s="401"/>
      <c r="OX68" s="401"/>
      <c r="OY68" s="401"/>
      <c r="OZ68" s="401"/>
      <c r="PA68" s="401"/>
      <c r="PB68" s="401"/>
      <c r="PC68" s="401"/>
      <c r="PD68" s="401"/>
      <c r="PE68" s="401"/>
      <c r="PF68" s="401"/>
      <c r="PG68" s="401"/>
      <c r="PH68" s="401"/>
      <c r="PI68" s="401"/>
      <c r="PJ68" s="401"/>
      <c r="PK68" s="401"/>
      <c r="PL68" s="401"/>
      <c r="PM68" s="401"/>
      <c r="PN68" s="401"/>
      <c r="PO68" s="401"/>
      <c r="PP68" s="401"/>
      <c r="PQ68" s="401"/>
      <c r="PR68" s="401"/>
      <c r="PS68" s="401"/>
      <c r="PT68" s="401"/>
      <c r="PU68" s="401"/>
      <c r="PV68" s="401"/>
      <c r="PW68" s="401"/>
      <c r="PX68" s="401"/>
      <c r="PY68" s="401"/>
      <c r="PZ68" s="401"/>
      <c r="QA68" s="401"/>
      <c r="QB68" s="401"/>
      <c r="QC68" s="401"/>
      <c r="QD68" s="401"/>
      <c r="QE68" s="401"/>
      <c r="QF68" s="401"/>
      <c r="QG68" s="401"/>
      <c r="QH68" s="401"/>
      <c r="QI68" s="401"/>
      <c r="QJ68" s="401"/>
      <c r="QK68" s="401"/>
      <c r="QL68" s="401"/>
      <c r="QM68" s="401"/>
      <c r="QN68" s="401"/>
      <c r="QO68" s="401"/>
      <c r="QP68" s="401"/>
      <c r="QQ68" s="401"/>
      <c r="QR68" s="401"/>
      <c r="QS68" s="401"/>
      <c r="QT68" s="401"/>
      <c r="QU68" s="401"/>
      <c r="QV68" s="401"/>
      <c r="QW68" s="401"/>
      <c r="QX68" s="401"/>
      <c r="QY68" s="401"/>
      <c r="QZ68" s="401"/>
      <c r="RA68" s="401"/>
      <c r="RB68" s="401"/>
      <c r="RC68" s="401"/>
      <c r="RD68" s="401"/>
      <c r="RE68" s="401"/>
      <c r="RF68" s="401"/>
      <c r="RG68" s="401"/>
      <c r="RH68" s="401"/>
      <c r="RI68" s="401"/>
      <c r="RJ68" s="401"/>
      <c r="RK68" s="401"/>
      <c r="RL68" s="401"/>
      <c r="RM68" s="401"/>
      <c r="RN68" s="401"/>
      <c r="RO68" s="401"/>
      <c r="RP68" s="401"/>
      <c r="RQ68" s="401"/>
      <c r="RR68" s="401"/>
      <c r="RS68" s="401"/>
      <c r="RT68" s="401"/>
      <c r="RU68" s="401"/>
      <c r="RV68" s="401"/>
      <c r="RW68" s="401"/>
      <c r="RX68" s="401"/>
      <c r="RY68" s="401"/>
      <c r="RZ68" s="401"/>
      <c r="SA68" s="401"/>
      <c r="SB68" s="401"/>
      <c r="SC68" s="401"/>
      <c r="SD68" s="401"/>
      <c r="SE68" s="401"/>
      <c r="SF68" s="401"/>
      <c r="SG68" s="401"/>
      <c r="SH68" s="401"/>
      <c r="SI68" s="401"/>
      <c r="SJ68" s="401"/>
      <c r="SK68" s="401"/>
      <c r="SL68" s="401"/>
      <c r="SM68" s="401"/>
      <c r="SN68" s="401"/>
      <c r="SO68" s="401"/>
      <c r="SP68" s="401"/>
      <c r="SQ68" s="401"/>
      <c r="SR68" s="401"/>
      <c r="SS68" s="401"/>
      <c r="ST68" s="401"/>
      <c r="SU68" s="401"/>
      <c r="SV68" s="401"/>
      <c r="SW68" s="401"/>
      <c r="SX68" s="401"/>
      <c r="SY68" s="401"/>
      <c r="SZ68" s="401"/>
      <c r="TA68" s="401"/>
      <c r="TB68" s="401"/>
      <c r="TC68" s="401"/>
      <c r="TD68" s="401"/>
      <c r="TE68" s="401"/>
      <c r="TF68" s="401"/>
      <c r="TG68" s="401"/>
      <c r="TH68" s="401"/>
      <c r="TI68" s="401"/>
      <c r="TJ68" s="401"/>
      <c r="TK68" s="401"/>
      <c r="TL68" s="401"/>
      <c r="TM68" s="401"/>
      <c r="TN68" s="401"/>
      <c r="TO68" s="401"/>
      <c r="TP68" s="401"/>
      <c r="TQ68" s="401"/>
      <c r="TR68" s="401"/>
      <c r="TS68" s="401"/>
      <c r="TT68" s="401"/>
      <c r="TU68" s="401"/>
      <c r="TV68" s="401"/>
      <c r="TW68" s="401"/>
      <c r="TX68" s="401"/>
      <c r="TY68" s="401"/>
      <c r="TZ68" s="401"/>
      <c r="UA68" s="401"/>
      <c r="UB68" s="401"/>
      <c r="UC68" s="401"/>
      <c r="UD68" s="401"/>
      <c r="UE68" s="401"/>
      <c r="UF68" s="401"/>
      <c r="UG68" s="401"/>
      <c r="UH68" s="401"/>
      <c r="UI68" s="401"/>
      <c r="UJ68" s="401"/>
      <c r="UK68" s="401"/>
      <c r="UL68" s="401"/>
      <c r="UM68" s="401"/>
      <c r="UN68" s="401"/>
      <c r="UO68" s="401"/>
      <c r="UP68" s="401"/>
      <c r="UQ68" s="401"/>
      <c r="UR68" s="401"/>
      <c r="US68" s="401"/>
      <c r="UT68" s="401"/>
      <c r="UU68" s="401"/>
      <c r="UV68" s="401"/>
      <c r="UW68" s="401"/>
      <c r="UX68" s="401"/>
      <c r="UY68" s="401"/>
      <c r="UZ68" s="401"/>
      <c r="VA68" s="401"/>
      <c r="VB68" s="401"/>
      <c r="VC68" s="401"/>
      <c r="VD68" s="401"/>
      <c r="VE68" s="401"/>
      <c r="VF68" s="401"/>
      <c r="VG68" s="401"/>
      <c r="VH68" s="401"/>
      <c r="VI68" s="401"/>
      <c r="VJ68" s="401"/>
      <c r="VK68" s="401"/>
      <c r="VL68" s="401"/>
      <c r="VM68" s="401"/>
      <c r="VN68" s="401"/>
      <c r="VO68" s="401"/>
      <c r="VP68" s="401"/>
      <c r="VQ68" s="401"/>
      <c r="VR68" s="401"/>
      <c r="VS68" s="401"/>
      <c r="VT68" s="401"/>
      <c r="VU68" s="401"/>
      <c r="VV68" s="401"/>
      <c r="VW68" s="401"/>
      <c r="VX68" s="401"/>
      <c r="VY68" s="401"/>
      <c r="VZ68" s="401"/>
      <c r="WA68" s="401"/>
      <c r="WB68" s="401"/>
      <c r="WC68" s="401"/>
      <c r="WD68" s="401"/>
      <c r="WE68" s="401"/>
      <c r="WF68" s="401"/>
      <c r="WG68" s="401"/>
      <c r="WH68" s="401"/>
      <c r="WI68" s="401"/>
      <c r="WJ68" s="401"/>
      <c r="WK68" s="401"/>
      <c r="WL68" s="401"/>
      <c r="WM68" s="401"/>
      <c r="WN68" s="401"/>
      <c r="WO68" s="401"/>
      <c r="WP68" s="401"/>
      <c r="WQ68" s="401"/>
      <c r="WR68" s="401"/>
      <c r="WS68" s="401"/>
      <c r="WT68" s="401"/>
      <c r="WU68" s="401"/>
      <c r="WV68" s="401"/>
      <c r="WW68" s="401"/>
      <c r="WX68" s="401"/>
      <c r="WY68" s="401"/>
      <c r="WZ68" s="401"/>
      <c r="XA68" s="401"/>
      <c r="XB68" s="401"/>
      <c r="XC68" s="401"/>
      <c r="XD68" s="401"/>
      <c r="XE68" s="401"/>
      <c r="XF68" s="401"/>
      <c r="XG68" s="401"/>
      <c r="XH68" s="401"/>
      <c r="XI68" s="401"/>
      <c r="XJ68" s="401"/>
      <c r="XK68" s="401"/>
      <c r="XL68" s="401"/>
      <c r="XM68" s="401"/>
      <c r="XN68" s="401"/>
      <c r="XO68" s="401"/>
      <c r="XP68" s="401"/>
      <c r="XQ68" s="401"/>
      <c r="XR68" s="401"/>
      <c r="XS68" s="401"/>
      <c r="XT68" s="401"/>
      <c r="XU68" s="401"/>
      <c r="XV68" s="401"/>
      <c r="XW68" s="401"/>
      <c r="XX68" s="401"/>
      <c r="XY68" s="401"/>
      <c r="XZ68" s="401"/>
      <c r="YA68" s="401"/>
      <c r="YB68" s="401"/>
      <c r="YC68" s="401"/>
      <c r="YD68" s="401"/>
      <c r="YE68" s="401"/>
      <c r="YF68" s="401"/>
      <c r="YG68" s="401"/>
      <c r="YH68" s="401"/>
      <c r="YI68" s="401"/>
      <c r="YJ68" s="401"/>
      <c r="YK68" s="401"/>
      <c r="YL68" s="401"/>
      <c r="YM68" s="401"/>
      <c r="YN68" s="401"/>
      <c r="YO68" s="401"/>
      <c r="YP68" s="401"/>
      <c r="YQ68" s="401"/>
      <c r="YR68" s="401"/>
      <c r="YS68" s="401"/>
      <c r="YT68" s="401"/>
      <c r="YU68" s="401"/>
      <c r="YV68" s="401"/>
      <c r="YW68" s="401"/>
      <c r="YX68" s="401"/>
      <c r="YY68" s="401"/>
      <c r="YZ68" s="401"/>
      <c r="ZA68" s="401"/>
      <c r="ZB68" s="401"/>
      <c r="ZC68" s="401"/>
      <c r="ZD68" s="401"/>
      <c r="ZE68" s="401"/>
      <c r="ZF68" s="401"/>
      <c r="ZG68" s="401"/>
      <c r="ZH68" s="401"/>
      <c r="ZI68" s="401"/>
      <c r="ZJ68" s="401"/>
      <c r="ZK68" s="401"/>
      <c r="ZL68" s="401"/>
      <c r="ZM68" s="401"/>
      <c r="ZN68" s="401"/>
      <c r="ZO68" s="401"/>
      <c r="ZP68" s="401"/>
      <c r="ZQ68" s="401"/>
      <c r="ZR68" s="401"/>
      <c r="ZS68" s="401"/>
      <c r="ZT68" s="401"/>
      <c r="ZU68" s="401"/>
      <c r="ZV68" s="401"/>
      <c r="ZW68" s="401"/>
      <c r="ZX68" s="401"/>
      <c r="ZY68" s="401"/>
      <c r="ZZ68" s="401"/>
      <c r="AAA68" s="401"/>
      <c r="AAB68" s="401"/>
      <c r="AAC68" s="401"/>
      <c r="AAD68" s="401"/>
      <c r="AAE68" s="401"/>
      <c r="AAF68" s="401"/>
      <c r="AAG68" s="401"/>
      <c r="AAH68" s="401"/>
      <c r="AAI68" s="401"/>
      <c r="AAJ68" s="401"/>
      <c r="AAK68" s="401"/>
      <c r="AAL68" s="401"/>
      <c r="AAM68" s="401"/>
      <c r="AAN68" s="401"/>
      <c r="AAO68" s="401"/>
      <c r="AAP68" s="401"/>
      <c r="AAQ68" s="401"/>
      <c r="AAR68" s="401"/>
      <c r="AAS68" s="401"/>
      <c r="AAT68" s="401"/>
      <c r="AAU68" s="401"/>
      <c r="AAV68" s="401"/>
      <c r="AAW68" s="401"/>
      <c r="AAX68" s="401"/>
      <c r="AAY68" s="401"/>
      <c r="AAZ68" s="401"/>
      <c r="ABA68" s="401"/>
      <c r="ABB68" s="401"/>
      <c r="ABC68" s="401"/>
      <c r="ABD68" s="401"/>
      <c r="ABE68" s="401"/>
      <c r="ABF68" s="401"/>
      <c r="ABG68" s="401"/>
      <c r="ABH68" s="401"/>
      <c r="ABI68" s="401"/>
      <c r="ABJ68" s="401"/>
      <c r="ABK68" s="401"/>
      <c r="ABL68" s="401"/>
      <c r="ABM68" s="401"/>
      <c r="ABN68" s="401"/>
      <c r="ABO68" s="401"/>
      <c r="ABP68" s="401"/>
      <c r="ABQ68" s="401"/>
      <c r="ABR68" s="401"/>
      <c r="ABS68" s="401"/>
      <c r="ABT68" s="401"/>
      <c r="ABU68" s="401"/>
      <c r="ABV68" s="401"/>
      <c r="ABW68" s="401"/>
      <c r="ABX68" s="401"/>
      <c r="ABY68" s="401"/>
      <c r="ABZ68" s="401"/>
      <c r="ACA68" s="401"/>
      <c r="ACB68" s="401"/>
      <c r="ACC68" s="401"/>
      <c r="ACD68" s="401"/>
      <c r="ACE68" s="401"/>
      <c r="ACF68" s="401"/>
      <c r="ACG68" s="401"/>
      <c r="ACH68" s="401"/>
      <c r="ACI68" s="401"/>
      <c r="ACJ68" s="401"/>
      <c r="ACK68" s="401"/>
      <c r="ACL68" s="401"/>
      <c r="ACM68" s="401"/>
      <c r="ACN68" s="401"/>
      <c r="ACO68" s="401"/>
      <c r="ACP68" s="401"/>
      <c r="ACQ68" s="401"/>
      <c r="ACR68" s="401"/>
      <c r="ACS68" s="401"/>
      <c r="ACT68" s="401"/>
      <c r="ACU68" s="401"/>
      <c r="ACV68" s="401"/>
      <c r="ACW68" s="401"/>
      <c r="ACX68" s="401"/>
      <c r="ACY68" s="401"/>
      <c r="ACZ68" s="401"/>
      <c r="ADA68" s="401"/>
      <c r="ADB68" s="401"/>
      <c r="ADC68" s="401"/>
      <c r="ADD68" s="401"/>
      <c r="ADE68" s="401"/>
      <c r="ADF68" s="401"/>
      <c r="ADG68" s="401"/>
      <c r="ADH68" s="401"/>
      <c r="ADI68" s="401"/>
      <c r="ADJ68" s="401"/>
      <c r="ADK68" s="401"/>
      <c r="ADL68" s="401"/>
      <c r="ADM68" s="401"/>
      <c r="ADN68" s="401"/>
      <c r="ADO68" s="401"/>
      <c r="ADP68" s="401"/>
      <c r="ADQ68" s="401"/>
      <c r="ADR68" s="401"/>
      <c r="ADS68" s="401"/>
      <c r="ADT68" s="401"/>
      <c r="ADU68" s="401"/>
      <c r="ADV68" s="401"/>
      <c r="ADW68" s="401"/>
      <c r="ADX68" s="401"/>
      <c r="ADY68" s="401"/>
      <c r="ADZ68" s="401"/>
      <c r="AEA68" s="401"/>
      <c r="AEB68" s="401"/>
      <c r="AEC68" s="401"/>
      <c r="AED68" s="401"/>
      <c r="AEE68" s="401"/>
      <c r="AEF68" s="401"/>
      <c r="AEG68" s="401"/>
      <c r="AEH68" s="401"/>
      <c r="AEI68" s="401"/>
      <c r="AEJ68" s="401"/>
      <c r="AEK68" s="401"/>
      <c r="AEL68" s="401"/>
      <c r="AEM68" s="401"/>
      <c r="AEN68" s="401"/>
      <c r="AEO68" s="401"/>
      <c r="AEP68" s="401"/>
      <c r="AEQ68" s="401"/>
      <c r="AER68" s="401"/>
      <c r="AES68" s="401"/>
      <c r="AET68" s="401"/>
      <c r="AEU68" s="401"/>
      <c r="AEV68" s="401"/>
      <c r="AEW68" s="401"/>
      <c r="AEX68" s="401"/>
      <c r="AEY68" s="401"/>
      <c r="AEZ68" s="401"/>
      <c r="AFA68" s="401"/>
      <c r="AFB68" s="401"/>
      <c r="AFC68" s="401"/>
      <c r="AFD68" s="401"/>
      <c r="AFE68" s="401"/>
      <c r="AFF68" s="401"/>
      <c r="AFG68" s="401"/>
      <c r="AFH68" s="401"/>
      <c r="AFI68" s="401"/>
      <c r="AFJ68" s="401"/>
      <c r="AFK68" s="401"/>
      <c r="AFL68" s="401"/>
      <c r="AFM68" s="401"/>
      <c r="AFN68" s="401"/>
      <c r="AFO68" s="401"/>
      <c r="AFP68" s="401"/>
      <c r="AFQ68" s="401"/>
      <c r="AFR68" s="401"/>
      <c r="AFS68" s="401"/>
      <c r="AFT68" s="401"/>
      <c r="AFU68" s="401"/>
      <c r="AFV68" s="401"/>
      <c r="AFW68" s="401"/>
      <c r="AFX68" s="401"/>
      <c r="AFY68" s="401"/>
      <c r="AFZ68" s="401"/>
      <c r="AGA68" s="401"/>
      <c r="AGB68" s="401"/>
      <c r="AGC68" s="401"/>
      <c r="AGD68" s="401"/>
      <c r="AGE68" s="401"/>
      <c r="AGF68" s="401"/>
      <c r="AGG68" s="401"/>
      <c r="AGH68" s="401"/>
      <c r="AGI68" s="401"/>
      <c r="AGJ68" s="401"/>
      <c r="AGK68" s="401"/>
      <c r="AGL68" s="401"/>
      <c r="AGM68" s="401"/>
      <c r="AGN68" s="401"/>
      <c r="AGO68" s="401"/>
      <c r="AGP68" s="401"/>
      <c r="AGQ68" s="401"/>
      <c r="AGR68" s="401"/>
      <c r="AGS68" s="401"/>
      <c r="AGT68" s="401"/>
      <c r="AGU68" s="401"/>
      <c r="AGV68" s="401"/>
      <c r="AGW68" s="401"/>
      <c r="AGX68" s="401"/>
      <c r="AGY68" s="401"/>
      <c r="AGZ68" s="401"/>
      <c r="AHA68" s="401"/>
      <c r="AHB68" s="401"/>
      <c r="AHC68" s="401"/>
      <c r="AHD68" s="401"/>
      <c r="AHE68" s="401"/>
      <c r="AHF68" s="401"/>
      <c r="AHG68" s="401"/>
      <c r="AHH68" s="401"/>
      <c r="AHI68" s="401"/>
      <c r="AHJ68" s="401"/>
      <c r="AHK68" s="401"/>
      <c r="AHL68" s="401"/>
      <c r="AHM68" s="401"/>
      <c r="AHN68" s="401"/>
      <c r="AHO68" s="401"/>
      <c r="AHP68" s="401"/>
      <c r="AHQ68" s="401"/>
      <c r="AHR68" s="401"/>
      <c r="AHS68" s="401"/>
      <c r="AHT68" s="401"/>
      <c r="AHU68" s="401"/>
      <c r="AHV68" s="401"/>
      <c r="AHW68" s="401"/>
      <c r="AHX68" s="401"/>
      <c r="AHY68" s="401"/>
      <c r="AHZ68" s="401"/>
      <c r="AIA68" s="401"/>
      <c r="AIB68" s="401"/>
      <c r="AIC68" s="401"/>
      <c r="AID68" s="401"/>
      <c r="AIE68" s="401"/>
      <c r="AIF68" s="401"/>
      <c r="AIG68" s="401"/>
      <c r="AIH68" s="401"/>
      <c r="AII68" s="401"/>
      <c r="AIJ68" s="401"/>
      <c r="AIK68" s="401"/>
      <c r="AIL68" s="401"/>
      <c r="AIM68" s="401"/>
      <c r="AIN68" s="401"/>
      <c r="AIO68" s="401"/>
      <c r="AIP68" s="401"/>
      <c r="AIQ68" s="401"/>
      <c r="AIR68" s="401"/>
      <c r="AIS68" s="401"/>
      <c r="AIT68" s="401"/>
      <c r="AIU68" s="401"/>
      <c r="AIV68" s="401"/>
      <c r="AIW68" s="401"/>
      <c r="AIX68" s="401"/>
      <c r="AIY68" s="401"/>
      <c r="AIZ68" s="401"/>
      <c r="AJA68" s="401"/>
      <c r="AJB68" s="401"/>
      <c r="AJC68" s="401"/>
      <c r="AJD68" s="401"/>
      <c r="AJE68" s="401"/>
      <c r="AJF68" s="401"/>
      <c r="AJG68" s="401"/>
      <c r="AJH68" s="401"/>
      <c r="AJI68" s="401"/>
      <c r="AJJ68" s="401"/>
      <c r="AJK68" s="401"/>
      <c r="AJL68" s="401"/>
      <c r="AJM68" s="401"/>
      <c r="AJN68" s="401"/>
      <c r="AJO68" s="401"/>
      <c r="AJP68" s="401"/>
      <c r="AJQ68" s="401"/>
      <c r="AJR68" s="401"/>
      <c r="AJS68" s="401"/>
      <c r="AJT68" s="401"/>
      <c r="AJU68" s="401"/>
      <c r="AJV68" s="401"/>
      <c r="AJW68" s="401"/>
      <c r="AJX68" s="401"/>
      <c r="AJY68" s="401"/>
      <c r="AJZ68" s="401"/>
      <c r="AKA68" s="401"/>
      <c r="AKB68" s="401"/>
      <c r="AKC68" s="401"/>
      <c r="AKD68" s="401"/>
      <c r="AKE68" s="401"/>
      <c r="AKF68" s="401"/>
      <c r="AKG68" s="401"/>
      <c r="AKH68" s="401"/>
      <c r="AKI68" s="401"/>
      <c r="AKJ68" s="401"/>
      <c r="AKK68" s="401"/>
      <c r="AKL68" s="401"/>
      <c r="AKM68" s="401"/>
      <c r="AKN68" s="401"/>
      <c r="AKO68" s="401"/>
      <c r="AKP68" s="401"/>
      <c r="AKQ68" s="401"/>
      <c r="AKR68" s="401"/>
      <c r="AKS68" s="401"/>
      <c r="AKT68" s="401"/>
      <c r="AKU68" s="401"/>
      <c r="AKV68" s="401"/>
      <c r="AKW68" s="401"/>
      <c r="AKX68" s="401"/>
      <c r="AKY68" s="401"/>
      <c r="AKZ68" s="401"/>
      <c r="ALA68" s="401"/>
      <c r="ALB68" s="401"/>
      <c r="ALC68" s="401"/>
      <c r="ALD68" s="401"/>
      <c r="ALE68" s="401"/>
      <c r="ALF68" s="401"/>
      <c r="ALG68" s="401"/>
      <c r="ALH68" s="401"/>
      <c r="ALI68" s="401"/>
      <c r="ALJ68" s="401"/>
      <c r="ALK68" s="401"/>
      <c r="ALL68" s="401"/>
      <c r="ALM68" s="401"/>
      <c r="ALN68" s="401"/>
      <c r="ALO68" s="401"/>
      <c r="ALP68" s="401"/>
      <c r="ALQ68" s="401"/>
      <c r="ALR68" s="401"/>
      <c r="ALS68" s="401"/>
      <c r="ALT68" s="401"/>
      <c r="ALU68" s="401"/>
      <c r="ALV68" s="401"/>
      <c r="ALW68" s="401"/>
      <c r="ALX68" s="401"/>
      <c r="ALY68" s="401"/>
      <c r="ALZ68" s="401"/>
      <c r="AMA68" s="401"/>
      <c r="AMB68" s="401"/>
      <c r="AMC68" s="401"/>
      <c r="AMD68" s="401"/>
      <c r="AME68" s="401"/>
      <c r="AMF68" s="401"/>
      <c r="AMG68" s="401"/>
      <c r="AMH68" s="401"/>
      <c r="AMI68" s="401"/>
      <c r="AMJ68" s="401"/>
      <c r="AMK68" s="401"/>
      <c r="AML68" s="401"/>
      <c r="AMM68" s="401"/>
      <c r="AMN68" s="401"/>
      <c r="AMO68" s="401"/>
      <c r="AMP68" s="401"/>
      <c r="AMQ68" s="401"/>
      <c r="AMR68" s="401"/>
      <c r="AMS68" s="401"/>
      <c r="AMT68" s="401"/>
      <c r="AMU68" s="401"/>
      <c r="AMV68" s="401"/>
      <c r="AMW68" s="401"/>
      <c r="AMX68" s="401"/>
      <c r="AMY68" s="401"/>
      <c r="AMZ68" s="401"/>
      <c r="ANA68" s="401"/>
      <c r="ANB68" s="401"/>
      <c r="ANC68" s="401"/>
      <c r="AND68" s="401"/>
      <c r="ANE68" s="401"/>
      <c r="ANF68" s="401"/>
      <c r="ANG68" s="401"/>
      <c r="ANH68" s="401"/>
      <c r="ANI68" s="401"/>
      <c r="ANJ68" s="401"/>
      <c r="ANK68" s="401"/>
      <c r="ANL68" s="401"/>
      <c r="ANM68" s="401"/>
      <c r="ANN68" s="401"/>
      <c r="ANO68" s="401"/>
      <c r="ANP68" s="401"/>
      <c r="ANQ68" s="401"/>
      <c r="ANR68" s="401"/>
      <c r="ANS68" s="401"/>
      <c r="ANT68" s="401"/>
      <c r="ANU68" s="401"/>
      <c r="ANV68" s="401"/>
      <c r="ANW68" s="401"/>
      <c r="ANX68" s="401"/>
      <c r="ANY68" s="401"/>
      <c r="ANZ68" s="401"/>
      <c r="AOA68" s="401"/>
      <c r="AOB68" s="401"/>
      <c r="AOC68" s="401"/>
      <c r="AOD68" s="401"/>
      <c r="AOE68" s="401"/>
      <c r="AOF68" s="401"/>
      <c r="AOG68" s="401"/>
      <c r="AOH68" s="401"/>
      <c r="AOI68" s="401"/>
      <c r="AOJ68" s="401"/>
      <c r="AOK68" s="401"/>
      <c r="AOL68" s="401"/>
      <c r="AOM68" s="401"/>
      <c r="AON68" s="401"/>
      <c r="AOO68" s="401"/>
      <c r="AOP68" s="401"/>
      <c r="AOQ68" s="401"/>
      <c r="AOR68" s="401"/>
      <c r="AOS68" s="401"/>
      <c r="AOT68" s="401"/>
      <c r="AOU68" s="401"/>
      <c r="AOV68" s="401"/>
      <c r="AOW68" s="401"/>
      <c r="AOX68" s="401"/>
      <c r="AOY68" s="401"/>
      <c r="AOZ68" s="401"/>
      <c r="APA68" s="401"/>
      <c r="APB68" s="401"/>
      <c r="APC68" s="401"/>
      <c r="APD68" s="401"/>
      <c r="APE68" s="401"/>
      <c r="APF68" s="401"/>
      <c r="APG68" s="401"/>
      <c r="APH68" s="401"/>
      <c r="API68" s="401"/>
      <c r="APJ68" s="401"/>
      <c r="APK68" s="401"/>
      <c r="APL68" s="401"/>
      <c r="APM68" s="401"/>
      <c r="APN68" s="401"/>
      <c r="APO68" s="401"/>
      <c r="APP68" s="401"/>
      <c r="APQ68" s="401"/>
      <c r="APR68" s="401"/>
      <c r="APS68" s="401"/>
      <c r="APT68" s="401"/>
      <c r="APU68" s="401"/>
      <c r="APV68" s="401"/>
      <c r="APW68" s="401"/>
      <c r="APX68" s="401"/>
      <c r="APY68" s="401"/>
      <c r="APZ68" s="401"/>
      <c r="AQA68" s="401"/>
      <c r="AQB68" s="401"/>
      <c r="AQC68" s="401"/>
      <c r="AQD68" s="401"/>
      <c r="AQE68" s="401"/>
      <c r="AQF68" s="401"/>
      <c r="AQG68" s="401"/>
      <c r="AQH68" s="401"/>
      <c r="AQI68" s="401"/>
      <c r="AQJ68" s="401"/>
      <c r="AQK68" s="401"/>
      <c r="AQL68" s="401"/>
      <c r="AQM68" s="401"/>
      <c r="AQN68" s="401"/>
      <c r="AQO68" s="401"/>
      <c r="AQP68" s="401"/>
      <c r="AQQ68" s="401"/>
      <c r="AQR68" s="401"/>
      <c r="AQS68" s="401"/>
      <c r="AQT68" s="401"/>
      <c r="AQU68" s="401"/>
      <c r="AQV68" s="401"/>
      <c r="AQW68" s="401"/>
      <c r="AQX68" s="401"/>
      <c r="AQY68" s="401"/>
      <c r="AQZ68" s="401"/>
      <c r="ARA68" s="401"/>
      <c r="ARB68" s="401"/>
      <c r="ARC68" s="401"/>
      <c r="ARD68" s="401"/>
      <c r="ARE68" s="401"/>
      <c r="ARF68" s="401"/>
      <c r="ARG68" s="401"/>
      <c r="ARH68" s="401"/>
      <c r="ARI68" s="401"/>
      <c r="ARJ68" s="401"/>
      <c r="ARK68" s="401"/>
      <c r="ARL68" s="401"/>
      <c r="ARM68" s="401"/>
      <c r="ARN68" s="401"/>
      <c r="ARO68" s="401"/>
      <c r="ARP68" s="401"/>
      <c r="ARQ68" s="401"/>
      <c r="ARR68" s="401"/>
      <c r="ARS68" s="401"/>
      <c r="ART68" s="401"/>
      <c r="ARU68" s="401"/>
      <c r="ARV68" s="401"/>
      <c r="ARW68" s="401"/>
      <c r="ARX68" s="401"/>
      <c r="ARY68" s="401"/>
      <c r="ARZ68" s="401"/>
      <c r="ASA68" s="401"/>
      <c r="ASB68" s="401"/>
      <c r="ASC68" s="401"/>
      <c r="ASD68" s="401"/>
      <c r="ASE68" s="401"/>
      <c r="ASF68" s="401"/>
      <c r="ASG68" s="401"/>
      <c r="ASH68" s="401"/>
      <c r="ASI68" s="401"/>
      <c r="ASJ68" s="401"/>
      <c r="ASK68" s="401"/>
      <c r="ASL68" s="401"/>
      <c r="ASM68" s="401"/>
      <c r="ASN68" s="401"/>
      <c r="ASO68" s="401"/>
      <c r="ASP68" s="401"/>
      <c r="ASQ68" s="401"/>
      <c r="ASR68" s="401"/>
      <c r="ASS68" s="401"/>
      <c r="AST68" s="401"/>
      <c r="ASU68" s="401"/>
      <c r="ASV68" s="401"/>
      <c r="ASW68" s="401"/>
      <c r="ASX68" s="401"/>
      <c r="ASY68" s="401"/>
      <c r="ASZ68" s="401"/>
      <c r="ATA68" s="401"/>
      <c r="ATB68" s="401"/>
      <c r="ATC68" s="401"/>
      <c r="ATD68" s="401"/>
      <c r="ATE68" s="401"/>
      <c r="ATF68" s="401"/>
      <c r="ATG68" s="401"/>
      <c r="ATH68" s="401"/>
      <c r="ATI68" s="401"/>
      <c r="ATJ68" s="401"/>
      <c r="ATK68" s="401"/>
      <c r="ATL68" s="401"/>
      <c r="ATM68" s="401"/>
      <c r="ATN68" s="401"/>
      <c r="ATO68" s="401"/>
      <c r="ATP68" s="401"/>
      <c r="ATQ68" s="401"/>
      <c r="ATR68" s="401"/>
      <c r="ATS68" s="401"/>
      <c r="ATT68" s="401"/>
      <c r="ATU68" s="401"/>
      <c r="ATV68" s="401"/>
      <c r="ATW68" s="401"/>
      <c r="ATX68" s="401"/>
      <c r="ATY68" s="401"/>
      <c r="ATZ68" s="401"/>
      <c r="AUA68" s="401"/>
      <c r="AUB68" s="401"/>
      <c r="AUC68" s="401"/>
      <c r="AUD68" s="401"/>
      <c r="AUE68" s="401"/>
      <c r="AUF68" s="401"/>
      <c r="AUG68" s="401"/>
      <c r="AUH68" s="401"/>
      <c r="AUI68" s="401"/>
      <c r="AUJ68" s="401"/>
      <c r="AUK68" s="401"/>
      <c r="AUL68" s="401"/>
      <c r="AUM68" s="401"/>
      <c r="AUN68" s="401"/>
      <c r="AUO68" s="401"/>
      <c r="AUP68" s="401"/>
      <c r="AUQ68" s="401"/>
      <c r="AUR68" s="401"/>
      <c r="AUS68" s="401"/>
      <c r="AUT68" s="401"/>
      <c r="AUU68" s="401"/>
      <c r="AUV68" s="401"/>
      <c r="AUW68" s="401"/>
      <c r="AUX68" s="401"/>
      <c r="AUY68" s="401"/>
      <c r="AUZ68" s="401"/>
      <c r="AVA68" s="401"/>
      <c r="AVB68" s="401"/>
      <c r="AVC68" s="401"/>
      <c r="AVD68" s="401"/>
      <c r="AVE68" s="401"/>
      <c r="AVF68" s="401"/>
      <c r="AVG68" s="401"/>
      <c r="AVH68" s="401"/>
      <c r="AVI68" s="401"/>
      <c r="AVJ68" s="401"/>
      <c r="AVK68" s="401"/>
      <c r="AVL68" s="401"/>
      <c r="AVM68" s="401"/>
      <c r="AVN68" s="401"/>
      <c r="AVO68" s="401"/>
      <c r="AVP68" s="401"/>
      <c r="AVQ68" s="401"/>
      <c r="AVR68" s="401"/>
      <c r="AVS68" s="401"/>
      <c r="AVT68" s="401"/>
      <c r="AVU68" s="401"/>
      <c r="AVV68" s="401"/>
      <c r="AVW68" s="401"/>
      <c r="AVX68" s="401"/>
      <c r="AVY68" s="401"/>
      <c r="AVZ68" s="401"/>
      <c r="AWA68" s="401"/>
      <c r="AWB68" s="401"/>
      <c r="AWC68" s="401"/>
      <c r="AWD68" s="401"/>
      <c r="AWE68" s="401"/>
      <c r="AWF68" s="401"/>
      <c r="AWG68" s="401"/>
      <c r="AWH68" s="401"/>
      <c r="AWI68" s="401"/>
      <c r="AWJ68" s="401"/>
      <c r="AWK68" s="401"/>
      <c r="AWL68" s="401"/>
      <c r="AWM68" s="401"/>
      <c r="AWN68" s="401"/>
      <c r="AWO68" s="401"/>
      <c r="AWP68" s="401"/>
      <c r="AWQ68" s="401"/>
      <c r="AWR68" s="401"/>
      <c r="AWS68" s="401"/>
      <c r="AWT68" s="401"/>
      <c r="AWU68" s="401"/>
      <c r="AWV68" s="401"/>
      <c r="AWW68" s="401"/>
      <c r="AWX68" s="401"/>
      <c r="AWY68" s="401"/>
      <c r="AWZ68" s="401"/>
      <c r="AXA68" s="401"/>
      <c r="AXB68" s="401"/>
      <c r="AXC68" s="401"/>
      <c r="AXD68" s="401"/>
      <c r="AXE68" s="401"/>
      <c r="AXF68" s="401"/>
      <c r="AXG68" s="401"/>
      <c r="AXH68" s="401"/>
      <c r="AXI68" s="401"/>
      <c r="AXJ68" s="401"/>
      <c r="AXK68" s="401"/>
      <c r="AXL68" s="401"/>
      <c r="AXM68" s="401"/>
      <c r="AXN68" s="401"/>
      <c r="AXO68" s="401"/>
      <c r="AXP68" s="401"/>
      <c r="AXQ68" s="401"/>
      <c r="AXR68" s="401"/>
      <c r="AXS68" s="401"/>
      <c r="AXT68" s="401"/>
      <c r="AXU68" s="401"/>
      <c r="AXV68" s="401"/>
      <c r="AXW68" s="401"/>
      <c r="AXX68" s="401"/>
      <c r="AXY68" s="401"/>
      <c r="AXZ68" s="401"/>
      <c r="AYA68" s="401"/>
      <c r="AYB68" s="401"/>
      <c r="AYC68" s="401"/>
      <c r="AYD68" s="401"/>
      <c r="AYE68" s="401"/>
      <c r="AYF68" s="401"/>
      <c r="AYG68" s="401"/>
      <c r="AYH68" s="401"/>
      <c r="AYI68" s="401"/>
      <c r="AYJ68" s="401"/>
      <c r="AYK68" s="401"/>
      <c r="AYL68" s="401"/>
      <c r="AYM68" s="401"/>
      <c r="AYN68" s="401"/>
      <c r="AYO68" s="401"/>
      <c r="AYP68" s="401"/>
      <c r="AYQ68" s="401"/>
      <c r="AYR68" s="401"/>
      <c r="AYS68" s="401"/>
      <c r="AYT68" s="401"/>
      <c r="AYU68" s="401"/>
      <c r="AYV68" s="401"/>
      <c r="AYW68" s="401"/>
      <c r="AYX68" s="401"/>
      <c r="AYY68" s="401"/>
      <c r="AYZ68" s="401"/>
      <c r="AZA68" s="401"/>
      <c r="AZB68" s="401"/>
      <c r="AZC68" s="401"/>
      <c r="AZD68" s="401"/>
      <c r="AZE68" s="401"/>
      <c r="AZF68" s="401"/>
      <c r="AZG68" s="401"/>
      <c r="AZH68" s="401"/>
      <c r="AZI68" s="401"/>
      <c r="AZJ68" s="401"/>
      <c r="AZK68" s="401"/>
      <c r="AZL68" s="401"/>
      <c r="AZM68" s="401"/>
      <c r="AZN68" s="401"/>
      <c r="AZO68" s="401"/>
      <c r="AZP68" s="401"/>
      <c r="AZQ68" s="401"/>
      <c r="AZR68" s="401"/>
      <c r="AZS68" s="401"/>
      <c r="AZT68" s="401"/>
      <c r="AZU68" s="401"/>
      <c r="AZV68" s="401"/>
      <c r="AZW68" s="401"/>
      <c r="AZX68" s="401"/>
      <c r="AZY68" s="401"/>
      <c r="AZZ68" s="401"/>
      <c r="BAA68" s="401"/>
      <c r="BAB68" s="401"/>
      <c r="BAC68" s="401"/>
      <c r="BAD68" s="401"/>
      <c r="BAE68" s="401"/>
      <c r="BAF68" s="401"/>
      <c r="BAG68" s="401"/>
      <c r="BAH68" s="401"/>
      <c r="BAI68" s="401"/>
      <c r="BAJ68" s="401"/>
      <c r="BAK68" s="401"/>
      <c r="BAL68" s="401"/>
      <c r="BAM68" s="401"/>
      <c r="BAN68" s="401"/>
      <c r="BAO68" s="401"/>
      <c r="BAP68" s="401"/>
      <c r="BAQ68" s="401"/>
      <c r="BAR68" s="401"/>
      <c r="BAS68" s="401"/>
      <c r="BAT68" s="401"/>
      <c r="BAU68" s="401"/>
      <c r="BAV68" s="401"/>
      <c r="BAW68" s="401"/>
      <c r="BAX68" s="401"/>
      <c r="BAY68" s="401"/>
      <c r="BAZ68" s="401"/>
      <c r="BBA68" s="401"/>
      <c r="BBB68" s="401"/>
      <c r="BBC68" s="401"/>
      <c r="BBD68" s="401"/>
      <c r="BBE68" s="401"/>
      <c r="BBF68" s="401"/>
      <c r="BBG68" s="401"/>
      <c r="BBH68" s="401"/>
      <c r="BBI68" s="401"/>
      <c r="BBJ68" s="401"/>
      <c r="BBK68" s="401"/>
      <c r="BBL68" s="401"/>
      <c r="BBM68" s="401"/>
      <c r="BBN68" s="401"/>
      <c r="BBO68" s="401"/>
      <c r="BBP68" s="401"/>
      <c r="BBQ68" s="401"/>
      <c r="BBR68" s="401"/>
      <c r="BBS68" s="401"/>
      <c r="BBT68" s="401"/>
      <c r="BBU68" s="401"/>
      <c r="BBV68" s="401"/>
      <c r="BBW68" s="401"/>
      <c r="BBX68" s="401"/>
      <c r="BBY68" s="401"/>
      <c r="BBZ68" s="401"/>
      <c r="BCA68" s="401"/>
      <c r="BCB68" s="401"/>
      <c r="BCC68" s="401"/>
      <c r="BCD68" s="401"/>
      <c r="BCE68" s="401"/>
      <c r="BCF68" s="401"/>
      <c r="BCG68" s="401"/>
      <c r="BCH68" s="401"/>
      <c r="BCI68" s="401"/>
      <c r="BCJ68" s="401"/>
      <c r="BCK68" s="401"/>
      <c r="BCL68" s="401"/>
      <c r="BCM68" s="401"/>
      <c r="BCN68" s="401"/>
      <c r="BCO68" s="401"/>
      <c r="BCP68" s="401"/>
      <c r="BCQ68" s="401"/>
      <c r="BCR68" s="401"/>
      <c r="BCS68" s="401"/>
      <c r="BCT68" s="401"/>
      <c r="BCU68" s="401"/>
      <c r="BCV68" s="401"/>
      <c r="BCW68" s="401"/>
      <c r="BCX68" s="401"/>
      <c r="BCY68" s="401"/>
      <c r="BCZ68" s="401"/>
      <c r="BDA68" s="401"/>
      <c r="BDB68" s="401"/>
      <c r="BDC68" s="401"/>
      <c r="BDD68" s="401"/>
      <c r="BDE68" s="401"/>
      <c r="BDF68" s="401"/>
      <c r="BDG68" s="401"/>
      <c r="BDH68" s="401"/>
      <c r="BDI68" s="401"/>
      <c r="BDJ68" s="401"/>
      <c r="BDK68" s="401"/>
      <c r="BDL68" s="401"/>
      <c r="BDM68" s="401"/>
      <c r="BDN68" s="401"/>
      <c r="BDO68" s="401"/>
      <c r="BDP68" s="401"/>
      <c r="BDQ68" s="401"/>
      <c r="BDR68" s="401"/>
      <c r="BDS68" s="401"/>
      <c r="BDT68" s="401"/>
      <c r="BDU68" s="401"/>
      <c r="BDV68" s="401"/>
      <c r="BDW68" s="401"/>
      <c r="BDX68" s="401"/>
      <c r="BDY68" s="401"/>
      <c r="BDZ68" s="401"/>
      <c r="BEA68" s="401"/>
      <c r="BEB68" s="401"/>
      <c r="BEC68" s="401"/>
      <c r="BED68" s="401"/>
      <c r="BEE68" s="401"/>
      <c r="BEF68" s="401"/>
      <c r="BEG68" s="401"/>
      <c r="BEH68" s="401"/>
      <c r="BEI68" s="401"/>
      <c r="BEJ68" s="401"/>
      <c r="BEK68" s="401"/>
      <c r="BEL68" s="401"/>
      <c r="BEM68" s="401"/>
      <c r="BEN68" s="401"/>
      <c r="BEO68" s="401"/>
      <c r="BEP68" s="401"/>
      <c r="BEQ68" s="401"/>
      <c r="BER68" s="401"/>
      <c r="BES68" s="401"/>
      <c r="BET68" s="401"/>
      <c r="BEU68" s="401"/>
      <c r="BEV68" s="401"/>
      <c r="BEW68" s="401"/>
      <c r="BEX68" s="401"/>
      <c r="BEY68" s="401"/>
      <c r="BEZ68" s="401"/>
      <c r="BFA68" s="401"/>
      <c r="BFB68" s="401"/>
      <c r="BFC68" s="401"/>
      <c r="BFD68" s="401"/>
      <c r="BFE68" s="401"/>
      <c r="BFF68" s="401"/>
      <c r="BFG68" s="401"/>
      <c r="BFH68" s="401"/>
      <c r="BFI68" s="401"/>
      <c r="BFJ68" s="401"/>
      <c r="BFK68" s="401"/>
      <c r="BFL68" s="401"/>
      <c r="BFM68" s="401"/>
      <c r="BFN68" s="401"/>
      <c r="BFO68" s="401"/>
      <c r="BFP68" s="401"/>
      <c r="BFQ68" s="401"/>
      <c r="BFR68" s="401"/>
      <c r="BFS68" s="401"/>
      <c r="BFT68" s="401"/>
      <c r="BFU68" s="401"/>
      <c r="BFV68" s="401"/>
      <c r="BFW68" s="401"/>
      <c r="BFX68" s="401"/>
      <c r="BFY68" s="401"/>
      <c r="BFZ68" s="401"/>
      <c r="BGA68" s="401"/>
      <c r="BGB68" s="401"/>
      <c r="BGC68" s="401"/>
      <c r="BGD68" s="401"/>
      <c r="BGE68" s="401"/>
      <c r="BGF68" s="401"/>
      <c r="BGG68" s="401"/>
      <c r="BGH68" s="401"/>
      <c r="BGI68" s="401"/>
      <c r="BGJ68" s="401"/>
      <c r="BGK68" s="401"/>
      <c r="BGL68" s="401"/>
      <c r="BGM68" s="401"/>
      <c r="BGN68" s="401"/>
      <c r="BGO68" s="401"/>
      <c r="BGP68" s="401"/>
      <c r="BGQ68" s="401"/>
      <c r="BGR68" s="401"/>
      <c r="BGS68" s="401"/>
      <c r="BGT68" s="401"/>
      <c r="BGU68" s="401"/>
      <c r="BGV68" s="401"/>
      <c r="BGW68" s="401"/>
      <c r="BGX68" s="401"/>
      <c r="BGY68" s="401"/>
      <c r="BGZ68" s="401"/>
      <c r="BHA68" s="401"/>
      <c r="BHB68" s="401"/>
      <c r="BHC68" s="401"/>
      <c r="BHD68" s="401"/>
      <c r="BHE68" s="401"/>
      <c r="BHF68" s="401"/>
      <c r="BHG68" s="401"/>
      <c r="BHH68" s="401"/>
      <c r="BHI68" s="401"/>
      <c r="BHJ68" s="401"/>
      <c r="BHK68" s="401"/>
      <c r="BHL68" s="401"/>
      <c r="BHM68" s="401"/>
      <c r="BHN68" s="401"/>
      <c r="BHO68" s="401"/>
      <c r="BHP68" s="401"/>
      <c r="BHQ68" s="401"/>
      <c r="BHR68" s="401"/>
      <c r="BHS68" s="401"/>
      <c r="BHT68" s="401"/>
      <c r="BHU68" s="401"/>
      <c r="BHV68" s="401"/>
      <c r="BHW68" s="401"/>
      <c r="BHX68" s="401"/>
      <c r="BHY68" s="401"/>
      <c r="BHZ68" s="401"/>
      <c r="BIA68" s="401"/>
      <c r="BIB68" s="401"/>
      <c r="BIC68" s="401"/>
      <c r="BID68" s="401"/>
      <c r="BIE68" s="401"/>
      <c r="BIF68" s="401"/>
      <c r="BIG68" s="401"/>
      <c r="BIH68" s="401"/>
      <c r="BII68" s="401"/>
      <c r="BIJ68" s="401"/>
      <c r="BIK68" s="401"/>
      <c r="BIL68" s="401"/>
      <c r="BIM68" s="401"/>
      <c r="BIN68" s="401"/>
      <c r="BIO68" s="401"/>
      <c r="BIP68" s="401"/>
      <c r="BIQ68" s="401"/>
      <c r="BIR68" s="401"/>
      <c r="BIS68" s="401"/>
      <c r="BIT68" s="401"/>
      <c r="BIU68" s="401"/>
      <c r="BIV68" s="401"/>
      <c r="BIW68" s="401"/>
      <c r="BIX68" s="401"/>
      <c r="BIY68" s="401"/>
      <c r="BIZ68" s="401"/>
      <c r="BJA68" s="401"/>
      <c r="BJB68" s="401"/>
      <c r="BJC68" s="401"/>
      <c r="BJD68" s="401"/>
      <c r="BJE68" s="401"/>
      <c r="BJF68" s="401"/>
      <c r="BJG68" s="401"/>
      <c r="BJH68" s="401"/>
      <c r="BJI68" s="401"/>
      <c r="BJJ68" s="401"/>
      <c r="BJK68" s="401"/>
      <c r="BJL68" s="401"/>
      <c r="BJM68" s="401"/>
      <c r="BJN68" s="401"/>
      <c r="BJO68" s="401"/>
      <c r="BJP68" s="401"/>
      <c r="BJQ68" s="401"/>
      <c r="BJR68" s="401"/>
      <c r="BJS68" s="401"/>
      <c r="BJT68" s="401"/>
      <c r="BJU68" s="401"/>
      <c r="BJV68" s="401"/>
      <c r="BJW68" s="401"/>
      <c r="BJX68" s="401"/>
      <c r="BJY68" s="401"/>
      <c r="BJZ68" s="401"/>
      <c r="BKA68" s="401"/>
      <c r="BKB68" s="401"/>
      <c r="BKC68" s="401"/>
      <c r="BKD68" s="401"/>
      <c r="BKE68" s="401"/>
      <c r="BKF68" s="401"/>
      <c r="BKG68" s="401"/>
      <c r="BKH68" s="401"/>
      <c r="BKI68" s="401"/>
      <c r="BKJ68" s="401"/>
      <c r="BKK68" s="401"/>
      <c r="BKL68" s="401"/>
      <c r="BKM68" s="401"/>
      <c r="BKN68" s="401"/>
      <c r="BKO68" s="401"/>
      <c r="BKP68" s="401"/>
      <c r="BKQ68" s="401"/>
      <c r="BKR68" s="401"/>
      <c r="BKS68" s="401"/>
      <c r="BKT68" s="401"/>
      <c r="BKU68" s="401"/>
      <c r="BKV68" s="401"/>
      <c r="BKW68" s="401"/>
      <c r="BKX68" s="401"/>
      <c r="BKY68" s="401"/>
      <c r="BKZ68" s="401"/>
      <c r="BLA68" s="401"/>
      <c r="BLB68" s="401"/>
      <c r="BLC68" s="401"/>
      <c r="BLD68" s="401"/>
      <c r="BLE68" s="401"/>
      <c r="BLF68" s="401"/>
      <c r="BLG68" s="401"/>
      <c r="BLH68" s="401"/>
      <c r="BLI68" s="401"/>
      <c r="BLJ68" s="401"/>
      <c r="BLK68" s="401"/>
      <c r="BLL68" s="401"/>
      <c r="BLM68" s="401"/>
      <c r="BLN68" s="401"/>
      <c r="BLO68" s="401"/>
      <c r="BLP68" s="401"/>
      <c r="BLQ68" s="401"/>
      <c r="BLR68" s="401"/>
      <c r="BLS68" s="401"/>
      <c r="BLT68" s="401"/>
      <c r="BLU68" s="401"/>
      <c r="BLV68" s="401"/>
      <c r="BLW68" s="401"/>
      <c r="BLX68" s="401"/>
      <c r="BLY68" s="401"/>
      <c r="BLZ68" s="401"/>
      <c r="BMA68" s="401"/>
      <c r="BMB68" s="401"/>
      <c r="BMC68" s="401"/>
      <c r="BMD68" s="401"/>
      <c r="BME68" s="401"/>
      <c r="BMF68" s="401"/>
      <c r="BMG68" s="401"/>
      <c r="BMH68" s="401"/>
      <c r="BMI68" s="401"/>
      <c r="BMJ68" s="401"/>
      <c r="BMK68" s="401"/>
      <c r="BML68" s="401"/>
      <c r="BMM68" s="401"/>
      <c r="BMN68" s="401"/>
      <c r="BMO68" s="401"/>
      <c r="BMP68" s="401"/>
      <c r="BMQ68" s="401"/>
      <c r="BMR68" s="401"/>
      <c r="BMS68" s="401"/>
      <c r="BMT68" s="401"/>
      <c r="BMU68" s="401"/>
      <c r="BMV68" s="401"/>
      <c r="BMW68" s="401"/>
      <c r="BMX68" s="401"/>
      <c r="BMY68" s="401"/>
      <c r="BMZ68" s="401"/>
      <c r="BNA68" s="401"/>
      <c r="BNB68" s="401"/>
      <c r="BNC68" s="401"/>
      <c r="BND68" s="401"/>
      <c r="BNE68" s="401"/>
      <c r="BNF68" s="401"/>
      <c r="BNG68" s="401"/>
      <c r="BNH68" s="401"/>
      <c r="BNI68" s="401"/>
      <c r="BNJ68" s="401"/>
      <c r="BNK68" s="401"/>
      <c r="BNL68" s="401"/>
      <c r="BNM68" s="401"/>
      <c r="BNN68" s="401"/>
      <c r="BNO68" s="401"/>
      <c r="BNP68" s="401"/>
      <c r="BNQ68" s="401"/>
      <c r="BNR68" s="401"/>
      <c r="BNS68" s="401"/>
      <c r="BNT68" s="401"/>
      <c r="BNU68" s="401"/>
      <c r="BNV68" s="401"/>
      <c r="BNW68" s="401"/>
      <c r="BNX68" s="401"/>
      <c r="BNY68" s="401"/>
      <c r="BNZ68" s="401"/>
      <c r="BOA68" s="401"/>
      <c r="BOB68" s="401"/>
      <c r="BOC68" s="401"/>
      <c r="BOD68" s="401"/>
      <c r="BOE68" s="401"/>
      <c r="BOF68" s="401"/>
      <c r="BOG68" s="401"/>
      <c r="BOH68" s="401"/>
      <c r="BOI68" s="401"/>
      <c r="BOJ68" s="401"/>
      <c r="BOK68" s="401"/>
      <c r="BOL68" s="401"/>
      <c r="BOM68" s="401"/>
      <c r="BON68" s="401"/>
      <c r="BOO68" s="401"/>
      <c r="BOP68" s="401"/>
      <c r="BOQ68" s="401"/>
      <c r="BOR68" s="401"/>
      <c r="BOS68" s="401"/>
      <c r="BOT68" s="401"/>
      <c r="BOU68" s="401"/>
      <c r="BOV68" s="401"/>
      <c r="BOW68" s="401"/>
      <c r="BOX68" s="401"/>
      <c r="BOY68" s="401"/>
      <c r="BOZ68" s="401"/>
      <c r="BPA68" s="401"/>
      <c r="BPB68" s="401"/>
      <c r="BPC68" s="401"/>
      <c r="BPD68" s="401"/>
      <c r="BPE68" s="401"/>
      <c r="BPF68" s="401"/>
      <c r="BPG68" s="401"/>
      <c r="BPH68" s="401"/>
      <c r="BPI68" s="401"/>
      <c r="BPJ68" s="401"/>
      <c r="BPK68" s="401"/>
      <c r="BPL68" s="401"/>
      <c r="BPM68" s="401"/>
      <c r="BPN68" s="401"/>
      <c r="BPO68" s="401"/>
      <c r="BPP68" s="401"/>
      <c r="BPQ68" s="401"/>
      <c r="BPR68" s="401"/>
      <c r="BPS68" s="401"/>
      <c r="BPT68" s="401"/>
      <c r="BPU68" s="401"/>
      <c r="BPV68" s="401"/>
      <c r="BPW68" s="401"/>
      <c r="BPX68" s="401"/>
      <c r="BPY68" s="401"/>
      <c r="BPZ68" s="401"/>
      <c r="BQA68" s="401"/>
      <c r="BQB68" s="401"/>
      <c r="BQC68" s="401"/>
      <c r="BQD68" s="401"/>
      <c r="BQE68" s="401"/>
      <c r="BQF68" s="401"/>
      <c r="BQG68" s="401"/>
      <c r="BQH68" s="401"/>
      <c r="BQI68" s="401"/>
      <c r="BQJ68" s="401"/>
      <c r="BQK68" s="401"/>
      <c r="BQL68" s="401"/>
      <c r="BQM68" s="401"/>
      <c r="BQN68" s="401"/>
      <c r="BQO68" s="401"/>
      <c r="BQP68" s="401"/>
      <c r="BQQ68" s="401"/>
      <c r="BQR68" s="401"/>
      <c r="BQS68" s="401"/>
      <c r="BQT68" s="401"/>
      <c r="BQU68" s="401"/>
      <c r="BQV68" s="401"/>
      <c r="BQW68" s="401"/>
      <c r="BQX68" s="401"/>
      <c r="BQY68" s="401"/>
      <c r="BQZ68" s="401"/>
      <c r="BRA68" s="401"/>
      <c r="BRB68" s="401"/>
      <c r="BRC68" s="401"/>
      <c r="BRD68" s="401"/>
      <c r="BRE68" s="401"/>
      <c r="BRF68" s="401"/>
      <c r="BRG68" s="401"/>
      <c r="BRH68" s="401"/>
      <c r="BRI68" s="401"/>
      <c r="BRJ68" s="401"/>
      <c r="BRK68" s="401"/>
      <c r="BRL68" s="401"/>
      <c r="BRM68" s="401"/>
      <c r="BRN68" s="401"/>
      <c r="BRO68" s="401"/>
      <c r="BRP68" s="401"/>
      <c r="BRQ68" s="401"/>
      <c r="BRR68" s="401"/>
      <c r="BRS68" s="401"/>
      <c r="BRT68" s="401"/>
      <c r="BRU68" s="401"/>
      <c r="BRV68" s="401"/>
      <c r="BRW68" s="401"/>
      <c r="BRX68" s="401"/>
      <c r="BRY68" s="401"/>
      <c r="BRZ68" s="401"/>
      <c r="BSA68" s="401"/>
      <c r="BSB68" s="401"/>
      <c r="BSC68" s="401"/>
      <c r="BSD68" s="401"/>
      <c r="BSE68" s="401"/>
      <c r="BSF68" s="401"/>
      <c r="BSG68" s="401"/>
      <c r="BSH68" s="401"/>
      <c r="BSI68" s="401"/>
      <c r="BSJ68" s="401"/>
      <c r="BSK68" s="401"/>
      <c r="BSL68" s="401"/>
      <c r="BSM68" s="401"/>
      <c r="BSN68" s="401"/>
      <c r="BSO68" s="401"/>
      <c r="BSP68" s="401"/>
      <c r="BSQ68" s="401"/>
      <c r="BSR68" s="401"/>
      <c r="BSS68" s="401"/>
      <c r="BST68" s="401"/>
      <c r="BSU68" s="401"/>
      <c r="BSV68" s="401"/>
      <c r="BSW68" s="401"/>
      <c r="BSX68" s="401"/>
      <c r="BSY68" s="401"/>
      <c r="BSZ68" s="401"/>
      <c r="BTA68" s="401"/>
      <c r="BTB68" s="401"/>
      <c r="BTC68" s="401"/>
      <c r="BTD68" s="401"/>
      <c r="BTE68" s="401"/>
      <c r="BTF68" s="401"/>
      <c r="BTG68" s="401"/>
      <c r="BTH68" s="401"/>
      <c r="BTI68" s="401"/>
      <c r="BTJ68" s="401"/>
      <c r="BTK68" s="401"/>
      <c r="BTL68" s="401"/>
      <c r="BTM68" s="401"/>
      <c r="BTN68" s="401"/>
      <c r="BTO68" s="401"/>
      <c r="BTP68" s="401"/>
      <c r="BTQ68" s="401"/>
      <c r="BTR68" s="401"/>
      <c r="BTS68" s="401"/>
      <c r="BTT68" s="401"/>
      <c r="BTU68" s="401"/>
      <c r="BTV68" s="401"/>
      <c r="BTW68" s="401"/>
      <c r="BTX68" s="401"/>
      <c r="BTY68" s="401"/>
      <c r="BTZ68" s="401"/>
      <c r="BUA68" s="401"/>
      <c r="BUB68" s="401"/>
      <c r="BUC68" s="401"/>
      <c r="BUD68" s="401"/>
      <c r="BUE68" s="401"/>
      <c r="BUF68" s="401"/>
      <c r="BUG68" s="401"/>
      <c r="BUH68" s="401"/>
      <c r="BUI68" s="401"/>
      <c r="BUJ68" s="401"/>
      <c r="BUK68" s="401"/>
      <c r="BUL68" s="401"/>
      <c r="BUM68" s="401"/>
      <c r="BUN68" s="401"/>
      <c r="BUO68" s="401"/>
      <c r="BUP68" s="401"/>
      <c r="BUQ68" s="401"/>
      <c r="BUR68" s="401"/>
      <c r="BUS68" s="401"/>
      <c r="BUT68" s="401"/>
      <c r="BUU68" s="401"/>
      <c r="BUV68" s="401"/>
      <c r="BUW68" s="401"/>
      <c r="BUX68" s="401"/>
      <c r="BUY68" s="401"/>
      <c r="BUZ68" s="401"/>
      <c r="BVA68" s="401"/>
      <c r="BVB68" s="401"/>
      <c r="BVC68" s="401"/>
      <c r="BVD68" s="401"/>
      <c r="BVE68" s="401"/>
      <c r="BVF68" s="401"/>
      <c r="BVG68" s="401"/>
      <c r="BVH68" s="401"/>
      <c r="BVI68" s="401"/>
      <c r="BVJ68" s="401"/>
      <c r="BVK68" s="401"/>
      <c r="BVL68" s="401"/>
      <c r="BVM68" s="401"/>
      <c r="BVN68" s="401"/>
      <c r="BVO68" s="401"/>
      <c r="BVP68" s="401"/>
      <c r="BVQ68" s="401"/>
      <c r="BVR68" s="401"/>
      <c r="BVS68" s="401"/>
      <c r="BVT68" s="401"/>
      <c r="BVU68" s="401"/>
      <c r="BVV68" s="401"/>
      <c r="BVW68" s="401"/>
      <c r="BVX68" s="401"/>
      <c r="BVY68" s="401"/>
      <c r="BVZ68" s="401"/>
      <c r="BWA68" s="401"/>
      <c r="BWB68" s="401"/>
      <c r="BWC68" s="401"/>
      <c r="BWD68" s="401"/>
      <c r="BWE68" s="401"/>
      <c r="BWF68" s="401"/>
      <c r="BWG68" s="401"/>
      <c r="BWH68" s="401"/>
      <c r="BWI68" s="401"/>
      <c r="BWJ68" s="401"/>
      <c r="BWK68" s="401"/>
      <c r="BWL68" s="401"/>
      <c r="BWM68" s="401"/>
      <c r="BWN68" s="401"/>
      <c r="BWO68" s="401"/>
      <c r="BWP68" s="401"/>
      <c r="BWQ68" s="401"/>
      <c r="BWR68" s="401"/>
      <c r="BWS68" s="401"/>
      <c r="BWT68" s="401"/>
      <c r="BWU68" s="401"/>
      <c r="BWV68" s="401"/>
      <c r="BWW68" s="401"/>
      <c r="BWX68" s="401"/>
      <c r="BWY68" s="401"/>
      <c r="BWZ68" s="401"/>
      <c r="BXA68" s="401"/>
      <c r="BXB68" s="401"/>
      <c r="BXC68" s="401"/>
      <c r="BXD68" s="401"/>
      <c r="BXE68" s="401"/>
      <c r="BXF68" s="401"/>
      <c r="BXG68" s="401"/>
      <c r="BXH68" s="401"/>
      <c r="BXI68" s="401"/>
      <c r="BXJ68" s="401"/>
      <c r="BXK68" s="401"/>
      <c r="BXL68" s="401"/>
      <c r="BXM68" s="401"/>
      <c r="BXN68" s="401"/>
      <c r="BXO68" s="401"/>
      <c r="BXP68" s="401"/>
      <c r="BXQ68" s="401"/>
      <c r="BXR68" s="401"/>
      <c r="BXS68" s="401"/>
      <c r="BXT68" s="401"/>
      <c r="BXU68" s="401"/>
      <c r="BXV68" s="401"/>
      <c r="BXW68" s="401"/>
      <c r="BXX68" s="401"/>
      <c r="BXY68" s="401"/>
      <c r="BXZ68" s="401"/>
      <c r="BYA68" s="401"/>
      <c r="BYB68" s="401"/>
      <c r="BYC68" s="401"/>
      <c r="BYD68" s="401"/>
      <c r="BYE68" s="401"/>
      <c r="BYF68" s="401"/>
      <c r="BYG68" s="401"/>
      <c r="BYH68" s="401"/>
      <c r="BYI68" s="401"/>
      <c r="BYJ68" s="401"/>
      <c r="BYK68" s="401"/>
      <c r="BYL68" s="401"/>
      <c r="BYM68" s="401"/>
      <c r="BYN68" s="401"/>
      <c r="BYO68" s="401"/>
      <c r="BYP68" s="401"/>
      <c r="BYQ68" s="401"/>
      <c r="BYR68" s="401"/>
      <c r="BYS68" s="401"/>
      <c r="BYT68" s="401"/>
      <c r="BYU68" s="401"/>
      <c r="BYV68" s="401"/>
      <c r="BYW68" s="401"/>
      <c r="BYX68" s="401"/>
      <c r="BYY68" s="401"/>
      <c r="BYZ68" s="401"/>
      <c r="BZA68" s="401"/>
      <c r="BZB68" s="401"/>
      <c r="BZC68" s="401"/>
      <c r="BZD68" s="401"/>
      <c r="BZE68" s="401"/>
      <c r="BZF68" s="401"/>
      <c r="BZG68" s="401"/>
      <c r="BZH68" s="401"/>
      <c r="BZI68" s="401"/>
      <c r="BZJ68" s="401"/>
      <c r="BZK68" s="401"/>
      <c r="BZL68" s="401"/>
      <c r="BZM68" s="401"/>
      <c r="BZN68" s="401"/>
      <c r="BZO68" s="401"/>
      <c r="BZP68" s="401"/>
      <c r="BZQ68" s="401"/>
      <c r="BZR68" s="401"/>
      <c r="BZS68" s="401"/>
      <c r="BZT68" s="401"/>
      <c r="BZU68" s="401"/>
      <c r="BZV68" s="401"/>
      <c r="BZW68" s="401"/>
      <c r="BZX68" s="401"/>
      <c r="BZY68" s="401"/>
      <c r="BZZ68" s="401"/>
      <c r="CAA68" s="401"/>
      <c r="CAB68" s="401"/>
      <c r="CAC68" s="401"/>
      <c r="CAD68" s="401"/>
      <c r="CAE68" s="401"/>
      <c r="CAF68" s="401"/>
      <c r="CAG68" s="401"/>
      <c r="CAH68" s="401"/>
      <c r="CAI68" s="401"/>
      <c r="CAJ68" s="401"/>
      <c r="CAK68" s="401"/>
      <c r="CAL68" s="401"/>
      <c r="CAM68" s="401"/>
      <c r="CAN68" s="401"/>
      <c r="CAO68" s="401"/>
      <c r="CAP68" s="401"/>
      <c r="CAQ68" s="401"/>
      <c r="CAR68" s="401"/>
      <c r="CAS68" s="401"/>
      <c r="CAT68" s="401"/>
      <c r="CAU68" s="401"/>
      <c r="CAV68" s="401"/>
      <c r="CAW68" s="401"/>
      <c r="CAX68" s="401"/>
      <c r="CAY68" s="401"/>
      <c r="CAZ68" s="401"/>
      <c r="CBA68" s="401"/>
      <c r="CBB68" s="401"/>
      <c r="CBC68" s="401"/>
      <c r="CBD68" s="401"/>
      <c r="CBE68" s="401"/>
      <c r="CBF68" s="401"/>
      <c r="CBG68" s="401"/>
      <c r="CBH68" s="401"/>
      <c r="CBI68" s="401"/>
      <c r="CBJ68" s="401"/>
      <c r="CBK68" s="401"/>
      <c r="CBL68" s="401"/>
      <c r="CBM68" s="401"/>
      <c r="CBN68" s="401"/>
      <c r="CBO68" s="401"/>
      <c r="CBP68" s="401"/>
      <c r="CBQ68" s="401"/>
      <c r="CBR68" s="401"/>
      <c r="CBS68" s="401"/>
      <c r="CBT68" s="401"/>
      <c r="CBU68" s="401"/>
      <c r="CBV68" s="401"/>
      <c r="CBW68" s="401"/>
      <c r="CBX68" s="401"/>
      <c r="CBY68" s="401"/>
      <c r="CBZ68" s="401"/>
      <c r="CCA68" s="401"/>
      <c r="CCB68" s="401"/>
      <c r="CCC68" s="401"/>
      <c r="CCD68" s="401"/>
      <c r="CCE68" s="401"/>
      <c r="CCF68" s="401"/>
      <c r="CCG68" s="401"/>
      <c r="CCH68" s="401"/>
      <c r="CCI68" s="401"/>
      <c r="CCJ68" s="401"/>
      <c r="CCK68" s="401"/>
      <c r="CCL68" s="401"/>
      <c r="CCM68" s="401"/>
      <c r="CCN68" s="401"/>
      <c r="CCO68" s="401"/>
      <c r="CCP68" s="401"/>
      <c r="CCQ68" s="401"/>
      <c r="CCR68" s="401"/>
      <c r="CCS68" s="401"/>
      <c r="CCT68" s="401"/>
      <c r="CCU68" s="401"/>
      <c r="CCV68" s="401"/>
      <c r="CCW68" s="401"/>
      <c r="CCX68" s="401"/>
      <c r="CCY68" s="401"/>
      <c r="CCZ68" s="401"/>
      <c r="CDA68" s="401"/>
      <c r="CDB68" s="401"/>
      <c r="CDC68" s="401"/>
      <c r="CDD68" s="401"/>
      <c r="CDE68" s="401"/>
      <c r="CDF68" s="401"/>
      <c r="CDG68" s="401"/>
      <c r="CDH68" s="401"/>
      <c r="CDI68" s="401"/>
      <c r="CDJ68" s="401"/>
      <c r="CDK68" s="401"/>
      <c r="CDL68" s="401"/>
      <c r="CDM68" s="401"/>
      <c r="CDN68" s="401"/>
      <c r="CDO68" s="401"/>
      <c r="CDP68" s="401"/>
      <c r="CDQ68" s="401"/>
      <c r="CDR68" s="401"/>
      <c r="CDS68" s="401"/>
      <c r="CDT68" s="401"/>
      <c r="CDU68" s="401"/>
      <c r="CDV68" s="401"/>
      <c r="CDW68" s="401"/>
      <c r="CDX68" s="401"/>
      <c r="CDY68" s="401"/>
      <c r="CDZ68" s="401"/>
      <c r="CEA68" s="401"/>
      <c r="CEB68" s="401"/>
      <c r="CEC68" s="401"/>
      <c r="CED68" s="401"/>
      <c r="CEE68" s="401"/>
      <c r="CEF68" s="401"/>
      <c r="CEG68" s="401"/>
      <c r="CEH68" s="401"/>
      <c r="CEI68" s="401"/>
      <c r="CEJ68" s="401"/>
      <c r="CEK68" s="401"/>
      <c r="CEL68" s="401"/>
      <c r="CEM68" s="401"/>
      <c r="CEN68" s="401"/>
      <c r="CEO68" s="401"/>
      <c r="CEP68" s="401"/>
      <c r="CEQ68" s="401"/>
      <c r="CER68" s="401"/>
      <c r="CES68" s="401"/>
      <c r="CET68" s="401"/>
      <c r="CEU68" s="401"/>
      <c r="CEV68" s="401"/>
      <c r="CEW68" s="401"/>
      <c r="CEX68" s="401"/>
      <c r="CEY68" s="401"/>
      <c r="CEZ68" s="401"/>
      <c r="CFA68" s="401"/>
      <c r="CFB68" s="401"/>
      <c r="CFC68" s="401"/>
      <c r="CFD68" s="401"/>
      <c r="CFE68" s="401"/>
      <c r="CFF68" s="401"/>
      <c r="CFG68" s="401"/>
      <c r="CFH68" s="401"/>
      <c r="CFI68" s="401"/>
      <c r="CFJ68" s="401"/>
      <c r="CFK68" s="401"/>
      <c r="CFL68" s="401"/>
      <c r="CFM68" s="401"/>
      <c r="CFN68" s="401"/>
      <c r="CFO68" s="401"/>
      <c r="CFP68" s="401"/>
      <c r="CFQ68" s="401"/>
      <c r="CFR68" s="401"/>
      <c r="CFS68" s="401"/>
      <c r="CFT68" s="401"/>
      <c r="CFU68" s="401"/>
      <c r="CFV68" s="401"/>
      <c r="CFW68" s="401"/>
      <c r="CFX68" s="401"/>
      <c r="CFY68" s="401"/>
      <c r="CFZ68" s="401"/>
      <c r="CGA68" s="401"/>
      <c r="CGB68" s="401"/>
      <c r="CGC68" s="401"/>
      <c r="CGD68" s="401"/>
      <c r="CGE68" s="401"/>
      <c r="CGF68" s="401"/>
      <c r="CGG68" s="401"/>
      <c r="CGH68" s="401"/>
      <c r="CGI68" s="401"/>
      <c r="CGJ68" s="401"/>
      <c r="CGK68" s="401"/>
      <c r="CGL68" s="401"/>
      <c r="CGM68" s="401"/>
      <c r="CGN68" s="401"/>
      <c r="CGO68" s="401"/>
      <c r="CGP68" s="401"/>
      <c r="CGQ68" s="401"/>
      <c r="CGR68" s="401"/>
      <c r="CGS68" s="401"/>
      <c r="CGT68" s="401"/>
      <c r="CGU68" s="401"/>
      <c r="CGV68" s="401"/>
      <c r="CGW68" s="401"/>
      <c r="CGX68" s="401"/>
      <c r="CGY68" s="401"/>
      <c r="CGZ68" s="401"/>
      <c r="CHA68" s="401"/>
      <c r="CHB68" s="401"/>
      <c r="CHC68" s="401"/>
      <c r="CHD68" s="401"/>
      <c r="CHE68" s="401"/>
      <c r="CHF68" s="401"/>
      <c r="CHG68" s="401"/>
      <c r="CHH68" s="401"/>
      <c r="CHI68" s="401"/>
      <c r="CHJ68" s="401"/>
      <c r="CHK68" s="401"/>
      <c r="CHL68" s="401"/>
      <c r="CHM68" s="401"/>
      <c r="CHN68" s="401"/>
      <c r="CHO68" s="401"/>
      <c r="CHP68" s="401"/>
      <c r="CHQ68" s="401"/>
      <c r="CHR68" s="401"/>
      <c r="CHS68" s="401"/>
      <c r="CHT68" s="401"/>
      <c r="CHU68" s="401"/>
      <c r="CHV68" s="401"/>
      <c r="CHW68" s="401"/>
      <c r="CHX68" s="401"/>
      <c r="CHY68" s="401"/>
      <c r="CHZ68" s="401"/>
      <c r="CIA68" s="401"/>
      <c r="CIB68" s="401"/>
      <c r="CIC68" s="401"/>
      <c r="CID68" s="401"/>
      <c r="CIE68" s="401"/>
      <c r="CIF68" s="401"/>
      <c r="CIG68" s="401"/>
      <c r="CIH68" s="401"/>
      <c r="CII68" s="401"/>
      <c r="CIJ68" s="401"/>
      <c r="CIK68" s="401"/>
      <c r="CIL68" s="401"/>
      <c r="CIM68" s="401"/>
      <c r="CIN68" s="401"/>
      <c r="CIO68" s="401"/>
      <c r="CIP68" s="401"/>
      <c r="CIQ68" s="401"/>
      <c r="CIR68" s="401"/>
      <c r="CIS68" s="401"/>
      <c r="CIT68" s="401"/>
      <c r="CIU68" s="401"/>
      <c r="CIV68" s="401"/>
      <c r="CIW68" s="401"/>
      <c r="CIX68" s="401"/>
      <c r="CIY68" s="401"/>
      <c r="CIZ68" s="401"/>
      <c r="CJA68" s="401"/>
      <c r="CJB68" s="401"/>
      <c r="CJC68" s="401"/>
      <c r="CJD68" s="401"/>
      <c r="CJE68" s="401"/>
      <c r="CJF68" s="401"/>
      <c r="CJG68" s="401"/>
      <c r="CJH68" s="401"/>
      <c r="CJI68" s="401"/>
      <c r="CJJ68" s="401"/>
      <c r="CJK68" s="401"/>
      <c r="CJL68" s="401"/>
      <c r="CJM68" s="401"/>
      <c r="CJN68" s="401"/>
      <c r="CJO68" s="401"/>
      <c r="CJP68" s="401"/>
      <c r="CJQ68" s="401"/>
      <c r="CJR68" s="401"/>
      <c r="CJS68" s="401"/>
      <c r="CJT68" s="401"/>
      <c r="CJU68" s="401"/>
      <c r="CJV68" s="401"/>
      <c r="CJW68" s="401"/>
      <c r="CJX68" s="401"/>
      <c r="CJY68" s="401"/>
      <c r="CJZ68" s="401"/>
      <c r="CKA68" s="401"/>
      <c r="CKB68" s="401"/>
      <c r="CKC68" s="401"/>
      <c r="CKD68" s="401"/>
      <c r="CKE68" s="401"/>
      <c r="CKF68" s="401"/>
      <c r="CKG68" s="401"/>
      <c r="CKH68" s="401"/>
      <c r="CKI68" s="401"/>
      <c r="CKJ68" s="401"/>
      <c r="CKK68" s="401"/>
      <c r="CKL68" s="401"/>
      <c r="CKM68" s="401"/>
      <c r="CKN68" s="401"/>
      <c r="CKO68" s="401"/>
      <c r="CKP68" s="401"/>
      <c r="CKQ68" s="401"/>
      <c r="CKR68" s="401"/>
      <c r="CKS68" s="401"/>
      <c r="CKT68" s="401"/>
      <c r="CKU68" s="401"/>
      <c r="CKV68" s="401"/>
      <c r="CKW68" s="401"/>
      <c r="CKX68" s="401"/>
      <c r="CKY68" s="401"/>
      <c r="CKZ68" s="401"/>
      <c r="CLA68" s="401"/>
      <c r="CLB68" s="401"/>
      <c r="CLC68" s="401"/>
      <c r="CLD68" s="401"/>
      <c r="CLE68" s="401"/>
      <c r="CLF68" s="401"/>
      <c r="CLG68" s="401"/>
      <c r="CLH68" s="401"/>
      <c r="CLI68" s="401"/>
      <c r="CLJ68" s="401"/>
      <c r="CLK68" s="401"/>
      <c r="CLL68" s="401"/>
      <c r="CLM68" s="401"/>
      <c r="CLN68" s="401"/>
      <c r="CLO68" s="401"/>
      <c r="CLP68" s="401"/>
      <c r="CLQ68" s="401"/>
      <c r="CLR68" s="401"/>
      <c r="CLS68" s="401"/>
      <c r="CLT68" s="401"/>
      <c r="CLU68" s="401"/>
      <c r="CLV68" s="401"/>
      <c r="CLW68" s="401"/>
      <c r="CLX68" s="401"/>
      <c r="CLY68" s="401"/>
      <c r="CLZ68" s="401"/>
      <c r="CMA68" s="401"/>
      <c r="CMB68" s="401"/>
      <c r="CMC68" s="401"/>
      <c r="CMD68" s="401"/>
      <c r="CME68" s="401"/>
      <c r="CMF68" s="401"/>
      <c r="CMG68" s="401"/>
      <c r="CMH68" s="401"/>
      <c r="CMI68" s="401"/>
      <c r="CMJ68" s="401"/>
      <c r="CMK68" s="401"/>
      <c r="CML68" s="401"/>
      <c r="CMM68" s="401"/>
      <c r="CMN68" s="401"/>
      <c r="CMO68" s="401"/>
      <c r="CMP68" s="401"/>
      <c r="CMQ68" s="401"/>
      <c r="CMR68" s="401"/>
      <c r="CMS68" s="401"/>
      <c r="CMT68" s="401"/>
      <c r="CMU68" s="401"/>
      <c r="CMV68" s="401"/>
      <c r="CMW68" s="401"/>
      <c r="CMX68" s="401"/>
      <c r="CMY68" s="401"/>
      <c r="CMZ68" s="401"/>
      <c r="CNA68" s="401"/>
      <c r="CNB68" s="401"/>
      <c r="CNC68" s="401"/>
      <c r="CND68" s="401"/>
      <c r="CNE68" s="401"/>
      <c r="CNF68" s="401"/>
      <c r="CNG68" s="401"/>
      <c r="CNH68" s="401"/>
      <c r="CNI68" s="401"/>
      <c r="CNJ68" s="401"/>
      <c r="CNK68" s="401"/>
      <c r="CNL68" s="401"/>
      <c r="CNM68" s="401"/>
      <c r="CNN68" s="401"/>
      <c r="CNO68" s="401"/>
      <c r="CNP68" s="401"/>
      <c r="CNQ68" s="401"/>
      <c r="CNR68" s="401"/>
      <c r="CNS68" s="401"/>
      <c r="CNT68" s="401"/>
      <c r="CNU68" s="401"/>
      <c r="CNV68" s="401"/>
      <c r="CNW68" s="401"/>
      <c r="CNX68" s="401"/>
      <c r="CNY68" s="401"/>
      <c r="CNZ68" s="401"/>
      <c r="COA68" s="401"/>
      <c r="COB68" s="401"/>
      <c r="COC68" s="401"/>
      <c r="COD68" s="401"/>
      <c r="COE68" s="401"/>
      <c r="COF68" s="401"/>
      <c r="COG68" s="401"/>
      <c r="COH68" s="401"/>
      <c r="COI68" s="401"/>
      <c r="COJ68" s="401"/>
      <c r="COK68" s="401"/>
      <c r="COL68" s="401"/>
      <c r="COM68" s="401"/>
      <c r="CON68" s="401"/>
      <c r="COO68" s="401"/>
      <c r="COP68" s="401"/>
      <c r="COQ68" s="401"/>
      <c r="COR68" s="401"/>
      <c r="COS68" s="401"/>
      <c r="COT68" s="401"/>
      <c r="COU68" s="401"/>
      <c r="COV68" s="401"/>
      <c r="COW68" s="401"/>
      <c r="COX68" s="401"/>
      <c r="COY68" s="401"/>
      <c r="COZ68" s="401"/>
      <c r="CPA68" s="401"/>
      <c r="CPB68" s="401"/>
      <c r="CPC68" s="401"/>
      <c r="CPD68" s="401"/>
      <c r="CPE68" s="401"/>
      <c r="CPF68" s="401"/>
      <c r="CPG68" s="401"/>
      <c r="CPH68" s="401"/>
      <c r="CPI68" s="401"/>
      <c r="CPJ68" s="401"/>
      <c r="CPK68" s="401"/>
      <c r="CPL68" s="401"/>
      <c r="CPM68" s="401"/>
      <c r="CPN68" s="401"/>
      <c r="CPO68" s="401"/>
      <c r="CPP68" s="401"/>
      <c r="CPQ68" s="401"/>
      <c r="CPR68" s="401"/>
      <c r="CPS68" s="401"/>
      <c r="CPT68" s="401"/>
      <c r="CPU68" s="401"/>
      <c r="CPV68" s="401"/>
      <c r="CPW68" s="401"/>
      <c r="CPX68" s="401"/>
      <c r="CPY68" s="401"/>
      <c r="CPZ68" s="401"/>
      <c r="CQA68" s="401"/>
      <c r="CQB68" s="401"/>
      <c r="CQC68" s="401"/>
      <c r="CQD68" s="401"/>
      <c r="CQE68" s="401"/>
      <c r="CQF68" s="401"/>
      <c r="CQG68" s="401"/>
      <c r="CQH68" s="401"/>
      <c r="CQI68" s="401"/>
      <c r="CQJ68" s="401"/>
      <c r="CQK68" s="401"/>
      <c r="CQL68" s="401"/>
      <c r="CQM68" s="401"/>
      <c r="CQN68" s="401"/>
      <c r="CQO68" s="401"/>
      <c r="CQP68" s="401"/>
      <c r="CQQ68" s="401"/>
      <c r="CQR68" s="401"/>
      <c r="CQS68" s="401"/>
      <c r="CQT68" s="401"/>
      <c r="CQU68" s="401"/>
      <c r="CQV68" s="401"/>
      <c r="CQW68" s="401"/>
      <c r="CQX68" s="401"/>
      <c r="CQY68" s="401"/>
      <c r="CQZ68" s="401"/>
      <c r="CRA68" s="401"/>
      <c r="CRB68" s="401"/>
      <c r="CRC68" s="401"/>
      <c r="CRD68" s="401"/>
      <c r="CRE68" s="401"/>
      <c r="CRF68" s="401"/>
      <c r="CRG68" s="401"/>
      <c r="CRH68" s="401"/>
      <c r="CRI68" s="401"/>
      <c r="CRJ68" s="401"/>
      <c r="CRK68" s="401"/>
      <c r="CRL68" s="401"/>
      <c r="CRM68" s="401"/>
      <c r="CRN68" s="401"/>
      <c r="CRO68" s="401"/>
      <c r="CRP68" s="401"/>
      <c r="CRQ68" s="401"/>
      <c r="CRR68" s="401"/>
      <c r="CRS68" s="401"/>
      <c r="CRT68" s="401"/>
      <c r="CRU68" s="401"/>
      <c r="CRV68" s="401"/>
      <c r="CRW68" s="401"/>
      <c r="CRX68" s="401"/>
      <c r="CRY68" s="401"/>
      <c r="CRZ68" s="401"/>
      <c r="CSA68" s="401"/>
      <c r="CSB68" s="401"/>
      <c r="CSC68" s="401"/>
      <c r="CSD68" s="401"/>
      <c r="CSE68" s="401"/>
      <c r="CSF68" s="401"/>
      <c r="CSG68" s="401"/>
      <c r="CSH68" s="401"/>
      <c r="CSI68" s="401"/>
      <c r="CSJ68" s="401"/>
      <c r="CSK68" s="401"/>
      <c r="CSL68" s="401"/>
      <c r="CSM68" s="401"/>
      <c r="CSN68" s="401"/>
      <c r="CSO68" s="401"/>
      <c r="CSP68" s="401"/>
      <c r="CSQ68" s="401"/>
      <c r="CSR68" s="401"/>
      <c r="CSS68" s="401"/>
      <c r="CST68" s="401"/>
      <c r="CSU68" s="401"/>
      <c r="CSV68" s="401"/>
      <c r="CSW68" s="401"/>
      <c r="CSX68" s="401"/>
      <c r="CSY68" s="401"/>
      <c r="CSZ68" s="401"/>
      <c r="CTA68" s="401"/>
      <c r="CTB68" s="401"/>
      <c r="CTC68" s="401"/>
      <c r="CTD68" s="401"/>
      <c r="CTE68" s="401"/>
      <c r="CTF68" s="401"/>
      <c r="CTG68" s="401"/>
      <c r="CTH68" s="401"/>
      <c r="CTI68" s="401"/>
      <c r="CTJ68" s="401"/>
      <c r="CTK68" s="401"/>
      <c r="CTL68" s="401"/>
      <c r="CTM68" s="401"/>
      <c r="CTN68" s="401"/>
      <c r="CTO68" s="401"/>
      <c r="CTP68" s="401"/>
      <c r="CTQ68" s="401"/>
      <c r="CTR68" s="401"/>
      <c r="CTS68" s="401"/>
      <c r="CTT68" s="401"/>
      <c r="CTU68" s="401"/>
      <c r="CTV68" s="401"/>
      <c r="CTW68" s="401"/>
      <c r="CTX68" s="401"/>
      <c r="CTY68" s="401"/>
      <c r="CTZ68" s="401"/>
      <c r="CUA68" s="401"/>
      <c r="CUB68" s="401"/>
      <c r="CUC68" s="401"/>
      <c r="CUD68" s="401"/>
      <c r="CUE68" s="401"/>
      <c r="CUF68" s="401"/>
      <c r="CUG68" s="401"/>
      <c r="CUH68" s="401"/>
      <c r="CUI68" s="401"/>
      <c r="CUJ68" s="401"/>
      <c r="CUK68" s="401"/>
      <c r="CUL68" s="401"/>
      <c r="CUM68" s="401"/>
      <c r="CUN68" s="401"/>
      <c r="CUO68" s="401"/>
      <c r="CUP68" s="401"/>
      <c r="CUQ68" s="401"/>
      <c r="CUR68" s="401"/>
      <c r="CUS68" s="401"/>
      <c r="CUT68" s="401"/>
      <c r="CUU68" s="401"/>
      <c r="CUV68" s="401"/>
      <c r="CUW68" s="401"/>
      <c r="CUX68" s="401"/>
      <c r="CUY68" s="401"/>
      <c r="CUZ68" s="401"/>
      <c r="CVA68" s="401"/>
      <c r="CVB68" s="401"/>
      <c r="CVC68" s="401"/>
      <c r="CVD68" s="401"/>
      <c r="CVE68" s="401"/>
      <c r="CVF68" s="401"/>
      <c r="CVG68" s="401"/>
      <c r="CVH68" s="401"/>
      <c r="CVI68" s="401"/>
      <c r="CVJ68" s="401"/>
      <c r="CVK68" s="401"/>
      <c r="CVL68" s="401"/>
      <c r="CVM68" s="401"/>
      <c r="CVN68" s="401"/>
      <c r="CVO68" s="401"/>
      <c r="CVP68" s="401"/>
      <c r="CVQ68" s="401"/>
      <c r="CVR68" s="401"/>
      <c r="CVS68" s="401"/>
      <c r="CVT68" s="401"/>
      <c r="CVU68" s="401"/>
      <c r="CVV68" s="401"/>
      <c r="CVW68" s="401"/>
      <c r="CVX68" s="401"/>
      <c r="CVY68" s="401"/>
      <c r="CVZ68" s="401"/>
      <c r="CWA68" s="401"/>
      <c r="CWB68" s="401"/>
      <c r="CWC68" s="401"/>
      <c r="CWD68" s="401"/>
      <c r="CWE68" s="401"/>
      <c r="CWF68" s="401"/>
      <c r="CWG68" s="401"/>
      <c r="CWH68" s="401"/>
      <c r="CWI68" s="401"/>
      <c r="CWJ68" s="401"/>
      <c r="CWK68" s="401"/>
      <c r="CWL68" s="401"/>
      <c r="CWM68" s="401"/>
      <c r="CWN68" s="401"/>
      <c r="CWO68" s="401"/>
      <c r="CWP68" s="401"/>
      <c r="CWQ68" s="401"/>
      <c r="CWR68" s="401"/>
      <c r="CWS68" s="401"/>
      <c r="CWT68" s="401"/>
      <c r="CWU68" s="401"/>
      <c r="CWV68" s="401"/>
      <c r="CWW68" s="401"/>
      <c r="CWX68" s="401"/>
      <c r="CWY68" s="401"/>
      <c r="CWZ68" s="401"/>
      <c r="CXA68" s="401"/>
      <c r="CXB68" s="401"/>
      <c r="CXC68" s="401"/>
      <c r="CXD68" s="401"/>
      <c r="CXE68" s="401"/>
      <c r="CXF68" s="401"/>
      <c r="CXG68" s="401"/>
      <c r="CXH68" s="401"/>
      <c r="CXI68" s="401"/>
      <c r="CXJ68" s="401"/>
      <c r="CXK68" s="401"/>
      <c r="CXL68" s="401"/>
      <c r="CXM68" s="401"/>
      <c r="CXN68" s="401"/>
      <c r="CXO68" s="401"/>
      <c r="CXP68" s="401"/>
      <c r="CXQ68" s="401"/>
      <c r="CXR68" s="401"/>
      <c r="CXS68" s="401"/>
      <c r="CXT68" s="401"/>
      <c r="CXU68" s="401"/>
      <c r="CXV68" s="401"/>
      <c r="CXW68" s="401"/>
      <c r="CXX68" s="401"/>
      <c r="CXY68" s="401"/>
      <c r="CXZ68" s="401"/>
      <c r="CYA68" s="401"/>
      <c r="CYB68" s="401"/>
      <c r="CYC68" s="401"/>
      <c r="CYD68" s="401"/>
      <c r="CYE68" s="401"/>
      <c r="CYF68" s="401"/>
      <c r="CYG68" s="401"/>
      <c r="CYH68" s="401"/>
      <c r="CYI68" s="401"/>
      <c r="CYJ68" s="401"/>
      <c r="CYK68" s="401"/>
      <c r="CYL68" s="401"/>
      <c r="CYM68" s="401"/>
      <c r="CYN68" s="401"/>
      <c r="CYO68" s="401"/>
      <c r="CYP68" s="401"/>
      <c r="CYQ68" s="401"/>
      <c r="CYR68" s="401"/>
      <c r="CYS68" s="401"/>
      <c r="CYT68" s="401"/>
      <c r="CYU68" s="401"/>
      <c r="CYV68" s="401"/>
      <c r="CYW68" s="401"/>
      <c r="CYX68" s="401"/>
      <c r="CYY68" s="401"/>
      <c r="CYZ68" s="401"/>
      <c r="CZA68" s="401"/>
      <c r="CZB68" s="401"/>
      <c r="CZC68" s="401"/>
      <c r="CZD68" s="401"/>
      <c r="CZE68" s="401"/>
      <c r="CZF68" s="401"/>
      <c r="CZG68" s="401"/>
      <c r="CZH68" s="401"/>
      <c r="CZI68" s="401"/>
      <c r="CZJ68" s="401"/>
      <c r="CZK68" s="401"/>
      <c r="CZL68" s="401"/>
      <c r="CZM68" s="401"/>
      <c r="CZN68" s="401"/>
      <c r="CZO68" s="401"/>
      <c r="CZP68" s="401"/>
      <c r="CZQ68" s="401"/>
      <c r="CZR68" s="401"/>
      <c r="CZS68" s="401"/>
      <c r="CZT68" s="401"/>
      <c r="CZU68" s="401"/>
      <c r="CZV68" s="401"/>
      <c r="CZW68" s="401"/>
      <c r="CZX68" s="401"/>
      <c r="CZY68" s="401"/>
      <c r="CZZ68" s="401"/>
      <c r="DAA68" s="401"/>
      <c r="DAB68" s="401"/>
      <c r="DAC68" s="401"/>
      <c r="DAD68" s="401"/>
      <c r="DAE68" s="401"/>
      <c r="DAF68" s="401"/>
      <c r="DAG68" s="401"/>
      <c r="DAH68" s="401"/>
      <c r="DAI68" s="401"/>
      <c r="DAJ68" s="401"/>
      <c r="DAK68" s="401"/>
      <c r="DAL68" s="401"/>
      <c r="DAM68" s="401"/>
      <c r="DAN68" s="401"/>
      <c r="DAO68" s="401"/>
      <c r="DAP68" s="401"/>
      <c r="DAQ68" s="401"/>
      <c r="DAR68" s="401"/>
      <c r="DAS68" s="401"/>
      <c r="DAT68" s="401"/>
      <c r="DAU68" s="401"/>
      <c r="DAV68" s="401"/>
      <c r="DAW68" s="401"/>
      <c r="DAX68" s="401"/>
      <c r="DAY68" s="401"/>
      <c r="DAZ68" s="401"/>
      <c r="DBA68" s="401"/>
      <c r="DBB68" s="401"/>
      <c r="DBC68" s="401"/>
      <c r="DBD68" s="401"/>
      <c r="DBE68" s="401"/>
      <c r="DBF68" s="401"/>
      <c r="DBG68" s="401"/>
      <c r="DBH68" s="401"/>
      <c r="DBI68" s="401"/>
      <c r="DBJ68" s="401"/>
      <c r="DBK68" s="401"/>
      <c r="DBL68" s="401"/>
      <c r="DBM68" s="401"/>
      <c r="DBN68" s="401"/>
      <c r="DBO68" s="401"/>
      <c r="DBP68" s="401"/>
      <c r="DBQ68" s="401"/>
      <c r="DBR68" s="401"/>
      <c r="DBS68" s="401"/>
      <c r="DBT68" s="401"/>
      <c r="DBU68" s="401"/>
      <c r="DBV68" s="401"/>
      <c r="DBW68" s="401"/>
      <c r="DBX68" s="401"/>
      <c r="DBY68" s="401"/>
      <c r="DBZ68" s="401"/>
      <c r="DCA68" s="401"/>
      <c r="DCB68" s="401"/>
      <c r="DCC68" s="401"/>
      <c r="DCD68" s="401"/>
      <c r="DCE68" s="401"/>
      <c r="DCF68" s="401"/>
      <c r="DCG68" s="401"/>
      <c r="DCH68" s="401"/>
      <c r="DCI68" s="401"/>
      <c r="DCJ68" s="401"/>
      <c r="DCK68" s="401"/>
      <c r="DCL68" s="401"/>
      <c r="DCM68" s="401"/>
      <c r="DCN68" s="401"/>
      <c r="DCO68" s="401"/>
      <c r="DCP68" s="401"/>
      <c r="DCQ68" s="401"/>
      <c r="DCR68" s="401"/>
      <c r="DCS68" s="401"/>
      <c r="DCT68" s="401"/>
      <c r="DCU68" s="401"/>
      <c r="DCV68" s="401"/>
      <c r="DCW68" s="401"/>
      <c r="DCX68" s="401"/>
      <c r="DCY68" s="401"/>
      <c r="DCZ68" s="401"/>
      <c r="DDA68" s="401"/>
      <c r="DDB68" s="401"/>
      <c r="DDC68" s="401"/>
      <c r="DDD68" s="401"/>
      <c r="DDE68" s="401"/>
      <c r="DDF68" s="401"/>
      <c r="DDG68" s="401"/>
      <c r="DDH68" s="401"/>
      <c r="DDI68" s="401"/>
      <c r="DDJ68" s="401"/>
      <c r="DDK68" s="401"/>
      <c r="DDL68" s="401"/>
      <c r="DDM68" s="401"/>
      <c r="DDN68" s="401"/>
      <c r="DDO68" s="401"/>
      <c r="DDP68" s="401"/>
      <c r="DDQ68" s="401"/>
      <c r="DDR68" s="401"/>
      <c r="DDS68" s="401"/>
      <c r="DDT68" s="401"/>
      <c r="DDU68" s="401"/>
      <c r="DDV68" s="401"/>
      <c r="DDW68" s="401"/>
      <c r="DDX68" s="401"/>
      <c r="DDY68" s="401"/>
      <c r="DDZ68" s="401"/>
      <c r="DEA68" s="401"/>
      <c r="DEB68" s="401"/>
      <c r="DEC68" s="401"/>
      <c r="DED68" s="401"/>
      <c r="DEE68" s="401"/>
      <c r="DEF68" s="401"/>
      <c r="DEG68" s="401"/>
      <c r="DEH68" s="401"/>
      <c r="DEI68" s="401"/>
      <c r="DEJ68" s="401"/>
      <c r="DEK68" s="401"/>
      <c r="DEL68" s="401"/>
      <c r="DEM68" s="401"/>
      <c r="DEN68" s="401"/>
      <c r="DEO68" s="401"/>
      <c r="DEP68" s="401"/>
      <c r="DEQ68" s="401"/>
      <c r="DER68" s="401"/>
      <c r="DES68" s="401"/>
      <c r="DET68" s="401"/>
      <c r="DEU68" s="401"/>
      <c r="DEV68" s="401"/>
      <c r="DEW68" s="401"/>
      <c r="DEX68" s="401"/>
      <c r="DEY68" s="401"/>
      <c r="DEZ68" s="401"/>
      <c r="DFA68" s="401"/>
      <c r="DFB68" s="401"/>
      <c r="DFC68" s="401"/>
      <c r="DFD68" s="401"/>
      <c r="DFE68" s="401"/>
      <c r="DFF68" s="401"/>
      <c r="DFG68" s="401"/>
      <c r="DFH68" s="401"/>
      <c r="DFI68" s="401"/>
      <c r="DFJ68" s="401"/>
      <c r="DFK68" s="401"/>
      <c r="DFL68" s="401"/>
      <c r="DFM68" s="401"/>
      <c r="DFN68" s="401"/>
      <c r="DFO68" s="401"/>
      <c r="DFP68" s="401"/>
      <c r="DFQ68" s="401"/>
      <c r="DFR68" s="401"/>
      <c r="DFS68" s="401"/>
      <c r="DFT68" s="401"/>
      <c r="DFU68" s="401"/>
      <c r="DFV68" s="401"/>
      <c r="DFW68" s="401"/>
      <c r="DFX68" s="401"/>
      <c r="DFY68" s="401"/>
      <c r="DFZ68" s="401"/>
      <c r="DGA68" s="401"/>
      <c r="DGB68" s="401"/>
      <c r="DGC68" s="401"/>
      <c r="DGD68" s="401"/>
      <c r="DGE68" s="401"/>
      <c r="DGF68" s="401"/>
      <c r="DGG68" s="401"/>
      <c r="DGH68" s="401"/>
      <c r="DGI68" s="401"/>
      <c r="DGJ68" s="401"/>
      <c r="DGK68" s="401"/>
      <c r="DGL68" s="401"/>
      <c r="DGM68" s="401"/>
      <c r="DGN68" s="401"/>
      <c r="DGO68" s="401"/>
      <c r="DGP68" s="401"/>
      <c r="DGQ68" s="401"/>
      <c r="DGR68" s="401"/>
      <c r="DGS68" s="401"/>
      <c r="DGT68" s="401"/>
      <c r="DGU68" s="401"/>
      <c r="DGV68" s="401"/>
      <c r="DGW68" s="401"/>
      <c r="DGX68" s="401"/>
      <c r="DGY68" s="401"/>
      <c r="DGZ68" s="401"/>
      <c r="DHA68" s="401"/>
      <c r="DHB68" s="401"/>
      <c r="DHC68" s="401"/>
      <c r="DHD68" s="401"/>
      <c r="DHE68" s="401"/>
      <c r="DHF68" s="401"/>
      <c r="DHG68" s="401"/>
      <c r="DHH68" s="401"/>
      <c r="DHI68" s="401"/>
      <c r="DHJ68" s="401"/>
      <c r="DHK68" s="401"/>
      <c r="DHL68" s="401"/>
      <c r="DHM68" s="401"/>
      <c r="DHN68" s="401"/>
      <c r="DHO68" s="401"/>
      <c r="DHP68" s="401"/>
      <c r="DHQ68" s="401"/>
      <c r="DHR68" s="401"/>
      <c r="DHS68" s="401"/>
      <c r="DHT68" s="401"/>
      <c r="DHU68" s="401"/>
      <c r="DHV68" s="401"/>
      <c r="DHW68" s="401"/>
      <c r="DHX68" s="401"/>
      <c r="DHY68" s="401"/>
      <c r="DHZ68" s="401"/>
      <c r="DIA68" s="401"/>
      <c r="DIB68" s="401"/>
      <c r="DIC68" s="401"/>
      <c r="DID68" s="401"/>
      <c r="DIE68" s="401"/>
      <c r="DIF68" s="401"/>
      <c r="DIG68" s="401"/>
      <c r="DIH68" s="401"/>
      <c r="DII68" s="401"/>
      <c r="DIJ68" s="401"/>
      <c r="DIK68" s="401"/>
      <c r="DIL68" s="401"/>
      <c r="DIM68" s="401"/>
      <c r="DIN68" s="401"/>
      <c r="DIO68" s="401"/>
      <c r="DIP68" s="401"/>
      <c r="DIQ68" s="401"/>
      <c r="DIR68" s="401"/>
      <c r="DIS68" s="401"/>
      <c r="DIT68" s="401"/>
      <c r="DIU68" s="401"/>
      <c r="DIV68" s="401"/>
      <c r="DIW68" s="401"/>
      <c r="DIX68" s="401"/>
      <c r="DIY68" s="401"/>
      <c r="DIZ68" s="401"/>
      <c r="DJA68" s="401"/>
      <c r="DJB68" s="401"/>
      <c r="DJC68" s="401"/>
      <c r="DJD68" s="401"/>
      <c r="DJE68" s="401"/>
      <c r="DJF68" s="401"/>
      <c r="DJG68" s="401"/>
      <c r="DJH68" s="401"/>
      <c r="DJI68" s="401"/>
      <c r="DJJ68" s="401"/>
      <c r="DJK68" s="401"/>
      <c r="DJL68" s="401"/>
      <c r="DJM68" s="401"/>
      <c r="DJN68" s="401"/>
      <c r="DJO68" s="401"/>
      <c r="DJP68" s="401"/>
      <c r="DJQ68" s="401"/>
      <c r="DJR68" s="401"/>
      <c r="DJS68" s="401"/>
      <c r="DJT68" s="401"/>
      <c r="DJU68" s="401"/>
      <c r="DJV68" s="401"/>
      <c r="DJW68" s="401"/>
      <c r="DJX68" s="401"/>
      <c r="DJY68" s="401"/>
      <c r="DJZ68" s="401"/>
      <c r="DKA68" s="401"/>
      <c r="DKB68" s="401"/>
      <c r="DKC68" s="401"/>
      <c r="DKD68" s="401"/>
      <c r="DKE68" s="401"/>
      <c r="DKF68" s="401"/>
      <c r="DKG68" s="401"/>
      <c r="DKH68" s="401"/>
      <c r="DKI68" s="401"/>
      <c r="DKJ68" s="401"/>
      <c r="DKK68" s="401"/>
      <c r="DKL68" s="401"/>
      <c r="DKM68" s="401"/>
      <c r="DKN68" s="401"/>
      <c r="DKO68" s="401"/>
      <c r="DKP68" s="401"/>
      <c r="DKQ68" s="401"/>
      <c r="DKR68" s="401"/>
      <c r="DKS68" s="401"/>
      <c r="DKT68" s="401"/>
      <c r="DKU68" s="401"/>
      <c r="DKV68" s="401"/>
      <c r="DKW68" s="401"/>
      <c r="DKX68" s="401"/>
      <c r="DKY68" s="401"/>
      <c r="DKZ68" s="401"/>
      <c r="DLA68" s="401"/>
      <c r="DLB68" s="401"/>
      <c r="DLC68" s="401"/>
      <c r="DLD68" s="401"/>
      <c r="DLE68" s="401"/>
      <c r="DLF68" s="401"/>
      <c r="DLG68" s="401"/>
      <c r="DLH68" s="401"/>
      <c r="DLI68" s="401"/>
      <c r="DLJ68" s="401"/>
      <c r="DLK68" s="401"/>
      <c r="DLL68" s="401"/>
      <c r="DLM68" s="401"/>
      <c r="DLN68" s="401"/>
      <c r="DLO68" s="401"/>
      <c r="DLP68" s="401"/>
      <c r="DLQ68" s="401"/>
      <c r="DLR68" s="401"/>
      <c r="DLS68" s="401"/>
      <c r="DLT68" s="401"/>
      <c r="DLU68" s="401"/>
      <c r="DLV68" s="401"/>
      <c r="DLW68" s="401"/>
      <c r="DLX68" s="401"/>
      <c r="DLY68" s="401"/>
      <c r="DLZ68" s="401"/>
      <c r="DMA68" s="401"/>
      <c r="DMB68" s="401"/>
      <c r="DMC68" s="401"/>
      <c r="DMD68" s="401"/>
      <c r="DME68" s="401"/>
      <c r="DMF68" s="401"/>
      <c r="DMG68" s="401"/>
      <c r="DMH68" s="401"/>
      <c r="DMI68" s="401"/>
      <c r="DMJ68" s="401"/>
      <c r="DMK68" s="401"/>
      <c r="DML68" s="401"/>
      <c r="DMM68" s="401"/>
      <c r="DMN68" s="401"/>
      <c r="DMO68" s="401"/>
      <c r="DMP68" s="401"/>
      <c r="DMQ68" s="401"/>
      <c r="DMR68" s="401"/>
      <c r="DMS68" s="401"/>
      <c r="DMT68" s="401"/>
      <c r="DMU68" s="401"/>
      <c r="DMV68" s="401"/>
      <c r="DMW68" s="401"/>
      <c r="DMX68" s="401"/>
      <c r="DMY68" s="401"/>
      <c r="DMZ68" s="401"/>
      <c r="DNA68" s="401"/>
      <c r="DNB68" s="401"/>
      <c r="DNC68" s="401"/>
      <c r="DND68" s="401"/>
      <c r="DNE68" s="401"/>
      <c r="DNF68" s="401"/>
      <c r="DNG68" s="401"/>
      <c r="DNH68" s="401"/>
      <c r="DNI68" s="401"/>
      <c r="DNJ68" s="401"/>
      <c r="DNK68" s="401"/>
      <c r="DNL68" s="401"/>
      <c r="DNM68" s="401"/>
      <c r="DNN68" s="401"/>
      <c r="DNO68" s="401"/>
      <c r="DNP68" s="401"/>
      <c r="DNQ68" s="401"/>
      <c r="DNR68" s="401"/>
      <c r="DNS68" s="401"/>
      <c r="DNT68" s="401"/>
      <c r="DNU68" s="401"/>
      <c r="DNV68" s="401"/>
      <c r="DNW68" s="401"/>
      <c r="DNX68" s="401"/>
      <c r="DNY68" s="401"/>
      <c r="DNZ68" s="401"/>
      <c r="DOA68" s="401"/>
      <c r="DOB68" s="401"/>
      <c r="DOC68" s="401"/>
      <c r="DOD68" s="401"/>
      <c r="DOE68" s="401"/>
      <c r="DOF68" s="401"/>
      <c r="DOG68" s="401"/>
      <c r="DOH68" s="401"/>
      <c r="DOI68" s="401"/>
      <c r="DOJ68" s="401"/>
      <c r="DOK68" s="401"/>
      <c r="DOL68" s="401"/>
      <c r="DOM68" s="401"/>
      <c r="DON68" s="401"/>
      <c r="DOO68" s="401"/>
      <c r="DOP68" s="401"/>
      <c r="DOQ68" s="401"/>
      <c r="DOR68" s="401"/>
      <c r="DOS68" s="401"/>
      <c r="DOT68" s="401"/>
      <c r="DOU68" s="401"/>
      <c r="DOV68" s="401"/>
      <c r="DOW68" s="401"/>
      <c r="DOX68" s="401"/>
      <c r="DOY68" s="401"/>
      <c r="DOZ68" s="401"/>
      <c r="DPA68" s="401"/>
      <c r="DPB68" s="401"/>
      <c r="DPC68" s="401"/>
      <c r="DPD68" s="401"/>
      <c r="DPE68" s="401"/>
      <c r="DPF68" s="401"/>
      <c r="DPG68" s="401"/>
      <c r="DPH68" s="401"/>
      <c r="DPI68" s="401"/>
      <c r="DPJ68" s="401"/>
      <c r="DPK68" s="401"/>
      <c r="DPL68" s="401"/>
      <c r="DPM68" s="401"/>
      <c r="DPN68" s="401"/>
      <c r="DPO68" s="401"/>
      <c r="DPP68" s="401"/>
      <c r="DPQ68" s="401"/>
      <c r="DPR68" s="401"/>
      <c r="DPS68" s="401"/>
      <c r="DPT68" s="401"/>
      <c r="DPU68" s="401"/>
      <c r="DPV68" s="401"/>
      <c r="DPW68" s="401"/>
      <c r="DPX68" s="401"/>
      <c r="DPY68" s="401"/>
      <c r="DPZ68" s="401"/>
      <c r="DQA68" s="401"/>
      <c r="DQB68" s="401"/>
      <c r="DQC68" s="401"/>
      <c r="DQD68" s="401"/>
      <c r="DQE68" s="401"/>
      <c r="DQF68" s="401"/>
      <c r="DQG68" s="401"/>
      <c r="DQH68" s="401"/>
      <c r="DQI68" s="401"/>
      <c r="DQJ68" s="401"/>
      <c r="DQK68" s="401"/>
      <c r="DQL68" s="401"/>
      <c r="DQM68" s="401"/>
      <c r="DQN68" s="401"/>
      <c r="DQO68" s="401"/>
      <c r="DQP68" s="401"/>
      <c r="DQQ68" s="401"/>
      <c r="DQR68" s="401"/>
      <c r="DQS68" s="401"/>
      <c r="DQT68" s="401"/>
      <c r="DQU68" s="401"/>
      <c r="DQV68" s="401"/>
      <c r="DQW68" s="401"/>
      <c r="DQX68" s="401"/>
      <c r="DQY68" s="401"/>
      <c r="DQZ68" s="401"/>
      <c r="DRA68" s="401"/>
      <c r="DRB68" s="401"/>
      <c r="DRC68" s="401"/>
      <c r="DRD68" s="401"/>
      <c r="DRE68" s="401"/>
      <c r="DRF68" s="401"/>
      <c r="DRG68" s="401"/>
      <c r="DRH68" s="401"/>
      <c r="DRI68" s="401"/>
      <c r="DRJ68" s="401"/>
      <c r="DRK68" s="401"/>
      <c r="DRL68" s="401"/>
      <c r="DRM68" s="401"/>
      <c r="DRN68" s="401"/>
      <c r="DRO68" s="401"/>
      <c r="DRP68" s="401"/>
      <c r="DRQ68" s="401"/>
      <c r="DRR68" s="401"/>
      <c r="DRS68" s="401"/>
      <c r="DRT68" s="401"/>
      <c r="DRU68" s="401"/>
      <c r="DRV68" s="401"/>
      <c r="DRW68" s="401"/>
      <c r="DRX68" s="401"/>
      <c r="DRY68" s="401"/>
      <c r="DRZ68" s="401"/>
      <c r="DSA68" s="401"/>
      <c r="DSB68" s="401"/>
      <c r="DSC68" s="401"/>
      <c r="DSD68" s="401"/>
      <c r="DSE68" s="401"/>
      <c r="DSF68" s="401"/>
      <c r="DSG68" s="401"/>
      <c r="DSH68" s="401"/>
      <c r="DSI68" s="401"/>
      <c r="DSJ68" s="401"/>
      <c r="DSK68" s="401"/>
      <c r="DSL68" s="401"/>
      <c r="DSM68" s="401"/>
      <c r="DSN68" s="401"/>
      <c r="DSO68" s="401"/>
      <c r="DSP68" s="401"/>
      <c r="DSQ68" s="401"/>
      <c r="DSR68" s="401"/>
      <c r="DSS68" s="401"/>
      <c r="DST68" s="401"/>
      <c r="DSU68" s="401"/>
      <c r="DSV68" s="401"/>
      <c r="DSW68" s="401"/>
      <c r="DSX68" s="401"/>
      <c r="DSY68" s="401"/>
      <c r="DSZ68" s="401"/>
      <c r="DTA68" s="401"/>
      <c r="DTB68" s="401"/>
      <c r="DTC68" s="401"/>
      <c r="DTD68" s="401"/>
      <c r="DTE68" s="401"/>
      <c r="DTF68" s="401"/>
      <c r="DTG68" s="401"/>
      <c r="DTH68" s="401"/>
      <c r="DTI68" s="401"/>
      <c r="DTJ68" s="401"/>
      <c r="DTK68" s="401"/>
      <c r="DTL68" s="401"/>
      <c r="DTM68" s="401"/>
      <c r="DTN68" s="401"/>
      <c r="DTO68" s="401"/>
      <c r="DTP68" s="401"/>
      <c r="DTQ68" s="401"/>
      <c r="DTR68" s="401"/>
      <c r="DTS68" s="401"/>
      <c r="DTT68" s="401"/>
      <c r="DTU68" s="401"/>
      <c r="DTV68" s="401"/>
      <c r="DTW68" s="401"/>
      <c r="DTX68" s="401"/>
      <c r="DTY68" s="401"/>
      <c r="DTZ68" s="401"/>
      <c r="DUA68" s="401"/>
      <c r="DUB68" s="401"/>
      <c r="DUC68" s="401"/>
      <c r="DUD68" s="401"/>
      <c r="DUE68" s="401"/>
      <c r="DUF68" s="401"/>
      <c r="DUG68" s="401"/>
      <c r="DUH68" s="401"/>
      <c r="DUI68" s="401"/>
      <c r="DUJ68" s="401"/>
      <c r="DUK68" s="401"/>
      <c r="DUL68" s="401"/>
      <c r="DUM68" s="401"/>
      <c r="DUN68" s="401"/>
      <c r="DUO68" s="401"/>
      <c r="DUP68" s="401"/>
      <c r="DUQ68" s="401"/>
      <c r="DUR68" s="401"/>
      <c r="DUS68" s="401"/>
      <c r="DUT68" s="401"/>
      <c r="DUU68" s="401"/>
      <c r="DUV68" s="401"/>
      <c r="DUW68" s="401"/>
      <c r="DUX68" s="401"/>
      <c r="DUY68" s="401"/>
      <c r="DUZ68" s="401"/>
      <c r="DVA68" s="401"/>
      <c r="DVB68" s="401"/>
      <c r="DVC68" s="401"/>
      <c r="DVD68" s="401"/>
      <c r="DVE68" s="401"/>
      <c r="DVF68" s="401"/>
      <c r="DVG68" s="401"/>
      <c r="DVH68" s="401"/>
      <c r="DVI68" s="401"/>
      <c r="DVJ68" s="401"/>
      <c r="DVK68" s="401"/>
      <c r="DVL68" s="401"/>
      <c r="DVM68" s="401"/>
      <c r="DVN68" s="401"/>
      <c r="DVO68" s="401"/>
      <c r="DVP68" s="401"/>
      <c r="DVQ68" s="401"/>
      <c r="DVR68" s="401"/>
      <c r="DVS68" s="401"/>
      <c r="DVT68" s="401"/>
      <c r="DVU68" s="401"/>
      <c r="DVV68" s="401"/>
      <c r="DVW68" s="401"/>
      <c r="DVX68" s="401"/>
      <c r="DVY68" s="401"/>
      <c r="DVZ68" s="401"/>
      <c r="DWA68" s="401"/>
      <c r="DWB68" s="401"/>
      <c r="DWC68" s="401"/>
      <c r="DWD68" s="401"/>
      <c r="DWE68" s="401"/>
      <c r="DWF68" s="401"/>
      <c r="DWG68" s="401"/>
      <c r="DWH68" s="401"/>
      <c r="DWI68" s="401"/>
      <c r="DWJ68" s="401"/>
      <c r="DWK68" s="401"/>
      <c r="DWL68" s="401"/>
      <c r="DWM68" s="401"/>
      <c r="DWN68" s="401"/>
      <c r="DWO68" s="401"/>
      <c r="DWP68" s="401"/>
      <c r="DWQ68" s="401"/>
      <c r="DWR68" s="401"/>
      <c r="DWS68" s="401"/>
      <c r="DWT68" s="401"/>
      <c r="DWU68" s="401"/>
      <c r="DWV68" s="401"/>
      <c r="DWW68" s="401"/>
      <c r="DWX68" s="401"/>
      <c r="DWY68" s="401"/>
      <c r="DWZ68" s="401"/>
      <c r="DXA68" s="401"/>
      <c r="DXB68" s="401"/>
      <c r="DXC68" s="401"/>
      <c r="DXD68" s="401"/>
      <c r="DXE68" s="401"/>
      <c r="DXF68" s="401"/>
      <c r="DXG68" s="401"/>
      <c r="DXH68" s="401"/>
      <c r="DXI68" s="401"/>
      <c r="DXJ68" s="401"/>
      <c r="DXK68" s="401"/>
      <c r="DXL68" s="401"/>
      <c r="DXM68" s="401"/>
      <c r="DXN68" s="401"/>
      <c r="DXO68" s="401"/>
      <c r="DXP68" s="401"/>
      <c r="DXQ68" s="401"/>
      <c r="DXR68" s="401"/>
      <c r="DXS68" s="401"/>
      <c r="DXT68" s="401"/>
      <c r="DXU68" s="401"/>
      <c r="DXV68" s="401"/>
      <c r="DXW68" s="401"/>
      <c r="DXX68" s="401"/>
      <c r="DXY68" s="401"/>
      <c r="DXZ68" s="401"/>
      <c r="DYA68" s="401"/>
      <c r="DYB68" s="401"/>
      <c r="DYC68" s="401"/>
      <c r="DYD68" s="401"/>
      <c r="DYE68" s="401"/>
      <c r="DYF68" s="401"/>
      <c r="DYG68" s="401"/>
      <c r="DYH68" s="401"/>
      <c r="DYI68" s="401"/>
      <c r="DYJ68" s="401"/>
      <c r="DYK68" s="401"/>
      <c r="DYL68" s="401"/>
      <c r="DYM68" s="401"/>
      <c r="DYN68" s="401"/>
      <c r="DYO68" s="401"/>
      <c r="DYP68" s="401"/>
      <c r="DYQ68" s="401"/>
      <c r="DYR68" s="401"/>
      <c r="DYS68" s="401"/>
      <c r="DYT68" s="401"/>
      <c r="DYU68" s="401"/>
      <c r="DYV68" s="401"/>
      <c r="DYW68" s="401"/>
      <c r="DYX68" s="401"/>
      <c r="DYY68" s="401"/>
      <c r="DYZ68" s="401"/>
      <c r="DZA68" s="401"/>
      <c r="DZB68" s="401"/>
      <c r="DZC68" s="401"/>
      <c r="DZD68" s="401"/>
      <c r="DZE68" s="401"/>
      <c r="DZF68" s="401"/>
      <c r="DZG68" s="401"/>
      <c r="DZH68" s="401"/>
      <c r="DZI68" s="401"/>
      <c r="DZJ68" s="401"/>
      <c r="DZK68" s="401"/>
      <c r="DZL68" s="401"/>
      <c r="DZM68" s="401"/>
      <c r="DZN68" s="401"/>
      <c r="DZO68" s="401"/>
      <c r="DZP68" s="401"/>
      <c r="DZQ68" s="401"/>
      <c r="DZR68" s="401"/>
      <c r="DZS68" s="401"/>
      <c r="DZT68" s="401"/>
      <c r="DZU68" s="401"/>
      <c r="DZV68" s="401"/>
      <c r="DZW68" s="401"/>
      <c r="DZX68" s="401"/>
      <c r="DZY68" s="401"/>
      <c r="DZZ68" s="401"/>
      <c r="EAA68" s="401"/>
      <c r="EAB68" s="401"/>
      <c r="EAC68" s="401"/>
      <c r="EAD68" s="401"/>
      <c r="EAE68" s="401"/>
      <c r="EAF68" s="401"/>
      <c r="EAG68" s="401"/>
      <c r="EAH68" s="401"/>
      <c r="EAI68" s="401"/>
      <c r="EAJ68" s="401"/>
      <c r="EAK68" s="401"/>
      <c r="EAL68" s="401"/>
      <c r="EAM68" s="401"/>
      <c r="EAN68" s="401"/>
      <c r="EAO68" s="401"/>
      <c r="EAP68" s="401"/>
      <c r="EAQ68" s="401"/>
      <c r="EAR68" s="401"/>
      <c r="EAS68" s="401"/>
      <c r="EAT68" s="401"/>
      <c r="EAU68" s="401"/>
      <c r="EAV68" s="401"/>
      <c r="EAW68" s="401"/>
      <c r="EAX68" s="401"/>
      <c r="EAY68" s="401"/>
      <c r="EAZ68" s="401"/>
      <c r="EBA68" s="401"/>
      <c r="EBB68" s="401"/>
      <c r="EBC68" s="401"/>
      <c r="EBD68" s="401"/>
      <c r="EBE68" s="401"/>
      <c r="EBF68" s="401"/>
      <c r="EBG68" s="401"/>
      <c r="EBH68" s="401"/>
      <c r="EBI68" s="401"/>
      <c r="EBJ68" s="401"/>
      <c r="EBK68" s="401"/>
      <c r="EBL68" s="401"/>
      <c r="EBM68" s="401"/>
      <c r="EBN68" s="401"/>
      <c r="EBO68" s="401"/>
      <c r="EBP68" s="401"/>
      <c r="EBQ68" s="401"/>
      <c r="EBR68" s="401"/>
      <c r="EBS68" s="401"/>
      <c r="EBT68" s="401"/>
      <c r="EBU68" s="401"/>
      <c r="EBV68" s="401"/>
      <c r="EBW68" s="401"/>
      <c r="EBX68" s="401"/>
      <c r="EBY68" s="401"/>
      <c r="EBZ68" s="401"/>
      <c r="ECA68" s="401"/>
      <c r="ECB68" s="401"/>
      <c r="ECC68" s="401"/>
      <c r="ECD68" s="401"/>
      <c r="ECE68" s="401"/>
      <c r="ECF68" s="401"/>
      <c r="ECG68" s="401"/>
      <c r="ECH68" s="401"/>
      <c r="ECI68" s="401"/>
      <c r="ECJ68" s="401"/>
      <c r="ECK68" s="401"/>
      <c r="ECL68" s="401"/>
      <c r="ECM68" s="401"/>
      <c r="ECN68" s="401"/>
      <c r="ECO68" s="401"/>
      <c r="ECP68" s="401"/>
      <c r="ECQ68" s="401"/>
      <c r="ECR68" s="401"/>
      <c r="ECS68" s="401"/>
      <c r="ECT68" s="401"/>
      <c r="ECU68" s="401"/>
      <c r="ECV68" s="401"/>
      <c r="ECW68" s="401"/>
      <c r="ECX68" s="401"/>
      <c r="ECY68" s="401"/>
      <c r="ECZ68" s="401"/>
      <c r="EDA68" s="401"/>
      <c r="EDB68" s="401"/>
      <c r="EDC68" s="401"/>
      <c r="EDD68" s="401"/>
      <c r="EDE68" s="401"/>
      <c r="EDF68" s="401"/>
      <c r="EDG68" s="401"/>
      <c r="EDH68" s="401"/>
      <c r="EDI68" s="401"/>
      <c r="EDJ68" s="401"/>
      <c r="EDK68" s="401"/>
      <c r="EDL68" s="401"/>
      <c r="EDM68" s="401"/>
      <c r="EDN68" s="401"/>
      <c r="EDO68" s="401"/>
      <c r="EDP68" s="401"/>
      <c r="EDQ68" s="401"/>
      <c r="EDR68" s="401"/>
      <c r="EDS68" s="401"/>
      <c r="EDT68" s="401"/>
      <c r="EDU68" s="401"/>
      <c r="EDV68" s="401"/>
      <c r="EDW68" s="401"/>
      <c r="EDX68" s="401"/>
      <c r="EDY68" s="401"/>
      <c r="EDZ68" s="401"/>
      <c r="EEA68" s="401"/>
      <c r="EEB68" s="401"/>
      <c r="EEC68" s="401"/>
      <c r="EED68" s="401"/>
      <c r="EEE68" s="401"/>
      <c r="EEF68" s="401"/>
      <c r="EEG68" s="401"/>
      <c r="EEH68" s="401"/>
      <c r="EEI68" s="401"/>
      <c r="EEJ68" s="401"/>
      <c r="EEK68" s="401"/>
      <c r="EEL68" s="401"/>
      <c r="EEM68" s="401"/>
      <c r="EEN68" s="401"/>
      <c r="EEO68" s="401"/>
      <c r="EEP68" s="401"/>
      <c r="EEQ68" s="401"/>
      <c r="EER68" s="401"/>
      <c r="EES68" s="401"/>
      <c r="EET68" s="401"/>
      <c r="EEU68" s="401"/>
      <c r="EEV68" s="401"/>
      <c r="EEW68" s="401"/>
      <c r="EEX68" s="401"/>
      <c r="EEY68" s="401"/>
      <c r="EEZ68" s="401"/>
      <c r="EFA68" s="401"/>
      <c r="EFB68" s="401"/>
      <c r="EFC68" s="401"/>
      <c r="EFD68" s="401"/>
      <c r="EFE68" s="401"/>
      <c r="EFF68" s="401"/>
      <c r="EFG68" s="401"/>
      <c r="EFH68" s="401"/>
      <c r="EFI68" s="401"/>
      <c r="EFJ68" s="401"/>
      <c r="EFK68" s="401"/>
      <c r="EFL68" s="401"/>
      <c r="EFM68" s="401"/>
      <c r="EFN68" s="401"/>
      <c r="EFO68" s="401"/>
      <c r="EFP68" s="401"/>
      <c r="EFQ68" s="401"/>
      <c r="EFR68" s="401"/>
      <c r="EFS68" s="401"/>
      <c r="EFT68" s="401"/>
      <c r="EFU68" s="401"/>
      <c r="EFV68" s="401"/>
      <c r="EFW68" s="401"/>
      <c r="EFX68" s="401"/>
      <c r="EFY68" s="401"/>
      <c r="EFZ68" s="401"/>
      <c r="EGA68" s="401"/>
      <c r="EGB68" s="401"/>
      <c r="EGC68" s="401"/>
      <c r="EGD68" s="401"/>
      <c r="EGE68" s="401"/>
      <c r="EGF68" s="401"/>
      <c r="EGG68" s="401"/>
      <c r="EGH68" s="401"/>
      <c r="EGI68" s="401"/>
      <c r="EGJ68" s="401"/>
      <c r="EGK68" s="401"/>
      <c r="EGL68" s="401"/>
      <c r="EGM68" s="401"/>
      <c r="EGN68" s="401"/>
      <c r="EGO68" s="401"/>
      <c r="EGP68" s="401"/>
      <c r="EGQ68" s="401"/>
      <c r="EGR68" s="401"/>
      <c r="EGS68" s="401"/>
      <c r="EGT68" s="401"/>
      <c r="EGU68" s="401"/>
      <c r="EGV68" s="401"/>
      <c r="EGW68" s="401"/>
      <c r="EGX68" s="401"/>
      <c r="EGY68" s="401"/>
      <c r="EGZ68" s="401"/>
      <c r="EHA68" s="401"/>
      <c r="EHB68" s="401"/>
      <c r="EHC68" s="401"/>
      <c r="EHD68" s="401"/>
      <c r="EHE68" s="401"/>
      <c r="EHF68" s="401"/>
      <c r="EHG68" s="401"/>
      <c r="EHH68" s="401"/>
      <c r="EHI68" s="401"/>
      <c r="EHJ68" s="401"/>
      <c r="EHK68" s="401"/>
      <c r="EHL68" s="401"/>
      <c r="EHM68" s="401"/>
      <c r="EHN68" s="401"/>
      <c r="EHO68" s="401"/>
      <c r="EHP68" s="401"/>
      <c r="EHQ68" s="401"/>
      <c r="EHR68" s="401"/>
      <c r="EHS68" s="401"/>
      <c r="EHT68" s="401"/>
      <c r="EHU68" s="401"/>
      <c r="EHV68" s="401"/>
      <c r="EHW68" s="401"/>
      <c r="EHX68" s="401"/>
      <c r="EHY68" s="401"/>
      <c r="EHZ68" s="401"/>
      <c r="EIA68" s="401"/>
      <c r="EIB68" s="401"/>
      <c r="EIC68" s="401"/>
      <c r="EID68" s="401"/>
      <c r="EIE68" s="401"/>
      <c r="EIF68" s="401"/>
      <c r="EIG68" s="401"/>
      <c r="EIH68" s="401"/>
      <c r="EII68" s="401"/>
      <c r="EIJ68" s="401"/>
      <c r="EIK68" s="401"/>
      <c r="EIL68" s="401"/>
      <c r="EIM68" s="401"/>
      <c r="EIN68" s="401"/>
      <c r="EIO68" s="401"/>
      <c r="EIP68" s="401"/>
      <c r="EIQ68" s="401"/>
      <c r="EIR68" s="401"/>
      <c r="EIS68" s="401"/>
      <c r="EIT68" s="401"/>
      <c r="EIU68" s="401"/>
      <c r="EIV68" s="401"/>
      <c r="EIW68" s="401"/>
      <c r="EIX68" s="401"/>
      <c r="EIY68" s="401"/>
      <c r="EIZ68" s="401"/>
      <c r="EJA68" s="401"/>
      <c r="EJB68" s="401"/>
      <c r="EJC68" s="401"/>
      <c r="EJD68" s="401"/>
      <c r="EJE68" s="401"/>
      <c r="EJF68" s="401"/>
      <c r="EJG68" s="401"/>
      <c r="EJH68" s="401"/>
      <c r="EJI68" s="401"/>
      <c r="EJJ68" s="401"/>
      <c r="EJK68" s="401"/>
      <c r="EJL68" s="401"/>
      <c r="EJM68" s="401"/>
      <c r="EJN68" s="401"/>
      <c r="EJO68" s="401"/>
      <c r="EJP68" s="401"/>
      <c r="EJQ68" s="401"/>
      <c r="EJR68" s="401"/>
      <c r="EJS68" s="401"/>
      <c r="EJT68" s="401"/>
      <c r="EJU68" s="401"/>
      <c r="EJV68" s="401"/>
      <c r="EJW68" s="401"/>
      <c r="EJX68" s="401"/>
      <c r="EJY68" s="401"/>
      <c r="EJZ68" s="401"/>
      <c r="EKA68" s="401"/>
      <c r="EKB68" s="401"/>
      <c r="EKC68" s="401"/>
      <c r="EKD68" s="401"/>
      <c r="EKE68" s="401"/>
      <c r="EKF68" s="401"/>
      <c r="EKG68" s="401"/>
      <c r="EKH68" s="401"/>
      <c r="EKI68" s="401"/>
      <c r="EKJ68" s="401"/>
      <c r="EKK68" s="401"/>
      <c r="EKL68" s="401"/>
      <c r="EKM68" s="401"/>
      <c r="EKN68" s="401"/>
      <c r="EKO68" s="401"/>
      <c r="EKP68" s="401"/>
      <c r="EKQ68" s="401"/>
      <c r="EKR68" s="401"/>
      <c r="EKS68" s="401"/>
      <c r="EKT68" s="401"/>
      <c r="EKU68" s="401"/>
      <c r="EKV68" s="401"/>
      <c r="EKW68" s="401"/>
      <c r="EKX68" s="401"/>
      <c r="EKY68" s="401"/>
      <c r="EKZ68" s="401"/>
      <c r="ELA68" s="401"/>
      <c r="ELB68" s="401"/>
      <c r="ELC68" s="401"/>
      <c r="ELD68" s="401"/>
      <c r="ELE68" s="401"/>
      <c r="ELF68" s="401"/>
      <c r="ELG68" s="401"/>
      <c r="ELH68" s="401"/>
      <c r="ELI68" s="401"/>
      <c r="ELJ68" s="401"/>
      <c r="ELK68" s="401"/>
      <c r="ELL68" s="401"/>
      <c r="ELM68" s="401"/>
      <c r="ELN68" s="401"/>
      <c r="ELO68" s="401"/>
      <c r="ELP68" s="401"/>
      <c r="ELQ68" s="401"/>
      <c r="ELR68" s="401"/>
      <c r="ELS68" s="401"/>
      <c r="ELT68" s="401"/>
      <c r="ELU68" s="401"/>
      <c r="ELV68" s="401"/>
      <c r="ELW68" s="401"/>
      <c r="ELX68" s="401"/>
      <c r="ELY68" s="401"/>
      <c r="ELZ68" s="401"/>
      <c r="EMA68" s="401"/>
      <c r="EMB68" s="401"/>
      <c r="EMC68" s="401"/>
      <c r="EMD68" s="401"/>
      <c r="EME68" s="401"/>
      <c r="EMF68" s="401"/>
      <c r="EMG68" s="401"/>
      <c r="EMH68" s="401"/>
      <c r="EMI68" s="401"/>
      <c r="EMJ68" s="401"/>
      <c r="EMK68" s="401"/>
      <c r="EML68" s="401"/>
      <c r="EMM68" s="401"/>
      <c r="EMN68" s="401"/>
      <c r="EMO68" s="401"/>
      <c r="EMP68" s="401"/>
      <c r="EMQ68" s="401"/>
      <c r="EMR68" s="401"/>
      <c r="EMS68" s="401"/>
      <c r="EMT68" s="401"/>
      <c r="EMU68" s="401"/>
      <c r="EMV68" s="401"/>
      <c r="EMW68" s="401"/>
      <c r="EMX68" s="401"/>
      <c r="EMY68" s="401"/>
      <c r="EMZ68" s="401"/>
      <c r="ENA68" s="401"/>
      <c r="ENB68" s="401"/>
      <c r="ENC68" s="401"/>
      <c r="END68" s="401"/>
      <c r="ENE68" s="401"/>
      <c r="ENF68" s="401"/>
      <c r="ENG68" s="401"/>
      <c r="ENH68" s="401"/>
      <c r="ENI68" s="401"/>
      <c r="ENJ68" s="401"/>
      <c r="ENK68" s="401"/>
      <c r="ENL68" s="401"/>
      <c r="ENM68" s="401"/>
      <c r="ENN68" s="401"/>
      <c r="ENO68" s="401"/>
      <c r="ENP68" s="401"/>
      <c r="ENQ68" s="401"/>
      <c r="ENR68" s="401"/>
      <c r="ENS68" s="401"/>
      <c r="ENT68" s="401"/>
      <c r="ENU68" s="401"/>
      <c r="ENV68" s="401"/>
      <c r="ENW68" s="401"/>
      <c r="ENX68" s="401"/>
      <c r="ENY68" s="401"/>
      <c r="ENZ68" s="401"/>
      <c r="EOA68" s="401"/>
      <c r="EOB68" s="401"/>
      <c r="EOC68" s="401"/>
      <c r="EOD68" s="401"/>
      <c r="EOE68" s="401"/>
      <c r="EOF68" s="401"/>
      <c r="EOG68" s="401"/>
      <c r="EOH68" s="401"/>
      <c r="EOI68" s="401"/>
      <c r="EOJ68" s="401"/>
      <c r="EOK68" s="401"/>
      <c r="EOL68" s="401"/>
      <c r="EOM68" s="401"/>
      <c r="EON68" s="401"/>
      <c r="EOO68" s="401"/>
      <c r="EOP68" s="401"/>
      <c r="EOQ68" s="401"/>
      <c r="EOR68" s="401"/>
      <c r="EOS68" s="401"/>
      <c r="EOT68" s="401"/>
      <c r="EOU68" s="401"/>
      <c r="EOV68" s="401"/>
      <c r="EOW68" s="401"/>
      <c r="EOX68" s="401"/>
      <c r="EOY68" s="401"/>
      <c r="EOZ68" s="401"/>
      <c r="EPA68" s="401"/>
      <c r="EPB68" s="401"/>
      <c r="EPC68" s="401"/>
      <c r="EPD68" s="401"/>
      <c r="EPE68" s="401"/>
      <c r="EPF68" s="401"/>
      <c r="EPG68" s="401"/>
      <c r="EPH68" s="401"/>
      <c r="EPI68" s="401"/>
      <c r="EPJ68" s="401"/>
      <c r="EPK68" s="401"/>
      <c r="EPL68" s="401"/>
      <c r="EPM68" s="401"/>
      <c r="EPN68" s="401"/>
      <c r="EPO68" s="401"/>
      <c r="EPP68" s="401"/>
      <c r="EPQ68" s="401"/>
      <c r="EPR68" s="401"/>
      <c r="EPS68" s="401"/>
      <c r="EPT68" s="401"/>
      <c r="EPU68" s="401"/>
      <c r="EPV68" s="401"/>
      <c r="EPW68" s="401"/>
      <c r="EPX68" s="401"/>
      <c r="EPY68" s="401"/>
      <c r="EPZ68" s="401"/>
      <c r="EQA68" s="401"/>
      <c r="EQB68" s="401"/>
      <c r="EQC68" s="401"/>
      <c r="EQD68" s="401"/>
      <c r="EQE68" s="401"/>
      <c r="EQF68" s="401"/>
      <c r="EQG68" s="401"/>
      <c r="EQH68" s="401"/>
      <c r="EQI68" s="401"/>
      <c r="EQJ68" s="401"/>
      <c r="EQK68" s="401"/>
      <c r="EQL68" s="401"/>
      <c r="EQM68" s="401"/>
      <c r="EQN68" s="401"/>
      <c r="EQO68" s="401"/>
      <c r="EQP68" s="401"/>
      <c r="EQQ68" s="401"/>
      <c r="EQR68" s="401"/>
      <c r="EQS68" s="401"/>
      <c r="EQT68" s="401"/>
      <c r="EQU68" s="401"/>
      <c r="EQV68" s="401"/>
      <c r="EQW68" s="401"/>
      <c r="EQX68" s="401"/>
      <c r="EQY68" s="401"/>
      <c r="EQZ68" s="401"/>
      <c r="ERA68" s="401"/>
      <c r="ERB68" s="401"/>
      <c r="ERC68" s="401"/>
      <c r="ERD68" s="401"/>
      <c r="ERE68" s="401"/>
      <c r="ERF68" s="401"/>
      <c r="ERG68" s="401"/>
      <c r="ERH68" s="401"/>
      <c r="ERI68" s="401"/>
      <c r="ERJ68" s="401"/>
      <c r="ERK68" s="401"/>
      <c r="ERL68" s="401"/>
      <c r="ERM68" s="401"/>
      <c r="ERN68" s="401"/>
      <c r="ERO68" s="401"/>
      <c r="ERP68" s="401"/>
      <c r="ERQ68" s="401"/>
      <c r="ERR68" s="401"/>
      <c r="ERS68" s="401"/>
      <c r="ERT68" s="401"/>
      <c r="ERU68" s="401"/>
      <c r="ERV68" s="401"/>
      <c r="ERW68" s="401"/>
      <c r="ERX68" s="401"/>
      <c r="ERY68" s="401"/>
      <c r="ERZ68" s="401"/>
      <c r="ESA68" s="401"/>
      <c r="ESB68" s="401"/>
      <c r="ESC68" s="401"/>
      <c r="ESD68" s="401"/>
      <c r="ESE68" s="401"/>
      <c r="ESF68" s="401"/>
      <c r="ESG68" s="401"/>
      <c r="ESH68" s="401"/>
      <c r="ESI68" s="401"/>
      <c r="ESJ68" s="401"/>
      <c r="ESK68" s="401"/>
      <c r="ESL68" s="401"/>
      <c r="ESM68" s="401"/>
      <c r="ESN68" s="401"/>
      <c r="ESO68" s="401"/>
      <c r="ESP68" s="401"/>
      <c r="ESQ68" s="401"/>
      <c r="ESR68" s="401"/>
      <c r="ESS68" s="401"/>
      <c r="EST68" s="401"/>
      <c r="ESU68" s="401"/>
      <c r="ESV68" s="401"/>
      <c r="ESW68" s="401"/>
      <c r="ESX68" s="401"/>
      <c r="ESY68" s="401"/>
      <c r="ESZ68" s="401"/>
      <c r="ETA68" s="401"/>
      <c r="ETB68" s="401"/>
      <c r="ETC68" s="401"/>
      <c r="ETD68" s="401"/>
      <c r="ETE68" s="401"/>
      <c r="ETF68" s="401"/>
      <c r="ETG68" s="401"/>
      <c r="ETH68" s="401"/>
      <c r="ETI68" s="401"/>
      <c r="ETJ68" s="401"/>
      <c r="ETK68" s="401"/>
      <c r="ETL68" s="401"/>
      <c r="ETM68" s="401"/>
      <c r="ETN68" s="401"/>
      <c r="ETO68" s="401"/>
      <c r="ETP68" s="401"/>
      <c r="ETQ68" s="401"/>
      <c r="ETR68" s="401"/>
      <c r="ETS68" s="401"/>
      <c r="ETT68" s="401"/>
      <c r="ETU68" s="401"/>
      <c r="ETV68" s="401"/>
      <c r="ETW68" s="401"/>
      <c r="ETX68" s="401"/>
      <c r="ETY68" s="401"/>
      <c r="ETZ68" s="401"/>
      <c r="EUA68" s="401"/>
      <c r="EUB68" s="401"/>
      <c r="EUC68" s="401"/>
      <c r="EUD68" s="401"/>
      <c r="EUE68" s="401"/>
      <c r="EUF68" s="401"/>
      <c r="EUG68" s="401"/>
      <c r="EUH68" s="401"/>
      <c r="EUI68" s="401"/>
      <c r="EUJ68" s="401"/>
      <c r="EUK68" s="401"/>
      <c r="EUL68" s="401"/>
      <c r="EUM68" s="401"/>
      <c r="EUN68" s="401"/>
      <c r="EUO68" s="401"/>
      <c r="EUP68" s="401"/>
      <c r="EUQ68" s="401"/>
      <c r="EUR68" s="401"/>
      <c r="EUS68" s="401"/>
      <c r="EUT68" s="401"/>
      <c r="EUU68" s="401"/>
      <c r="EUV68" s="401"/>
      <c r="EUW68" s="401"/>
      <c r="EUX68" s="401"/>
      <c r="EUY68" s="401"/>
      <c r="EUZ68" s="401"/>
      <c r="EVA68" s="401"/>
      <c r="EVB68" s="401"/>
      <c r="EVC68" s="401"/>
      <c r="EVD68" s="401"/>
      <c r="EVE68" s="401"/>
      <c r="EVF68" s="401"/>
      <c r="EVG68" s="401"/>
      <c r="EVH68" s="401"/>
      <c r="EVI68" s="401"/>
      <c r="EVJ68" s="401"/>
      <c r="EVK68" s="401"/>
      <c r="EVL68" s="401"/>
      <c r="EVM68" s="401"/>
      <c r="EVN68" s="401"/>
      <c r="EVO68" s="401"/>
      <c r="EVP68" s="401"/>
      <c r="EVQ68" s="401"/>
      <c r="EVR68" s="401"/>
      <c r="EVS68" s="401"/>
      <c r="EVT68" s="401"/>
      <c r="EVU68" s="401"/>
      <c r="EVV68" s="401"/>
      <c r="EVW68" s="401"/>
      <c r="EVX68" s="401"/>
      <c r="EVY68" s="401"/>
      <c r="EVZ68" s="401"/>
      <c r="EWA68" s="401"/>
      <c r="EWB68" s="401"/>
      <c r="EWC68" s="401"/>
      <c r="EWD68" s="401"/>
      <c r="EWE68" s="401"/>
      <c r="EWF68" s="401"/>
      <c r="EWG68" s="401"/>
      <c r="EWH68" s="401"/>
      <c r="EWI68" s="401"/>
      <c r="EWJ68" s="401"/>
      <c r="EWK68" s="401"/>
      <c r="EWL68" s="401"/>
      <c r="EWM68" s="401"/>
      <c r="EWN68" s="401"/>
      <c r="EWO68" s="401"/>
      <c r="EWP68" s="401"/>
      <c r="EWQ68" s="401"/>
      <c r="EWR68" s="401"/>
      <c r="EWS68" s="401"/>
      <c r="EWT68" s="401"/>
      <c r="EWU68" s="401"/>
      <c r="EWV68" s="401"/>
      <c r="EWW68" s="401"/>
      <c r="EWX68" s="401"/>
      <c r="EWY68" s="401"/>
      <c r="EWZ68" s="401"/>
      <c r="EXA68" s="401"/>
      <c r="EXB68" s="401"/>
      <c r="EXC68" s="401"/>
      <c r="EXD68" s="401"/>
      <c r="EXE68" s="401"/>
      <c r="EXF68" s="401"/>
      <c r="EXG68" s="401"/>
      <c r="EXH68" s="401"/>
      <c r="EXI68" s="401"/>
      <c r="EXJ68" s="401"/>
      <c r="EXK68" s="401"/>
      <c r="EXL68" s="401"/>
      <c r="EXM68" s="401"/>
      <c r="EXN68" s="401"/>
      <c r="EXO68" s="401"/>
      <c r="EXP68" s="401"/>
      <c r="EXQ68" s="401"/>
      <c r="EXR68" s="401"/>
      <c r="EXS68" s="401"/>
      <c r="EXT68" s="401"/>
      <c r="EXU68" s="401"/>
      <c r="EXV68" s="401"/>
      <c r="EXW68" s="401"/>
      <c r="EXX68" s="401"/>
      <c r="EXY68" s="401"/>
      <c r="EXZ68" s="401"/>
      <c r="EYA68" s="401"/>
      <c r="EYB68" s="401"/>
      <c r="EYC68" s="401"/>
      <c r="EYD68" s="401"/>
      <c r="EYE68" s="401"/>
      <c r="EYF68" s="401"/>
      <c r="EYG68" s="401"/>
      <c r="EYH68" s="401"/>
      <c r="EYI68" s="401"/>
      <c r="EYJ68" s="401"/>
      <c r="EYK68" s="401"/>
      <c r="EYL68" s="401"/>
      <c r="EYM68" s="401"/>
      <c r="EYN68" s="401"/>
      <c r="EYO68" s="401"/>
      <c r="EYP68" s="401"/>
      <c r="EYQ68" s="401"/>
      <c r="EYR68" s="401"/>
      <c r="EYS68" s="401"/>
      <c r="EYT68" s="401"/>
      <c r="EYU68" s="401"/>
      <c r="EYV68" s="401"/>
      <c r="EYW68" s="401"/>
      <c r="EYX68" s="401"/>
      <c r="EYY68" s="401"/>
      <c r="EYZ68" s="401"/>
      <c r="EZA68" s="401"/>
      <c r="EZB68" s="401"/>
      <c r="EZC68" s="401"/>
      <c r="EZD68" s="401"/>
      <c r="EZE68" s="401"/>
      <c r="EZF68" s="401"/>
      <c r="EZG68" s="401"/>
      <c r="EZH68" s="401"/>
      <c r="EZI68" s="401"/>
      <c r="EZJ68" s="401"/>
      <c r="EZK68" s="401"/>
      <c r="EZL68" s="401"/>
      <c r="EZM68" s="401"/>
      <c r="EZN68" s="401"/>
      <c r="EZO68" s="401"/>
      <c r="EZP68" s="401"/>
      <c r="EZQ68" s="401"/>
      <c r="EZR68" s="401"/>
      <c r="EZS68" s="401"/>
      <c r="EZT68" s="401"/>
      <c r="EZU68" s="401"/>
      <c r="EZV68" s="401"/>
      <c r="EZW68" s="401"/>
      <c r="EZX68" s="401"/>
      <c r="EZY68" s="401"/>
      <c r="EZZ68" s="401"/>
      <c r="FAA68" s="401"/>
      <c r="FAB68" s="401"/>
      <c r="FAC68" s="401"/>
      <c r="FAD68" s="401"/>
      <c r="FAE68" s="401"/>
      <c r="FAF68" s="401"/>
      <c r="FAG68" s="401"/>
      <c r="FAH68" s="401"/>
      <c r="FAI68" s="401"/>
      <c r="FAJ68" s="401"/>
      <c r="FAK68" s="401"/>
      <c r="FAL68" s="401"/>
      <c r="FAM68" s="401"/>
      <c r="FAN68" s="401"/>
      <c r="FAO68" s="401"/>
      <c r="FAP68" s="401"/>
      <c r="FAQ68" s="401"/>
      <c r="FAR68" s="401"/>
      <c r="FAS68" s="401"/>
      <c r="FAT68" s="401"/>
      <c r="FAU68" s="401"/>
      <c r="FAV68" s="401"/>
      <c r="FAW68" s="401"/>
      <c r="FAX68" s="401"/>
      <c r="FAY68" s="401"/>
      <c r="FAZ68" s="401"/>
      <c r="FBA68" s="401"/>
      <c r="FBB68" s="401"/>
      <c r="FBC68" s="401"/>
      <c r="FBD68" s="401"/>
      <c r="FBE68" s="401"/>
      <c r="FBF68" s="401"/>
      <c r="FBG68" s="401"/>
      <c r="FBH68" s="401"/>
      <c r="FBI68" s="401"/>
      <c r="FBJ68" s="401"/>
      <c r="FBK68" s="401"/>
      <c r="FBL68" s="401"/>
      <c r="FBM68" s="401"/>
      <c r="FBN68" s="401"/>
      <c r="FBO68" s="401"/>
      <c r="FBP68" s="401"/>
      <c r="FBQ68" s="401"/>
      <c r="FBR68" s="401"/>
      <c r="FBS68" s="401"/>
      <c r="FBT68" s="401"/>
      <c r="FBU68" s="401"/>
      <c r="FBV68" s="401"/>
      <c r="FBW68" s="401"/>
      <c r="FBX68" s="401"/>
      <c r="FBY68" s="401"/>
      <c r="FBZ68" s="401"/>
      <c r="FCA68" s="401"/>
      <c r="FCB68" s="401"/>
      <c r="FCC68" s="401"/>
      <c r="FCD68" s="401"/>
      <c r="FCE68" s="401"/>
      <c r="FCF68" s="401"/>
      <c r="FCG68" s="401"/>
      <c r="FCH68" s="401"/>
      <c r="FCI68" s="401"/>
      <c r="FCJ68" s="401"/>
      <c r="FCK68" s="401"/>
      <c r="FCL68" s="401"/>
      <c r="FCM68" s="401"/>
      <c r="FCN68" s="401"/>
      <c r="FCO68" s="401"/>
      <c r="FCP68" s="401"/>
      <c r="FCQ68" s="401"/>
      <c r="FCR68" s="401"/>
      <c r="FCS68" s="401"/>
      <c r="FCT68" s="401"/>
      <c r="FCU68" s="401"/>
      <c r="FCV68" s="401"/>
      <c r="FCW68" s="401"/>
      <c r="FCX68" s="401"/>
      <c r="FCY68" s="401"/>
      <c r="FCZ68" s="401"/>
      <c r="FDA68" s="401"/>
      <c r="FDB68" s="401"/>
      <c r="FDC68" s="401"/>
      <c r="FDD68" s="401"/>
      <c r="FDE68" s="401"/>
      <c r="FDF68" s="401"/>
      <c r="FDG68" s="401"/>
      <c r="FDH68" s="401"/>
      <c r="FDI68" s="401"/>
      <c r="FDJ68" s="401"/>
      <c r="FDK68" s="401"/>
      <c r="FDL68" s="401"/>
      <c r="FDM68" s="401"/>
      <c r="FDN68" s="401"/>
      <c r="FDO68" s="401"/>
      <c r="FDP68" s="401"/>
      <c r="FDQ68" s="401"/>
      <c r="FDR68" s="401"/>
      <c r="FDS68" s="401"/>
      <c r="FDT68" s="401"/>
      <c r="FDU68" s="401"/>
      <c r="FDV68" s="401"/>
      <c r="FDW68" s="401"/>
      <c r="FDX68" s="401"/>
      <c r="FDY68" s="401"/>
      <c r="FDZ68" s="401"/>
      <c r="FEA68" s="401"/>
      <c r="FEB68" s="401"/>
      <c r="FEC68" s="401"/>
      <c r="FED68" s="401"/>
      <c r="FEE68" s="401"/>
      <c r="FEF68" s="401"/>
      <c r="FEG68" s="401"/>
      <c r="FEH68" s="401"/>
      <c r="FEI68" s="401"/>
      <c r="FEJ68" s="401"/>
      <c r="FEK68" s="401"/>
      <c r="FEL68" s="401"/>
      <c r="FEM68" s="401"/>
      <c r="FEN68" s="401"/>
      <c r="FEO68" s="401"/>
      <c r="FEP68" s="401"/>
      <c r="FEQ68" s="401"/>
      <c r="FER68" s="401"/>
      <c r="FES68" s="401"/>
      <c r="FET68" s="401"/>
      <c r="FEU68" s="401"/>
      <c r="FEV68" s="401"/>
      <c r="FEW68" s="401"/>
      <c r="FEX68" s="401"/>
      <c r="FEY68" s="401"/>
      <c r="FEZ68" s="401"/>
      <c r="FFA68" s="401"/>
      <c r="FFB68" s="401"/>
      <c r="FFC68" s="401"/>
      <c r="FFD68" s="401"/>
      <c r="FFE68" s="401"/>
      <c r="FFF68" s="401"/>
      <c r="FFG68" s="401"/>
      <c r="FFH68" s="401"/>
      <c r="FFI68" s="401"/>
      <c r="FFJ68" s="401"/>
      <c r="FFK68" s="401"/>
      <c r="FFL68" s="401"/>
      <c r="FFM68" s="401"/>
      <c r="FFN68" s="401"/>
      <c r="FFO68" s="401"/>
      <c r="FFP68" s="401"/>
      <c r="FFQ68" s="401"/>
      <c r="FFR68" s="401"/>
      <c r="FFS68" s="401"/>
      <c r="FFT68" s="401"/>
      <c r="FFU68" s="401"/>
      <c r="FFV68" s="401"/>
      <c r="FFW68" s="401"/>
      <c r="FFX68" s="401"/>
      <c r="FFY68" s="401"/>
      <c r="FFZ68" s="401"/>
      <c r="FGA68" s="401"/>
      <c r="FGB68" s="401"/>
      <c r="FGC68" s="401"/>
      <c r="FGD68" s="401"/>
      <c r="FGE68" s="401"/>
      <c r="FGF68" s="401"/>
      <c r="FGG68" s="401"/>
      <c r="FGH68" s="401"/>
      <c r="FGI68" s="401"/>
      <c r="FGJ68" s="401"/>
      <c r="FGK68" s="401"/>
      <c r="FGL68" s="401"/>
      <c r="FGM68" s="401"/>
      <c r="FGN68" s="401"/>
      <c r="FGO68" s="401"/>
      <c r="FGP68" s="401"/>
      <c r="FGQ68" s="401"/>
      <c r="FGR68" s="401"/>
      <c r="FGS68" s="401"/>
      <c r="FGT68" s="401"/>
      <c r="FGU68" s="401"/>
      <c r="FGV68" s="401"/>
      <c r="FGW68" s="401"/>
      <c r="FGX68" s="401"/>
      <c r="FGY68" s="401"/>
      <c r="FGZ68" s="401"/>
      <c r="FHA68" s="401"/>
      <c r="FHB68" s="401"/>
      <c r="FHC68" s="401"/>
      <c r="FHD68" s="401"/>
      <c r="FHE68" s="401"/>
      <c r="FHF68" s="401"/>
      <c r="FHG68" s="401"/>
      <c r="FHH68" s="401"/>
      <c r="FHI68" s="401"/>
      <c r="FHJ68" s="401"/>
      <c r="FHK68" s="401"/>
      <c r="FHL68" s="401"/>
      <c r="FHM68" s="401"/>
      <c r="FHN68" s="401"/>
      <c r="FHO68" s="401"/>
      <c r="FHP68" s="401"/>
      <c r="FHQ68" s="401"/>
      <c r="FHR68" s="401"/>
      <c r="FHS68" s="401"/>
      <c r="FHT68" s="401"/>
      <c r="FHU68" s="401"/>
      <c r="FHV68" s="401"/>
      <c r="FHW68" s="401"/>
      <c r="FHX68" s="401"/>
      <c r="FHY68" s="401"/>
      <c r="FHZ68" s="401"/>
      <c r="FIA68" s="401"/>
      <c r="FIB68" s="401"/>
      <c r="FIC68" s="401"/>
      <c r="FID68" s="401"/>
      <c r="FIE68" s="401"/>
      <c r="FIF68" s="401"/>
      <c r="FIG68" s="401"/>
      <c r="FIH68" s="401"/>
      <c r="FII68" s="401"/>
      <c r="FIJ68" s="401"/>
      <c r="FIK68" s="401"/>
      <c r="FIL68" s="401"/>
      <c r="FIM68" s="401"/>
      <c r="FIN68" s="401"/>
      <c r="FIO68" s="401"/>
      <c r="FIP68" s="401"/>
      <c r="FIQ68" s="401"/>
      <c r="FIR68" s="401"/>
      <c r="FIS68" s="401"/>
      <c r="FIT68" s="401"/>
      <c r="FIU68" s="401"/>
      <c r="FIV68" s="401"/>
      <c r="FIW68" s="401"/>
      <c r="FIX68" s="401"/>
      <c r="FIY68" s="401"/>
      <c r="FIZ68" s="401"/>
      <c r="FJA68" s="401"/>
      <c r="FJB68" s="401"/>
      <c r="FJC68" s="401"/>
      <c r="FJD68" s="401"/>
      <c r="FJE68" s="401"/>
      <c r="FJF68" s="401"/>
      <c r="FJG68" s="401"/>
      <c r="FJH68" s="401"/>
      <c r="FJI68" s="401"/>
      <c r="FJJ68" s="401"/>
      <c r="FJK68" s="401"/>
      <c r="FJL68" s="401"/>
      <c r="FJM68" s="401"/>
      <c r="FJN68" s="401"/>
      <c r="FJO68" s="401"/>
      <c r="FJP68" s="401"/>
      <c r="FJQ68" s="401"/>
      <c r="FJR68" s="401"/>
      <c r="FJS68" s="401"/>
      <c r="FJT68" s="401"/>
      <c r="FJU68" s="401"/>
      <c r="FJV68" s="401"/>
      <c r="FJW68" s="401"/>
      <c r="FJX68" s="401"/>
      <c r="FJY68" s="401"/>
      <c r="FJZ68" s="401"/>
      <c r="FKA68" s="401"/>
      <c r="FKB68" s="401"/>
      <c r="FKC68" s="401"/>
      <c r="FKD68" s="401"/>
      <c r="FKE68" s="401"/>
      <c r="FKF68" s="401"/>
      <c r="FKG68" s="401"/>
      <c r="FKH68" s="401"/>
      <c r="FKI68" s="401"/>
      <c r="FKJ68" s="401"/>
      <c r="FKK68" s="401"/>
      <c r="FKL68" s="401"/>
      <c r="FKM68" s="401"/>
      <c r="FKN68" s="401"/>
      <c r="FKO68" s="401"/>
      <c r="FKP68" s="401"/>
      <c r="FKQ68" s="401"/>
      <c r="FKR68" s="401"/>
      <c r="FKS68" s="401"/>
      <c r="FKT68" s="401"/>
      <c r="FKU68" s="401"/>
      <c r="FKV68" s="401"/>
      <c r="FKW68" s="401"/>
      <c r="FKX68" s="401"/>
      <c r="FKY68" s="401"/>
      <c r="FKZ68" s="401"/>
      <c r="FLA68" s="401"/>
      <c r="FLB68" s="401"/>
      <c r="FLC68" s="401"/>
      <c r="FLD68" s="401"/>
      <c r="FLE68" s="401"/>
      <c r="FLF68" s="401"/>
      <c r="FLG68" s="401"/>
      <c r="FLH68" s="401"/>
      <c r="FLI68" s="401"/>
      <c r="FLJ68" s="401"/>
      <c r="FLK68" s="401"/>
      <c r="FLL68" s="401"/>
      <c r="FLM68" s="401"/>
      <c r="FLN68" s="401"/>
      <c r="FLO68" s="401"/>
      <c r="FLP68" s="401"/>
      <c r="FLQ68" s="401"/>
      <c r="FLR68" s="401"/>
      <c r="FLS68" s="401"/>
      <c r="FLT68" s="401"/>
      <c r="FLU68" s="401"/>
      <c r="FLV68" s="401"/>
      <c r="FLW68" s="401"/>
      <c r="FLX68" s="401"/>
      <c r="FLY68" s="401"/>
      <c r="FLZ68" s="401"/>
      <c r="FMA68" s="401"/>
      <c r="FMB68" s="401"/>
      <c r="FMC68" s="401"/>
      <c r="FMD68" s="401"/>
      <c r="FME68" s="401"/>
      <c r="FMF68" s="401"/>
      <c r="FMG68" s="401"/>
      <c r="FMH68" s="401"/>
      <c r="FMI68" s="401"/>
      <c r="FMJ68" s="401"/>
      <c r="FMK68" s="401"/>
      <c r="FML68" s="401"/>
      <c r="FMM68" s="401"/>
      <c r="FMN68" s="401"/>
      <c r="FMO68" s="401"/>
      <c r="FMP68" s="401"/>
      <c r="FMQ68" s="401"/>
      <c r="FMR68" s="401"/>
      <c r="FMS68" s="401"/>
      <c r="FMT68" s="401"/>
      <c r="FMU68" s="401"/>
      <c r="FMV68" s="401"/>
      <c r="FMW68" s="401"/>
      <c r="FMX68" s="401"/>
      <c r="FMY68" s="401"/>
      <c r="FMZ68" s="401"/>
      <c r="FNA68" s="401"/>
      <c r="FNB68" s="401"/>
      <c r="FNC68" s="401"/>
      <c r="FND68" s="401"/>
      <c r="FNE68" s="401"/>
      <c r="FNF68" s="401"/>
      <c r="FNG68" s="401"/>
      <c r="FNH68" s="401"/>
      <c r="FNI68" s="401"/>
      <c r="FNJ68" s="401"/>
      <c r="FNK68" s="401"/>
      <c r="FNL68" s="401"/>
      <c r="FNM68" s="401"/>
      <c r="FNN68" s="401"/>
      <c r="FNO68" s="401"/>
      <c r="FNP68" s="401"/>
      <c r="FNQ68" s="401"/>
      <c r="FNR68" s="401"/>
      <c r="FNS68" s="401"/>
      <c r="FNT68" s="401"/>
      <c r="FNU68" s="401"/>
      <c r="FNV68" s="401"/>
      <c r="FNW68" s="401"/>
      <c r="FNX68" s="401"/>
      <c r="FNY68" s="401"/>
      <c r="FNZ68" s="401"/>
      <c r="FOA68" s="401"/>
      <c r="FOB68" s="401"/>
      <c r="FOC68" s="401"/>
      <c r="FOD68" s="401"/>
      <c r="FOE68" s="401"/>
      <c r="FOF68" s="401"/>
      <c r="FOG68" s="401"/>
      <c r="FOH68" s="401"/>
      <c r="FOI68" s="401"/>
      <c r="FOJ68" s="401"/>
      <c r="FOK68" s="401"/>
      <c r="FOL68" s="401"/>
      <c r="FOM68" s="401"/>
      <c r="FON68" s="401"/>
      <c r="FOO68" s="401"/>
      <c r="FOP68" s="401"/>
      <c r="FOQ68" s="401"/>
      <c r="FOR68" s="401"/>
      <c r="FOS68" s="401"/>
      <c r="FOT68" s="401"/>
      <c r="FOU68" s="401"/>
      <c r="FOV68" s="401"/>
      <c r="FOW68" s="401"/>
      <c r="FOX68" s="401"/>
      <c r="FOY68" s="401"/>
      <c r="FOZ68" s="401"/>
      <c r="FPA68" s="401"/>
      <c r="FPB68" s="401"/>
      <c r="FPC68" s="401"/>
      <c r="FPD68" s="401"/>
      <c r="FPE68" s="401"/>
      <c r="FPF68" s="401"/>
      <c r="FPG68" s="401"/>
      <c r="FPH68" s="401"/>
      <c r="FPI68" s="401"/>
      <c r="FPJ68" s="401"/>
      <c r="FPK68" s="401"/>
      <c r="FPL68" s="401"/>
      <c r="FPM68" s="401"/>
      <c r="FPN68" s="401"/>
      <c r="FPO68" s="401"/>
      <c r="FPP68" s="401"/>
      <c r="FPQ68" s="401"/>
      <c r="FPR68" s="401"/>
      <c r="FPS68" s="401"/>
      <c r="FPT68" s="401"/>
      <c r="FPU68" s="401"/>
      <c r="FPV68" s="401"/>
      <c r="FPW68" s="401"/>
      <c r="FPX68" s="401"/>
      <c r="FPY68" s="401"/>
      <c r="FPZ68" s="401"/>
      <c r="FQA68" s="401"/>
      <c r="FQB68" s="401"/>
      <c r="FQC68" s="401"/>
      <c r="FQD68" s="401"/>
      <c r="FQE68" s="401"/>
      <c r="FQF68" s="401"/>
      <c r="FQG68" s="401"/>
      <c r="FQH68" s="401"/>
      <c r="FQI68" s="401"/>
      <c r="FQJ68" s="401"/>
      <c r="FQK68" s="401"/>
      <c r="FQL68" s="401"/>
      <c r="FQM68" s="401"/>
      <c r="FQN68" s="401"/>
      <c r="FQO68" s="401"/>
      <c r="FQP68" s="401"/>
      <c r="FQQ68" s="401"/>
      <c r="FQR68" s="401"/>
      <c r="FQS68" s="401"/>
      <c r="FQT68" s="401"/>
      <c r="FQU68" s="401"/>
      <c r="FQV68" s="401"/>
      <c r="FQW68" s="401"/>
      <c r="FQX68" s="401"/>
      <c r="FQY68" s="401"/>
      <c r="FQZ68" s="401"/>
      <c r="FRA68" s="401"/>
      <c r="FRB68" s="401"/>
      <c r="FRC68" s="401"/>
      <c r="FRD68" s="401"/>
      <c r="FRE68" s="401"/>
      <c r="FRF68" s="401"/>
      <c r="FRG68" s="401"/>
      <c r="FRH68" s="401"/>
      <c r="FRI68" s="401"/>
      <c r="FRJ68" s="401"/>
      <c r="FRK68" s="401"/>
      <c r="FRL68" s="401"/>
      <c r="FRM68" s="401"/>
      <c r="FRN68" s="401"/>
      <c r="FRO68" s="401"/>
      <c r="FRP68" s="401"/>
      <c r="FRQ68" s="401"/>
      <c r="FRR68" s="401"/>
      <c r="FRS68" s="401"/>
      <c r="FRT68" s="401"/>
      <c r="FRU68" s="401"/>
      <c r="FRV68" s="401"/>
      <c r="FRW68" s="401"/>
      <c r="FRX68" s="401"/>
      <c r="FRY68" s="401"/>
      <c r="FRZ68" s="401"/>
      <c r="FSA68" s="401"/>
      <c r="FSB68" s="401"/>
      <c r="FSC68" s="401"/>
      <c r="FSD68" s="401"/>
      <c r="FSE68" s="401"/>
      <c r="FSF68" s="401"/>
      <c r="FSG68" s="401"/>
      <c r="FSH68" s="401"/>
      <c r="FSI68" s="401"/>
      <c r="FSJ68" s="401"/>
      <c r="FSK68" s="401"/>
      <c r="FSL68" s="401"/>
      <c r="FSM68" s="401"/>
      <c r="FSN68" s="401"/>
      <c r="FSO68" s="401"/>
      <c r="FSP68" s="401"/>
      <c r="FSQ68" s="401"/>
      <c r="FSR68" s="401"/>
      <c r="FSS68" s="401"/>
      <c r="FST68" s="401"/>
      <c r="FSU68" s="401"/>
      <c r="FSV68" s="401"/>
      <c r="FSW68" s="401"/>
      <c r="FSX68" s="401"/>
      <c r="FSY68" s="401"/>
      <c r="FSZ68" s="401"/>
      <c r="FTA68" s="401"/>
      <c r="FTB68" s="401"/>
      <c r="FTC68" s="401"/>
      <c r="FTD68" s="401"/>
      <c r="FTE68" s="401"/>
      <c r="FTF68" s="401"/>
      <c r="FTG68" s="401"/>
      <c r="FTH68" s="401"/>
      <c r="FTI68" s="401"/>
      <c r="FTJ68" s="401"/>
      <c r="FTK68" s="401"/>
      <c r="FTL68" s="401"/>
      <c r="FTM68" s="401"/>
      <c r="FTN68" s="401"/>
      <c r="FTO68" s="401"/>
      <c r="FTP68" s="401"/>
      <c r="FTQ68" s="401"/>
      <c r="FTR68" s="401"/>
      <c r="FTS68" s="401"/>
      <c r="FTT68" s="401"/>
      <c r="FTU68" s="401"/>
      <c r="FTV68" s="401"/>
      <c r="FTW68" s="401"/>
      <c r="FTX68" s="401"/>
      <c r="FTY68" s="401"/>
      <c r="FTZ68" s="401"/>
      <c r="FUA68" s="401"/>
      <c r="FUB68" s="401"/>
      <c r="FUC68" s="401"/>
      <c r="FUD68" s="401"/>
      <c r="FUE68" s="401"/>
      <c r="FUF68" s="401"/>
      <c r="FUG68" s="401"/>
      <c r="FUH68" s="401"/>
      <c r="FUI68" s="401"/>
      <c r="FUJ68" s="401"/>
      <c r="FUK68" s="401"/>
      <c r="FUL68" s="401"/>
      <c r="FUM68" s="401"/>
      <c r="FUN68" s="401"/>
      <c r="FUO68" s="401"/>
      <c r="FUP68" s="401"/>
      <c r="FUQ68" s="401"/>
      <c r="FUR68" s="401"/>
      <c r="FUS68" s="401"/>
      <c r="FUT68" s="401"/>
      <c r="FUU68" s="401"/>
      <c r="FUV68" s="401"/>
      <c r="FUW68" s="401"/>
      <c r="FUX68" s="401"/>
      <c r="FUY68" s="401"/>
      <c r="FUZ68" s="401"/>
      <c r="FVA68" s="401"/>
      <c r="FVB68" s="401"/>
      <c r="FVC68" s="401"/>
      <c r="FVD68" s="401"/>
      <c r="FVE68" s="401"/>
      <c r="FVF68" s="401"/>
      <c r="FVG68" s="401"/>
      <c r="FVH68" s="401"/>
      <c r="FVI68" s="401"/>
      <c r="FVJ68" s="401"/>
      <c r="FVK68" s="401"/>
      <c r="FVL68" s="401"/>
      <c r="FVM68" s="401"/>
      <c r="FVN68" s="401"/>
      <c r="FVO68" s="401"/>
      <c r="FVP68" s="401"/>
      <c r="FVQ68" s="401"/>
      <c r="FVR68" s="401"/>
      <c r="FVS68" s="401"/>
      <c r="FVT68" s="401"/>
      <c r="FVU68" s="401"/>
      <c r="FVV68" s="401"/>
      <c r="FVW68" s="401"/>
      <c r="FVX68" s="401"/>
      <c r="FVY68" s="401"/>
      <c r="FVZ68" s="401"/>
      <c r="FWA68" s="401"/>
      <c r="FWB68" s="401"/>
      <c r="FWC68" s="401"/>
      <c r="FWD68" s="401"/>
      <c r="FWE68" s="401"/>
      <c r="FWF68" s="401"/>
      <c r="FWG68" s="401"/>
      <c r="FWH68" s="401"/>
      <c r="FWI68" s="401"/>
      <c r="FWJ68" s="401"/>
      <c r="FWK68" s="401"/>
      <c r="FWL68" s="401"/>
      <c r="FWM68" s="401"/>
      <c r="FWN68" s="401"/>
      <c r="FWO68" s="401"/>
      <c r="FWP68" s="401"/>
      <c r="FWQ68" s="401"/>
      <c r="FWR68" s="401"/>
      <c r="FWS68" s="401"/>
      <c r="FWT68" s="401"/>
      <c r="FWU68" s="401"/>
      <c r="FWV68" s="401"/>
      <c r="FWW68" s="401"/>
      <c r="FWX68" s="401"/>
      <c r="FWY68" s="401"/>
      <c r="FWZ68" s="401"/>
      <c r="FXA68" s="401"/>
      <c r="FXB68" s="401"/>
      <c r="FXC68" s="401"/>
      <c r="FXD68" s="401"/>
      <c r="FXE68" s="401"/>
      <c r="FXF68" s="401"/>
      <c r="FXG68" s="401"/>
      <c r="FXH68" s="401"/>
      <c r="FXI68" s="401"/>
      <c r="FXJ68" s="401"/>
      <c r="FXK68" s="401"/>
      <c r="FXL68" s="401"/>
      <c r="FXM68" s="401"/>
      <c r="FXN68" s="401"/>
      <c r="FXO68" s="401"/>
      <c r="FXP68" s="401"/>
      <c r="FXQ68" s="401"/>
      <c r="FXR68" s="401"/>
      <c r="FXS68" s="401"/>
      <c r="FXT68" s="401"/>
      <c r="FXU68" s="401"/>
      <c r="FXV68" s="401"/>
      <c r="FXW68" s="401"/>
      <c r="FXX68" s="401"/>
      <c r="FXY68" s="401"/>
      <c r="FXZ68" s="401"/>
      <c r="FYA68" s="401"/>
      <c r="FYB68" s="401"/>
      <c r="FYC68" s="401"/>
      <c r="FYD68" s="401"/>
      <c r="FYE68" s="401"/>
      <c r="FYF68" s="401"/>
      <c r="FYG68" s="401"/>
      <c r="FYH68" s="401"/>
      <c r="FYI68" s="401"/>
      <c r="FYJ68" s="401"/>
      <c r="FYK68" s="401"/>
      <c r="FYL68" s="401"/>
      <c r="FYM68" s="401"/>
      <c r="FYN68" s="401"/>
      <c r="FYO68" s="401"/>
      <c r="FYP68" s="401"/>
      <c r="FYQ68" s="401"/>
      <c r="FYR68" s="401"/>
      <c r="FYS68" s="401"/>
      <c r="FYT68" s="401"/>
      <c r="FYU68" s="401"/>
      <c r="FYV68" s="401"/>
      <c r="FYW68" s="401"/>
      <c r="FYX68" s="401"/>
      <c r="FYY68" s="401"/>
      <c r="FYZ68" s="401"/>
      <c r="FZA68" s="401"/>
      <c r="FZB68" s="401"/>
      <c r="FZC68" s="401"/>
      <c r="FZD68" s="401"/>
      <c r="FZE68" s="401"/>
      <c r="FZF68" s="401"/>
      <c r="FZG68" s="401"/>
      <c r="FZH68" s="401"/>
      <c r="FZI68" s="401"/>
      <c r="FZJ68" s="401"/>
      <c r="FZK68" s="401"/>
      <c r="FZL68" s="401"/>
      <c r="FZM68" s="401"/>
      <c r="FZN68" s="401"/>
      <c r="FZO68" s="401"/>
      <c r="FZP68" s="401"/>
      <c r="FZQ68" s="401"/>
      <c r="FZR68" s="401"/>
      <c r="FZS68" s="401"/>
      <c r="FZT68" s="401"/>
      <c r="FZU68" s="401"/>
      <c r="FZV68" s="401"/>
      <c r="FZW68" s="401"/>
      <c r="FZX68" s="401"/>
      <c r="FZY68" s="401"/>
      <c r="FZZ68" s="401"/>
      <c r="GAA68" s="401"/>
      <c r="GAB68" s="401"/>
      <c r="GAC68" s="401"/>
      <c r="GAD68" s="401"/>
      <c r="GAE68" s="401"/>
      <c r="GAF68" s="401"/>
      <c r="GAG68" s="401"/>
      <c r="GAH68" s="401"/>
      <c r="GAI68" s="401"/>
      <c r="GAJ68" s="401"/>
      <c r="GAK68" s="401"/>
      <c r="GAL68" s="401"/>
      <c r="GAM68" s="401"/>
      <c r="GAN68" s="401"/>
      <c r="GAO68" s="401"/>
      <c r="GAP68" s="401"/>
      <c r="GAQ68" s="401"/>
      <c r="GAR68" s="401"/>
      <c r="GAS68" s="401"/>
      <c r="GAT68" s="401"/>
      <c r="GAU68" s="401"/>
      <c r="GAV68" s="401"/>
      <c r="GAW68" s="401"/>
      <c r="GAX68" s="401"/>
      <c r="GAY68" s="401"/>
      <c r="GAZ68" s="401"/>
      <c r="GBA68" s="401"/>
      <c r="GBB68" s="401"/>
      <c r="GBC68" s="401"/>
      <c r="GBD68" s="401"/>
      <c r="GBE68" s="401"/>
      <c r="GBF68" s="401"/>
      <c r="GBG68" s="401"/>
      <c r="GBH68" s="401"/>
      <c r="GBI68" s="401"/>
      <c r="GBJ68" s="401"/>
      <c r="GBK68" s="401"/>
      <c r="GBL68" s="401"/>
      <c r="GBM68" s="401"/>
      <c r="GBN68" s="401"/>
      <c r="GBO68" s="401"/>
      <c r="GBP68" s="401"/>
      <c r="GBQ68" s="401"/>
      <c r="GBR68" s="401"/>
      <c r="GBS68" s="401"/>
      <c r="GBT68" s="401"/>
      <c r="GBU68" s="401"/>
      <c r="GBV68" s="401"/>
      <c r="GBW68" s="401"/>
      <c r="GBX68" s="401"/>
      <c r="GBY68" s="401"/>
      <c r="GBZ68" s="401"/>
      <c r="GCA68" s="401"/>
      <c r="GCB68" s="401"/>
      <c r="GCC68" s="401"/>
      <c r="GCD68" s="401"/>
      <c r="GCE68" s="401"/>
      <c r="GCF68" s="401"/>
      <c r="GCG68" s="401"/>
      <c r="GCH68" s="401"/>
      <c r="GCI68" s="401"/>
      <c r="GCJ68" s="401"/>
      <c r="GCK68" s="401"/>
      <c r="GCL68" s="401"/>
      <c r="GCM68" s="401"/>
      <c r="GCN68" s="401"/>
      <c r="GCO68" s="401"/>
      <c r="GCP68" s="401"/>
      <c r="GCQ68" s="401"/>
      <c r="GCR68" s="401"/>
      <c r="GCS68" s="401"/>
      <c r="GCT68" s="401"/>
      <c r="GCU68" s="401"/>
      <c r="GCV68" s="401"/>
      <c r="GCW68" s="401"/>
      <c r="GCX68" s="401"/>
      <c r="GCY68" s="401"/>
      <c r="GCZ68" s="401"/>
      <c r="GDA68" s="401"/>
      <c r="GDB68" s="401"/>
      <c r="GDC68" s="401"/>
      <c r="GDD68" s="401"/>
      <c r="GDE68" s="401"/>
      <c r="GDF68" s="401"/>
      <c r="GDG68" s="401"/>
      <c r="GDH68" s="401"/>
      <c r="GDI68" s="401"/>
      <c r="GDJ68" s="401"/>
      <c r="GDK68" s="401"/>
      <c r="GDL68" s="401"/>
      <c r="GDM68" s="401"/>
      <c r="GDN68" s="401"/>
      <c r="GDO68" s="401"/>
      <c r="GDP68" s="401"/>
      <c r="GDQ68" s="401"/>
      <c r="GDR68" s="401"/>
      <c r="GDS68" s="401"/>
      <c r="GDT68" s="401"/>
      <c r="GDU68" s="401"/>
      <c r="GDV68" s="401"/>
      <c r="GDW68" s="401"/>
      <c r="GDX68" s="401"/>
      <c r="GDY68" s="401"/>
      <c r="GDZ68" s="401"/>
      <c r="GEA68" s="401"/>
      <c r="GEB68" s="401"/>
      <c r="GEC68" s="401"/>
      <c r="GED68" s="401"/>
      <c r="GEE68" s="401"/>
      <c r="GEF68" s="401"/>
      <c r="GEG68" s="401"/>
      <c r="GEH68" s="401"/>
      <c r="GEI68" s="401"/>
      <c r="GEJ68" s="401"/>
      <c r="GEK68" s="401"/>
      <c r="GEL68" s="401"/>
      <c r="GEM68" s="401"/>
      <c r="GEN68" s="401"/>
      <c r="GEO68" s="401"/>
      <c r="GEP68" s="401"/>
      <c r="GEQ68" s="401"/>
      <c r="GER68" s="401"/>
      <c r="GES68" s="401"/>
      <c r="GET68" s="401"/>
      <c r="GEU68" s="401"/>
      <c r="GEV68" s="401"/>
      <c r="GEW68" s="401"/>
      <c r="GEX68" s="401"/>
      <c r="GEY68" s="401"/>
      <c r="GEZ68" s="401"/>
      <c r="GFA68" s="401"/>
      <c r="GFB68" s="401"/>
      <c r="GFC68" s="401"/>
      <c r="GFD68" s="401"/>
      <c r="GFE68" s="401"/>
      <c r="GFF68" s="401"/>
      <c r="GFG68" s="401"/>
      <c r="GFH68" s="401"/>
      <c r="GFI68" s="401"/>
      <c r="GFJ68" s="401"/>
      <c r="GFK68" s="401"/>
      <c r="GFL68" s="401"/>
      <c r="GFM68" s="401"/>
      <c r="GFN68" s="401"/>
      <c r="GFO68" s="401"/>
      <c r="GFP68" s="401"/>
      <c r="GFQ68" s="401"/>
      <c r="GFR68" s="401"/>
      <c r="GFS68" s="401"/>
      <c r="GFT68" s="401"/>
      <c r="GFU68" s="401"/>
      <c r="GFV68" s="401"/>
      <c r="GFW68" s="401"/>
      <c r="GFX68" s="401"/>
      <c r="GFY68" s="401"/>
      <c r="GFZ68" s="401"/>
      <c r="GGA68" s="401"/>
      <c r="GGB68" s="401"/>
      <c r="GGC68" s="401"/>
      <c r="GGD68" s="401"/>
      <c r="GGE68" s="401"/>
      <c r="GGF68" s="401"/>
      <c r="GGG68" s="401"/>
      <c r="GGH68" s="401"/>
      <c r="GGI68" s="401"/>
      <c r="GGJ68" s="401"/>
      <c r="GGK68" s="401"/>
      <c r="GGL68" s="401"/>
      <c r="GGM68" s="401"/>
      <c r="GGN68" s="401"/>
      <c r="GGO68" s="401"/>
      <c r="GGP68" s="401"/>
      <c r="GGQ68" s="401"/>
      <c r="GGR68" s="401"/>
      <c r="GGS68" s="401"/>
      <c r="GGT68" s="401"/>
      <c r="GGU68" s="401"/>
      <c r="GGV68" s="401"/>
      <c r="GGW68" s="401"/>
      <c r="GGX68" s="401"/>
      <c r="GGY68" s="401"/>
      <c r="GGZ68" s="401"/>
      <c r="GHA68" s="401"/>
      <c r="GHB68" s="401"/>
      <c r="GHC68" s="401"/>
      <c r="GHD68" s="401"/>
      <c r="GHE68" s="401"/>
      <c r="GHF68" s="401"/>
      <c r="GHG68" s="401"/>
      <c r="GHH68" s="401"/>
      <c r="GHI68" s="401"/>
      <c r="GHJ68" s="401"/>
      <c r="GHK68" s="401"/>
      <c r="GHL68" s="401"/>
      <c r="GHM68" s="401"/>
      <c r="GHN68" s="401"/>
      <c r="GHO68" s="401"/>
      <c r="GHP68" s="401"/>
      <c r="GHQ68" s="401"/>
      <c r="GHR68" s="401"/>
      <c r="GHS68" s="401"/>
      <c r="GHT68" s="401"/>
      <c r="GHU68" s="401"/>
      <c r="GHV68" s="401"/>
      <c r="GHW68" s="401"/>
      <c r="GHX68" s="401"/>
      <c r="GHY68" s="401"/>
      <c r="GHZ68" s="401"/>
      <c r="GIA68" s="401"/>
      <c r="GIB68" s="401"/>
      <c r="GIC68" s="401"/>
      <c r="GID68" s="401"/>
      <c r="GIE68" s="401"/>
      <c r="GIF68" s="401"/>
      <c r="GIG68" s="401"/>
      <c r="GIH68" s="401"/>
      <c r="GII68" s="401"/>
      <c r="GIJ68" s="401"/>
      <c r="GIK68" s="401"/>
      <c r="GIL68" s="401"/>
      <c r="GIM68" s="401"/>
      <c r="GIN68" s="401"/>
      <c r="GIO68" s="401"/>
      <c r="GIP68" s="401"/>
      <c r="GIQ68" s="401"/>
      <c r="GIR68" s="401"/>
      <c r="GIS68" s="401"/>
      <c r="GIT68" s="401"/>
      <c r="GIU68" s="401"/>
      <c r="GIV68" s="401"/>
      <c r="GIW68" s="401"/>
      <c r="GIX68" s="401"/>
      <c r="GIY68" s="401"/>
      <c r="GIZ68" s="401"/>
      <c r="GJA68" s="401"/>
      <c r="GJB68" s="401"/>
      <c r="GJC68" s="401"/>
      <c r="GJD68" s="401"/>
      <c r="GJE68" s="401"/>
      <c r="GJF68" s="401"/>
      <c r="GJG68" s="401"/>
      <c r="GJH68" s="401"/>
      <c r="GJI68" s="401"/>
      <c r="GJJ68" s="401"/>
      <c r="GJK68" s="401"/>
      <c r="GJL68" s="401"/>
      <c r="GJM68" s="401"/>
      <c r="GJN68" s="401"/>
      <c r="GJO68" s="401"/>
      <c r="GJP68" s="401"/>
      <c r="GJQ68" s="401"/>
      <c r="GJR68" s="401"/>
      <c r="GJS68" s="401"/>
      <c r="GJT68" s="401"/>
      <c r="GJU68" s="401"/>
      <c r="GJV68" s="401"/>
      <c r="GJW68" s="401"/>
      <c r="GJX68" s="401"/>
      <c r="GJY68" s="401"/>
      <c r="GJZ68" s="401"/>
      <c r="GKA68" s="401"/>
      <c r="GKB68" s="401"/>
      <c r="GKC68" s="401"/>
      <c r="GKD68" s="401"/>
      <c r="GKE68" s="401"/>
      <c r="GKF68" s="401"/>
      <c r="GKG68" s="401"/>
      <c r="GKH68" s="401"/>
      <c r="GKI68" s="401"/>
      <c r="GKJ68" s="401"/>
      <c r="GKK68" s="401"/>
      <c r="GKL68" s="401"/>
      <c r="GKM68" s="401"/>
      <c r="GKN68" s="401"/>
      <c r="GKO68" s="401"/>
      <c r="GKP68" s="401"/>
      <c r="GKQ68" s="401"/>
      <c r="GKR68" s="401"/>
      <c r="GKS68" s="401"/>
      <c r="GKT68" s="401"/>
      <c r="GKU68" s="401"/>
      <c r="GKV68" s="401"/>
      <c r="GKW68" s="401"/>
      <c r="GKX68" s="401"/>
      <c r="GKY68" s="401"/>
      <c r="GKZ68" s="401"/>
      <c r="GLA68" s="401"/>
      <c r="GLB68" s="401"/>
      <c r="GLC68" s="401"/>
      <c r="GLD68" s="401"/>
      <c r="GLE68" s="401"/>
      <c r="GLF68" s="401"/>
      <c r="GLG68" s="401"/>
      <c r="GLH68" s="401"/>
      <c r="GLI68" s="401"/>
      <c r="GLJ68" s="401"/>
      <c r="GLK68" s="401"/>
      <c r="GLL68" s="401"/>
      <c r="GLM68" s="401"/>
      <c r="GLN68" s="401"/>
      <c r="GLO68" s="401"/>
      <c r="GLP68" s="401"/>
      <c r="GLQ68" s="401"/>
      <c r="GLR68" s="401"/>
      <c r="GLS68" s="401"/>
      <c r="GLT68" s="401"/>
      <c r="GLU68" s="401"/>
      <c r="GLV68" s="401"/>
      <c r="GLW68" s="401"/>
      <c r="GLX68" s="401"/>
      <c r="GLY68" s="401"/>
      <c r="GLZ68" s="401"/>
      <c r="GMA68" s="401"/>
      <c r="GMB68" s="401"/>
      <c r="GMC68" s="401"/>
      <c r="GMD68" s="401"/>
      <c r="GME68" s="401"/>
      <c r="GMF68" s="401"/>
      <c r="GMG68" s="401"/>
      <c r="GMH68" s="401"/>
      <c r="GMI68" s="401"/>
      <c r="GMJ68" s="401"/>
      <c r="GMK68" s="401"/>
      <c r="GML68" s="401"/>
      <c r="GMM68" s="401"/>
      <c r="GMN68" s="401"/>
      <c r="GMO68" s="401"/>
      <c r="GMP68" s="401"/>
      <c r="GMQ68" s="401"/>
      <c r="GMR68" s="401"/>
      <c r="GMS68" s="401"/>
      <c r="GMT68" s="401"/>
      <c r="GMU68" s="401"/>
      <c r="GMV68" s="401"/>
      <c r="GMW68" s="401"/>
      <c r="GMX68" s="401"/>
      <c r="GMY68" s="401"/>
      <c r="GMZ68" s="401"/>
      <c r="GNA68" s="401"/>
      <c r="GNB68" s="401"/>
      <c r="GNC68" s="401"/>
      <c r="GND68" s="401"/>
      <c r="GNE68" s="401"/>
      <c r="GNF68" s="401"/>
      <c r="GNG68" s="401"/>
      <c r="GNH68" s="401"/>
      <c r="GNI68" s="401"/>
      <c r="GNJ68" s="401"/>
      <c r="GNK68" s="401"/>
      <c r="GNL68" s="401"/>
      <c r="GNM68" s="401"/>
      <c r="GNN68" s="401"/>
      <c r="GNO68" s="401"/>
      <c r="GNP68" s="401"/>
      <c r="GNQ68" s="401"/>
      <c r="GNR68" s="401"/>
      <c r="GNS68" s="401"/>
      <c r="GNT68" s="401"/>
      <c r="GNU68" s="401"/>
      <c r="GNV68" s="401"/>
      <c r="GNW68" s="401"/>
      <c r="GNX68" s="401"/>
      <c r="GNY68" s="401"/>
      <c r="GNZ68" s="401"/>
      <c r="GOA68" s="401"/>
      <c r="GOB68" s="401"/>
      <c r="GOC68" s="401"/>
      <c r="GOD68" s="401"/>
      <c r="GOE68" s="401"/>
      <c r="GOF68" s="401"/>
      <c r="GOG68" s="401"/>
      <c r="GOH68" s="401"/>
      <c r="GOI68" s="401"/>
      <c r="GOJ68" s="401"/>
      <c r="GOK68" s="401"/>
      <c r="GOL68" s="401"/>
      <c r="GOM68" s="401"/>
      <c r="GON68" s="401"/>
      <c r="GOO68" s="401"/>
      <c r="GOP68" s="401"/>
      <c r="GOQ68" s="401"/>
      <c r="GOR68" s="401"/>
      <c r="GOS68" s="401"/>
      <c r="GOT68" s="401"/>
      <c r="GOU68" s="401"/>
      <c r="GOV68" s="401"/>
      <c r="GOW68" s="401"/>
      <c r="GOX68" s="401"/>
      <c r="GOY68" s="401"/>
      <c r="GOZ68" s="401"/>
      <c r="GPA68" s="401"/>
      <c r="GPB68" s="401"/>
      <c r="GPC68" s="401"/>
      <c r="GPD68" s="401"/>
      <c r="GPE68" s="401"/>
      <c r="GPF68" s="401"/>
      <c r="GPG68" s="401"/>
      <c r="GPH68" s="401"/>
      <c r="GPI68" s="401"/>
      <c r="GPJ68" s="401"/>
      <c r="GPK68" s="401"/>
      <c r="GPL68" s="401"/>
      <c r="GPM68" s="401"/>
      <c r="GPN68" s="401"/>
      <c r="GPO68" s="401"/>
      <c r="GPP68" s="401"/>
      <c r="GPQ68" s="401"/>
      <c r="GPR68" s="401"/>
      <c r="GPS68" s="401"/>
      <c r="GPT68" s="401"/>
      <c r="GPU68" s="401"/>
      <c r="GPV68" s="401"/>
      <c r="GPW68" s="401"/>
      <c r="GPX68" s="401"/>
      <c r="GPY68" s="401"/>
      <c r="GPZ68" s="401"/>
      <c r="GQA68" s="401"/>
      <c r="GQB68" s="401"/>
      <c r="GQC68" s="401"/>
      <c r="GQD68" s="401"/>
      <c r="GQE68" s="401"/>
      <c r="GQF68" s="401"/>
      <c r="GQG68" s="401"/>
      <c r="GQH68" s="401"/>
      <c r="GQI68" s="401"/>
      <c r="GQJ68" s="401"/>
      <c r="GQK68" s="401"/>
      <c r="GQL68" s="401"/>
      <c r="GQM68" s="401"/>
      <c r="GQN68" s="401"/>
      <c r="GQO68" s="401"/>
      <c r="GQP68" s="401"/>
      <c r="GQQ68" s="401"/>
      <c r="GQR68" s="401"/>
      <c r="GQS68" s="401"/>
      <c r="GQT68" s="401"/>
      <c r="GQU68" s="401"/>
      <c r="GQV68" s="401"/>
      <c r="GQW68" s="401"/>
      <c r="GQX68" s="401"/>
      <c r="GQY68" s="401"/>
      <c r="GQZ68" s="401"/>
      <c r="GRA68" s="401"/>
      <c r="GRB68" s="401"/>
      <c r="GRC68" s="401"/>
      <c r="GRD68" s="401"/>
      <c r="GRE68" s="401"/>
      <c r="GRF68" s="401"/>
      <c r="GRG68" s="401"/>
      <c r="GRH68" s="401"/>
      <c r="GRI68" s="401"/>
      <c r="GRJ68" s="401"/>
      <c r="GRK68" s="401"/>
      <c r="GRL68" s="401"/>
      <c r="GRM68" s="401"/>
      <c r="GRN68" s="401"/>
      <c r="GRO68" s="401"/>
      <c r="GRP68" s="401"/>
      <c r="GRQ68" s="401"/>
      <c r="GRR68" s="401"/>
      <c r="GRS68" s="401"/>
      <c r="GRT68" s="401"/>
      <c r="GRU68" s="401"/>
      <c r="GRV68" s="401"/>
      <c r="GRW68" s="401"/>
      <c r="GRX68" s="401"/>
      <c r="GRY68" s="401"/>
      <c r="GRZ68" s="401"/>
      <c r="GSA68" s="401"/>
      <c r="GSB68" s="401"/>
      <c r="GSC68" s="401"/>
      <c r="GSD68" s="401"/>
      <c r="GSE68" s="401"/>
      <c r="GSF68" s="401"/>
      <c r="GSG68" s="401"/>
      <c r="GSH68" s="401"/>
      <c r="GSI68" s="401"/>
      <c r="GSJ68" s="401"/>
      <c r="GSK68" s="401"/>
      <c r="GSL68" s="401"/>
      <c r="GSM68" s="401"/>
      <c r="GSN68" s="401"/>
      <c r="GSO68" s="401"/>
      <c r="GSP68" s="401"/>
      <c r="GSQ68" s="401"/>
      <c r="GSR68" s="401"/>
      <c r="GSS68" s="401"/>
      <c r="GST68" s="401"/>
      <c r="GSU68" s="401"/>
      <c r="GSV68" s="401"/>
      <c r="GSW68" s="401"/>
      <c r="GSX68" s="401"/>
      <c r="GSY68" s="401"/>
      <c r="GSZ68" s="401"/>
      <c r="GTA68" s="401"/>
      <c r="GTB68" s="401"/>
      <c r="GTC68" s="401"/>
      <c r="GTD68" s="401"/>
      <c r="GTE68" s="401"/>
      <c r="GTF68" s="401"/>
      <c r="GTG68" s="401"/>
      <c r="GTH68" s="401"/>
      <c r="GTI68" s="401"/>
      <c r="GTJ68" s="401"/>
      <c r="GTK68" s="401"/>
      <c r="GTL68" s="401"/>
      <c r="GTM68" s="401"/>
      <c r="GTN68" s="401"/>
      <c r="GTO68" s="401"/>
      <c r="GTP68" s="401"/>
      <c r="GTQ68" s="401"/>
      <c r="GTR68" s="401"/>
      <c r="GTS68" s="401"/>
      <c r="GTT68" s="401"/>
      <c r="GTU68" s="401"/>
      <c r="GTV68" s="401"/>
      <c r="GTW68" s="401"/>
      <c r="GTX68" s="401"/>
      <c r="GTY68" s="401"/>
      <c r="GTZ68" s="401"/>
      <c r="GUA68" s="401"/>
      <c r="GUB68" s="401"/>
      <c r="GUC68" s="401"/>
      <c r="GUD68" s="401"/>
      <c r="GUE68" s="401"/>
      <c r="GUF68" s="401"/>
      <c r="GUG68" s="401"/>
      <c r="GUH68" s="401"/>
      <c r="GUI68" s="401"/>
      <c r="GUJ68" s="401"/>
      <c r="GUK68" s="401"/>
      <c r="GUL68" s="401"/>
      <c r="GUM68" s="401"/>
      <c r="GUN68" s="401"/>
      <c r="GUO68" s="401"/>
      <c r="GUP68" s="401"/>
      <c r="GUQ68" s="401"/>
      <c r="GUR68" s="401"/>
      <c r="GUS68" s="401"/>
      <c r="GUT68" s="401"/>
      <c r="GUU68" s="401"/>
      <c r="GUV68" s="401"/>
      <c r="GUW68" s="401"/>
      <c r="GUX68" s="401"/>
      <c r="GUY68" s="401"/>
      <c r="GUZ68" s="401"/>
      <c r="GVA68" s="401"/>
      <c r="GVB68" s="401"/>
      <c r="GVC68" s="401"/>
      <c r="GVD68" s="401"/>
      <c r="GVE68" s="401"/>
      <c r="GVF68" s="401"/>
      <c r="GVG68" s="401"/>
      <c r="GVH68" s="401"/>
      <c r="GVI68" s="401"/>
      <c r="GVJ68" s="401"/>
      <c r="GVK68" s="401"/>
      <c r="GVL68" s="401"/>
      <c r="GVM68" s="401"/>
      <c r="GVN68" s="401"/>
      <c r="GVO68" s="401"/>
      <c r="GVP68" s="401"/>
      <c r="GVQ68" s="401"/>
      <c r="GVR68" s="401"/>
      <c r="GVS68" s="401"/>
      <c r="GVT68" s="401"/>
      <c r="GVU68" s="401"/>
      <c r="GVV68" s="401"/>
      <c r="GVW68" s="401"/>
      <c r="GVX68" s="401"/>
      <c r="GVY68" s="401"/>
      <c r="GVZ68" s="401"/>
      <c r="GWA68" s="401"/>
      <c r="GWB68" s="401"/>
      <c r="GWC68" s="401"/>
      <c r="GWD68" s="401"/>
      <c r="GWE68" s="401"/>
      <c r="GWF68" s="401"/>
      <c r="GWG68" s="401"/>
      <c r="GWH68" s="401"/>
      <c r="GWI68" s="401"/>
      <c r="GWJ68" s="401"/>
      <c r="GWK68" s="401"/>
      <c r="GWL68" s="401"/>
      <c r="GWM68" s="401"/>
      <c r="GWN68" s="401"/>
      <c r="GWO68" s="401"/>
      <c r="GWP68" s="401"/>
      <c r="GWQ68" s="401"/>
      <c r="GWR68" s="401"/>
      <c r="GWS68" s="401"/>
      <c r="GWT68" s="401"/>
      <c r="GWU68" s="401"/>
      <c r="GWV68" s="401"/>
      <c r="GWW68" s="401"/>
      <c r="GWX68" s="401"/>
      <c r="GWY68" s="401"/>
      <c r="GWZ68" s="401"/>
      <c r="GXA68" s="401"/>
      <c r="GXB68" s="401"/>
      <c r="GXC68" s="401"/>
      <c r="GXD68" s="401"/>
      <c r="GXE68" s="401"/>
      <c r="GXF68" s="401"/>
      <c r="GXG68" s="401"/>
      <c r="GXH68" s="401"/>
      <c r="GXI68" s="401"/>
      <c r="GXJ68" s="401"/>
      <c r="GXK68" s="401"/>
      <c r="GXL68" s="401"/>
      <c r="GXM68" s="401"/>
      <c r="GXN68" s="401"/>
      <c r="GXO68" s="401"/>
      <c r="GXP68" s="401"/>
      <c r="GXQ68" s="401"/>
      <c r="GXR68" s="401"/>
      <c r="GXS68" s="401"/>
      <c r="GXT68" s="401"/>
      <c r="GXU68" s="401"/>
      <c r="GXV68" s="401"/>
      <c r="GXW68" s="401"/>
      <c r="GXX68" s="401"/>
      <c r="GXY68" s="401"/>
      <c r="GXZ68" s="401"/>
      <c r="GYA68" s="401"/>
      <c r="GYB68" s="401"/>
      <c r="GYC68" s="401"/>
      <c r="GYD68" s="401"/>
      <c r="GYE68" s="401"/>
      <c r="GYF68" s="401"/>
      <c r="GYG68" s="401"/>
      <c r="GYH68" s="401"/>
      <c r="GYI68" s="401"/>
      <c r="GYJ68" s="401"/>
      <c r="GYK68" s="401"/>
      <c r="GYL68" s="401"/>
      <c r="GYM68" s="401"/>
      <c r="GYN68" s="401"/>
      <c r="GYO68" s="401"/>
      <c r="GYP68" s="401"/>
      <c r="GYQ68" s="401"/>
      <c r="GYR68" s="401"/>
      <c r="GYS68" s="401"/>
      <c r="GYT68" s="401"/>
      <c r="GYU68" s="401"/>
      <c r="GYV68" s="401"/>
      <c r="GYW68" s="401"/>
      <c r="GYX68" s="401"/>
      <c r="GYY68" s="401"/>
      <c r="GYZ68" s="401"/>
      <c r="GZA68" s="401"/>
      <c r="GZB68" s="401"/>
      <c r="GZC68" s="401"/>
      <c r="GZD68" s="401"/>
      <c r="GZE68" s="401"/>
      <c r="GZF68" s="401"/>
      <c r="GZG68" s="401"/>
      <c r="GZH68" s="401"/>
      <c r="GZI68" s="401"/>
      <c r="GZJ68" s="401"/>
      <c r="GZK68" s="401"/>
      <c r="GZL68" s="401"/>
      <c r="GZM68" s="401"/>
      <c r="GZN68" s="401"/>
      <c r="GZO68" s="401"/>
      <c r="GZP68" s="401"/>
      <c r="GZQ68" s="401"/>
      <c r="GZR68" s="401"/>
      <c r="GZS68" s="401"/>
      <c r="GZT68" s="401"/>
      <c r="GZU68" s="401"/>
      <c r="GZV68" s="401"/>
      <c r="GZW68" s="401"/>
      <c r="GZX68" s="401"/>
      <c r="GZY68" s="401"/>
      <c r="GZZ68" s="401"/>
      <c r="HAA68" s="401"/>
      <c r="HAB68" s="401"/>
      <c r="HAC68" s="401"/>
      <c r="HAD68" s="401"/>
      <c r="HAE68" s="401"/>
      <c r="HAF68" s="401"/>
      <c r="HAG68" s="401"/>
      <c r="HAH68" s="401"/>
      <c r="HAI68" s="401"/>
      <c r="HAJ68" s="401"/>
      <c r="HAK68" s="401"/>
      <c r="HAL68" s="401"/>
      <c r="HAM68" s="401"/>
      <c r="HAN68" s="401"/>
      <c r="HAO68" s="401"/>
      <c r="HAP68" s="401"/>
      <c r="HAQ68" s="401"/>
      <c r="HAR68" s="401"/>
      <c r="HAS68" s="401"/>
      <c r="HAT68" s="401"/>
      <c r="HAU68" s="401"/>
      <c r="HAV68" s="401"/>
      <c r="HAW68" s="401"/>
      <c r="HAX68" s="401"/>
      <c r="HAY68" s="401"/>
      <c r="HAZ68" s="401"/>
      <c r="HBA68" s="401"/>
      <c r="HBB68" s="401"/>
      <c r="HBC68" s="401"/>
      <c r="HBD68" s="401"/>
      <c r="HBE68" s="401"/>
      <c r="HBF68" s="401"/>
      <c r="HBG68" s="401"/>
      <c r="HBH68" s="401"/>
      <c r="HBI68" s="401"/>
      <c r="HBJ68" s="401"/>
      <c r="HBK68" s="401"/>
      <c r="HBL68" s="401"/>
      <c r="HBM68" s="401"/>
      <c r="HBN68" s="401"/>
      <c r="HBO68" s="401"/>
      <c r="HBP68" s="401"/>
      <c r="HBQ68" s="401"/>
      <c r="HBR68" s="401"/>
      <c r="HBS68" s="401"/>
      <c r="HBT68" s="401"/>
      <c r="HBU68" s="401"/>
      <c r="HBV68" s="401"/>
      <c r="HBW68" s="401"/>
      <c r="HBX68" s="401"/>
      <c r="HBY68" s="401"/>
      <c r="HBZ68" s="401"/>
      <c r="HCA68" s="401"/>
      <c r="HCB68" s="401"/>
      <c r="HCC68" s="401"/>
      <c r="HCD68" s="401"/>
      <c r="HCE68" s="401"/>
      <c r="HCF68" s="401"/>
      <c r="HCG68" s="401"/>
      <c r="HCH68" s="401"/>
      <c r="HCI68" s="401"/>
      <c r="HCJ68" s="401"/>
      <c r="HCK68" s="401"/>
      <c r="HCL68" s="401"/>
      <c r="HCM68" s="401"/>
      <c r="HCN68" s="401"/>
      <c r="HCO68" s="401"/>
      <c r="HCP68" s="401"/>
      <c r="HCQ68" s="401"/>
      <c r="HCR68" s="401"/>
      <c r="HCS68" s="401"/>
      <c r="HCT68" s="401"/>
      <c r="HCU68" s="401"/>
      <c r="HCV68" s="401"/>
      <c r="HCW68" s="401"/>
      <c r="HCX68" s="401"/>
      <c r="HCY68" s="401"/>
      <c r="HCZ68" s="401"/>
      <c r="HDA68" s="401"/>
      <c r="HDB68" s="401"/>
      <c r="HDC68" s="401"/>
      <c r="HDD68" s="401"/>
      <c r="HDE68" s="401"/>
      <c r="HDF68" s="401"/>
      <c r="HDG68" s="401"/>
      <c r="HDH68" s="401"/>
      <c r="HDI68" s="401"/>
      <c r="HDJ68" s="401"/>
      <c r="HDK68" s="401"/>
      <c r="HDL68" s="401"/>
      <c r="HDM68" s="401"/>
      <c r="HDN68" s="401"/>
      <c r="HDO68" s="401"/>
      <c r="HDP68" s="401"/>
      <c r="HDQ68" s="401"/>
      <c r="HDR68" s="401"/>
      <c r="HDS68" s="401"/>
      <c r="HDT68" s="401"/>
      <c r="HDU68" s="401"/>
      <c r="HDV68" s="401"/>
      <c r="HDW68" s="401"/>
      <c r="HDX68" s="401"/>
      <c r="HDY68" s="401"/>
      <c r="HDZ68" s="401"/>
      <c r="HEA68" s="401"/>
      <c r="HEB68" s="401"/>
      <c r="HEC68" s="401"/>
      <c r="HED68" s="401"/>
      <c r="HEE68" s="401"/>
      <c r="HEF68" s="401"/>
      <c r="HEG68" s="401"/>
      <c r="HEH68" s="401"/>
      <c r="HEI68" s="401"/>
      <c r="HEJ68" s="401"/>
      <c r="HEK68" s="401"/>
      <c r="HEL68" s="401"/>
      <c r="HEM68" s="401"/>
      <c r="HEN68" s="401"/>
      <c r="HEO68" s="401"/>
      <c r="HEP68" s="401"/>
      <c r="HEQ68" s="401"/>
      <c r="HER68" s="401"/>
      <c r="HES68" s="401"/>
      <c r="HET68" s="401"/>
      <c r="HEU68" s="401"/>
      <c r="HEV68" s="401"/>
      <c r="HEW68" s="401"/>
      <c r="HEX68" s="401"/>
      <c r="HEY68" s="401"/>
      <c r="HEZ68" s="401"/>
      <c r="HFA68" s="401"/>
      <c r="HFB68" s="401"/>
      <c r="HFC68" s="401"/>
      <c r="HFD68" s="401"/>
      <c r="HFE68" s="401"/>
      <c r="HFF68" s="401"/>
      <c r="HFG68" s="401"/>
      <c r="HFH68" s="401"/>
      <c r="HFI68" s="401"/>
      <c r="HFJ68" s="401"/>
      <c r="HFK68" s="401"/>
      <c r="HFL68" s="401"/>
      <c r="HFM68" s="401"/>
      <c r="HFN68" s="401"/>
      <c r="HFO68" s="401"/>
      <c r="HFP68" s="401"/>
      <c r="HFQ68" s="401"/>
      <c r="HFR68" s="401"/>
      <c r="HFS68" s="401"/>
      <c r="HFT68" s="401"/>
      <c r="HFU68" s="401"/>
      <c r="HFV68" s="401"/>
      <c r="HFW68" s="401"/>
      <c r="HFX68" s="401"/>
      <c r="HFY68" s="401"/>
      <c r="HFZ68" s="401"/>
      <c r="HGA68" s="401"/>
      <c r="HGB68" s="401"/>
      <c r="HGC68" s="401"/>
      <c r="HGD68" s="401"/>
      <c r="HGE68" s="401"/>
      <c r="HGF68" s="401"/>
      <c r="HGG68" s="401"/>
      <c r="HGH68" s="401"/>
      <c r="HGI68" s="401"/>
      <c r="HGJ68" s="401"/>
      <c r="HGK68" s="401"/>
      <c r="HGL68" s="401"/>
      <c r="HGM68" s="401"/>
      <c r="HGN68" s="401"/>
      <c r="HGO68" s="401"/>
      <c r="HGP68" s="401"/>
      <c r="HGQ68" s="401"/>
      <c r="HGR68" s="401"/>
      <c r="HGS68" s="401"/>
      <c r="HGT68" s="401"/>
      <c r="HGU68" s="401"/>
      <c r="HGV68" s="401"/>
      <c r="HGW68" s="401"/>
      <c r="HGX68" s="401"/>
      <c r="HGY68" s="401"/>
      <c r="HGZ68" s="401"/>
      <c r="HHA68" s="401"/>
      <c r="HHB68" s="401"/>
      <c r="HHC68" s="401"/>
      <c r="HHD68" s="401"/>
      <c r="HHE68" s="401"/>
      <c r="HHF68" s="401"/>
      <c r="HHG68" s="401"/>
      <c r="HHH68" s="401"/>
      <c r="HHI68" s="401"/>
      <c r="HHJ68" s="401"/>
      <c r="HHK68" s="401"/>
      <c r="HHL68" s="401"/>
      <c r="HHM68" s="401"/>
      <c r="HHN68" s="401"/>
      <c r="HHO68" s="401"/>
      <c r="HHP68" s="401"/>
      <c r="HHQ68" s="401"/>
      <c r="HHR68" s="401"/>
      <c r="HHS68" s="401"/>
      <c r="HHT68" s="401"/>
      <c r="HHU68" s="401"/>
      <c r="HHV68" s="401"/>
      <c r="HHW68" s="401"/>
      <c r="HHX68" s="401"/>
      <c r="HHY68" s="401"/>
      <c r="HHZ68" s="401"/>
      <c r="HIA68" s="401"/>
      <c r="HIB68" s="401"/>
      <c r="HIC68" s="401"/>
      <c r="HID68" s="401"/>
      <c r="HIE68" s="401"/>
      <c r="HIF68" s="401"/>
      <c r="HIG68" s="401"/>
      <c r="HIH68" s="401"/>
      <c r="HII68" s="401"/>
      <c r="HIJ68" s="401"/>
      <c r="HIK68" s="401"/>
      <c r="HIL68" s="401"/>
      <c r="HIM68" s="401"/>
      <c r="HIN68" s="401"/>
      <c r="HIO68" s="401"/>
      <c r="HIP68" s="401"/>
      <c r="HIQ68" s="401"/>
      <c r="HIR68" s="401"/>
      <c r="HIS68" s="401"/>
      <c r="HIT68" s="401"/>
      <c r="HIU68" s="401"/>
      <c r="HIV68" s="401"/>
      <c r="HIW68" s="401"/>
      <c r="HIX68" s="401"/>
      <c r="HIY68" s="401"/>
      <c r="HIZ68" s="401"/>
      <c r="HJA68" s="401"/>
      <c r="HJB68" s="401"/>
      <c r="HJC68" s="401"/>
      <c r="HJD68" s="401"/>
      <c r="HJE68" s="401"/>
      <c r="HJF68" s="401"/>
      <c r="HJG68" s="401"/>
      <c r="HJH68" s="401"/>
      <c r="HJI68" s="401"/>
      <c r="HJJ68" s="401"/>
      <c r="HJK68" s="401"/>
      <c r="HJL68" s="401"/>
      <c r="HJM68" s="401"/>
      <c r="HJN68" s="401"/>
      <c r="HJO68" s="401"/>
      <c r="HJP68" s="401"/>
      <c r="HJQ68" s="401"/>
      <c r="HJR68" s="401"/>
      <c r="HJS68" s="401"/>
      <c r="HJT68" s="401"/>
      <c r="HJU68" s="401"/>
      <c r="HJV68" s="401"/>
      <c r="HJW68" s="401"/>
      <c r="HJX68" s="401"/>
      <c r="HJY68" s="401"/>
      <c r="HJZ68" s="401"/>
      <c r="HKA68" s="401"/>
      <c r="HKB68" s="401"/>
      <c r="HKC68" s="401"/>
      <c r="HKD68" s="401"/>
      <c r="HKE68" s="401"/>
      <c r="HKF68" s="401"/>
      <c r="HKG68" s="401"/>
      <c r="HKH68" s="401"/>
      <c r="HKI68" s="401"/>
      <c r="HKJ68" s="401"/>
      <c r="HKK68" s="401"/>
      <c r="HKL68" s="401"/>
      <c r="HKM68" s="401"/>
      <c r="HKN68" s="401"/>
      <c r="HKO68" s="401"/>
      <c r="HKP68" s="401"/>
      <c r="HKQ68" s="401"/>
      <c r="HKR68" s="401"/>
      <c r="HKS68" s="401"/>
      <c r="HKT68" s="401"/>
      <c r="HKU68" s="401"/>
      <c r="HKV68" s="401"/>
      <c r="HKW68" s="401"/>
      <c r="HKX68" s="401"/>
      <c r="HKY68" s="401"/>
      <c r="HKZ68" s="401"/>
      <c r="HLA68" s="401"/>
      <c r="HLB68" s="401"/>
      <c r="HLC68" s="401"/>
      <c r="HLD68" s="401"/>
      <c r="HLE68" s="401"/>
      <c r="HLF68" s="401"/>
      <c r="HLG68" s="401"/>
      <c r="HLH68" s="401"/>
      <c r="HLI68" s="401"/>
      <c r="HLJ68" s="401"/>
      <c r="HLK68" s="401"/>
      <c r="HLL68" s="401"/>
      <c r="HLM68" s="401"/>
      <c r="HLN68" s="401"/>
      <c r="HLO68" s="401"/>
      <c r="HLP68" s="401"/>
      <c r="HLQ68" s="401"/>
      <c r="HLR68" s="401"/>
      <c r="HLS68" s="401"/>
      <c r="HLT68" s="401"/>
      <c r="HLU68" s="401"/>
      <c r="HLV68" s="401"/>
      <c r="HLW68" s="401"/>
      <c r="HLX68" s="401"/>
      <c r="HLY68" s="401"/>
      <c r="HLZ68" s="401"/>
      <c r="HMA68" s="401"/>
      <c r="HMB68" s="401"/>
      <c r="HMC68" s="401"/>
      <c r="HMD68" s="401"/>
      <c r="HME68" s="401"/>
      <c r="HMF68" s="401"/>
      <c r="HMG68" s="401"/>
      <c r="HMH68" s="401"/>
      <c r="HMI68" s="401"/>
      <c r="HMJ68" s="401"/>
      <c r="HMK68" s="401"/>
      <c r="HML68" s="401"/>
      <c r="HMM68" s="401"/>
      <c r="HMN68" s="401"/>
      <c r="HMO68" s="401"/>
      <c r="HMP68" s="401"/>
      <c r="HMQ68" s="401"/>
      <c r="HMR68" s="401"/>
      <c r="HMS68" s="401"/>
      <c r="HMT68" s="401"/>
      <c r="HMU68" s="401"/>
      <c r="HMV68" s="401"/>
      <c r="HMW68" s="401"/>
      <c r="HMX68" s="401"/>
      <c r="HMY68" s="401"/>
      <c r="HMZ68" s="401"/>
      <c r="HNA68" s="401"/>
      <c r="HNB68" s="401"/>
      <c r="HNC68" s="401"/>
      <c r="HND68" s="401"/>
      <c r="HNE68" s="401"/>
      <c r="HNF68" s="401"/>
      <c r="HNG68" s="401"/>
      <c r="HNH68" s="401"/>
      <c r="HNI68" s="401"/>
      <c r="HNJ68" s="401"/>
      <c r="HNK68" s="401"/>
      <c r="HNL68" s="401"/>
      <c r="HNM68" s="401"/>
      <c r="HNN68" s="401"/>
      <c r="HNO68" s="401"/>
      <c r="HNP68" s="401"/>
      <c r="HNQ68" s="401"/>
      <c r="HNR68" s="401"/>
      <c r="HNS68" s="401"/>
      <c r="HNT68" s="401"/>
      <c r="HNU68" s="401"/>
      <c r="HNV68" s="401"/>
      <c r="HNW68" s="401"/>
      <c r="HNX68" s="401"/>
      <c r="HNY68" s="401"/>
      <c r="HNZ68" s="401"/>
      <c r="HOA68" s="401"/>
      <c r="HOB68" s="401"/>
      <c r="HOC68" s="401"/>
      <c r="HOD68" s="401"/>
      <c r="HOE68" s="401"/>
      <c r="HOF68" s="401"/>
      <c r="HOG68" s="401"/>
      <c r="HOH68" s="401"/>
      <c r="HOI68" s="401"/>
      <c r="HOJ68" s="401"/>
      <c r="HOK68" s="401"/>
      <c r="HOL68" s="401"/>
      <c r="HOM68" s="401"/>
      <c r="HON68" s="401"/>
      <c r="HOO68" s="401"/>
      <c r="HOP68" s="401"/>
      <c r="HOQ68" s="401"/>
      <c r="HOR68" s="401"/>
      <c r="HOS68" s="401"/>
      <c r="HOT68" s="401"/>
      <c r="HOU68" s="401"/>
      <c r="HOV68" s="401"/>
      <c r="HOW68" s="401"/>
      <c r="HOX68" s="401"/>
      <c r="HOY68" s="401"/>
      <c r="HOZ68" s="401"/>
      <c r="HPA68" s="401"/>
      <c r="HPB68" s="401"/>
      <c r="HPC68" s="401"/>
      <c r="HPD68" s="401"/>
      <c r="HPE68" s="401"/>
      <c r="HPF68" s="401"/>
      <c r="HPG68" s="401"/>
      <c r="HPH68" s="401"/>
      <c r="HPI68" s="401"/>
      <c r="HPJ68" s="401"/>
      <c r="HPK68" s="401"/>
      <c r="HPL68" s="401"/>
      <c r="HPM68" s="401"/>
      <c r="HPN68" s="401"/>
      <c r="HPO68" s="401"/>
      <c r="HPP68" s="401"/>
      <c r="HPQ68" s="401"/>
      <c r="HPR68" s="401"/>
      <c r="HPS68" s="401"/>
      <c r="HPT68" s="401"/>
      <c r="HPU68" s="401"/>
      <c r="HPV68" s="401"/>
      <c r="HPW68" s="401"/>
      <c r="HPX68" s="401"/>
      <c r="HPY68" s="401"/>
      <c r="HPZ68" s="401"/>
      <c r="HQA68" s="401"/>
      <c r="HQB68" s="401"/>
      <c r="HQC68" s="401"/>
      <c r="HQD68" s="401"/>
      <c r="HQE68" s="401"/>
      <c r="HQF68" s="401"/>
      <c r="HQG68" s="401"/>
      <c r="HQH68" s="401"/>
      <c r="HQI68" s="401"/>
      <c r="HQJ68" s="401"/>
      <c r="HQK68" s="401"/>
      <c r="HQL68" s="401"/>
      <c r="HQM68" s="401"/>
      <c r="HQN68" s="401"/>
      <c r="HQO68" s="401"/>
      <c r="HQP68" s="401"/>
      <c r="HQQ68" s="401"/>
      <c r="HQR68" s="401"/>
      <c r="HQS68" s="401"/>
      <c r="HQT68" s="401"/>
      <c r="HQU68" s="401"/>
      <c r="HQV68" s="401"/>
      <c r="HQW68" s="401"/>
      <c r="HQX68" s="401"/>
      <c r="HQY68" s="401"/>
      <c r="HQZ68" s="401"/>
      <c r="HRA68" s="401"/>
      <c r="HRB68" s="401"/>
      <c r="HRC68" s="401"/>
      <c r="HRD68" s="401"/>
      <c r="HRE68" s="401"/>
      <c r="HRF68" s="401"/>
      <c r="HRG68" s="401"/>
      <c r="HRH68" s="401"/>
      <c r="HRI68" s="401"/>
      <c r="HRJ68" s="401"/>
      <c r="HRK68" s="401"/>
      <c r="HRL68" s="401"/>
      <c r="HRM68" s="401"/>
      <c r="HRN68" s="401"/>
      <c r="HRO68" s="401"/>
      <c r="HRP68" s="401"/>
      <c r="HRQ68" s="401"/>
      <c r="HRR68" s="401"/>
      <c r="HRS68" s="401"/>
      <c r="HRT68" s="401"/>
      <c r="HRU68" s="401"/>
      <c r="HRV68" s="401"/>
      <c r="HRW68" s="401"/>
      <c r="HRX68" s="401"/>
      <c r="HRY68" s="401"/>
      <c r="HRZ68" s="401"/>
      <c r="HSA68" s="401"/>
      <c r="HSB68" s="401"/>
      <c r="HSC68" s="401"/>
      <c r="HSD68" s="401"/>
      <c r="HSE68" s="401"/>
      <c r="HSF68" s="401"/>
      <c r="HSG68" s="401"/>
      <c r="HSH68" s="401"/>
      <c r="HSI68" s="401"/>
      <c r="HSJ68" s="401"/>
      <c r="HSK68" s="401"/>
      <c r="HSL68" s="401"/>
      <c r="HSM68" s="401"/>
      <c r="HSN68" s="401"/>
      <c r="HSO68" s="401"/>
      <c r="HSP68" s="401"/>
      <c r="HSQ68" s="401"/>
      <c r="HSR68" s="401"/>
      <c r="HSS68" s="401"/>
      <c r="HST68" s="401"/>
      <c r="HSU68" s="401"/>
      <c r="HSV68" s="401"/>
      <c r="HSW68" s="401"/>
      <c r="HSX68" s="401"/>
      <c r="HSY68" s="401"/>
      <c r="HSZ68" s="401"/>
      <c r="HTA68" s="401"/>
      <c r="HTB68" s="401"/>
      <c r="HTC68" s="401"/>
      <c r="HTD68" s="401"/>
      <c r="HTE68" s="401"/>
      <c r="HTF68" s="401"/>
      <c r="HTG68" s="401"/>
      <c r="HTH68" s="401"/>
      <c r="HTI68" s="401"/>
      <c r="HTJ68" s="401"/>
      <c r="HTK68" s="401"/>
      <c r="HTL68" s="401"/>
      <c r="HTM68" s="401"/>
      <c r="HTN68" s="401"/>
      <c r="HTO68" s="401"/>
      <c r="HTP68" s="401"/>
      <c r="HTQ68" s="401"/>
      <c r="HTR68" s="401"/>
      <c r="HTS68" s="401"/>
      <c r="HTT68" s="401"/>
      <c r="HTU68" s="401"/>
      <c r="HTV68" s="401"/>
      <c r="HTW68" s="401"/>
      <c r="HTX68" s="401"/>
      <c r="HTY68" s="401"/>
      <c r="HTZ68" s="401"/>
      <c r="HUA68" s="401"/>
      <c r="HUB68" s="401"/>
      <c r="HUC68" s="401"/>
      <c r="HUD68" s="401"/>
      <c r="HUE68" s="401"/>
      <c r="HUF68" s="401"/>
      <c r="HUG68" s="401"/>
      <c r="HUH68" s="401"/>
      <c r="HUI68" s="401"/>
      <c r="HUJ68" s="401"/>
      <c r="HUK68" s="401"/>
      <c r="HUL68" s="401"/>
      <c r="HUM68" s="401"/>
      <c r="HUN68" s="401"/>
      <c r="HUO68" s="401"/>
      <c r="HUP68" s="401"/>
      <c r="HUQ68" s="401"/>
      <c r="HUR68" s="401"/>
      <c r="HUS68" s="401"/>
      <c r="HUT68" s="401"/>
      <c r="HUU68" s="401"/>
      <c r="HUV68" s="401"/>
      <c r="HUW68" s="401"/>
      <c r="HUX68" s="401"/>
      <c r="HUY68" s="401"/>
      <c r="HUZ68" s="401"/>
      <c r="HVA68" s="401"/>
      <c r="HVB68" s="401"/>
      <c r="HVC68" s="401"/>
      <c r="HVD68" s="401"/>
      <c r="HVE68" s="401"/>
      <c r="HVF68" s="401"/>
      <c r="HVG68" s="401"/>
      <c r="HVH68" s="401"/>
      <c r="HVI68" s="401"/>
      <c r="HVJ68" s="401"/>
      <c r="HVK68" s="401"/>
      <c r="HVL68" s="401"/>
      <c r="HVM68" s="401"/>
      <c r="HVN68" s="401"/>
      <c r="HVO68" s="401"/>
      <c r="HVP68" s="401"/>
      <c r="HVQ68" s="401"/>
      <c r="HVR68" s="401"/>
      <c r="HVS68" s="401"/>
      <c r="HVT68" s="401"/>
      <c r="HVU68" s="401"/>
      <c r="HVV68" s="401"/>
      <c r="HVW68" s="401"/>
      <c r="HVX68" s="401"/>
      <c r="HVY68" s="401"/>
      <c r="HVZ68" s="401"/>
      <c r="HWA68" s="401"/>
      <c r="HWB68" s="401"/>
      <c r="HWC68" s="401"/>
      <c r="HWD68" s="401"/>
      <c r="HWE68" s="401"/>
      <c r="HWF68" s="401"/>
      <c r="HWG68" s="401"/>
      <c r="HWH68" s="401"/>
      <c r="HWI68" s="401"/>
      <c r="HWJ68" s="401"/>
      <c r="HWK68" s="401"/>
      <c r="HWL68" s="401"/>
      <c r="HWM68" s="401"/>
      <c r="HWN68" s="401"/>
      <c r="HWO68" s="401"/>
      <c r="HWP68" s="401"/>
      <c r="HWQ68" s="401"/>
      <c r="HWR68" s="401"/>
      <c r="HWS68" s="401"/>
      <c r="HWT68" s="401"/>
      <c r="HWU68" s="401"/>
      <c r="HWV68" s="401"/>
      <c r="HWW68" s="401"/>
      <c r="HWX68" s="401"/>
      <c r="HWY68" s="401"/>
      <c r="HWZ68" s="401"/>
      <c r="HXA68" s="401"/>
      <c r="HXB68" s="401"/>
      <c r="HXC68" s="401"/>
      <c r="HXD68" s="401"/>
      <c r="HXE68" s="401"/>
      <c r="HXF68" s="401"/>
      <c r="HXG68" s="401"/>
      <c r="HXH68" s="401"/>
      <c r="HXI68" s="401"/>
      <c r="HXJ68" s="401"/>
      <c r="HXK68" s="401"/>
      <c r="HXL68" s="401"/>
      <c r="HXM68" s="401"/>
      <c r="HXN68" s="401"/>
      <c r="HXO68" s="401"/>
      <c r="HXP68" s="401"/>
      <c r="HXQ68" s="401"/>
      <c r="HXR68" s="401"/>
      <c r="HXS68" s="401"/>
      <c r="HXT68" s="401"/>
      <c r="HXU68" s="401"/>
      <c r="HXV68" s="401"/>
      <c r="HXW68" s="401"/>
      <c r="HXX68" s="401"/>
      <c r="HXY68" s="401"/>
      <c r="HXZ68" s="401"/>
      <c r="HYA68" s="401"/>
      <c r="HYB68" s="401"/>
      <c r="HYC68" s="401"/>
      <c r="HYD68" s="401"/>
      <c r="HYE68" s="401"/>
      <c r="HYF68" s="401"/>
      <c r="HYG68" s="401"/>
      <c r="HYH68" s="401"/>
      <c r="HYI68" s="401"/>
      <c r="HYJ68" s="401"/>
      <c r="HYK68" s="401"/>
      <c r="HYL68" s="401"/>
      <c r="HYM68" s="401"/>
      <c r="HYN68" s="401"/>
      <c r="HYO68" s="401"/>
      <c r="HYP68" s="401"/>
      <c r="HYQ68" s="401"/>
      <c r="HYR68" s="401"/>
      <c r="HYS68" s="401"/>
      <c r="HYT68" s="401"/>
      <c r="HYU68" s="401"/>
      <c r="HYV68" s="401"/>
      <c r="HYW68" s="401"/>
      <c r="HYX68" s="401"/>
      <c r="HYY68" s="401"/>
      <c r="HYZ68" s="401"/>
      <c r="HZA68" s="401"/>
      <c r="HZB68" s="401"/>
      <c r="HZC68" s="401"/>
      <c r="HZD68" s="401"/>
      <c r="HZE68" s="401"/>
      <c r="HZF68" s="401"/>
      <c r="HZG68" s="401"/>
      <c r="HZH68" s="401"/>
      <c r="HZI68" s="401"/>
      <c r="HZJ68" s="401"/>
      <c r="HZK68" s="401"/>
      <c r="HZL68" s="401"/>
      <c r="HZM68" s="401"/>
      <c r="HZN68" s="401"/>
      <c r="HZO68" s="401"/>
      <c r="HZP68" s="401"/>
      <c r="HZQ68" s="401"/>
      <c r="HZR68" s="401"/>
      <c r="HZS68" s="401"/>
      <c r="HZT68" s="401"/>
      <c r="HZU68" s="401"/>
      <c r="HZV68" s="401"/>
      <c r="HZW68" s="401"/>
      <c r="HZX68" s="401"/>
      <c r="HZY68" s="401"/>
      <c r="HZZ68" s="401"/>
      <c r="IAA68" s="401"/>
      <c r="IAB68" s="401"/>
      <c r="IAC68" s="401"/>
      <c r="IAD68" s="401"/>
      <c r="IAE68" s="401"/>
      <c r="IAF68" s="401"/>
      <c r="IAG68" s="401"/>
      <c r="IAH68" s="401"/>
      <c r="IAI68" s="401"/>
      <c r="IAJ68" s="401"/>
      <c r="IAK68" s="401"/>
      <c r="IAL68" s="401"/>
      <c r="IAM68" s="401"/>
      <c r="IAN68" s="401"/>
      <c r="IAO68" s="401"/>
      <c r="IAP68" s="401"/>
      <c r="IAQ68" s="401"/>
      <c r="IAR68" s="401"/>
      <c r="IAS68" s="401"/>
      <c r="IAT68" s="401"/>
      <c r="IAU68" s="401"/>
      <c r="IAV68" s="401"/>
      <c r="IAW68" s="401"/>
      <c r="IAX68" s="401"/>
      <c r="IAY68" s="401"/>
      <c r="IAZ68" s="401"/>
      <c r="IBA68" s="401"/>
      <c r="IBB68" s="401"/>
      <c r="IBC68" s="401"/>
      <c r="IBD68" s="401"/>
      <c r="IBE68" s="401"/>
      <c r="IBF68" s="401"/>
      <c r="IBG68" s="401"/>
      <c r="IBH68" s="401"/>
      <c r="IBI68" s="401"/>
      <c r="IBJ68" s="401"/>
      <c r="IBK68" s="401"/>
      <c r="IBL68" s="401"/>
      <c r="IBM68" s="401"/>
      <c r="IBN68" s="401"/>
      <c r="IBO68" s="401"/>
      <c r="IBP68" s="401"/>
      <c r="IBQ68" s="401"/>
      <c r="IBR68" s="401"/>
      <c r="IBS68" s="401"/>
      <c r="IBT68" s="401"/>
      <c r="IBU68" s="401"/>
      <c r="IBV68" s="401"/>
      <c r="IBW68" s="401"/>
      <c r="IBX68" s="401"/>
      <c r="IBY68" s="401"/>
      <c r="IBZ68" s="401"/>
      <c r="ICA68" s="401"/>
      <c r="ICB68" s="401"/>
      <c r="ICC68" s="401"/>
      <c r="ICD68" s="401"/>
      <c r="ICE68" s="401"/>
      <c r="ICF68" s="401"/>
      <c r="ICG68" s="401"/>
      <c r="ICH68" s="401"/>
      <c r="ICI68" s="401"/>
      <c r="ICJ68" s="401"/>
      <c r="ICK68" s="401"/>
      <c r="ICL68" s="401"/>
      <c r="ICM68" s="401"/>
      <c r="ICN68" s="401"/>
      <c r="ICO68" s="401"/>
      <c r="ICP68" s="401"/>
      <c r="ICQ68" s="401"/>
      <c r="ICR68" s="401"/>
      <c r="ICS68" s="401"/>
      <c r="ICT68" s="401"/>
      <c r="ICU68" s="401"/>
      <c r="ICV68" s="401"/>
      <c r="ICW68" s="401"/>
      <c r="ICX68" s="401"/>
      <c r="ICY68" s="401"/>
      <c r="ICZ68" s="401"/>
      <c r="IDA68" s="401"/>
      <c r="IDB68" s="401"/>
      <c r="IDC68" s="401"/>
      <c r="IDD68" s="401"/>
      <c r="IDE68" s="401"/>
      <c r="IDF68" s="401"/>
      <c r="IDG68" s="401"/>
      <c r="IDH68" s="401"/>
      <c r="IDI68" s="401"/>
      <c r="IDJ68" s="401"/>
      <c r="IDK68" s="401"/>
      <c r="IDL68" s="401"/>
      <c r="IDM68" s="401"/>
      <c r="IDN68" s="401"/>
      <c r="IDO68" s="401"/>
      <c r="IDP68" s="401"/>
      <c r="IDQ68" s="401"/>
      <c r="IDR68" s="401"/>
      <c r="IDS68" s="401"/>
      <c r="IDT68" s="401"/>
      <c r="IDU68" s="401"/>
      <c r="IDV68" s="401"/>
      <c r="IDW68" s="401"/>
      <c r="IDX68" s="401"/>
      <c r="IDY68" s="401"/>
      <c r="IDZ68" s="401"/>
      <c r="IEA68" s="401"/>
      <c r="IEB68" s="401"/>
      <c r="IEC68" s="401"/>
      <c r="IED68" s="401"/>
      <c r="IEE68" s="401"/>
      <c r="IEF68" s="401"/>
      <c r="IEG68" s="401"/>
      <c r="IEH68" s="401"/>
      <c r="IEI68" s="401"/>
      <c r="IEJ68" s="401"/>
      <c r="IEK68" s="401"/>
      <c r="IEL68" s="401"/>
      <c r="IEM68" s="401"/>
      <c r="IEN68" s="401"/>
      <c r="IEO68" s="401"/>
      <c r="IEP68" s="401"/>
      <c r="IEQ68" s="401"/>
      <c r="IER68" s="401"/>
      <c r="IES68" s="401"/>
      <c r="IET68" s="401"/>
      <c r="IEU68" s="401"/>
      <c r="IEV68" s="401"/>
      <c r="IEW68" s="401"/>
      <c r="IEX68" s="401"/>
      <c r="IEY68" s="401"/>
      <c r="IEZ68" s="401"/>
      <c r="IFA68" s="401"/>
      <c r="IFB68" s="401"/>
      <c r="IFC68" s="401"/>
      <c r="IFD68" s="401"/>
      <c r="IFE68" s="401"/>
      <c r="IFF68" s="401"/>
      <c r="IFG68" s="401"/>
      <c r="IFH68" s="401"/>
      <c r="IFI68" s="401"/>
      <c r="IFJ68" s="401"/>
      <c r="IFK68" s="401"/>
      <c r="IFL68" s="401"/>
      <c r="IFM68" s="401"/>
      <c r="IFN68" s="401"/>
      <c r="IFO68" s="401"/>
      <c r="IFP68" s="401"/>
      <c r="IFQ68" s="401"/>
      <c r="IFR68" s="401"/>
      <c r="IFS68" s="401"/>
      <c r="IFT68" s="401"/>
      <c r="IFU68" s="401"/>
      <c r="IFV68" s="401"/>
      <c r="IFW68" s="401"/>
      <c r="IFX68" s="401"/>
      <c r="IFY68" s="401"/>
      <c r="IFZ68" s="401"/>
      <c r="IGA68" s="401"/>
      <c r="IGB68" s="401"/>
      <c r="IGC68" s="401"/>
      <c r="IGD68" s="401"/>
      <c r="IGE68" s="401"/>
      <c r="IGF68" s="401"/>
      <c r="IGG68" s="401"/>
      <c r="IGH68" s="401"/>
      <c r="IGI68" s="401"/>
      <c r="IGJ68" s="401"/>
      <c r="IGK68" s="401"/>
      <c r="IGL68" s="401"/>
      <c r="IGM68" s="401"/>
      <c r="IGN68" s="401"/>
      <c r="IGO68" s="401"/>
      <c r="IGP68" s="401"/>
      <c r="IGQ68" s="401"/>
      <c r="IGR68" s="401"/>
      <c r="IGS68" s="401"/>
      <c r="IGT68" s="401"/>
      <c r="IGU68" s="401"/>
      <c r="IGV68" s="401"/>
      <c r="IGW68" s="401"/>
      <c r="IGX68" s="401"/>
      <c r="IGY68" s="401"/>
      <c r="IGZ68" s="401"/>
      <c r="IHA68" s="401"/>
      <c r="IHB68" s="401"/>
      <c r="IHC68" s="401"/>
      <c r="IHD68" s="401"/>
      <c r="IHE68" s="401"/>
      <c r="IHF68" s="401"/>
      <c r="IHG68" s="401"/>
      <c r="IHH68" s="401"/>
      <c r="IHI68" s="401"/>
      <c r="IHJ68" s="401"/>
      <c r="IHK68" s="401"/>
      <c r="IHL68" s="401"/>
      <c r="IHM68" s="401"/>
      <c r="IHN68" s="401"/>
      <c r="IHO68" s="401"/>
      <c r="IHP68" s="401"/>
      <c r="IHQ68" s="401"/>
      <c r="IHR68" s="401"/>
      <c r="IHS68" s="401"/>
      <c r="IHT68" s="401"/>
      <c r="IHU68" s="401"/>
      <c r="IHV68" s="401"/>
      <c r="IHW68" s="401"/>
      <c r="IHX68" s="401"/>
      <c r="IHY68" s="401"/>
      <c r="IHZ68" s="401"/>
      <c r="IIA68" s="401"/>
      <c r="IIB68" s="401"/>
      <c r="IIC68" s="401"/>
      <c r="IID68" s="401"/>
      <c r="IIE68" s="401"/>
      <c r="IIF68" s="401"/>
      <c r="IIG68" s="401"/>
      <c r="IIH68" s="401"/>
      <c r="III68" s="401"/>
      <c r="IIJ68" s="401"/>
      <c r="IIK68" s="401"/>
      <c r="IIL68" s="401"/>
      <c r="IIM68" s="401"/>
      <c r="IIN68" s="401"/>
      <c r="IIO68" s="401"/>
      <c r="IIP68" s="401"/>
      <c r="IIQ68" s="401"/>
      <c r="IIR68" s="401"/>
      <c r="IIS68" s="401"/>
      <c r="IIT68" s="401"/>
      <c r="IIU68" s="401"/>
      <c r="IIV68" s="401"/>
      <c r="IIW68" s="401"/>
      <c r="IIX68" s="401"/>
      <c r="IIY68" s="401"/>
      <c r="IIZ68" s="401"/>
      <c r="IJA68" s="401"/>
      <c r="IJB68" s="401"/>
      <c r="IJC68" s="401"/>
      <c r="IJD68" s="401"/>
      <c r="IJE68" s="401"/>
      <c r="IJF68" s="401"/>
      <c r="IJG68" s="401"/>
      <c r="IJH68" s="401"/>
      <c r="IJI68" s="401"/>
      <c r="IJJ68" s="401"/>
      <c r="IJK68" s="401"/>
      <c r="IJL68" s="401"/>
      <c r="IJM68" s="401"/>
      <c r="IJN68" s="401"/>
      <c r="IJO68" s="401"/>
      <c r="IJP68" s="401"/>
      <c r="IJQ68" s="401"/>
      <c r="IJR68" s="401"/>
      <c r="IJS68" s="401"/>
      <c r="IJT68" s="401"/>
      <c r="IJU68" s="401"/>
      <c r="IJV68" s="401"/>
      <c r="IJW68" s="401"/>
      <c r="IJX68" s="401"/>
      <c r="IJY68" s="401"/>
      <c r="IJZ68" s="401"/>
      <c r="IKA68" s="401"/>
      <c r="IKB68" s="401"/>
      <c r="IKC68" s="401"/>
      <c r="IKD68" s="401"/>
      <c r="IKE68" s="401"/>
      <c r="IKF68" s="401"/>
      <c r="IKG68" s="401"/>
      <c r="IKH68" s="401"/>
      <c r="IKI68" s="401"/>
      <c r="IKJ68" s="401"/>
      <c r="IKK68" s="401"/>
      <c r="IKL68" s="401"/>
      <c r="IKM68" s="401"/>
      <c r="IKN68" s="401"/>
      <c r="IKO68" s="401"/>
      <c r="IKP68" s="401"/>
      <c r="IKQ68" s="401"/>
      <c r="IKR68" s="401"/>
      <c r="IKS68" s="401"/>
      <c r="IKT68" s="401"/>
      <c r="IKU68" s="401"/>
      <c r="IKV68" s="401"/>
      <c r="IKW68" s="401"/>
      <c r="IKX68" s="401"/>
      <c r="IKY68" s="401"/>
      <c r="IKZ68" s="401"/>
      <c r="ILA68" s="401"/>
      <c r="ILB68" s="401"/>
      <c r="ILC68" s="401"/>
      <c r="ILD68" s="401"/>
      <c r="ILE68" s="401"/>
      <c r="ILF68" s="401"/>
      <c r="ILG68" s="401"/>
      <c r="ILH68" s="401"/>
      <c r="ILI68" s="401"/>
      <c r="ILJ68" s="401"/>
      <c r="ILK68" s="401"/>
      <c r="ILL68" s="401"/>
      <c r="ILM68" s="401"/>
      <c r="ILN68" s="401"/>
      <c r="ILO68" s="401"/>
      <c r="ILP68" s="401"/>
      <c r="ILQ68" s="401"/>
      <c r="ILR68" s="401"/>
      <c r="ILS68" s="401"/>
      <c r="ILT68" s="401"/>
      <c r="ILU68" s="401"/>
      <c r="ILV68" s="401"/>
      <c r="ILW68" s="401"/>
      <c r="ILX68" s="401"/>
      <c r="ILY68" s="401"/>
      <c r="ILZ68" s="401"/>
      <c r="IMA68" s="401"/>
      <c r="IMB68" s="401"/>
      <c r="IMC68" s="401"/>
      <c r="IMD68" s="401"/>
      <c r="IME68" s="401"/>
      <c r="IMF68" s="401"/>
      <c r="IMG68" s="401"/>
      <c r="IMH68" s="401"/>
      <c r="IMI68" s="401"/>
      <c r="IMJ68" s="401"/>
      <c r="IMK68" s="401"/>
      <c r="IML68" s="401"/>
      <c r="IMM68" s="401"/>
      <c r="IMN68" s="401"/>
      <c r="IMO68" s="401"/>
      <c r="IMP68" s="401"/>
      <c r="IMQ68" s="401"/>
      <c r="IMR68" s="401"/>
      <c r="IMS68" s="401"/>
      <c r="IMT68" s="401"/>
      <c r="IMU68" s="401"/>
      <c r="IMV68" s="401"/>
      <c r="IMW68" s="401"/>
      <c r="IMX68" s="401"/>
      <c r="IMY68" s="401"/>
      <c r="IMZ68" s="401"/>
      <c r="INA68" s="401"/>
      <c r="INB68" s="401"/>
      <c r="INC68" s="401"/>
      <c r="IND68" s="401"/>
      <c r="INE68" s="401"/>
      <c r="INF68" s="401"/>
      <c r="ING68" s="401"/>
      <c r="INH68" s="401"/>
      <c r="INI68" s="401"/>
      <c r="INJ68" s="401"/>
      <c r="INK68" s="401"/>
      <c r="INL68" s="401"/>
      <c r="INM68" s="401"/>
      <c r="INN68" s="401"/>
      <c r="INO68" s="401"/>
      <c r="INP68" s="401"/>
      <c r="INQ68" s="401"/>
      <c r="INR68" s="401"/>
      <c r="INS68" s="401"/>
      <c r="INT68" s="401"/>
      <c r="INU68" s="401"/>
      <c r="INV68" s="401"/>
      <c r="INW68" s="401"/>
      <c r="INX68" s="401"/>
      <c r="INY68" s="401"/>
      <c r="INZ68" s="401"/>
      <c r="IOA68" s="401"/>
      <c r="IOB68" s="401"/>
      <c r="IOC68" s="401"/>
      <c r="IOD68" s="401"/>
      <c r="IOE68" s="401"/>
      <c r="IOF68" s="401"/>
      <c r="IOG68" s="401"/>
      <c r="IOH68" s="401"/>
      <c r="IOI68" s="401"/>
      <c r="IOJ68" s="401"/>
      <c r="IOK68" s="401"/>
      <c r="IOL68" s="401"/>
      <c r="IOM68" s="401"/>
      <c r="ION68" s="401"/>
      <c r="IOO68" s="401"/>
      <c r="IOP68" s="401"/>
      <c r="IOQ68" s="401"/>
      <c r="IOR68" s="401"/>
      <c r="IOS68" s="401"/>
      <c r="IOT68" s="401"/>
      <c r="IOU68" s="401"/>
      <c r="IOV68" s="401"/>
      <c r="IOW68" s="401"/>
      <c r="IOX68" s="401"/>
      <c r="IOY68" s="401"/>
      <c r="IOZ68" s="401"/>
      <c r="IPA68" s="401"/>
      <c r="IPB68" s="401"/>
      <c r="IPC68" s="401"/>
      <c r="IPD68" s="401"/>
      <c r="IPE68" s="401"/>
      <c r="IPF68" s="401"/>
      <c r="IPG68" s="401"/>
      <c r="IPH68" s="401"/>
      <c r="IPI68" s="401"/>
      <c r="IPJ68" s="401"/>
      <c r="IPK68" s="401"/>
      <c r="IPL68" s="401"/>
      <c r="IPM68" s="401"/>
      <c r="IPN68" s="401"/>
      <c r="IPO68" s="401"/>
      <c r="IPP68" s="401"/>
      <c r="IPQ68" s="401"/>
      <c r="IPR68" s="401"/>
      <c r="IPS68" s="401"/>
      <c r="IPT68" s="401"/>
      <c r="IPU68" s="401"/>
      <c r="IPV68" s="401"/>
      <c r="IPW68" s="401"/>
      <c r="IPX68" s="401"/>
      <c r="IPY68" s="401"/>
      <c r="IPZ68" s="401"/>
      <c r="IQA68" s="401"/>
      <c r="IQB68" s="401"/>
      <c r="IQC68" s="401"/>
      <c r="IQD68" s="401"/>
      <c r="IQE68" s="401"/>
      <c r="IQF68" s="401"/>
      <c r="IQG68" s="401"/>
      <c r="IQH68" s="401"/>
      <c r="IQI68" s="401"/>
      <c r="IQJ68" s="401"/>
      <c r="IQK68" s="401"/>
      <c r="IQL68" s="401"/>
      <c r="IQM68" s="401"/>
      <c r="IQN68" s="401"/>
      <c r="IQO68" s="401"/>
      <c r="IQP68" s="401"/>
      <c r="IQQ68" s="401"/>
      <c r="IQR68" s="401"/>
      <c r="IQS68" s="401"/>
      <c r="IQT68" s="401"/>
      <c r="IQU68" s="401"/>
      <c r="IQV68" s="401"/>
      <c r="IQW68" s="401"/>
      <c r="IQX68" s="401"/>
      <c r="IQY68" s="401"/>
      <c r="IQZ68" s="401"/>
      <c r="IRA68" s="401"/>
      <c r="IRB68" s="401"/>
      <c r="IRC68" s="401"/>
      <c r="IRD68" s="401"/>
      <c r="IRE68" s="401"/>
      <c r="IRF68" s="401"/>
      <c r="IRG68" s="401"/>
      <c r="IRH68" s="401"/>
      <c r="IRI68" s="401"/>
      <c r="IRJ68" s="401"/>
      <c r="IRK68" s="401"/>
      <c r="IRL68" s="401"/>
      <c r="IRM68" s="401"/>
      <c r="IRN68" s="401"/>
      <c r="IRO68" s="401"/>
      <c r="IRP68" s="401"/>
      <c r="IRQ68" s="401"/>
      <c r="IRR68" s="401"/>
      <c r="IRS68" s="401"/>
      <c r="IRT68" s="401"/>
      <c r="IRU68" s="401"/>
      <c r="IRV68" s="401"/>
      <c r="IRW68" s="401"/>
      <c r="IRX68" s="401"/>
      <c r="IRY68" s="401"/>
      <c r="IRZ68" s="401"/>
      <c r="ISA68" s="401"/>
      <c r="ISB68" s="401"/>
      <c r="ISC68" s="401"/>
      <c r="ISD68" s="401"/>
      <c r="ISE68" s="401"/>
      <c r="ISF68" s="401"/>
      <c r="ISG68" s="401"/>
      <c r="ISH68" s="401"/>
      <c r="ISI68" s="401"/>
      <c r="ISJ68" s="401"/>
      <c r="ISK68" s="401"/>
      <c r="ISL68" s="401"/>
      <c r="ISM68" s="401"/>
      <c r="ISN68" s="401"/>
      <c r="ISO68" s="401"/>
      <c r="ISP68" s="401"/>
      <c r="ISQ68" s="401"/>
      <c r="ISR68" s="401"/>
      <c r="ISS68" s="401"/>
      <c r="IST68" s="401"/>
      <c r="ISU68" s="401"/>
      <c r="ISV68" s="401"/>
      <c r="ISW68" s="401"/>
      <c r="ISX68" s="401"/>
      <c r="ISY68" s="401"/>
      <c r="ISZ68" s="401"/>
      <c r="ITA68" s="401"/>
      <c r="ITB68" s="401"/>
      <c r="ITC68" s="401"/>
      <c r="ITD68" s="401"/>
      <c r="ITE68" s="401"/>
      <c r="ITF68" s="401"/>
      <c r="ITG68" s="401"/>
      <c r="ITH68" s="401"/>
      <c r="ITI68" s="401"/>
      <c r="ITJ68" s="401"/>
      <c r="ITK68" s="401"/>
      <c r="ITL68" s="401"/>
      <c r="ITM68" s="401"/>
      <c r="ITN68" s="401"/>
      <c r="ITO68" s="401"/>
      <c r="ITP68" s="401"/>
      <c r="ITQ68" s="401"/>
      <c r="ITR68" s="401"/>
      <c r="ITS68" s="401"/>
      <c r="ITT68" s="401"/>
      <c r="ITU68" s="401"/>
      <c r="ITV68" s="401"/>
      <c r="ITW68" s="401"/>
      <c r="ITX68" s="401"/>
      <c r="ITY68" s="401"/>
      <c r="ITZ68" s="401"/>
      <c r="IUA68" s="401"/>
      <c r="IUB68" s="401"/>
      <c r="IUC68" s="401"/>
      <c r="IUD68" s="401"/>
      <c r="IUE68" s="401"/>
      <c r="IUF68" s="401"/>
      <c r="IUG68" s="401"/>
      <c r="IUH68" s="401"/>
      <c r="IUI68" s="401"/>
      <c r="IUJ68" s="401"/>
      <c r="IUK68" s="401"/>
      <c r="IUL68" s="401"/>
      <c r="IUM68" s="401"/>
      <c r="IUN68" s="401"/>
      <c r="IUO68" s="401"/>
      <c r="IUP68" s="401"/>
      <c r="IUQ68" s="401"/>
      <c r="IUR68" s="401"/>
      <c r="IUS68" s="401"/>
      <c r="IUT68" s="401"/>
      <c r="IUU68" s="401"/>
      <c r="IUV68" s="401"/>
      <c r="IUW68" s="401"/>
      <c r="IUX68" s="401"/>
      <c r="IUY68" s="401"/>
      <c r="IUZ68" s="401"/>
      <c r="IVA68" s="401"/>
      <c r="IVB68" s="401"/>
      <c r="IVC68" s="401"/>
      <c r="IVD68" s="401"/>
      <c r="IVE68" s="401"/>
      <c r="IVF68" s="401"/>
      <c r="IVG68" s="401"/>
      <c r="IVH68" s="401"/>
      <c r="IVI68" s="401"/>
      <c r="IVJ68" s="401"/>
      <c r="IVK68" s="401"/>
      <c r="IVL68" s="401"/>
      <c r="IVM68" s="401"/>
      <c r="IVN68" s="401"/>
      <c r="IVO68" s="401"/>
      <c r="IVP68" s="401"/>
      <c r="IVQ68" s="401"/>
      <c r="IVR68" s="401"/>
      <c r="IVS68" s="401"/>
      <c r="IVT68" s="401"/>
      <c r="IVU68" s="401"/>
      <c r="IVV68" s="401"/>
      <c r="IVW68" s="401"/>
      <c r="IVX68" s="401"/>
      <c r="IVY68" s="401"/>
      <c r="IVZ68" s="401"/>
      <c r="IWA68" s="401"/>
      <c r="IWB68" s="401"/>
      <c r="IWC68" s="401"/>
      <c r="IWD68" s="401"/>
      <c r="IWE68" s="401"/>
      <c r="IWF68" s="401"/>
      <c r="IWG68" s="401"/>
      <c r="IWH68" s="401"/>
      <c r="IWI68" s="401"/>
      <c r="IWJ68" s="401"/>
      <c r="IWK68" s="401"/>
      <c r="IWL68" s="401"/>
      <c r="IWM68" s="401"/>
      <c r="IWN68" s="401"/>
      <c r="IWO68" s="401"/>
      <c r="IWP68" s="401"/>
      <c r="IWQ68" s="401"/>
      <c r="IWR68" s="401"/>
      <c r="IWS68" s="401"/>
      <c r="IWT68" s="401"/>
      <c r="IWU68" s="401"/>
      <c r="IWV68" s="401"/>
      <c r="IWW68" s="401"/>
      <c r="IWX68" s="401"/>
      <c r="IWY68" s="401"/>
      <c r="IWZ68" s="401"/>
      <c r="IXA68" s="401"/>
      <c r="IXB68" s="401"/>
      <c r="IXC68" s="401"/>
      <c r="IXD68" s="401"/>
      <c r="IXE68" s="401"/>
      <c r="IXF68" s="401"/>
      <c r="IXG68" s="401"/>
      <c r="IXH68" s="401"/>
      <c r="IXI68" s="401"/>
      <c r="IXJ68" s="401"/>
      <c r="IXK68" s="401"/>
      <c r="IXL68" s="401"/>
      <c r="IXM68" s="401"/>
      <c r="IXN68" s="401"/>
      <c r="IXO68" s="401"/>
      <c r="IXP68" s="401"/>
      <c r="IXQ68" s="401"/>
      <c r="IXR68" s="401"/>
      <c r="IXS68" s="401"/>
      <c r="IXT68" s="401"/>
      <c r="IXU68" s="401"/>
      <c r="IXV68" s="401"/>
      <c r="IXW68" s="401"/>
      <c r="IXX68" s="401"/>
      <c r="IXY68" s="401"/>
      <c r="IXZ68" s="401"/>
      <c r="IYA68" s="401"/>
      <c r="IYB68" s="401"/>
      <c r="IYC68" s="401"/>
      <c r="IYD68" s="401"/>
      <c r="IYE68" s="401"/>
      <c r="IYF68" s="401"/>
      <c r="IYG68" s="401"/>
      <c r="IYH68" s="401"/>
      <c r="IYI68" s="401"/>
      <c r="IYJ68" s="401"/>
      <c r="IYK68" s="401"/>
      <c r="IYL68" s="401"/>
      <c r="IYM68" s="401"/>
      <c r="IYN68" s="401"/>
      <c r="IYO68" s="401"/>
      <c r="IYP68" s="401"/>
      <c r="IYQ68" s="401"/>
      <c r="IYR68" s="401"/>
      <c r="IYS68" s="401"/>
      <c r="IYT68" s="401"/>
      <c r="IYU68" s="401"/>
      <c r="IYV68" s="401"/>
      <c r="IYW68" s="401"/>
      <c r="IYX68" s="401"/>
      <c r="IYY68" s="401"/>
      <c r="IYZ68" s="401"/>
      <c r="IZA68" s="401"/>
      <c r="IZB68" s="401"/>
      <c r="IZC68" s="401"/>
      <c r="IZD68" s="401"/>
      <c r="IZE68" s="401"/>
      <c r="IZF68" s="401"/>
      <c r="IZG68" s="401"/>
      <c r="IZH68" s="401"/>
      <c r="IZI68" s="401"/>
      <c r="IZJ68" s="401"/>
      <c r="IZK68" s="401"/>
      <c r="IZL68" s="401"/>
      <c r="IZM68" s="401"/>
      <c r="IZN68" s="401"/>
      <c r="IZO68" s="401"/>
      <c r="IZP68" s="401"/>
      <c r="IZQ68" s="401"/>
      <c r="IZR68" s="401"/>
      <c r="IZS68" s="401"/>
      <c r="IZT68" s="401"/>
      <c r="IZU68" s="401"/>
      <c r="IZV68" s="401"/>
      <c r="IZW68" s="401"/>
      <c r="IZX68" s="401"/>
      <c r="IZY68" s="401"/>
      <c r="IZZ68" s="401"/>
      <c r="JAA68" s="401"/>
      <c r="JAB68" s="401"/>
      <c r="JAC68" s="401"/>
      <c r="JAD68" s="401"/>
      <c r="JAE68" s="401"/>
      <c r="JAF68" s="401"/>
      <c r="JAG68" s="401"/>
      <c r="JAH68" s="401"/>
      <c r="JAI68" s="401"/>
      <c r="JAJ68" s="401"/>
      <c r="JAK68" s="401"/>
      <c r="JAL68" s="401"/>
      <c r="JAM68" s="401"/>
      <c r="JAN68" s="401"/>
      <c r="JAO68" s="401"/>
      <c r="JAP68" s="401"/>
      <c r="JAQ68" s="401"/>
      <c r="JAR68" s="401"/>
      <c r="JAS68" s="401"/>
      <c r="JAT68" s="401"/>
      <c r="JAU68" s="401"/>
      <c r="JAV68" s="401"/>
      <c r="JAW68" s="401"/>
      <c r="JAX68" s="401"/>
      <c r="JAY68" s="401"/>
      <c r="JAZ68" s="401"/>
      <c r="JBA68" s="401"/>
      <c r="JBB68" s="401"/>
      <c r="JBC68" s="401"/>
      <c r="JBD68" s="401"/>
      <c r="JBE68" s="401"/>
      <c r="JBF68" s="401"/>
      <c r="JBG68" s="401"/>
      <c r="JBH68" s="401"/>
      <c r="JBI68" s="401"/>
      <c r="JBJ68" s="401"/>
      <c r="JBK68" s="401"/>
      <c r="JBL68" s="401"/>
      <c r="JBM68" s="401"/>
      <c r="JBN68" s="401"/>
      <c r="JBO68" s="401"/>
      <c r="JBP68" s="401"/>
      <c r="JBQ68" s="401"/>
      <c r="JBR68" s="401"/>
      <c r="JBS68" s="401"/>
      <c r="JBT68" s="401"/>
      <c r="JBU68" s="401"/>
      <c r="JBV68" s="401"/>
      <c r="JBW68" s="401"/>
      <c r="JBX68" s="401"/>
      <c r="JBY68" s="401"/>
      <c r="JBZ68" s="401"/>
      <c r="JCA68" s="401"/>
      <c r="JCB68" s="401"/>
      <c r="JCC68" s="401"/>
      <c r="JCD68" s="401"/>
      <c r="JCE68" s="401"/>
      <c r="JCF68" s="401"/>
      <c r="JCG68" s="401"/>
      <c r="JCH68" s="401"/>
      <c r="JCI68" s="401"/>
      <c r="JCJ68" s="401"/>
      <c r="JCK68" s="401"/>
      <c r="JCL68" s="401"/>
      <c r="JCM68" s="401"/>
      <c r="JCN68" s="401"/>
      <c r="JCO68" s="401"/>
      <c r="JCP68" s="401"/>
      <c r="JCQ68" s="401"/>
      <c r="JCR68" s="401"/>
      <c r="JCS68" s="401"/>
      <c r="JCT68" s="401"/>
      <c r="JCU68" s="401"/>
      <c r="JCV68" s="401"/>
      <c r="JCW68" s="401"/>
      <c r="JCX68" s="401"/>
      <c r="JCY68" s="401"/>
      <c r="JCZ68" s="401"/>
      <c r="JDA68" s="401"/>
      <c r="JDB68" s="401"/>
      <c r="JDC68" s="401"/>
      <c r="JDD68" s="401"/>
      <c r="JDE68" s="401"/>
      <c r="JDF68" s="401"/>
      <c r="JDG68" s="401"/>
      <c r="JDH68" s="401"/>
      <c r="JDI68" s="401"/>
      <c r="JDJ68" s="401"/>
      <c r="JDK68" s="401"/>
      <c r="JDL68" s="401"/>
      <c r="JDM68" s="401"/>
      <c r="JDN68" s="401"/>
      <c r="JDO68" s="401"/>
      <c r="JDP68" s="401"/>
      <c r="JDQ68" s="401"/>
      <c r="JDR68" s="401"/>
      <c r="JDS68" s="401"/>
      <c r="JDT68" s="401"/>
      <c r="JDU68" s="401"/>
      <c r="JDV68" s="401"/>
      <c r="JDW68" s="401"/>
      <c r="JDX68" s="401"/>
      <c r="JDY68" s="401"/>
      <c r="JDZ68" s="401"/>
      <c r="JEA68" s="401"/>
      <c r="JEB68" s="401"/>
      <c r="JEC68" s="401"/>
      <c r="JED68" s="401"/>
      <c r="JEE68" s="401"/>
      <c r="JEF68" s="401"/>
      <c r="JEG68" s="401"/>
      <c r="JEH68" s="401"/>
      <c r="JEI68" s="401"/>
      <c r="JEJ68" s="401"/>
      <c r="JEK68" s="401"/>
      <c r="JEL68" s="401"/>
      <c r="JEM68" s="401"/>
      <c r="JEN68" s="401"/>
      <c r="JEO68" s="401"/>
      <c r="JEP68" s="401"/>
      <c r="JEQ68" s="401"/>
      <c r="JER68" s="401"/>
      <c r="JES68" s="401"/>
      <c r="JET68" s="401"/>
      <c r="JEU68" s="401"/>
      <c r="JEV68" s="401"/>
      <c r="JEW68" s="401"/>
      <c r="JEX68" s="401"/>
      <c r="JEY68" s="401"/>
      <c r="JEZ68" s="401"/>
      <c r="JFA68" s="401"/>
      <c r="JFB68" s="401"/>
      <c r="JFC68" s="401"/>
      <c r="JFD68" s="401"/>
      <c r="JFE68" s="401"/>
      <c r="JFF68" s="401"/>
      <c r="JFG68" s="401"/>
      <c r="JFH68" s="401"/>
      <c r="JFI68" s="401"/>
      <c r="JFJ68" s="401"/>
      <c r="JFK68" s="401"/>
      <c r="JFL68" s="401"/>
      <c r="JFM68" s="401"/>
      <c r="JFN68" s="401"/>
      <c r="JFO68" s="401"/>
      <c r="JFP68" s="401"/>
      <c r="JFQ68" s="401"/>
      <c r="JFR68" s="401"/>
      <c r="JFS68" s="401"/>
      <c r="JFT68" s="401"/>
      <c r="JFU68" s="401"/>
      <c r="JFV68" s="401"/>
      <c r="JFW68" s="401"/>
      <c r="JFX68" s="401"/>
      <c r="JFY68" s="401"/>
      <c r="JFZ68" s="401"/>
      <c r="JGA68" s="401"/>
      <c r="JGB68" s="401"/>
      <c r="JGC68" s="401"/>
      <c r="JGD68" s="401"/>
      <c r="JGE68" s="401"/>
      <c r="JGF68" s="401"/>
      <c r="JGG68" s="401"/>
      <c r="JGH68" s="401"/>
      <c r="JGI68" s="401"/>
      <c r="JGJ68" s="401"/>
      <c r="JGK68" s="401"/>
      <c r="JGL68" s="401"/>
      <c r="JGM68" s="401"/>
      <c r="JGN68" s="401"/>
      <c r="JGO68" s="401"/>
      <c r="JGP68" s="401"/>
      <c r="JGQ68" s="401"/>
      <c r="JGR68" s="401"/>
      <c r="JGS68" s="401"/>
      <c r="JGT68" s="401"/>
      <c r="JGU68" s="401"/>
      <c r="JGV68" s="401"/>
      <c r="JGW68" s="401"/>
      <c r="JGX68" s="401"/>
      <c r="JGY68" s="401"/>
      <c r="JGZ68" s="401"/>
      <c r="JHA68" s="401"/>
      <c r="JHB68" s="401"/>
      <c r="JHC68" s="401"/>
      <c r="JHD68" s="401"/>
      <c r="JHE68" s="401"/>
      <c r="JHF68" s="401"/>
      <c r="JHG68" s="401"/>
      <c r="JHH68" s="401"/>
      <c r="JHI68" s="401"/>
      <c r="JHJ68" s="401"/>
      <c r="JHK68" s="401"/>
      <c r="JHL68" s="401"/>
      <c r="JHM68" s="401"/>
      <c r="JHN68" s="401"/>
      <c r="JHO68" s="401"/>
      <c r="JHP68" s="401"/>
      <c r="JHQ68" s="401"/>
      <c r="JHR68" s="401"/>
      <c r="JHS68" s="401"/>
      <c r="JHT68" s="401"/>
      <c r="JHU68" s="401"/>
      <c r="JHV68" s="401"/>
      <c r="JHW68" s="401"/>
      <c r="JHX68" s="401"/>
      <c r="JHY68" s="401"/>
      <c r="JHZ68" s="401"/>
      <c r="JIA68" s="401"/>
      <c r="JIB68" s="401"/>
      <c r="JIC68" s="401"/>
      <c r="JID68" s="401"/>
      <c r="JIE68" s="401"/>
      <c r="JIF68" s="401"/>
      <c r="JIG68" s="401"/>
      <c r="JIH68" s="401"/>
      <c r="JII68" s="401"/>
      <c r="JIJ68" s="401"/>
      <c r="JIK68" s="401"/>
      <c r="JIL68" s="401"/>
      <c r="JIM68" s="401"/>
      <c r="JIN68" s="401"/>
      <c r="JIO68" s="401"/>
      <c r="JIP68" s="401"/>
      <c r="JIQ68" s="401"/>
      <c r="JIR68" s="401"/>
      <c r="JIS68" s="401"/>
      <c r="JIT68" s="401"/>
      <c r="JIU68" s="401"/>
      <c r="JIV68" s="401"/>
      <c r="JIW68" s="401"/>
      <c r="JIX68" s="401"/>
      <c r="JIY68" s="401"/>
      <c r="JIZ68" s="401"/>
      <c r="JJA68" s="401"/>
      <c r="JJB68" s="401"/>
      <c r="JJC68" s="401"/>
      <c r="JJD68" s="401"/>
      <c r="JJE68" s="401"/>
      <c r="JJF68" s="401"/>
      <c r="JJG68" s="401"/>
      <c r="JJH68" s="401"/>
      <c r="JJI68" s="401"/>
      <c r="JJJ68" s="401"/>
      <c r="JJK68" s="401"/>
      <c r="JJL68" s="401"/>
      <c r="JJM68" s="401"/>
      <c r="JJN68" s="401"/>
      <c r="JJO68" s="401"/>
      <c r="JJP68" s="401"/>
      <c r="JJQ68" s="401"/>
      <c r="JJR68" s="401"/>
      <c r="JJS68" s="401"/>
      <c r="JJT68" s="401"/>
      <c r="JJU68" s="401"/>
      <c r="JJV68" s="401"/>
      <c r="JJW68" s="401"/>
      <c r="JJX68" s="401"/>
      <c r="JJY68" s="401"/>
      <c r="JJZ68" s="401"/>
      <c r="JKA68" s="401"/>
      <c r="JKB68" s="401"/>
      <c r="JKC68" s="401"/>
      <c r="JKD68" s="401"/>
      <c r="JKE68" s="401"/>
      <c r="JKF68" s="401"/>
      <c r="JKG68" s="401"/>
      <c r="JKH68" s="401"/>
      <c r="JKI68" s="401"/>
      <c r="JKJ68" s="401"/>
      <c r="JKK68" s="401"/>
      <c r="JKL68" s="401"/>
      <c r="JKM68" s="401"/>
      <c r="JKN68" s="401"/>
      <c r="JKO68" s="401"/>
      <c r="JKP68" s="401"/>
      <c r="JKQ68" s="401"/>
      <c r="JKR68" s="401"/>
      <c r="JKS68" s="401"/>
      <c r="JKT68" s="401"/>
      <c r="JKU68" s="401"/>
      <c r="JKV68" s="401"/>
      <c r="JKW68" s="401"/>
      <c r="JKX68" s="401"/>
      <c r="JKY68" s="401"/>
      <c r="JKZ68" s="401"/>
      <c r="JLA68" s="401"/>
      <c r="JLB68" s="401"/>
      <c r="JLC68" s="401"/>
      <c r="JLD68" s="401"/>
      <c r="JLE68" s="401"/>
      <c r="JLF68" s="401"/>
      <c r="JLG68" s="401"/>
      <c r="JLH68" s="401"/>
      <c r="JLI68" s="401"/>
      <c r="JLJ68" s="401"/>
      <c r="JLK68" s="401"/>
      <c r="JLL68" s="401"/>
      <c r="JLM68" s="401"/>
      <c r="JLN68" s="401"/>
      <c r="JLO68" s="401"/>
      <c r="JLP68" s="401"/>
      <c r="JLQ68" s="401"/>
      <c r="JLR68" s="401"/>
      <c r="JLS68" s="401"/>
      <c r="JLT68" s="401"/>
      <c r="JLU68" s="401"/>
      <c r="JLV68" s="401"/>
      <c r="JLW68" s="401"/>
      <c r="JLX68" s="401"/>
      <c r="JLY68" s="401"/>
      <c r="JLZ68" s="401"/>
      <c r="JMA68" s="401"/>
      <c r="JMB68" s="401"/>
      <c r="JMC68" s="401"/>
      <c r="JMD68" s="401"/>
      <c r="JME68" s="401"/>
      <c r="JMF68" s="401"/>
      <c r="JMG68" s="401"/>
      <c r="JMH68" s="401"/>
      <c r="JMI68" s="401"/>
      <c r="JMJ68" s="401"/>
      <c r="JMK68" s="401"/>
      <c r="JML68" s="401"/>
      <c r="JMM68" s="401"/>
      <c r="JMN68" s="401"/>
      <c r="JMO68" s="401"/>
      <c r="JMP68" s="401"/>
      <c r="JMQ68" s="401"/>
      <c r="JMR68" s="401"/>
      <c r="JMS68" s="401"/>
      <c r="JMT68" s="401"/>
      <c r="JMU68" s="401"/>
      <c r="JMV68" s="401"/>
      <c r="JMW68" s="401"/>
      <c r="JMX68" s="401"/>
      <c r="JMY68" s="401"/>
      <c r="JMZ68" s="401"/>
      <c r="JNA68" s="401"/>
      <c r="JNB68" s="401"/>
      <c r="JNC68" s="401"/>
      <c r="JND68" s="401"/>
      <c r="JNE68" s="401"/>
      <c r="JNF68" s="401"/>
      <c r="JNG68" s="401"/>
      <c r="JNH68" s="401"/>
      <c r="JNI68" s="401"/>
      <c r="JNJ68" s="401"/>
      <c r="JNK68" s="401"/>
      <c r="JNL68" s="401"/>
      <c r="JNM68" s="401"/>
      <c r="JNN68" s="401"/>
      <c r="JNO68" s="401"/>
      <c r="JNP68" s="401"/>
      <c r="JNQ68" s="401"/>
      <c r="JNR68" s="401"/>
      <c r="JNS68" s="401"/>
      <c r="JNT68" s="401"/>
      <c r="JNU68" s="401"/>
      <c r="JNV68" s="401"/>
      <c r="JNW68" s="401"/>
      <c r="JNX68" s="401"/>
      <c r="JNY68" s="401"/>
      <c r="JNZ68" s="401"/>
      <c r="JOA68" s="401"/>
      <c r="JOB68" s="401"/>
      <c r="JOC68" s="401"/>
      <c r="JOD68" s="401"/>
      <c r="JOE68" s="401"/>
      <c r="JOF68" s="401"/>
      <c r="JOG68" s="401"/>
      <c r="JOH68" s="401"/>
      <c r="JOI68" s="401"/>
      <c r="JOJ68" s="401"/>
      <c r="JOK68" s="401"/>
      <c r="JOL68" s="401"/>
      <c r="JOM68" s="401"/>
      <c r="JON68" s="401"/>
      <c r="JOO68" s="401"/>
      <c r="JOP68" s="401"/>
      <c r="JOQ68" s="401"/>
      <c r="JOR68" s="401"/>
      <c r="JOS68" s="401"/>
      <c r="JOT68" s="401"/>
      <c r="JOU68" s="401"/>
      <c r="JOV68" s="401"/>
      <c r="JOW68" s="401"/>
      <c r="JOX68" s="401"/>
      <c r="JOY68" s="401"/>
      <c r="JOZ68" s="401"/>
      <c r="JPA68" s="401"/>
      <c r="JPB68" s="401"/>
      <c r="JPC68" s="401"/>
      <c r="JPD68" s="401"/>
      <c r="JPE68" s="401"/>
      <c r="JPF68" s="401"/>
      <c r="JPG68" s="401"/>
      <c r="JPH68" s="401"/>
      <c r="JPI68" s="401"/>
      <c r="JPJ68" s="401"/>
      <c r="JPK68" s="401"/>
      <c r="JPL68" s="401"/>
      <c r="JPM68" s="401"/>
      <c r="JPN68" s="401"/>
      <c r="JPO68" s="401"/>
      <c r="JPP68" s="401"/>
      <c r="JPQ68" s="401"/>
      <c r="JPR68" s="401"/>
      <c r="JPS68" s="401"/>
      <c r="JPT68" s="401"/>
      <c r="JPU68" s="401"/>
      <c r="JPV68" s="401"/>
      <c r="JPW68" s="401"/>
      <c r="JPX68" s="401"/>
      <c r="JPY68" s="401"/>
      <c r="JPZ68" s="401"/>
      <c r="JQA68" s="401"/>
      <c r="JQB68" s="401"/>
      <c r="JQC68" s="401"/>
      <c r="JQD68" s="401"/>
      <c r="JQE68" s="401"/>
      <c r="JQF68" s="401"/>
      <c r="JQG68" s="401"/>
      <c r="JQH68" s="401"/>
      <c r="JQI68" s="401"/>
      <c r="JQJ68" s="401"/>
      <c r="JQK68" s="401"/>
      <c r="JQL68" s="401"/>
      <c r="JQM68" s="401"/>
      <c r="JQN68" s="401"/>
      <c r="JQO68" s="401"/>
      <c r="JQP68" s="401"/>
      <c r="JQQ68" s="401"/>
      <c r="JQR68" s="401"/>
      <c r="JQS68" s="401"/>
      <c r="JQT68" s="401"/>
      <c r="JQU68" s="401"/>
      <c r="JQV68" s="401"/>
      <c r="JQW68" s="401"/>
      <c r="JQX68" s="401"/>
      <c r="JQY68" s="401"/>
      <c r="JQZ68" s="401"/>
      <c r="JRA68" s="401"/>
      <c r="JRB68" s="401"/>
      <c r="JRC68" s="401"/>
      <c r="JRD68" s="401"/>
      <c r="JRE68" s="401"/>
      <c r="JRF68" s="401"/>
      <c r="JRG68" s="401"/>
      <c r="JRH68" s="401"/>
      <c r="JRI68" s="401"/>
      <c r="JRJ68" s="401"/>
      <c r="JRK68" s="401"/>
      <c r="JRL68" s="401"/>
      <c r="JRM68" s="401"/>
      <c r="JRN68" s="401"/>
      <c r="JRO68" s="401"/>
      <c r="JRP68" s="401"/>
      <c r="JRQ68" s="401"/>
      <c r="JRR68" s="401"/>
      <c r="JRS68" s="401"/>
      <c r="JRT68" s="401"/>
      <c r="JRU68" s="401"/>
      <c r="JRV68" s="401"/>
      <c r="JRW68" s="401"/>
      <c r="JRX68" s="401"/>
      <c r="JRY68" s="401"/>
      <c r="JRZ68" s="401"/>
      <c r="JSA68" s="401"/>
      <c r="JSB68" s="401"/>
      <c r="JSC68" s="401"/>
      <c r="JSD68" s="401"/>
      <c r="JSE68" s="401"/>
      <c r="JSF68" s="401"/>
      <c r="JSG68" s="401"/>
      <c r="JSH68" s="401"/>
      <c r="JSI68" s="401"/>
      <c r="JSJ68" s="401"/>
      <c r="JSK68" s="401"/>
      <c r="JSL68" s="401"/>
      <c r="JSM68" s="401"/>
      <c r="JSN68" s="401"/>
      <c r="JSO68" s="401"/>
      <c r="JSP68" s="401"/>
      <c r="JSQ68" s="401"/>
      <c r="JSR68" s="401"/>
      <c r="JSS68" s="401"/>
      <c r="JST68" s="401"/>
      <c r="JSU68" s="401"/>
      <c r="JSV68" s="401"/>
      <c r="JSW68" s="401"/>
      <c r="JSX68" s="401"/>
      <c r="JSY68" s="401"/>
      <c r="JSZ68" s="401"/>
      <c r="JTA68" s="401"/>
      <c r="JTB68" s="401"/>
      <c r="JTC68" s="401"/>
      <c r="JTD68" s="401"/>
      <c r="JTE68" s="401"/>
      <c r="JTF68" s="401"/>
      <c r="JTG68" s="401"/>
      <c r="JTH68" s="401"/>
      <c r="JTI68" s="401"/>
      <c r="JTJ68" s="401"/>
      <c r="JTK68" s="401"/>
      <c r="JTL68" s="401"/>
      <c r="JTM68" s="401"/>
      <c r="JTN68" s="401"/>
      <c r="JTO68" s="401"/>
      <c r="JTP68" s="401"/>
      <c r="JTQ68" s="401"/>
      <c r="JTR68" s="401"/>
      <c r="JTS68" s="401"/>
      <c r="JTT68" s="401"/>
      <c r="JTU68" s="401"/>
      <c r="JTV68" s="401"/>
      <c r="JTW68" s="401"/>
      <c r="JTX68" s="401"/>
      <c r="JTY68" s="401"/>
      <c r="JTZ68" s="401"/>
      <c r="JUA68" s="401"/>
      <c r="JUB68" s="401"/>
      <c r="JUC68" s="401"/>
      <c r="JUD68" s="401"/>
      <c r="JUE68" s="401"/>
      <c r="JUF68" s="401"/>
      <c r="JUG68" s="401"/>
      <c r="JUH68" s="401"/>
      <c r="JUI68" s="401"/>
      <c r="JUJ68" s="401"/>
      <c r="JUK68" s="401"/>
      <c r="JUL68" s="401"/>
      <c r="JUM68" s="401"/>
      <c r="JUN68" s="401"/>
      <c r="JUO68" s="401"/>
      <c r="JUP68" s="401"/>
      <c r="JUQ68" s="401"/>
      <c r="JUR68" s="401"/>
      <c r="JUS68" s="401"/>
      <c r="JUT68" s="401"/>
      <c r="JUU68" s="401"/>
      <c r="JUV68" s="401"/>
      <c r="JUW68" s="401"/>
      <c r="JUX68" s="401"/>
      <c r="JUY68" s="401"/>
      <c r="JUZ68" s="401"/>
      <c r="JVA68" s="401"/>
      <c r="JVB68" s="401"/>
      <c r="JVC68" s="401"/>
      <c r="JVD68" s="401"/>
      <c r="JVE68" s="401"/>
      <c r="JVF68" s="401"/>
      <c r="JVG68" s="401"/>
      <c r="JVH68" s="401"/>
      <c r="JVI68" s="401"/>
      <c r="JVJ68" s="401"/>
      <c r="JVK68" s="401"/>
      <c r="JVL68" s="401"/>
      <c r="JVM68" s="401"/>
      <c r="JVN68" s="401"/>
      <c r="JVO68" s="401"/>
      <c r="JVP68" s="401"/>
      <c r="JVQ68" s="401"/>
      <c r="JVR68" s="401"/>
      <c r="JVS68" s="401"/>
      <c r="JVT68" s="401"/>
      <c r="JVU68" s="401"/>
      <c r="JVV68" s="401"/>
      <c r="JVW68" s="401"/>
      <c r="JVX68" s="401"/>
      <c r="JVY68" s="401"/>
      <c r="JVZ68" s="401"/>
      <c r="JWA68" s="401"/>
      <c r="JWB68" s="401"/>
      <c r="JWC68" s="401"/>
      <c r="JWD68" s="401"/>
      <c r="JWE68" s="401"/>
      <c r="JWF68" s="401"/>
      <c r="JWG68" s="401"/>
      <c r="JWH68" s="401"/>
      <c r="JWI68" s="401"/>
      <c r="JWJ68" s="401"/>
      <c r="JWK68" s="401"/>
      <c r="JWL68" s="401"/>
      <c r="JWM68" s="401"/>
      <c r="JWN68" s="401"/>
      <c r="JWO68" s="401"/>
      <c r="JWP68" s="401"/>
      <c r="JWQ68" s="401"/>
      <c r="JWR68" s="401"/>
      <c r="JWS68" s="401"/>
      <c r="JWT68" s="401"/>
      <c r="JWU68" s="401"/>
      <c r="JWV68" s="401"/>
      <c r="JWW68" s="401"/>
      <c r="JWX68" s="401"/>
      <c r="JWY68" s="401"/>
      <c r="JWZ68" s="401"/>
      <c r="JXA68" s="401"/>
      <c r="JXB68" s="401"/>
      <c r="JXC68" s="401"/>
      <c r="JXD68" s="401"/>
      <c r="JXE68" s="401"/>
      <c r="JXF68" s="401"/>
      <c r="JXG68" s="401"/>
      <c r="JXH68" s="401"/>
      <c r="JXI68" s="401"/>
      <c r="JXJ68" s="401"/>
      <c r="JXK68" s="401"/>
      <c r="JXL68" s="401"/>
      <c r="JXM68" s="401"/>
      <c r="JXN68" s="401"/>
      <c r="JXO68" s="401"/>
      <c r="JXP68" s="401"/>
      <c r="JXQ68" s="401"/>
      <c r="JXR68" s="401"/>
      <c r="JXS68" s="401"/>
      <c r="JXT68" s="401"/>
      <c r="JXU68" s="401"/>
      <c r="JXV68" s="401"/>
      <c r="JXW68" s="401"/>
      <c r="JXX68" s="401"/>
      <c r="JXY68" s="401"/>
      <c r="JXZ68" s="401"/>
      <c r="JYA68" s="401"/>
      <c r="JYB68" s="401"/>
      <c r="JYC68" s="401"/>
      <c r="JYD68" s="401"/>
      <c r="JYE68" s="401"/>
      <c r="JYF68" s="401"/>
      <c r="JYG68" s="401"/>
      <c r="JYH68" s="401"/>
      <c r="JYI68" s="401"/>
      <c r="JYJ68" s="401"/>
      <c r="JYK68" s="401"/>
      <c r="JYL68" s="401"/>
      <c r="JYM68" s="401"/>
      <c r="JYN68" s="401"/>
      <c r="JYO68" s="401"/>
      <c r="JYP68" s="401"/>
      <c r="JYQ68" s="401"/>
      <c r="JYR68" s="401"/>
      <c r="JYS68" s="401"/>
      <c r="JYT68" s="401"/>
      <c r="JYU68" s="401"/>
      <c r="JYV68" s="401"/>
      <c r="JYW68" s="401"/>
      <c r="JYX68" s="401"/>
      <c r="JYY68" s="401"/>
      <c r="JYZ68" s="401"/>
      <c r="JZA68" s="401"/>
      <c r="JZB68" s="401"/>
      <c r="JZC68" s="401"/>
      <c r="JZD68" s="401"/>
      <c r="JZE68" s="401"/>
      <c r="JZF68" s="401"/>
      <c r="JZG68" s="401"/>
      <c r="JZH68" s="401"/>
      <c r="JZI68" s="401"/>
      <c r="JZJ68" s="401"/>
      <c r="JZK68" s="401"/>
      <c r="JZL68" s="401"/>
      <c r="JZM68" s="401"/>
      <c r="JZN68" s="401"/>
      <c r="JZO68" s="401"/>
      <c r="JZP68" s="401"/>
      <c r="JZQ68" s="401"/>
      <c r="JZR68" s="401"/>
      <c r="JZS68" s="401"/>
      <c r="JZT68" s="401"/>
      <c r="JZU68" s="401"/>
      <c r="JZV68" s="401"/>
      <c r="JZW68" s="401"/>
      <c r="JZX68" s="401"/>
      <c r="JZY68" s="401"/>
      <c r="JZZ68" s="401"/>
      <c r="KAA68" s="401"/>
      <c r="KAB68" s="401"/>
      <c r="KAC68" s="401"/>
      <c r="KAD68" s="401"/>
      <c r="KAE68" s="401"/>
      <c r="KAF68" s="401"/>
      <c r="KAG68" s="401"/>
      <c r="KAH68" s="401"/>
      <c r="KAI68" s="401"/>
      <c r="KAJ68" s="401"/>
      <c r="KAK68" s="401"/>
      <c r="KAL68" s="401"/>
      <c r="KAM68" s="401"/>
      <c r="KAN68" s="401"/>
      <c r="KAO68" s="401"/>
      <c r="KAP68" s="401"/>
      <c r="KAQ68" s="401"/>
      <c r="KAR68" s="401"/>
      <c r="KAS68" s="401"/>
      <c r="KAT68" s="401"/>
      <c r="KAU68" s="401"/>
      <c r="KAV68" s="401"/>
      <c r="KAW68" s="401"/>
      <c r="KAX68" s="401"/>
      <c r="KAY68" s="401"/>
      <c r="KAZ68" s="401"/>
      <c r="KBA68" s="401"/>
      <c r="KBB68" s="401"/>
      <c r="KBC68" s="401"/>
      <c r="KBD68" s="401"/>
      <c r="KBE68" s="401"/>
      <c r="KBF68" s="401"/>
      <c r="KBG68" s="401"/>
      <c r="KBH68" s="401"/>
      <c r="KBI68" s="401"/>
      <c r="KBJ68" s="401"/>
      <c r="KBK68" s="401"/>
      <c r="KBL68" s="401"/>
      <c r="KBM68" s="401"/>
      <c r="KBN68" s="401"/>
      <c r="KBO68" s="401"/>
      <c r="KBP68" s="401"/>
      <c r="KBQ68" s="401"/>
      <c r="KBR68" s="401"/>
      <c r="KBS68" s="401"/>
      <c r="KBT68" s="401"/>
      <c r="KBU68" s="401"/>
      <c r="KBV68" s="401"/>
      <c r="KBW68" s="401"/>
      <c r="KBX68" s="401"/>
      <c r="KBY68" s="401"/>
      <c r="KBZ68" s="401"/>
      <c r="KCA68" s="401"/>
      <c r="KCB68" s="401"/>
      <c r="KCC68" s="401"/>
      <c r="KCD68" s="401"/>
      <c r="KCE68" s="401"/>
      <c r="KCF68" s="401"/>
      <c r="KCG68" s="401"/>
      <c r="KCH68" s="401"/>
      <c r="KCI68" s="401"/>
      <c r="KCJ68" s="401"/>
      <c r="KCK68" s="401"/>
      <c r="KCL68" s="401"/>
      <c r="KCM68" s="401"/>
      <c r="KCN68" s="401"/>
      <c r="KCO68" s="401"/>
      <c r="KCP68" s="401"/>
      <c r="KCQ68" s="401"/>
      <c r="KCR68" s="401"/>
      <c r="KCS68" s="401"/>
      <c r="KCT68" s="401"/>
      <c r="KCU68" s="401"/>
      <c r="KCV68" s="401"/>
      <c r="KCW68" s="401"/>
      <c r="KCX68" s="401"/>
      <c r="KCY68" s="401"/>
      <c r="KCZ68" s="401"/>
      <c r="KDA68" s="401"/>
      <c r="KDB68" s="401"/>
      <c r="KDC68" s="401"/>
      <c r="KDD68" s="401"/>
      <c r="KDE68" s="401"/>
      <c r="KDF68" s="401"/>
      <c r="KDG68" s="401"/>
      <c r="KDH68" s="401"/>
      <c r="KDI68" s="401"/>
      <c r="KDJ68" s="401"/>
      <c r="KDK68" s="401"/>
      <c r="KDL68" s="401"/>
      <c r="KDM68" s="401"/>
      <c r="KDN68" s="401"/>
      <c r="KDO68" s="401"/>
      <c r="KDP68" s="401"/>
      <c r="KDQ68" s="401"/>
      <c r="KDR68" s="401"/>
      <c r="KDS68" s="401"/>
      <c r="KDT68" s="401"/>
      <c r="KDU68" s="401"/>
      <c r="KDV68" s="401"/>
      <c r="KDW68" s="401"/>
      <c r="KDX68" s="401"/>
      <c r="KDY68" s="401"/>
      <c r="KDZ68" s="401"/>
      <c r="KEA68" s="401"/>
      <c r="KEB68" s="401"/>
      <c r="KEC68" s="401"/>
      <c r="KED68" s="401"/>
      <c r="KEE68" s="401"/>
      <c r="KEF68" s="401"/>
      <c r="KEG68" s="401"/>
      <c r="KEH68" s="401"/>
      <c r="KEI68" s="401"/>
      <c r="KEJ68" s="401"/>
      <c r="KEK68" s="401"/>
      <c r="KEL68" s="401"/>
      <c r="KEM68" s="401"/>
      <c r="KEN68" s="401"/>
      <c r="KEO68" s="401"/>
      <c r="KEP68" s="401"/>
      <c r="KEQ68" s="401"/>
      <c r="KER68" s="401"/>
      <c r="KES68" s="401"/>
      <c r="KET68" s="401"/>
      <c r="KEU68" s="401"/>
      <c r="KEV68" s="401"/>
      <c r="KEW68" s="401"/>
      <c r="KEX68" s="401"/>
      <c r="KEY68" s="401"/>
      <c r="KEZ68" s="401"/>
      <c r="KFA68" s="401"/>
      <c r="KFB68" s="401"/>
      <c r="KFC68" s="401"/>
      <c r="KFD68" s="401"/>
      <c r="KFE68" s="401"/>
      <c r="KFF68" s="401"/>
      <c r="KFG68" s="401"/>
      <c r="KFH68" s="401"/>
      <c r="KFI68" s="401"/>
      <c r="KFJ68" s="401"/>
      <c r="KFK68" s="401"/>
      <c r="KFL68" s="401"/>
      <c r="KFM68" s="401"/>
      <c r="KFN68" s="401"/>
      <c r="KFO68" s="401"/>
      <c r="KFP68" s="401"/>
      <c r="KFQ68" s="401"/>
      <c r="KFR68" s="401"/>
      <c r="KFS68" s="401"/>
      <c r="KFT68" s="401"/>
      <c r="KFU68" s="401"/>
      <c r="KFV68" s="401"/>
      <c r="KFW68" s="401"/>
      <c r="KFX68" s="401"/>
      <c r="KFY68" s="401"/>
      <c r="KFZ68" s="401"/>
      <c r="KGA68" s="401"/>
      <c r="KGB68" s="401"/>
      <c r="KGC68" s="401"/>
      <c r="KGD68" s="401"/>
      <c r="KGE68" s="401"/>
      <c r="KGF68" s="401"/>
      <c r="KGG68" s="401"/>
      <c r="KGH68" s="401"/>
      <c r="KGI68" s="401"/>
      <c r="KGJ68" s="401"/>
      <c r="KGK68" s="401"/>
      <c r="KGL68" s="401"/>
      <c r="KGM68" s="401"/>
      <c r="KGN68" s="401"/>
      <c r="KGO68" s="401"/>
      <c r="KGP68" s="401"/>
      <c r="KGQ68" s="401"/>
      <c r="KGR68" s="401"/>
      <c r="KGS68" s="401"/>
      <c r="KGT68" s="401"/>
      <c r="KGU68" s="401"/>
      <c r="KGV68" s="401"/>
      <c r="KGW68" s="401"/>
      <c r="KGX68" s="401"/>
      <c r="KGY68" s="401"/>
      <c r="KGZ68" s="401"/>
      <c r="KHA68" s="401"/>
      <c r="KHB68" s="401"/>
      <c r="KHC68" s="401"/>
      <c r="KHD68" s="401"/>
      <c r="KHE68" s="401"/>
      <c r="KHF68" s="401"/>
      <c r="KHG68" s="401"/>
      <c r="KHH68" s="401"/>
      <c r="KHI68" s="401"/>
      <c r="KHJ68" s="401"/>
      <c r="KHK68" s="401"/>
      <c r="KHL68" s="401"/>
      <c r="KHM68" s="401"/>
      <c r="KHN68" s="401"/>
      <c r="KHO68" s="401"/>
      <c r="KHP68" s="401"/>
      <c r="KHQ68" s="401"/>
      <c r="KHR68" s="401"/>
      <c r="KHS68" s="401"/>
      <c r="KHT68" s="401"/>
      <c r="KHU68" s="401"/>
      <c r="KHV68" s="401"/>
      <c r="KHW68" s="401"/>
      <c r="KHX68" s="401"/>
      <c r="KHY68" s="401"/>
      <c r="KHZ68" s="401"/>
      <c r="KIA68" s="401"/>
      <c r="KIB68" s="401"/>
      <c r="KIC68" s="401"/>
      <c r="KID68" s="401"/>
      <c r="KIE68" s="401"/>
      <c r="KIF68" s="401"/>
      <c r="KIG68" s="401"/>
      <c r="KIH68" s="401"/>
      <c r="KII68" s="401"/>
      <c r="KIJ68" s="401"/>
      <c r="KIK68" s="401"/>
      <c r="KIL68" s="401"/>
      <c r="KIM68" s="401"/>
      <c r="KIN68" s="401"/>
      <c r="KIO68" s="401"/>
      <c r="KIP68" s="401"/>
      <c r="KIQ68" s="401"/>
      <c r="KIR68" s="401"/>
      <c r="KIS68" s="401"/>
      <c r="KIT68" s="401"/>
      <c r="KIU68" s="401"/>
      <c r="KIV68" s="401"/>
      <c r="KIW68" s="401"/>
      <c r="KIX68" s="401"/>
      <c r="KIY68" s="401"/>
      <c r="KIZ68" s="401"/>
      <c r="KJA68" s="401"/>
      <c r="KJB68" s="401"/>
      <c r="KJC68" s="401"/>
      <c r="KJD68" s="401"/>
      <c r="KJE68" s="401"/>
      <c r="KJF68" s="401"/>
      <c r="KJG68" s="401"/>
      <c r="KJH68" s="401"/>
      <c r="KJI68" s="401"/>
      <c r="KJJ68" s="401"/>
      <c r="KJK68" s="401"/>
      <c r="KJL68" s="401"/>
      <c r="KJM68" s="401"/>
      <c r="KJN68" s="401"/>
      <c r="KJO68" s="401"/>
      <c r="KJP68" s="401"/>
      <c r="KJQ68" s="401"/>
      <c r="KJR68" s="401"/>
      <c r="KJS68" s="401"/>
      <c r="KJT68" s="401"/>
      <c r="KJU68" s="401"/>
      <c r="KJV68" s="401"/>
      <c r="KJW68" s="401"/>
      <c r="KJX68" s="401"/>
      <c r="KJY68" s="401"/>
      <c r="KJZ68" s="401"/>
      <c r="KKA68" s="401"/>
      <c r="KKB68" s="401"/>
      <c r="KKC68" s="401"/>
      <c r="KKD68" s="401"/>
      <c r="KKE68" s="401"/>
      <c r="KKF68" s="401"/>
      <c r="KKG68" s="401"/>
      <c r="KKH68" s="401"/>
      <c r="KKI68" s="401"/>
      <c r="KKJ68" s="401"/>
      <c r="KKK68" s="401"/>
      <c r="KKL68" s="401"/>
      <c r="KKM68" s="401"/>
      <c r="KKN68" s="401"/>
      <c r="KKO68" s="401"/>
      <c r="KKP68" s="401"/>
      <c r="KKQ68" s="401"/>
      <c r="KKR68" s="401"/>
      <c r="KKS68" s="401"/>
      <c r="KKT68" s="401"/>
      <c r="KKU68" s="401"/>
      <c r="KKV68" s="401"/>
      <c r="KKW68" s="401"/>
      <c r="KKX68" s="401"/>
      <c r="KKY68" s="401"/>
      <c r="KKZ68" s="401"/>
      <c r="KLA68" s="401"/>
      <c r="KLB68" s="401"/>
      <c r="KLC68" s="401"/>
      <c r="KLD68" s="401"/>
      <c r="KLE68" s="401"/>
      <c r="KLF68" s="401"/>
      <c r="KLG68" s="401"/>
      <c r="KLH68" s="401"/>
      <c r="KLI68" s="401"/>
      <c r="KLJ68" s="401"/>
      <c r="KLK68" s="401"/>
      <c r="KLL68" s="401"/>
      <c r="KLM68" s="401"/>
      <c r="KLN68" s="401"/>
      <c r="KLO68" s="401"/>
      <c r="KLP68" s="401"/>
      <c r="KLQ68" s="401"/>
      <c r="KLR68" s="401"/>
      <c r="KLS68" s="401"/>
      <c r="KLT68" s="401"/>
      <c r="KLU68" s="401"/>
      <c r="KLV68" s="401"/>
      <c r="KLW68" s="401"/>
      <c r="KLX68" s="401"/>
      <c r="KLY68" s="401"/>
      <c r="KLZ68" s="401"/>
      <c r="KMA68" s="401"/>
      <c r="KMB68" s="401"/>
      <c r="KMC68" s="401"/>
      <c r="KMD68" s="401"/>
      <c r="KME68" s="401"/>
      <c r="KMF68" s="401"/>
      <c r="KMG68" s="401"/>
      <c r="KMH68" s="401"/>
      <c r="KMI68" s="401"/>
      <c r="KMJ68" s="401"/>
      <c r="KMK68" s="401"/>
      <c r="KML68" s="401"/>
      <c r="KMM68" s="401"/>
      <c r="KMN68" s="401"/>
      <c r="KMO68" s="401"/>
      <c r="KMP68" s="401"/>
      <c r="KMQ68" s="401"/>
      <c r="KMR68" s="401"/>
      <c r="KMS68" s="401"/>
      <c r="KMT68" s="401"/>
      <c r="KMU68" s="401"/>
      <c r="KMV68" s="401"/>
      <c r="KMW68" s="401"/>
      <c r="KMX68" s="401"/>
      <c r="KMY68" s="401"/>
      <c r="KMZ68" s="401"/>
      <c r="KNA68" s="401"/>
      <c r="KNB68" s="401"/>
      <c r="KNC68" s="401"/>
      <c r="KND68" s="401"/>
      <c r="KNE68" s="401"/>
      <c r="KNF68" s="401"/>
      <c r="KNG68" s="401"/>
      <c r="KNH68" s="401"/>
      <c r="KNI68" s="401"/>
      <c r="KNJ68" s="401"/>
      <c r="KNK68" s="401"/>
      <c r="KNL68" s="401"/>
      <c r="KNM68" s="401"/>
      <c r="KNN68" s="401"/>
      <c r="KNO68" s="401"/>
      <c r="KNP68" s="401"/>
      <c r="KNQ68" s="401"/>
      <c r="KNR68" s="401"/>
      <c r="KNS68" s="401"/>
      <c r="KNT68" s="401"/>
      <c r="KNU68" s="401"/>
      <c r="KNV68" s="401"/>
      <c r="KNW68" s="401"/>
      <c r="KNX68" s="401"/>
      <c r="KNY68" s="401"/>
      <c r="KNZ68" s="401"/>
      <c r="KOA68" s="401"/>
      <c r="KOB68" s="401"/>
      <c r="KOC68" s="401"/>
      <c r="KOD68" s="401"/>
      <c r="KOE68" s="401"/>
      <c r="KOF68" s="401"/>
      <c r="KOG68" s="401"/>
      <c r="KOH68" s="401"/>
      <c r="KOI68" s="401"/>
      <c r="KOJ68" s="401"/>
      <c r="KOK68" s="401"/>
      <c r="KOL68" s="401"/>
      <c r="KOM68" s="401"/>
      <c r="KON68" s="401"/>
      <c r="KOO68" s="401"/>
      <c r="KOP68" s="401"/>
      <c r="KOQ68" s="401"/>
      <c r="KOR68" s="401"/>
      <c r="KOS68" s="401"/>
      <c r="KOT68" s="401"/>
      <c r="KOU68" s="401"/>
      <c r="KOV68" s="401"/>
      <c r="KOW68" s="401"/>
      <c r="KOX68" s="401"/>
      <c r="KOY68" s="401"/>
      <c r="KOZ68" s="401"/>
      <c r="KPA68" s="401"/>
      <c r="KPB68" s="401"/>
      <c r="KPC68" s="401"/>
      <c r="KPD68" s="401"/>
      <c r="KPE68" s="401"/>
      <c r="KPF68" s="401"/>
      <c r="KPG68" s="401"/>
      <c r="KPH68" s="401"/>
      <c r="KPI68" s="401"/>
      <c r="KPJ68" s="401"/>
      <c r="KPK68" s="401"/>
      <c r="KPL68" s="401"/>
      <c r="KPM68" s="401"/>
      <c r="KPN68" s="401"/>
      <c r="KPO68" s="401"/>
      <c r="KPP68" s="401"/>
      <c r="KPQ68" s="401"/>
      <c r="KPR68" s="401"/>
      <c r="KPS68" s="401"/>
      <c r="KPT68" s="401"/>
      <c r="KPU68" s="401"/>
      <c r="KPV68" s="401"/>
      <c r="KPW68" s="401"/>
      <c r="KPX68" s="401"/>
      <c r="KPY68" s="401"/>
      <c r="KPZ68" s="401"/>
      <c r="KQA68" s="401"/>
      <c r="KQB68" s="401"/>
      <c r="KQC68" s="401"/>
      <c r="KQD68" s="401"/>
      <c r="KQE68" s="401"/>
      <c r="KQF68" s="401"/>
      <c r="KQG68" s="401"/>
      <c r="KQH68" s="401"/>
      <c r="KQI68" s="401"/>
      <c r="KQJ68" s="401"/>
      <c r="KQK68" s="401"/>
      <c r="KQL68" s="401"/>
      <c r="KQM68" s="401"/>
      <c r="KQN68" s="401"/>
      <c r="KQO68" s="401"/>
      <c r="KQP68" s="401"/>
      <c r="KQQ68" s="401"/>
      <c r="KQR68" s="401"/>
      <c r="KQS68" s="401"/>
      <c r="KQT68" s="401"/>
      <c r="KQU68" s="401"/>
      <c r="KQV68" s="401"/>
      <c r="KQW68" s="401"/>
      <c r="KQX68" s="401"/>
      <c r="KQY68" s="401"/>
      <c r="KQZ68" s="401"/>
      <c r="KRA68" s="401"/>
      <c r="KRB68" s="401"/>
      <c r="KRC68" s="401"/>
      <c r="KRD68" s="401"/>
      <c r="KRE68" s="401"/>
      <c r="KRF68" s="401"/>
      <c r="KRG68" s="401"/>
      <c r="KRH68" s="401"/>
      <c r="KRI68" s="401"/>
      <c r="KRJ68" s="401"/>
      <c r="KRK68" s="401"/>
      <c r="KRL68" s="401"/>
      <c r="KRM68" s="401"/>
      <c r="KRN68" s="401"/>
      <c r="KRO68" s="401"/>
      <c r="KRP68" s="401"/>
      <c r="KRQ68" s="401"/>
      <c r="KRR68" s="401"/>
      <c r="KRS68" s="401"/>
      <c r="KRT68" s="401"/>
      <c r="KRU68" s="401"/>
      <c r="KRV68" s="401"/>
      <c r="KRW68" s="401"/>
      <c r="KRX68" s="401"/>
      <c r="KRY68" s="401"/>
      <c r="KRZ68" s="401"/>
      <c r="KSA68" s="401"/>
      <c r="KSB68" s="401"/>
      <c r="KSC68" s="401"/>
      <c r="KSD68" s="401"/>
      <c r="KSE68" s="401"/>
      <c r="KSF68" s="401"/>
      <c r="KSG68" s="401"/>
      <c r="KSH68" s="401"/>
      <c r="KSI68" s="401"/>
      <c r="KSJ68" s="401"/>
      <c r="KSK68" s="401"/>
      <c r="KSL68" s="401"/>
      <c r="KSM68" s="401"/>
      <c r="KSN68" s="401"/>
      <c r="KSO68" s="401"/>
      <c r="KSP68" s="401"/>
      <c r="KSQ68" s="401"/>
      <c r="KSR68" s="401"/>
      <c r="KSS68" s="401"/>
      <c r="KST68" s="401"/>
      <c r="KSU68" s="401"/>
      <c r="KSV68" s="401"/>
      <c r="KSW68" s="401"/>
      <c r="KSX68" s="401"/>
      <c r="KSY68" s="401"/>
      <c r="KSZ68" s="401"/>
      <c r="KTA68" s="401"/>
      <c r="KTB68" s="401"/>
      <c r="KTC68" s="401"/>
      <c r="KTD68" s="401"/>
      <c r="KTE68" s="401"/>
      <c r="KTF68" s="401"/>
      <c r="KTG68" s="401"/>
      <c r="KTH68" s="401"/>
      <c r="KTI68" s="401"/>
      <c r="KTJ68" s="401"/>
      <c r="KTK68" s="401"/>
      <c r="KTL68" s="401"/>
      <c r="KTM68" s="401"/>
      <c r="KTN68" s="401"/>
      <c r="KTO68" s="401"/>
      <c r="KTP68" s="401"/>
      <c r="KTQ68" s="401"/>
      <c r="KTR68" s="401"/>
      <c r="KTS68" s="401"/>
      <c r="KTT68" s="401"/>
      <c r="KTU68" s="401"/>
      <c r="KTV68" s="401"/>
      <c r="KTW68" s="401"/>
      <c r="KTX68" s="401"/>
      <c r="KTY68" s="401"/>
      <c r="KTZ68" s="401"/>
      <c r="KUA68" s="401"/>
      <c r="KUB68" s="401"/>
      <c r="KUC68" s="401"/>
      <c r="KUD68" s="401"/>
      <c r="KUE68" s="401"/>
      <c r="KUF68" s="401"/>
      <c r="KUG68" s="401"/>
      <c r="KUH68" s="401"/>
      <c r="KUI68" s="401"/>
      <c r="KUJ68" s="401"/>
      <c r="KUK68" s="401"/>
      <c r="KUL68" s="401"/>
      <c r="KUM68" s="401"/>
      <c r="KUN68" s="401"/>
      <c r="KUO68" s="401"/>
      <c r="KUP68" s="401"/>
      <c r="KUQ68" s="401"/>
      <c r="KUR68" s="401"/>
      <c r="KUS68" s="401"/>
      <c r="KUT68" s="401"/>
      <c r="KUU68" s="401"/>
      <c r="KUV68" s="401"/>
      <c r="KUW68" s="401"/>
      <c r="KUX68" s="401"/>
      <c r="KUY68" s="401"/>
      <c r="KUZ68" s="401"/>
      <c r="KVA68" s="401"/>
      <c r="KVB68" s="401"/>
      <c r="KVC68" s="401"/>
      <c r="KVD68" s="401"/>
      <c r="KVE68" s="401"/>
      <c r="KVF68" s="401"/>
      <c r="KVG68" s="401"/>
      <c r="KVH68" s="401"/>
      <c r="KVI68" s="401"/>
      <c r="KVJ68" s="401"/>
      <c r="KVK68" s="401"/>
      <c r="KVL68" s="401"/>
      <c r="KVM68" s="401"/>
      <c r="KVN68" s="401"/>
      <c r="KVO68" s="401"/>
      <c r="KVP68" s="401"/>
      <c r="KVQ68" s="401"/>
      <c r="KVR68" s="401"/>
      <c r="KVS68" s="401"/>
      <c r="KVT68" s="401"/>
      <c r="KVU68" s="401"/>
      <c r="KVV68" s="401"/>
      <c r="KVW68" s="401"/>
      <c r="KVX68" s="401"/>
      <c r="KVY68" s="401"/>
      <c r="KVZ68" s="401"/>
      <c r="KWA68" s="401"/>
      <c r="KWB68" s="401"/>
      <c r="KWC68" s="401"/>
      <c r="KWD68" s="401"/>
      <c r="KWE68" s="401"/>
      <c r="KWF68" s="401"/>
      <c r="KWG68" s="401"/>
      <c r="KWH68" s="401"/>
      <c r="KWI68" s="401"/>
      <c r="KWJ68" s="401"/>
      <c r="KWK68" s="401"/>
      <c r="KWL68" s="401"/>
      <c r="KWM68" s="401"/>
      <c r="KWN68" s="401"/>
      <c r="KWO68" s="401"/>
      <c r="KWP68" s="401"/>
      <c r="KWQ68" s="401"/>
      <c r="KWR68" s="401"/>
      <c r="KWS68" s="401"/>
      <c r="KWT68" s="401"/>
      <c r="KWU68" s="401"/>
      <c r="KWV68" s="401"/>
      <c r="KWW68" s="401"/>
      <c r="KWX68" s="401"/>
      <c r="KWY68" s="401"/>
      <c r="KWZ68" s="401"/>
      <c r="KXA68" s="401"/>
      <c r="KXB68" s="401"/>
      <c r="KXC68" s="401"/>
      <c r="KXD68" s="401"/>
      <c r="KXE68" s="401"/>
      <c r="KXF68" s="401"/>
      <c r="KXG68" s="401"/>
      <c r="KXH68" s="401"/>
      <c r="KXI68" s="401"/>
      <c r="KXJ68" s="401"/>
      <c r="KXK68" s="401"/>
      <c r="KXL68" s="401"/>
      <c r="KXM68" s="401"/>
      <c r="KXN68" s="401"/>
      <c r="KXO68" s="401"/>
      <c r="KXP68" s="401"/>
      <c r="KXQ68" s="401"/>
      <c r="KXR68" s="401"/>
      <c r="KXS68" s="401"/>
      <c r="KXT68" s="401"/>
      <c r="KXU68" s="401"/>
      <c r="KXV68" s="401"/>
      <c r="KXW68" s="401"/>
      <c r="KXX68" s="401"/>
      <c r="KXY68" s="401"/>
      <c r="KXZ68" s="401"/>
      <c r="KYA68" s="401"/>
      <c r="KYB68" s="401"/>
      <c r="KYC68" s="401"/>
      <c r="KYD68" s="401"/>
      <c r="KYE68" s="401"/>
      <c r="KYF68" s="401"/>
      <c r="KYG68" s="401"/>
      <c r="KYH68" s="401"/>
      <c r="KYI68" s="401"/>
      <c r="KYJ68" s="401"/>
      <c r="KYK68" s="401"/>
      <c r="KYL68" s="401"/>
      <c r="KYM68" s="401"/>
      <c r="KYN68" s="401"/>
      <c r="KYO68" s="401"/>
      <c r="KYP68" s="401"/>
      <c r="KYQ68" s="401"/>
      <c r="KYR68" s="401"/>
      <c r="KYS68" s="401"/>
      <c r="KYT68" s="401"/>
      <c r="KYU68" s="401"/>
      <c r="KYV68" s="401"/>
      <c r="KYW68" s="401"/>
      <c r="KYX68" s="401"/>
      <c r="KYY68" s="401"/>
      <c r="KYZ68" s="401"/>
      <c r="KZA68" s="401"/>
      <c r="KZB68" s="401"/>
      <c r="KZC68" s="401"/>
      <c r="KZD68" s="401"/>
      <c r="KZE68" s="401"/>
      <c r="KZF68" s="401"/>
      <c r="KZG68" s="401"/>
      <c r="KZH68" s="401"/>
      <c r="KZI68" s="401"/>
      <c r="KZJ68" s="401"/>
      <c r="KZK68" s="401"/>
      <c r="KZL68" s="401"/>
      <c r="KZM68" s="401"/>
      <c r="KZN68" s="401"/>
      <c r="KZO68" s="401"/>
      <c r="KZP68" s="401"/>
      <c r="KZQ68" s="401"/>
      <c r="KZR68" s="401"/>
      <c r="KZS68" s="401"/>
      <c r="KZT68" s="401"/>
      <c r="KZU68" s="401"/>
      <c r="KZV68" s="401"/>
      <c r="KZW68" s="401"/>
      <c r="KZX68" s="401"/>
      <c r="KZY68" s="401"/>
      <c r="KZZ68" s="401"/>
      <c r="LAA68" s="401"/>
      <c r="LAB68" s="401"/>
      <c r="LAC68" s="401"/>
      <c r="LAD68" s="401"/>
      <c r="LAE68" s="401"/>
      <c r="LAF68" s="401"/>
      <c r="LAG68" s="401"/>
      <c r="LAH68" s="401"/>
      <c r="LAI68" s="401"/>
      <c r="LAJ68" s="401"/>
      <c r="LAK68" s="401"/>
      <c r="LAL68" s="401"/>
      <c r="LAM68" s="401"/>
      <c r="LAN68" s="401"/>
      <c r="LAO68" s="401"/>
      <c r="LAP68" s="401"/>
      <c r="LAQ68" s="401"/>
      <c r="LAR68" s="401"/>
      <c r="LAS68" s="401"/>
      <c r="LAT68" s="401"/>
      <c r="LAU68" s="401"/>
      <c r="LAV68" s="401"/>
      <c r="LAW68" s="401"/>
      <c r="LAX68" s="401"/>
      <c r="LAY68" s="401"/>
      <c r="LAZ68" s="401"/>
      <c r="LBA68" s="401"/>
      <c r="LBB68" s="401"/>
      <c r="LBC68" s="401"/>
      <c r="LBD68" s="401"/>
      <c r="LBE68" s="401"/>
      <c r="LBF68" s="401"/>
      <c r="LBG68" s="401"/>
      <c r="LBH68" s="401"/>
      <c r="LBI68" s="401"/>
      <c r="LBJ68" s="401"/>
      <c r="LBK68" s="401"/>
      <c r="LBL68" s="401"/>
      <c r="LBM68" s="401"/>
      <c r="LBN68" s="401"/>
      <c r="LBO68" s="401"/>
      <c r="LBP68" s="401"/>
      <c r="LBQ68" s="401"/>
      <c r="LBR68" s="401"/>
      <c r="LBS68" s="401"/>
      <c r="LBT68" s="401"/>
      <c r="LBU68" s="401"/>
      <c r="LBV68" s="401"/>
      <c r="LBW68" s="401"/>
      <c r="LBX68" s="401"/>
      <c r="LBY68" s="401"/>
      <c r="LBZ68" s="401"/>
      <c r="LCA68" s="401"/>
      <c r="LCB68" s="401"/>
      <c r="LCC68" s="401"/>
      <c r="LCD68" s="401"/>
      <c r="LCE68" s="401"/>
      <c r="LCF68" s="401"/>
      <c r="LCG68" s="401"/>
      <c r="LCH68" s="401"/>
      <c r="LCI68" s="401"/>
      <c r="LCJ68" s="401"/>
      <c r="LCK68" s="401"/>
      <c r="LCL68" s="401"/>
      <c r="LCM68" s="401"/>
      <c r="LCN68" s="401"/>
      <c r="LCO68" s="401"/>
      <c r="LCP68" s="401"/>
      <c r="LCQ68" s="401"/>
      <c r="LCR68" s="401"/>
      <c r="LCS68" s="401"/>
      <c r="LCT68" s="401"/>
      <c r="LCU68" s="401"/>
      <c r="LCV68" s="401"/>
      <c r="LCW68" s="401"/>
      <c r="LCX68" s="401"/>
      <c r="LCY68" s="401"/>
      <c r="LCZ68" s="401"/>
      <c r="LDA68" s="401"/>
      <c r="LDB68" s="401"/>
      <c r="LDC68" s="401"/>
      <c r="LDD68" s="401"/>
      <c r="LDE68" s="401"/>
      <c r="LDF68" s="401"/>
      <c r="LDG68" s="401"/>
      <c r="LDH68" s="401"/>
      <c r="LDI68" s="401"/>
      <c r="LDJ68" s="401"/>
      <c r="LDK68" s="401"/>
      <c r="LDL68" s="401"/>
      <c r="LDM68" s="401"/>
      <c r="LDN68" s="401"/>
      <c r="LDO68" s="401"/>
      <c r="LDP68" s="401"/>
      <c r="LDQ68" s="401"/>
      <c r="LDR68" s="401"/>
      <c r="LDS68" s="401"/>
      <c r="LDT68" s="401"/>
      <c r="LDU68" s="401"/>
      <c r="LDV68" s="401"/>
      <c r="LDW68" s="401"/>
      <c r="LDX68" s="401"/>
      <c r="LDY68" s="401"/>
      <c r="LDZ68" s="401"/>
      <c r="LEA68" s="401"/>
      <c r="LEB68" s="401"/>
      <c r="LEC68" s="401"/>
      <c r="LED68" s="401"/>
      <c r="LEE68" s="401"/>
      <c r="LEF68" s="401"/>
      <c r="LEG68" s="401"/>
      <c r="LEH68" s="401"/>
      <c r="LEI68" s="401"/>
      <c r="LEJ68" s="401"/>
      <c r="LEK68" s="401"/>
      <c r="LEL68" s="401"/>
      <c r="LEM68" s="401"/>
      <c r="LEN68" s="401"/>
      <c r="LEO68" s="401"/>
      <c r="LEP68" s="401"/>
      <c r="LEQ68" s="401"/>
      <c r="LER68" s="401"/>
      <c r="LES68" s="401"/>
      <c r="LET68" s="401"/>
      <c r="LEU68" s="401"/>
      <c r="LEV68" s="401"/>
      <c r="LEW68" s="401"/>
      <c r="LEX68" s="401"/>
      <c r="LEY68" s="401"/>
      <c r="LEZ68" s="401"/>
      <c r="LFA68" s="401"/>
      <c r="LFB68" s="401"/>
      <c r="LFC68" s="401"/>
      <c r="LFD68" s="401"/>
      <c r="LFE68" s="401"/>
      <c r="LFF68" s="401"/>
      <c r="LFG68" s="401"/>
      <c r="LFH68" s="401"/>
      <c r="LFI68" s="401"/>
      <c r="LFJ68" s="401"/>
      <c r="LFK68" s="401"/>
      <c r="LFL68" s="401"/>
      <c r="LFM68" s="401"/>
      <c r="LFN68" s="401"/>
      <c r="LFO68" s="401"/>
      <c r="LFP68" s="401"/>
      <c r="LFQ68" s="401"/>
      <c r="LFR68" s="401"/>
      <c r="LFS68" s="401"/>
      <c r="LFT68" s="401"/>
      <c r="LFU68" s="401"/>
      <c r="LFV68" s="401"/>
      <c r="LFW68" s="401"/>
      <c r="LFX68" s="401"/>
      <c r="LFY68" s="401"/>
      <c r="LFZ68" s="401"/>
      <c r="LGA68" s="401"/>
      <c r="LGB68" s="401"/>
      <c r="LGC68" s="401"/>
      <c r="LGD68" s="401"/>
      <c r="LGE68" s="401"/>
      <c r="LGF68" s="401"/>
      <c r="LGG68" s="401"/>
      <c r="LGH68" s="401"/>
      <c r="LGI68" s="401"/>
      <c r="LGJ68" s="401"/>
      <c r="LGK68" s="401"/>
      <c r="LGL68" s="401"/>
      <c r="LGM68" s="401"/>
      <c r="LGN68" s="401"/>
      <c r="LGO68" s="401"/>
      <c r="LGP68" s="401"/>
      <c r="LGQ68" s="401"/>
      <c r="LGR68" s="401"/>
      <c r="LGS68" s="401"/>
      <c r="LGT68" s="401"/>
      <c r="LGU68" s="401"/>
      <c r="LGV68" s="401"/>
      <c r="LGW68" s="401"/>
      <c r="LGX68" s="401"/>
      <c r="LGY68" s="401"/>
      <c r="LGZ68" s="401"/>
      <c r="LHA68" s="401"/>
      <c r="LHB68" s="401"/>
      <c r="LHC68" s="401"/>
      <c r="LHD68" s="401"/>
      <c r="LHE68" s="401"/>
      <c r="LHF68" s="401"/>
      <c r="LHG68" s="401"/>
      <c r="LHH68" s="401"/>
      <c r="LHI68" s="401"/>
      <c r="LHJ68" s="401"/>
      <c r="LHK68" s="401"/>
      <c r="LHL68" s="401"/>
      <c r="LHM68" s="401"/>
      <c r="LHN68" s="401"/>
      <c r="LHO68" s="401"/>
      <c r="LHP68" s="401"/>
      <c r="LHQ68" s="401"/>
      <c r="LHR68" s="401"/>
      <c r="LHS68" s="401"/>
      <c r="LHT68" s="401"/>
      <c r="LHU68" s="401"/>
      <c r="LHV68" s="401"/>
      <c r="LHW68" s="401"/>
      <c r="LHX68" s="401"/>
      <c r="LHY68" s="401"/>
      <c r="LHZ68" s="401"/>
      <c r="LIA68" s="401"/>
      <c r="LIB68" s="401"/>
      <c r="LIC68" s="401"/>
      <c r="LID68" s="401"/>
      <c r="LIE68" s="401"/>
      <c r="LIF68" s="401"/>
      <c r="LIG68" s="401"/>
      <c r="LIH68" s="401"/>
      <c r="LII68" s="401"/>
      <c r="LIJ68" s="401"/>
      <c r="LIK68" s="401"/>
      <c r="LIL68" s="401"/>
      <c r="LIM68" s="401"/>
      <c r="LIN68" s="401"/>
      <c r="LIO68" s="401"/>
      <c r="LIP68" s="401"/>
      <c r="LIQ68" s="401"/>
      <c r="LIR68" s="401"/>
      <c r="LIS68" s="401"/>
      <c r="LIT68" s="401"/>
      <c r="LIU68" s="401"/>
      <c r="LIV68" s="401"/>
      <c r="LIW68" s="401"/>
      <c r="LIX68" s="401"/>
      <c r="LIY68" s="401"/>
      <c r="LIZ68" s="401"/>
      <c r="LJA68" s="401"/>
      <c r="LJB68" s="401"/>
      <c r="LJC68" s="401"/>
      <c r="LJD68" s="401"/>
      <c r="LJE68" s="401"/>
      <c r="LJF68" s="401"/>
      <c r="LJG68" s="401"/>
      <c r="LJH68" s="401"/>
      <c r="LJI68" s="401"/>
      <c r="LJJ68" s="401"/>
      <c r="LJK68" s="401"/>
      <c r="LJL68" s="401"/>
      <c r="LJM68" s="401"/>
      <c r="LJN68" s="401"/>
      <c r="LJO68" s="401"/>
      <c r="LJP68" s="401"/>
      <c r="LJQ68" s="401"/>
      <c r="LJR68" s="401"/>
      <c r="LJS68" s="401"/>
      <c r="LJT68" s="401"/>
      <c r="LJU68" s="401"/>
      <c r="LJV68" s="401"/>
      <c r="LJW68" s="401"/>
      <c r="LJX68" s="401"/>
      <c r="LJY68" s="401"/>
      <c r="LJZ68" s="401"/>
      <c r="LKA68" s="401"/>
      <c r="LKB68" s="401"/>
      <c r="LKC68" s="401"/>
      <c r="LKD68" s="401"/>
      <c r="LKE68" s="401"/>
      <c r="LKF68" s="401"/>
      <c r="LKG68" s="401"/>
      <c r="LKH68" s="401"/>
      <c r="LKI68" s="401"/>
      <c r="LKJ68" s="401"/>
      <c r="LKK68" s="401"/>
      <c r="LKL68" s="401"/>
      <c r="LKM68" s="401"/>
      <c r="LKN68" s="401"/>
      <c r="LKO68" s="401"/>
      <c r="LKP68" s="401"/>
      <c r="LKQ68" s="401"/>
      <c r="LKR68" s="401"/>
      <c r="LKS68" s="401"/>
      <c r="LKT68" s="401"/>
      <c r="LKU68" s="401"/>
      <c r="LKV68" s="401"/>
      <c r="LKW68" s="401"/>
      <c r="LKX68" s="401"/>
      <c r="LKY68" s="401"/>
      <c r="LKZ68" s="401"/>
      <c r="LLA68" s="401"/>
      <c r="LLB68" s="401"/>
      <c r="LLC68" s="401"/>
      <c r="LLD68" s="401"/>
      <c r="LLE68" s="401"/>
      <c r="LLF68" s="401"/>
      <c r="LLG68" s="401"/>
      <c r="LLH68" s="401"/>
      <c r="LLI68" s="401"/>
      <c r="LLJ68" s="401"/>
      <c r="LLK68" s="401"/>
      <c r="LLL68" s="401"/>
      <c r="LLM68" s="401"/>
      <c r="LLN68" s="401"/>
      <c r="LLO68" s="401"/>
      <c r="LLP68" s="401"/>
      <c r="LLQ68" s="401"/>
      <c r="LLR68" s="401"/>
      <c r="LLS68" s="401"/>
      <c r="LLT68" s="401"/>
      <c r="LLU68" s="401"/>
      <c r="LLV68" s="401"/>
      <c r="LLW68" s="401"/>
      <c r="LLX68" s="401"/>
      <c r="LLY68" s="401"/>
      <c r="LLZ68" s="401"/>
      <c r="LMA68" s="401"/>
      <c r="LMB68" s="401"/>
      <c r="LMC68" s="401"/>
      <c r="LMD68" s="401"/>
      <c r="LME68" s="401"/>
      <c r="LMF68" s="401"/>
      <c r="LMG68" s="401"/>
      <c r="LMH68" s="401"/>
      <c r="LMI68" s="401"/>
      <c r="LMJ68" s="401"/>
      <c r="LMK68" s="401"/>
      <c r="LML68" s="401"/>
      <c r="LMM68" s="401"/>
      <c r="LMN68" s="401"/>
      <c r="LMO68" s="401"/>
      <c r="LMP68" s="401"/>
      <c r="LMQ68" s="401"/>
      <c r="LMR68" s="401"/>
      <c r="LMS68" s="401"/>
      <c r="LMT68" s="401"/>
      <c r="LMU68" s="401"/>
      <c r="LMV68" s="401"/>
      <c r="LMW68" s="401"/>
      <c r="LMX68" s="401"/>
      <c r="LMY68" s="401"/>
      <c r="LMZ68" s="401"/>
      <c r="LNA68" s="401"/>
      <c r="LNB68" s="401"/>
      <c r="LNC68" s="401"/>
      <c r="LND68" s="401"/>
      <c r="LNE68" s="401"/>
      <c r="LNF68" s="401"/>
      <c r="LNG68" s="401"/>
      <c r="LNH68" s="401"/>
      <c r="LNI68" s="401"/>
      <c r="LNJ68" s="401"/>
      <c r="LNK68" s="401"/>
      <c r="LNL68" s="401"/>
      <c r="LNM68" s="401"/>
      <c r="LNN68" s="401"/>
      <c r="LNO68" s="401"/>
      <c r="LNP68" s="401"/>
      <c r="LNQ68" s="401"/>
      <c r="LNR68" s="401"/>
      <c r="LNS68" s="401"/>
      <c r="LNT68" s="401"/>
      <c r="LNU68" s="401"/>
      <c r="LNV68" s="401"/>
      <c r="LNW68" s="401"/>
      <c r="LNX68" s="401"/>
      <c r="LNY68" s="401"/>
      <c r="LNZ68" s="401"/>
      <c r="LOA68" s="401"/>
      <c r="LOB68" s="401"/>
      <c r="LOC68" s="401"/>
      <c r="LOD68" s="401"/>
      <c r="LOE68" s="401"/>
      <c r="LOF68" s="401"/>
      <c r="LOG68" s="401"/>
      <c r="LOH68" s="401"/>
      <c r="LOI68" s="401"/>
      <c r="LOJ68" s="401"/>
      <c r="LOK68" s="401"/>
      <c r="LOL68" s="401"/>
      <c r="LOM68" s="401"/>
      <c r="LON68" s="401"/>
      <c r="LOO68" s="401"/>
      <c r="LOP68" s="401"/>
      <c r="LOQ68" s="401"/>
      <c r="LOR68" s="401"/>
      <c r="LOS68" s="401"/>
      <c r="LOT68" s="401"/>
      <c r="LOU68" s="401"/>
      <c r="LOV68" s="401"/>
      <c r="LOW68" s="401"/>
      <c r="LOX68" s="401"/>
      <c r="LOY68" s="401"/>
      <c r="LOZ68" s="401"/>
      <c r="LPA68" s="401"/>
      <c r="LPB68" s="401"/>
      <c r="LPC68" s="401"/>
      <c r="LPD68" s="401"/>
      <c r="LPE68" s="401"/>
      <c r="LPF68" s="401"/>
      <c r="LPG68" s="401"/>
      <c r="LPH68" s="401"/>
      <c r="LPI68" s="401"/>
      <c r="LPJ68" s="401"/>
      <c r="LPK68" s="401"/>
      <c r="LPL68" s="401"/>
      <c r="LPM68" s="401"/>
      <c r="LPN68" s="401"/>
      <c r="LPO68" s="401"/>
      <c r="LPP68" s="401"/>
      <c r="LPQ68" s="401"/>
      <c r="LPR68" s="401"/>
      <c r="LPS68" s="401"/>
      <c r="LPT68" s="401"/>
      <c r="LPU68" s="401"/>
      <c r="LPV68" s="401"/>
      <c r="LPW68" s="401"/>
      <c r="LPX68" s="401"/>
      <c r="LPY68" s="401"/>
      <c r="LPZ68" s="401"/>
      <c r="LQA68" s="401"/>
      <c r="LQB68" s="401"/>
      <c r="LQC68" s="401"/>
      <c r="LQD68" s="401"/>
      <c r="LQE68" s="401"/>
      <c r="LQF68" s="401"/>
      <c r="LQG68" s="401"/>
      <c r="LQH68" s="401"/>
      <c r="LQI68" s="401"/>
      <c r="LQJ68" s="401"/>
      <c r="LQK68" s="401"/>
      <c r="LQL68" s="401"/>
      <c r="LQM68" s="401"/>
      <c r="LQN68" s="401"/>
      <c r="LQO68" s="401"/>
      <c r="LQP68" s="401"/>
      <c r="LQQ68" s="401"/>
      <c r="LQR68" s="401"/>
      <c r="LQS68" s="401"/>
      <c r="LQT68" s="401"/>
      <c r="LQU68" s="401"/>
      <c r="LQV68" s="401"/>
      <c r="LQW68" s="401"/>
      <c r="LQX68" s="401"/>
      <c r="LQY68" s="401"/>
      <c r="LQZ68" s="401"/>
      <c r="LRA68" s="401"/>
      <c r="LRB68" s="401"/>
      <c r="LRC68" s="401"/>
      <c r="LRD68" s="401"/>
      <c r="LRE68" s="401"/>
      <c r="LRF68" s="401"/>
      <c r="LRG68" s="401"/>
      <c r="LRH68" s="401"/>
      <c r="LRI68" s="401"/>
      <c r="LRJ68" s="401"/>
      <c r="LRK68" s="401"/>
      <c r="LRL68" s="401"/>
      <c r="LRM68" s="401"/>
      <c r="LRN68" s="401"/>
      <c r="LRO68" s="401"/>
      <c r="LRP68" s="401"/>
      <c r="LRQ68" s="401"/>
      <c r="LRR68" s="401"/>
      <c r="LRS68" s="401"/>
      <c r="LRT68" s="401"/>
      <c r="LRU68" s="401"/>
      <c r="LRV68" s="401"/>
      <c r="LRW68" s="401"/>
      <c r="LRX68" s="401"/>
      <c r="LRY68" s="401"/>
      <c r="LRZ68" s="401"/>
      <c r="LSA68" s="401"/>
      <c r="LSB68" s="401"/>
      <c r="LSC68" s="401"/>
      <c r="LSD68" s="401"/>
      <c r="LSE68" s="401"/>
      <c r="LSF68" s="401"/>
      <c r="LSG68" s="401"/>
      <c r="LSH68" s="401"/>
      <c r="LSI68" s="401"/>
      <c r="LSJ68" s="401"/>
      <c r="LSK68" s="401"/>
      <c r="LSL68" s="401"/>
      <c r="LSM68" s="401"/>
      <c r="LSN68" s="401"/>
      <c r="LSO68" s="401"/>
      <c r="LSP68" s="401"/>
      <c r="LSQ68" s="401"/>
      <c r="LSR68" s="401"/>
      <c r="LSS68" s="401"/>
      <c r="LST68" s="401"/>
      <c r="LSU68" s="401"/>
      <c r="LSV68" s="401"/>
      <c r="LSW68" s="401"/>
      <c r="LSX68" s="401"/>
      <c r="LSY68" s="401"/>
      <c r="LSZ68" s="401"/>
      <c r="LTA68" s="401"/>
      <c r="LTB68" s="401"/>
      <c r="LTC68" s="401"/>
      <c r="LTD68" s="401"/>
      <c r="LTE68" s="401"/>
      <c r="LTF68" s="401"/>
      <c r="LTG68" s="401"/>
      <c r="LTH68" s="401"/>
      <c r="LTI68" s="401"/>
      <c r="LTJ68" s="401"/>
      <c r="LTK68" s="401"/>
      <c r="LTL68" s="401"/>
      <c r="LTM68" s="401"/>
      <c r="LTN68" s="401"/>
      <c r="LTO68" s="401"/>
      <c r="LTP68" s="401"/>
      <c r="LTQ68" s="401"/>
      <c r="LTR68" s="401"/>
      <c r="LTS68" s="401"/>
      <c r="LTT68" s="401"/>
      <c r="LTU68" s="401"/>
      <c r="LTV68" s="401"/>
      <c r="LTW68" s="401"/>
      <c r="LTX68" s="401"/>
      <c r="LTY68" s="401"/>
      <c r="LTZ68" s="401"/>
      <c r="LUA68" s="401"/>
      <c r="LUB68" s="401"/>
      <c r="LUC68" s="401"/>
      <c r="LUD68" s="401"/>
      <c r="LUE68" s="401"/>
      <c r="LUF68" s="401"/>
      <c r="LUG68" s="401"/>
      <c r="LUH68" s="401"/>
      <c r="LUI68" s="401"/>
      <c r="LUJ68" s="401"/>
      <c r="LUK68" s="401"/>
      <c r="LUL68" s="401"/>
      <c r="LUM68" s="401"/>
      <c r="LUN68" s="401"/>
      <c r="LUO68" s="401"/>
      <c r="LUP68" s="401"/>
      <c r="LUQ68" s="401"/>
      <c r="LUR68" s="401"/>
      <c r="LUS68" s="401"/>
      <c r="LUT68" s="401"/>
      <c r="LUU68" s="401"/>
      <c r="LUV68" s="401"/>
      <c r="LUW68" s="401"/>
      <c r="LUX68" s="401"/>
      <c r="LUY68" s="401"/>
      <c r="LUZ68" s="401"/>
      <c r="LVA68" s="401"/>
      <c r="LVB68" s="401"/>
      <c r="LVC68" s="401"/>
      <c r="LVD68" s="401"/>
      <c r="LVE68" s="401"/>
      <c r="LVF68" s="401"/>
      <c r="LVG68" s="401"/>
      <c r="LVH68" s="401"/>
      <c r="LVI68" s="401"/>
      <c r="LVJ68" s="401"/>
      <c r="LVK68" s="401"/>
      <c r="LVL68" s="401"/>
      <c r="LVM68" s="401"/>
      <c r="LVN68" s="401"/>
      <c r="LVO68" s="401"/>
      <c r="LVP68" s="401"/>
      <c r="LVQ68" s="401"/>
      <c r="LVR68" s="401"/>
      <c r="LVS68" s="401"/>
      <c r="LVT68" s="401"/>
      <c r="LVU68" s="401"/>
      <c r="LVV68" s="401"/>
      <c r="LVW68" s="401"/>
      <c r="LVX68" s="401"/>
      <c r="LVY68" s="401"/>
      <c r="LVZ68" s="401"/>
      <c r="LWA68" s="401"/>
      <c r="LWB68" s="401"/>
      <c r="LWC68" s="401"/>
      <c r="LWD68" s="401"/>
      <c r="LWE68" s="401"/>
      <c r="LWF68" s="401"/>
      <c r="LWG68" s="401"/>
      <c r="LWH68" s="401"/>
      <c r="LWI68" s="401"/>
      <c r="LWJ68" s="401"/>
      <c r="LWK68" s="401"/>
      <c r="LWL68" s="401"/>
      <c r="LWM68" s="401"/>
      <c r="LWN68" s="401"/>
      <c r="LWO68" s="401"/>
      <c r="LWP68" s="401"/>
      <c r="LWQ68" s="401"/>
      <c r="LWR68" s="401"/>
      <c r="LWS68" s="401"/>
      <c r="LWT68" s="401"/>
      <c r="LWU68" s="401"/>
      <c r="LWV68" s="401"/>
      <c r="LWW68" s="401"/>
      <c r="LWX68" s="401"/>
      <c r="LWY68" s="401"/>
      <c r="LWZ68" s="401"/>
      <c r="LXA68" s="401"/>
      <c r="LXB68" s="401"/>
      <c r="LXC68" s="401"/>
      <c r="LXD68" s="401"/>
      <c r="LXE68" s="401"/>
      <c r="LXF68" s="401"/>
      <c r="LXG68" s="401"/>
      <c r="LXH68" s="401"/>
      <c r="LXI68" s="401"/>
      <c r="LXJ68" s="401"/>
      <c r="LXK68" s="401"/>
      <c r="LXL68" s="401"/>
      <c r="LXM68" s="401"/>
      <c r="LXN68" s="401"/>
      <c r="LXO68" s="401"/>
      <c r="LXP68" s="401"/>
      <c r="LXQ68" s="401"/>
      <c r="LXR68" s="401"/>
      <c r="LXS68" s="401"/>
      <c r="LXT68" s="401"/>
      <c r="LXU68" s="401"/>
      <c r="LXV68" s="401"/>
      <c r="LXW68" s="401"/>
      <c r="LXX68" s="401"/>
      <c r="LXY68" s="401"/>
      <c r="LXZ68" s="401"/>
      <c r="LYA68" s="401"/>
      <c r="LYB68" s="401"/>
      <c r="LYC68" s="401"/>
      <c r="LYD68" s="401"/>
      <c r="LYE68" s="401"/>
      <c r="LYF68" s="401"/>
      <c r="LYG68" s="401"/>
      <c r="LYH68" s="401"/>
      <c r="LYI68" s="401"/>
      <c r="LYJ68" s="401"/>
      <c r="LYK68" s="401"/>
      <c r="LYL68" s="401"/>
      <c r="LYM68" s="401"/>
      <c r="LYN68" s="401"/>
      <c r="LYO68" s="401"/>
      <c r="LYP68" s="401"/>
      <c r="LYQ68" s="401"/>
      <c r="LYR68" s="401"/>
      <c r="LYS68" s="401"/>
      <c r="LYT68" s="401"/>
      <c r="LYU68" s="401"/>
      <c r="LYV68" s="401"/>
      <c r="LYW68" s="401"/>
      <c r="LYX68" s="401"/>
      <c r="LYY68" s="401"/>
      <c r="LYZ68" s="401"/>
      <c r="LZA68" s="401"/>
      <c r="LZB68" s="401"/>
      <c r="LZC68" s="401"/>
      <c r="LZD68" s="401"/>
      <c r="LZE68" s="401"/>
      <c r="LZF68" s="401"/>
      <c r="LZG68" s="401"/>
      <c r="LZH68" s="401"/>
      <c r="LZI68" s="401"/>
      <c r="LZJ68" s="401"/>
      <c r="LZK68" s="401"/>
      <c r="LZL68" s="401"/>
      <c r="LZM68" s="401"/>
      <c r="LZN68" s="401"/>
      <c r="LZO68" s="401"/>
      <c r="LZP68" s="401"/>
      <c r="LZQ68" s="401"/>
      <c r="LZR68" s="401"/>
      <c r="LZS68" s="401"/>
      <c r="LZT68" s="401"/>
      <c r="LZU68" s="401"/>
      <c r="LZV68" s="401"/>
      <c r="LZW68" s="401"/>
      <c r="LZX68" s="401"/>
      <c r="LZY68" s="401"/>
      <c r="LZZ68" s="401"/>
      <c r="MAA68" s="401"/>
      <c r="MAB68" s="401"/>
      <c r="MAC68" s="401"/>
      <c r="MAD68" s="401"/>
      <c r="MAE68" s="401"/>
      <c r="MAF68" s="401"/>
      <c r="MAG68" s="401"/>
      <c r="MAH68" s="401"/>
      <c r="MAI68" s="401"/>
      <c r="MAJ68" s="401"/>
      <c r="MAK68" s="401"/>
      <c r="MAL68" s="401"/>
      <c r="MAM68" s="401"/>
      <c r="MAN68" s="401"/>
      <c r="MAO68" s="401"/>
      <c r="MAP68" s="401"/>
      <c r="MAQ68" s="401"/>
      <c r="MAR68" s="401"/>
      <c r="MAS68" s="401"/>
      <c r="MAT68" s="401"/>
      <c r="MAU68" s="401"/>
      <c r="MAV68" s="401"/>
      <c r="MAW68" s="401"/>
      <c r="MAX68" s="401"/>
      <c r="MAY68" s="401"/>
      <c r="MAZ68" s="401"/>
      <c r="MBA68" s="401"/>
      <c r="MBB68" s="401"/>
      <c r="MBC68" s="401"/>
      <c r="MBD68" s="401"/>
      <c r="MBE68" s="401"/>
      <c r="MBF68" s="401"/>
      <c r="MBG68" s="401"/>
      <c r="MBH68" s="401"/>
      <c r="MBI68" s="401"/>
      <c r="MBJ68" s="401"/>
      <c r="MBK68" s="401"/>
      <c r="MBL68" s="401"/>
      <c r="MBM68" s="401"/>
      <c r="MBN68" s="401"/>
      <c r="MBO68" s="401"/>
      <c r="MBP68" s="401"/>
      <c r="MBQ68" s="401"/>
      <c r="MBR68" s="401"/>
      <c r="MBS68" s="401"/>
      <c r="MBT68" s="401"/>
      <c r="MBU68" s="401"/>
      <c r="MBV68" s="401"/>
      <c r="MBW68" s="401"/>
      <c r="MBX68" s="401"/>
      <c r="MBY68" s="401"/>
      <c r="MBZ68" s="401"/>
      <c r="MCA68" s="401"/>
      <c r="MCB68" s="401"/>
      <c r="MCC68" s="401"/>
      <c r="MCD68" s="401"/>
      <c r="MCE68" s="401"/>
      <c r="MCF68" s="401"/>
      <c r="MCG68" s="401"/>
      <c r="MCH68" s="401"/>
      <c r="MCI68" s="401"/>
      <c r="MCJ68" s="401"/>
      <c r="MCK68" s="401"/>
      <c r="MCL68" s="401"/>
      <c r="MCM68" s="401"/>
      <c r="MCN68" s="401"/>
      <c r="MCO68" s="401"/>
      <c r="MCP68" s="401"/>
      <c r="MCQ68" s="401"/>
      <c r="MCR68" s="401"/>
      <c r="MCS68" s="401"/>
      <c r="MCT68" s="401"/>
      <c r="MCU68" s="401"/>
      <c r="MCV68" s="401"/>
      <c r="MCW68" s="401"/>
      <c r="MCX68" s="401"/>
      <c r="MCY68" s="401"/>
      <c r="MCZ68" s="401"/>
      <c r="MDA68" s="401"/>
      <c r="MDB68" s="401"/>
      <c r="MDC68" s="401"/>
      <c r="MDD68" s="401"/>
      <c r="MDE68" s="401"/>
      <c r="MDF68" s="401"/>
      <c r="MDG68" s="401"/>
      <c r="MDH68" s="401"/>
      <c r="MDI68" s="401"/>
      <c r="MDJ68" s="401"/>
      <c r="MDK68" s="401"/>
      <c r="MDL68" s="401"/>
      <c r="MDM68" s="401"/>
      <c r="MDN68" s="401"/>
      <c r="MDO68" s="401"/>
      <c r="MDP68" s="401"/>
      <c r="MDQ68" s="401"/>
      <c r="MDR68" s="401"/>
      <c r="MDS68" s="401"/>
      <c r="MDT68" s="401"/>
      <c r="MDU68" s="401"/>
      <c r="MDV68" s="401"/>
      <c r="MDW68" s="401"/>
      <c r="MDX68" s="401"/>
      <c r="MDY68" s="401"/>
      <c r="MDZ68" s="401"/>
      <c r="MEA68" s="401"/>
      <c r="MEB68" s="401"/>
      <c r="MEC68" s="401"/>
      <c r="MED68" s="401"/>
      <c r="MEE68" s="401"/>
      <c r="MEF68" s="401"/>
      <c r="MEG68" s="401"/>
      <c r="MEH68" s="401"/>
      <c r="MEI68" s="401"/>
      <c r="MEJ68" s="401"/>
      <c r="MEK68" s="401"/>
      <c r="MEL68" s="401"/>
      <c r="MEM68" s="401"/>
      <c r="MEN68" s="401"/>
      <c r="MEO68" s="401"/>
      <c r="MEP68" s="401"/>
      <c r="MEQ68" s="401"/>
      <c r="MER68" s="401"/>
      <c r="MES68" s="401"/>
      <c r="MET68" s="401"/>
      <c r="MEU68" s="401"/>
      <c r="MEV68" s="401"/>
      <c r="MEW68" s="401"/>
      <c r="MEX68" s="401"/>
      <c r="MEY68" s="401"/>
      <c r="MEZ68" s="401"/>
      <c r="MFA68" s="401"/>
      <c r="MFB68" s="401"/>
      <c r="MFC68" s="401"/>
      <c r="MFD68" s="401"/>
      <c r="MFE68" s="401"/>
      <c r="MFF68" s="401"/>
      <c r="MFG68" s="401"/>
      <c r="MFH68" s="401"/>
      <c r="MFI68" s="401"/>
      <c r="MFJ68" s="401"/>
      <c r="MFK68" s="401"/>
      <c r="MFL68" s="401"/>
      <c r="MFM68" s="401"/>
      <c r="MFN68" s="401"/>
      <c r="MFO68" s="401"/>
      <c r="MFP68" s="401"/>
      <c r="MFQ68" s="401"/>
      <c r="MFR68" s="401"/>
      <c r="MFS68" s="401"/>
      <c r="MFT68" s="401"/>
      <c r="MFU68" s="401"/>
      <c r="MFV68" s="401"/>
      <c r="MFW68" s="401"/>
      <c r="MFX68" s="401"/>
      <c r="MFY68" s="401"/>
      <c r="MFZ68" s="401"/>
      <c r="MGA68" s="401"/>
      <c r="MGB68" s="401"/>
      <c r="MGC68" s="401"/>
      <c r="MGD68" s="401"/>
      <c r="MGE68" s="401"/>
      <c r="MGF68" s="401"/>
      <c r="MGG68" s="401"/>
      <c r="MGH68" s="401"/>
      <c r="MGI68" s="401"/>
      <c r="MGJ68" s="401"/>
      <c r="MGK68" s="401"/>
      <c r="MGL68" s="401"/>
      <c r="MGM68" s="401"/>
      <c r="MGN68" s="401"/>
      <c r="MGO68" s="401"/>
      <c r="MGP68" s="401"/>
      <c r="MGQ68" s="401"/>
      <c r="MGR68" s="401"/>
      <c r="MGS68" s="401"/>
      <c r="MGT68" s="401"/>
      <c r="MGU68" s="401"/>
      <c r="MGV68" s="401"/>
      <c r="MGW68" s="401"/>
      <c r="MGX68" s="401"/>
      <c r="MGY68" s="401"/>
      <c r="MGZ68" s="401"/>
      <c r="MHA68" s="401"/>
      <c r="MHB68" s="401"/>
      <c r="MHC68" s="401"/>
      <c r="MHD68" s="401"/>
      <c r="MHE68" s="401"/>
      <c r="MHF68" s="401"/>
      <c r="MHG68" s="401"/>
      <c r="MHH68" s="401"/>
      <c r="MHI68" s="401"/>
      <c r="MHJ68" s="401"/>
      <c r="MHK68" s="401"/>
      <c r="MHL68" s="401"/>
      <c r="MHM68" s="401"/>
      <c r="MHN68" s="401"/>
      <c r="MHO68" s="401"/>
      <c r="MHP68" s="401"/>
      <c r="MHQ68" s="401"/>
      <c r="MHR68" s="401"/>
      <c r="MHS68" s="401"/>
      <c r="MHT68" s="401"/>
      <c r="MHU68" s="401"/>
      <c r="MHV68" s="401"/>
      <c r="MHW68" s="401"/>
      <c r="MHX68" s="401"/>
      <c r="MHY68" s="401"/>
      <c r="MHZ68" s="401"/>
      <c r="MIA68" s="401"/>
      <c r="MIB68" s="401"/>
      <c r="MIC68" s="401"/>
      <c r="MID68" s="401"/>
      <c r="MIE68" s="401"/>
      <c r="MIF68" s="401"/>
      <c r="MIG68" s="401"/>
      <c r="MIH68" s="401"/>
      <c r="MII68" s="401"/>
      <c r="MIJ68" s="401"/>
      <c r="MIK68" s="401"/>
      <c r="MIL68" s="401"/>
      <c r="MIM68" s="401"/>
      <c r="MIN68" s="401"/>
      <c r="MIO68" s="401"/>
      <c r="MIP68" s="401"/>
      <c r="MIQ68" s="401"/>
      <c r="MIR68" s="401"/>
      <c r="MIS68" s="401"/>
      <c r="MIT68" s="401"/>
      <c r="MIU68" s="401"/>
      <c r="MIV68" s="401"/>
      <c r="MIW68" s="401"/>
      <c r="MIX68" s="401"/>
      <c r="MIY68" s="401"/>
      <c r="MIZ68" s="401"/>
      <c r="MJA68" s="401"/>
      <c r="MJB68" s="401"/>
      <c r="MJC68" s="401"/>
      <c r="MJD68" s="401"/>
      <c r="MJE68" s="401"/>
      <c r="MJF68" s="401"/>
      <c r="MJG68" s="401"/>
      <c r="MJH68" s="401"/>
      <c r="MJI68" s="401"/>
      <c r="MJJ68" s="401"/>
      <c r="MJK68" s="401"/>
      <c r="MJL68" s="401"/>
      <c r="MJM68" s="401"/>
      <c r="MJN68" s="401"/>
      <c r="MJO68" s="401"/>
      <c r="MJP68" s="401"/>
      <c r="MJQ68" s="401"/>
      <c r="MJR68" s="401"/>
      <c r="MJS68" s="401"/>
      <c r="MJT68" s="401"/>
      <c r="MJU68" s="401"/>
      <c r="MJV68" s="401"/>
      <c r="MJW68" s="401"/>
      <c r="MJX68" s="401"/>
      <c r="MJY68" s="401"/>
      <c r="MJZ68" s="401"/>
      <c r="MKA68" s="401"/>
      <c r="MKB68" s="401"/>
      <c r="MKC68" s="401"/>
      <c r="MKD68" s="401"/>
      <c r="MKE68" s="401"/>
      <c r="MKF68" s="401"/>
      <c r="MKG68" s="401"/>
      <c r="MKH68" s="401"/>
      <c r="MKI68" s="401"/>
      <c r="MKJ68" s="401"/>
      <c r="MKK68" s="401"/>
      <c r="MKL68" s="401"/>
      <c r="MKM68" s="401"/>
      <c r="MKN68" s="401"/>
      <c r="MKO68" s="401"/>
      <c r="MKP68" s="401"/>
      <c r="MKQ68" s="401"/>
      <c r="MKR68" s="401"/>
      <c r="MKS68" s="401"/>
      <c r="MKT68" s="401"/>
      <c r="MKU68" s="401"/>
      <c r="MKV68" s="401"/>
      <c r="MKW68" s="401"/>
      <c r="MKX68" s="401"/>
      <c r="MKY68" s="401"/>
      <c r="MKZ68" s="401"/>
      <c r="MLA68" s="401"/>
      <c r="MLB68" s="401"/>
      <c r="MLC68" s="401"/>
      <c r="MLD68" s="401"/>
      <c r="MLE68" s="401"/>
      <c r="MLF68" s="401"/>
      <c r="MLG68" s="401"/>
      <c r="MLH68" s="401"/>
      <c r="MLI68" s="401"/>
      <c r="MLJ68" s="401"/>
      <c r="MLK68" s="401"/>
      <c r="MLL68" s="401"/>
      <c r="MLM68" s="401"/>
      <c r="MLN68" s="401"/>
      <c r="MLO68" s="401"/>
      <c r="MLP68" s="401"/>
      <c r="MLQ68" s="401"/>
      <c r="MLR68" s="401"/>
      <c r="MLS68" s="401"/>
      <c r="MLT68" s="401"/>
      <c r="MLU68" s="401"/>
      <c r="MLV68" s="401"/>
      <c r="MLW68" s="401"/>
      <c r="MLX68" s="401"/>
      <c r="MLY68" s="401"/>
      <c r="MLZ68" s="401"/>
      <c r="MMA68" s="401"/>
      <c r="MMB68" s="401"/>
      <c r="MMC68" s="401"/>
      <c r="MMD68" s="401"/>
      <c r="MME68" s="401"/>
      <c r="MMF68" s="401"/>
      <c r="MMG68" s="401"/>
      <c r="MMH68" s="401"/>
      <c r="MMI68" s="401"/>
      <c r="MMJ68" s="401"/>
      <c r="MMK68" s="401"/>
      <c r="MML68" s="401"/>
      <c r="MMM68" s="401"/>
      <c r="MMN68" s="401"/>
      <c r="MMO68" s="401"/>
      <c r="MMP68" s="401"/>
      <c r="MMQ68" s="401"/>
      <c r="MMR68" s="401"/>
      <c r="MMS68" s="401"/>
      <c r="MMT68" s="401"/>
      <c r="MMU68" s="401"/>
      <c r="MMV68" s="401"/>
      <c r="MMW68" s="401"/>
      <c r="MMX68" s="401"/>
      <c r="MMY68" s="401"/>
      <c r="MMZ68" s="401"/>
      <c r="MNA68" s="401"/>
      <c r="MNB68" s="401"/>
      <c r="MNC68" s="401"/>
      <c r="MND68" s="401"/>
      <c r="MNE68" s="401"/>
      <c r="MNF68" s="401"/>
      <c r="MNG68" s="401"/>
      <c r="MNH68" s="401"/>
      <c r="MNI68" s="401"/>
      <c r="MNJ68" s="401"/>
      <c r="MNK68" s="401"/>
      <c r="MNL68" s="401"/>
      <c r="MNM68" s="401"/>
      <c r="MNN68" s="401"/>
      <c r="MNO68" s="401"/>
      <c r="MNP68" s="401"/>
      <c r="MNQ68" s="401"/>
      <c r="MNR68" s="401"/>
      <c r="MNS68" s="401"/>
      <c r="MNT68" s="401"/>
      <c r="MNU68" s="401"/>
      <c r="MNV68" s="401"/>
      <c r="MNW68" s="401"/>
      <c r="MNX68" s="401"/>
      <c r="MNY68" s="401"/>
      <c r="MNZ68" s="401"/>
      <c r="MOA68" s="401"/>
      <c r="MOB68" s="401"/>
      <c r="MOC68" s="401"/>
      <c r="MOD68" s="401"/>
      <c r="MOE68" s="401"/>
      <c r="MOF68" s="401"/>
      <c r="MOG68" s="401"/>
      <c r="MOH68" s="401"/>
      <c r="MOI68" s="401"/>
      <c r="MOJ68" s="401"/>
      <c r="MOK68" s="401"/>
      <c r="MOL68" s="401"/>
      <c r="MOM68" s="401"/>
      <c r="MON68" s="401"/>
      <c r="MOO68" s="401"/>
      <c r="MOP68" s="401"/>
      <c r="MOQ68" s="401"/>
      <c r="MOR68" s="401"/>
      <c r="MOS68" s="401"/>
      <c r="MOT68" s="401"/>
      <c r="MOU68" s="401"/>
      <c r="MOV68" s="401"/>
      <c r="MOW68" s="401"/>
      <c r="MOX68" s="401"/>
      <c r="MOY68" s="401"/>
      <c r="MOZ68" s="401"/>
      <c r="MPA68" s="401"/>
      <c r="MPB68" s="401"/>
      <c r="MPC68" s="401"/>
      <c r="MPD68" s="401"/>
      <c r="MPE68" s="401"/>
      <c r="MPF68" s="401"/>
      <c r="MPG68" s="401"/>
      <c r="MPH68" s="401"/>
      <c r="MPI68" s="401"/>
      <c r="MPJ68" s="401"/>
      <c r="MPK68" s="401"/>
      <c r="MPL68" s="401"/>
      <c r="MPM68" s="401"/>
      <c r="MPN68" s="401"/>
      <c r="MPO68" s="401"/>
      <c r="MPP68" s="401"/>
      <c r="MPQ68" s="401"/>
      <c r="MPR68" s="401"/>
      <c r="MPS68" s="401"/>
      <c r="MPT68" s="401"/>
      <c r="MPU68" s="401"/>
      <c r="MPV68" s="401"/>
      <c r="MPW68" s="401"/>
      <c r="MPX68" s="401"/>
      <c r="MPY68" s="401"/>
      <c r="MPZ68" s="401"/>
      <c r="MQA68" s="401"/>
      <c r="MQB68" s="401"/>
      <c r="MQC68" s="401"/>
      <c r="MQD68" s="401"/>
      <c r="MQE68" s="401"/>
      <c r="MQF68" s="401"/>
      <c r="MQG68" s="401"/>
      <c r="MQH68" s="401"/>
      <c r="MQI68" s="401"/>
      <c r="MQJ68" s="401"/>
      <c r="MQK68" s="401"/>
      <c r="MQL68" s="401"/>
      <c r="MQM68" s="401"/>
      <c r="MQN68" s="401"/>
      <c r="MQO68" s="401"/>
      <c r="MQP68" s="401"/>
      <c r="MQQ68" s="401"/>
      <c r="MQR68" s="401"/>
      <c r="MQS68" s="401"/>
      <c r="MQT68" s="401"/>
      <c r="MQU68" s="401"/>
      <c r="MQV68" s="401"/>
      <c r="MQW68" s="401"/>
      <c r="MQX68" s="401"/>
      <c r="MQY68" s="401"/>
      <c r="MQZ68" s="401"/>
      <c r="MRA68" s="401"/>
      <c r="MRB68" s="401"/>
      <c r="MRC68" s="401"/>
      <c r="MRD68" s="401"/>
      <c r="MRE68" s="401"/>
      <c r="MRF68" s="401"/>
      <c r="MRG68" s="401"/>
      <c r="MRH68" s="401"/>
      <c r="MRI68" s="401"/>
      <c r="MRJ68" s="401"/>
      <c r="MRK68" s="401"/>
      <c r="MRL68" s="401"/>
      <c r="MRM68" s="401"/>
      <c r="MRN68" s="401"/>
      <c r="MRO68" s="401"/>
      <c r="MRP68" s="401"/>
      <c r="MRQ68" s="401"/>
      <c r="MRR68" s="401"/>
      <c r="MRS68" s="401"/>
      <c r="MRT68" s="401"/>
      <c r="MRU68" s="401"/>
      <c r="MRV68" s="401"/>
      <c r="MRW68" s="401"/>
      <c r="MRX68" s="401"/>
      <c r="MRY68" s="401"/>
      <c r="MRZ68" s="401"/>
      <c r="MSA68" s="401"/>
      <c r="MSB68" s="401"/>
      <c r="MSC68" s="401"/>
      <c r="MSD68" s="401"/>
      <c r="MSE68" s="401"/>
      <c r="MSF68" s="401"/>
      <c r="MSG68" s="401"/>
      <c r="MSH68" s="401"/>
      <c r="MSI68" s="401"/>
      <c r="MSJ68" s="401"/>
      <c r="MSK68" s="401"/>
      <c r="MSL68" s="401"/>
      <c r="MSM68" s="401"/>
      <c r="MSN68" s="401"/>
      <c r="MSO68" s="401"/>
      <c r="MSP68" s="401"/>
      <c r="MSQ68" s="401"/>
      <c r="MSR68" s="401"/>
      <c r="MSS68" s="401"/>
      <c r="MST68" s="401"/>
      <c r="MSU68" s="401"/>
      <c r="MSV68" s="401"/>
      <c r="MSW68" s="401"/>
      <c r="MSX68" s="401"/>
      <c r="MSY68" s="401"/>
      <c r="MSZ68" s="401"/>
      <c r="MTA68" s="401"/>
      <c r="MTB68" s="401"/>
      <c r="MTC68" s="401"/>
      <c r="MTD68" s="401"/>
      <c r="MTE68" s="401"/>
      <c r="MTF68" s="401"/>
      <c r="MTG68" s="401"/>
      <c r="MTH68" s="401"/>
      <c r="MTI68" s="401"/>
      <c r="MTJ68" s="401"/>
      <c r="MTK68" s="401"/>
      <c r="MTL68" s="401"/>
      <c r="MTM68" s="401"/>
      <c r="MTN68" s="401"/>
      <c r="MTO68" s="401"/>
      <c r="MTP68" s="401"/>
      <c r="MTQ68" s="401"/>
      <c r="MTR68" s="401"/>
      <c r="MTS68" s="401"/>
      <c r="MTT68" s="401"/>
      <c r="MTU68" s="401"/>
      <c r="MTV68" s="401"/>
      <c r="MTW68" s="401"/>
      <c r="MTX68" s="401"/>
      <c r="MTY68" s="401"/>
      <c r="MTZ68" s="401"/>
      <c r="MUA68" s="401"/>
      <c r="MUB68" s="401"/>
      <c r="MUC68" s="401"/>
      <c r="MUD68" s="401"/>
      <c r="MUE68" s="401"/>
      <c r="MUF68" s="401"/>
      <c r="MUG68" s="401"/>
      <c r="MUH68" s="401"/>
      <c r="MUI68" s="401"/>
      <c r="MUJ68" s="401"/>
      <c r="MUK68" s="401"/>
      <c r="MUL68" s="401"/>
      <c r="MUM68" s="401"/>
      <c r="MUN68" s="401"/>
      <c r="MUO68" s="401"/>
      <c r="MUP68" s="401"/>
      <c r="MUQ68" s="401"/>
      <c r="MUR68" s="401"/>
      <c r="MUS68" s="401"/>
      <c r="MUT68" s="401"/>
      <c r="MUU68" s="401"/>
      <c r="MUV68" s="401"/>
      <c r="MUW68" s="401"/>
      <c r="MUX68" s="401"/>
      <c r="MUY68" s="401"/>
      <c r="MUZ68" s="401"/>
      <c r="MVA68" s="401"/>
      <c r="MVB68" s="401"/>
      <c r="MVC68" s="401"/>
      <c r="MVD68" s="401"/>
      <c r="MVE68" s="401"/>
      <c r="MVF68" s="401"/>
      <c r="MVG68" s="401"/>
      <c r="MVH68" s="401"/>
      <c r="MVI68" s="401"/>
      <c r="MVJ68" s="401"/>
      <c r="MVK68" s="401"/>
      <c r="MVL68" s="401"/>
      <c r="MVM68" s="401"/>
      <c r="MVN68" s="401"/>
      <c r="MVO68" s="401"/>
      <c r="MVP68" s="401"/>
      <c r="MVQ68" s="401"/>
      <c r="MVR68" s="401"/>
      <c r="MVS68" s="401"/>
      <c r="MVT68" s="401"/>
      <c r="MVU68" s="401"/>
      <c r="MVV68" s="401"/>
      <c r="MVW68" s="401"/>
      <c r="MVX68" s="401"/>
      <c r="MVY68" s="401"/>
      <c r="MVZ68" s="401"/>
      <c r="MWA68" s="401"/>
      <c r="MWB68" s="401"/>
      <c r="MWC68" s="401"/>
      <c r="MWD68" s="401"/>
      <c r="MWE68" s="401"/>
      <c r="MWF68" s="401"/>
      <c r="MWG68" s="401"/>
      <c r="MWH68" s="401"/>
      <c r="MWI68" s="401"/>
      <c r="MWJ68" s="401"/>
      <c r="MWK68" s="401"/>
      <c r="MWL68" s="401"/>
      <c r="MWM68" s="401"/>
      <c r="MWN68" s="401"/>
      <c r="MWO68" s="401"/>
      <c r="MWP68" s="401"/>
      <c r="MWQ68" s="401"/>
      <c r="MWR68" s="401"/>
      <c r="MWS68" s="401"/>
      <c r="MWT68" s="401"/>
      <c r="MWU68" s="401"/>
      <c r="MWV68" s="401"/>
      <c r="MWW68" s="401"/>
      <c r="MWX68" s="401"/>
      <c r="MWY68" s="401"/>
      <c r="MWZ68" s="401"/>
      <c r="MXA68" s="401"/>
      <c r="MXB68" s="401"/>
      <c r="MXC68" s="401"/>
      <c r="MXD68" s="401"/>
      <c r="MXE68" s="401"/>
      <c r="MXF68" s="401"/>
      <c r="MXG68" s="401"/>
      <c r="MXH68" s="401"/>
      <c r="MXI68" s="401"/>
      <c r="MXJ68" s="401"/>
      <c r="MXK68" s="401"/>
      <c r="MXL68" s="401"/>
      <c r="MXM68" s="401"/>
      <c r="MXN68" s="401"/>
      <c r="MXO68" s="401"/>
      <c r="MXP68" s="401"/>
      <c r="MXQ68" s="401"/>
      <c r="MXR68" s="401"/>
      <c r="MXS68" s="401"/>
      <c r="MXT68" s="401"/>
      <c r="MXU68" s="401"/>
      <c r="MXV68" s="401"/>
      <c r="MXW68" s="401"/>
      <c r="MXX68" s="401"/>
      <c r="MXY68" s="401"/>
      <c r="MXZ68" s="401"/>
      <c r="MYA68" s="401"/>
      <c r="MYB68" s="401"/>
      <c r="MYC68" s="401"/>
      <c r="MYD68" s="401"/>
      <c r="MYE68" s="401"/>
      <c r="MYF68" s="401"/>
      <c r="MYG68" s="401"/>
      <c r="MYH68" s="401"/>
      <c r="MYI68" s="401"/>
      <c r="MYJ68" s="401"/>
      <c r="MYK68" s="401"/>
      <c r="MYL68" s="401"/>
      <c r="MYM68" s="401"/>
      <c r="MYN68" s="401"/>
      <c r="MYO68" s="401"/>
      <c r="MYP68" s="401"/>
      <c r="MYQ68" s="401"/>
      <c r="MYR68" s="401"/>
      <c r="MYS68" s="401"/>
      <c r="MYT68" s="401"/>
      <c r="MYU68" s="401"/>
      <c r="MYV68" s="401"/>
      <c r="MYW68" s="401"/>
      <c r="MYX68" s="401"/>
      <c r="MYY68" s="401"/>
      <c r="MYZ68" s="401"/>
      <c r="MZA68" s="401"/>
      <c r="MZB68" s="401"/>
      <c r="MZC68" s="401"/>
      <c r="MZD68" s="401"/>
      <c r="MZE68" s="401"/>
      <c r="MZF68" s="401"/>
      <c r="MZG68" s="401"/>
      <c r="MZH68" s="401"/>
      <c r="MZI68" s="401"/>
      <c r="MZJ68" s="401"/>
      <c r="MZK68" s="401"/>
      <c r="MZL68" s="401"/>
      <c r="MZM68" s="401"/>
      <c r="MZN68" s="401"/>
      <c r="MZO68" s="401"/>
      <c r="MZP68" s="401"/>
      <c r="MZQ68" s="401"/>
      <c r="MZR68" s="401"/>
      <c r="MZS68" s="401"/>
      <c r="MZT68" s="401"/>
      <c r="MZU68" s="401"/>
      <c r="MZV68" s="401"/>
      <c r="MZW68" s="401"/>
      <c r="MZX68" s="401"/>
      <c r="MZY68" s="401"/>
      <c r="MZZ68" s="401"/>
      <c r="NAA68" s="401"/>
      <c r="NAB68" s="401"/>
      <c r="NAC68" s="401"/>
      <c r="NAD68" s="401"/>
      <c r="NAE68" s="401"/>
      <c r="NAF68" s="401"/>
      <c r="NAG68" s="401"/>
      <c r="NAH68" s="401"/>
      <c r="NAI68" s="401"/>
      <c r="NAJ68" s="401"/>
      <c r="NAK68" s="401"/>
      <c r="NAL68" s="401"/>
      <c r="NAM68" s="401"/>
      <c r="NAN68" s="401"/>
      <c r="NAO68" s="401"/>
      <c r="NAP68" s="401"/>
      <c r="NAQ68" s="401"/>
      <c r="NAR68" s="401"/>
      <c r="NAS68" s="401"/>
      <c r="NAT68" s="401"/>
      <c r="NAU68" s="401"/>
      <c r="NAV68" s="401"/>
      <c r="NAW68" s="401"/>
      <c r="NAX68" s="401"/>
      <c r="NAY68" s="401"/>
      <c r="NAZ68" s="401"/>
      <c r="NBA68" s="401"/>
      <c r="NBB68" s="401"/>
      <c r="NBC68" s="401"/>
      <c r="NBD68" s="401"/>
      <c r="NBE68" s="401"/>
      <c r="NBF68" s="401"/>
      <c r="NBG68" s="401"/>
      <c r="NBH68" s="401"/>
      <c r="NBI68" s="401"/>
      <c r="NBJ68" s="401"/>
      <c r="NBK68" s="401"/>
      <c r="NBL68" s="401"/>
      <c r="NBM68" s="401"/>
      <c r="NBN68" s="401"/>
      <c r="NBO68" s="401"/>
      <c r="NBP68" s="401"/>
      <c r="NBQ68" s="401"/>
      <c r="NBR68" s="401"/>
      <c r="NBS68" s="401"/>
      <c r="NBT68" s="401"/>
      <c r="NBU68" s="401"/>
      <c r="NBV68" s="401"/>
      <c r="NBW68" s="401"/>
      <c r="NBX68" s="401"/>
      <c r="NBY68" s="401"/>
      <c r="NBZ68" s="401"/>
      <c r="NCA68" s="401"/>
      <c r="NCB68" s="401"/>
      <c r="NCC68" s="401"/>
      <c r="NCD68" s="401"/>
      <c r="NCE68" s="401"/>
      <c r="NCF68" s="401"/>
      <c r="NCG68" s="401"/>
      <c r="NCH68" s="401"/>
      <c r="NCI68" s="401"/>
      <c r="NCJ68" s="401"/>
      <c r="NCK68" s="401"/>
      <c r="NCL68" s="401"/>
      <c r="NCM68" s="401"/>
      <c r="NCN68" s="401"/>
      <c r="NCO68" s="401"/>
      <c r="NCP68" s="401"/>
      <c r="NCQ68" s="401"/>
      <c r="NCR68" s="401"/>
      <c r="NCS68" s="401"/>
      <c r="NCT68" s="401"/>
      <c r="NCU68" s="401"/>
      <c r="NCV68" s="401"/>
      <c r="NCW68" s="401"/>
      <c r="NCX68" s="401"/>
      <c r="NCY68" s="401"/>
      <c r="NCZ68" s="401"/>
      <c r="NDA68" s="401"/>
      <c r="NDB68" s="401"/>
      <c r="NDC68" s="401"/>
      <c r="NDD68" s="401"/>
      <c r="NDE68" s="401"/>
      <c r="NDF68" s="401"/>
      <c r="NDG68" s="401"/>
      <c r="NDH68" s="401"/>
      <c r="NDI68" s="401"/>
      <c r="NDJ68" s="401"/>
      <c r="NDK68" s="401"/>
      <c r="NDL68" s="401"/>
      <c r="NDM68" s="401"/>
      <c r="NDN68" s="401"/>
      <c r="NDO68" s="401"/>
      <c r="NDP68" s="401"/>
      <c r="NDQ68" s="401"/>
      <c r="NDR68" s="401"/>
      <c r="NDS68" s="401"/>
      <c r="NDT68" s="401"/>
      <c r="NDU68" s="401"/>
      <c r="NDV68" s="401"/>
      <c r="NDW68" s="401"/>
      <c r="NDX68" s="401"/>
      <c r="NDY68" s="401"/>
      <c r="NDZ68" s="401"/>
      <c r="NEA68" s="401"/>
      <c r="NEB68" s="401"/>
      <c r="NEC68" s="401"/>
      <c r="NED68" s="401"/>
      <c r="NEE68" s="401"/>
      <c r="NEF68" s="401"/>
      <c r="NEG68" s="401"/>
      <c r="NEH68" s="401"/>
      <c r="NEI68" s="401"/>
      <c r="NEJ68" s="401"/>
      <c r="NEK68" s="401"/>
      <c r="NEL68" s="401"/>
      <c r="NEM68" s="401"/>
      <c r="NEN68" s="401"/>
      <c r="NEO68" s="401"/>
      <c r="NEP68" s="401"/>
      <c r="NEQ68" s="401"/>
      <c r="NER68" s="401"/>
      <c r="NES68" s="401"/>
      <c r="NET68" s="401"/>
      <c r="NEU68" s="401"/>
      <c r="NEV68" s="401"/>
      <c r="NEW68" s="401"/>
      <c r="NEX68" s="401"/>
      <c r="NEY68" s="401"/>
      <c r="NEZ68" s="401"/>
      <c r="NFA68" s="401"/>
      <c r="NFB68" s="401"/>
      <c r="NFC68" s="401"/>
      <c r="NFD68" s="401"/>
      <c r="NFE68" s="401"/>
      <c r="NFF68" s="401"/>
      <c r="NFG68" s="401"/>
      <c r="NFH68" s="401"/>
      <c r="NFI68" s="401"/>
      <c r="NFJ68" s="401"/>
      <c r="NFK68" s="401"/>
      <c r="NFL68" s="401"/>
      <c r="NFM68" s="401"/>
      <c r="NFN68" s="401"/>
      <c r="NFO68" s="401"/>
      <c r="NFP68" s="401"/>
      <c r="NFQ68" s="401"/>
      <c r="NFR68" s="401"/>
      <c r="NFS68" s="401"/>
      <c r="NFT68" s="401"/>
      <c r="NFU68" s="401"/>
      <c r="NFV68" s="401"/>
      <c r="NFW68" s="401"/>
      <c r="NFX68" s="401"/>
      <c r="NFY68" s="401"/>
      <c r="NFZ68" s="401"/>
      <c r="NGA68" s="401"/>
      <c r="NGB68" s="401"/>
      <c r="NGC68" s="401"/>
      <c r="NGD68" s="401"/>
      <c r="NGE68" s="401"/>
      <c r="NGF68" s="401"/>
      <c r="NGG68" s="401"/>
      <c r="NGH68" s="401"/>
      <c r="NGI68" s="401"/>
      <c r="NGJ68" s="401"/>
      <c r="NGK68" s="401"/>
      <c r="NGL68" s="401"/>
      <c r="NGM68" s="401"/>
      <c r="NGN68" s="401"/>
      <c r="NGO68" s="401"/>
      <c r="NGP68" s="401"/>
      <c r="NGQ68" s="401"/>
      <c r="NGR68" s="401"/>
      <c r="NGS68" s="401"/>
      <c r="NGT68" s="401"/>
      <c r="NGU68" s="401"/>
      <c r="NGV68" s="401"/>
      <c r="NGW68" s="401"/>
      <c r="NGX68" s="401"/>
      <c r="NGY68" s="401"/>
      <c r="NGZ68" s="401"/>
      <c r="NHA68" s="401"/>
      <c r="NHB68" s="401"/>
      <c r="NHC68" s="401"/>
      <c r="NHD68" s="401"/>
      <c r="NHE68" s="401"/>
      <c r="NHF68" s="401"/>
      <c r="NHG68" s="401"/>
      <c r="NHH68" s="401"/>
      <c r="NHI68" s="401"/>
      <c r="NHJ68" s="401"/>
      <c r="NHK68" s="401"/>
      <c r="NHL68" s="401"/>
      <c r="NHM68" s="401"/>
      <c r="NHN68" s="401"/>
      <c r="NHO68" s="401"/>
      <c r="NHP68" s="401"/>
      <c r="NHQ68" s="401"/>
      <c r="NHR68" s="401"/>
      <c r="NHS68" s="401"/>
      <c r="NHT68" s="401"/>
      <c r="NHU68" s="401"/>
      <c r="NHV68" s="401"/>
      <c r="NHW68" s="401"/>
      <c r="NHX68" s="401"/>
      <c r="NHY68" s="401"/>
      <c r="NHZ68" s="401"/>
      <c r="NIA68" s="401"/>
      <c r="NIB68" s="401"/>
      <c r="NIC68" s="401"/>
      <c r="NID68" s="401"/>
      <c r="NIE68" s="401"/>
      <c r="NIF68" s="401"/>
      <c r="NIG68" s="401"/>
      <c r="NIH68" s="401"/>
      <c r="NII68" s="401"/>
      <c r="NIJ68" s="401"/>
      <c r="NIK68" s="401"/>
      <c r="NIL68" s="401"/>
      <c r="NIM68" s="401"/>
      <c r="NIN68" s="401"/>
      <c r="NIO68" s="401"/>
      <c r="NIP68" s="401"/>
      <c r="NIQ68" s="401"/>
      <c r="NIR68" s="401"/>
      <c r="NIS68" s="401"/>
      <c r="NIT68" s="401"/>
      <c r="NIU68" s="401"/>
      <c r="NIV68" s="401"/>
      <c r="NIW68" s="401"/>
      <c r="NIX68" s="401"/>
      <c r="NIY68" s="401"/>
      <c r="NIZ68" s="401"/>
      <c r="NJA68" s="401"/>
      <c r="NJB68" s="401"/>
      <c r="NJC68" s="401"/>
      <c r="NJD68" s="401"/>
      <c r="NJE68" s="401"/>
      <c r="NJF68" s="401"/>
      <c r="NJG68" s="401"/>
      <c r="NJH68" s="401"/>
      <c r="NJI68" s="401"/>
      <c r="NJJ68" s="401"/>
      <c r="NJK68" s="401"/>
      <c r="NJL68" s="401"/>
      <c r="NJM68" s="401"/>
      <c r="NJN68" s="401"/>
      <c r="NJO68" s="401"/>
      <c r="NJP68" s="401"/>
      <c r="NJQ68" s="401"/>
      <c r="NJR68" s="401"/>
      <c r="NJS68" s="401"/>
      <c r="NJT68" s="401"/>
      <c r="NJU68" s="401"/>
      <c r="NJV68" s="401"/>
      <c r="NJW68" s="401"/>
      <c r="NJX68" s="401"/>
      <c r="NJY68" s="401"/>
      <c r="NJZ68" s="401"/>
      <c r="NKA68" s="401"/>
      <c r="NKB68" s="401"/>
      <c r="NKC68" s="401"/>
      <c r="NKD68" s="401"/>
      <c r="NKE68" s="401"/>
      <c r="NKF68" s="401"/>
      <c r="NKG68" s="401"/>
      <c r="NKH68" s="401"/>
      <c r="NKI68" s="401"/>
      <c r="NKJ68" s="401"/>
      <c r="NKK68" s="401"/>
      <c r="NKL68" s="401"/>
      <c r="NKM68" s="401"/>
      <c r="NKN68" s="401"/>
      <c r="NKO68" s="401"/>
      <c r="NKP68" s="401"/>
      <c r="NKQ68" s="401"/>
      <c r="NKR68" s="401"/>
      <c r="NKS68" s="401"/>
      <c r="NKT68" s="401"/>
      <c r="NKU68" s="401"/>
      <c r="NKV68" s="401"/>
      <c r="NKW68" s="401"/>
      <c r="NKX68" s="401"/>
      <c r="NKY68" s="401"/>
      <c r="NKZ68" s="401"/>
      <c r="NLA68" s="401"/>
      <c r="NLB68" s="401"/>
      <c r="NLC68" s="401"/>
      <c r="NLD68" s="401"/>
      <c r="NLE68" s="401"/>
      <c r="NLF68" s="401"/>
      <c r="NLG68" s="401"/>
      <c r="NLH68" s="401"/>
      <c r="NLI68" s="401"/>
      <c r="NLJ68" s="401"/>
      <c r="NLK68" s="401"/>
      <c r="NLL68" s="401"/>
      <c r="NLM68" s="401"/>
      <c r="NLN68" s="401"/>
      <c r="NLO68" s="401"/>
      <c r="NLP68" s="401"/>
      <c r="NLQ68" s="401"/>
      <c r="NLR68" s="401"/>
      <c r="NLS68" s="401"/>
      <c r="NLT68" s="401"/>
      <c r="NLU68" s="401"/>
      <c r="NLV68" s="401"/>
      <c r="NLW68" s="401"/>
      <c r="NLX68" s="401"/>
      <c r="NLY68" s="401"/>
      <c r="NLZ68" s="401"/>
      <c r="NMA68" s="401"/>
      <c r="NMB68" s="401"/>
      <c r="NMC68" s="401"/>
      <c r="NMD68" s="401"/>
      <c r="NME68" s="401"/>
      <c r="NMF68" s="401"/>
      <c r="NMG68" s="401"/>
      <c r="NMH68" s="401"/>
      <c r="NMI68" s="401"/>
      <c r="NMJ68" s="401"/>
      <c r="NMK68" s="401"/>
      <c r="NML68" s="401"/>
      <c r="NMM68" s="401"/>
      <c r="NMN68" s="401"/>
      <c r="NMO68" s="401"/>
      <c r="NMP68" s="401"/>
      <c r="NMQ68" s="401"/>
      <c r="NMR68" s="401"/>
      <c r="NMS68" s="401"/>
      <c r="NMT68" s="401"/>
      <c r="NMU68" s="401"/>
      <c r="NMV68" s="401"/>
      <c r="NMW68" s="401"/>
      <c r="NMX68" s="401"/>
      <c r="NMY68" s="401"/>
      <c r="NMZ68" s="401"/>
      <c r="NNA68" s="401"/>
      <c r="NNB68" s="401"/>
      <c r="NNC68" s="401"/>
      <c r="NND68" s="401"/>
      <c r="NNE68" s="401"/>
      <c r="NNF68" s="401"/>
      <c r="NNG68" s="401"/>
      <c r="NNH68" s="401"/>
      <c r="NNI68" s="401"/>
      <c r="NNJ68" s="401"/>
      <c r="NNK68" s="401"/>
      <c r="NNL68" s="401"/>
      <c r="NNM68" s="401"/>
      <c r="NNN68" s="401"/>
      <c r="NNO68" s="401"/>
      <c r="NNP68" s="401"/>
      <c r="NNQ68" s="401"/>
      <c r="NNR68" s="401"/>
      <c r="NNS68" s="401"/>
      <c r="NNT68" s="401"/>
      <c r="NNU68" s="401"/>
      <c r="NNV68" s="401"/>
      <c r="NNW68" s="401"/>
      <c r="NNX68" s="401"/>
      <c r="NNY68" s="401"/>
      <c r="NNZ68" s="401"/>
      <c r="NOA68" s="401"/>
      <c r="NOB68" s="401"/>
      <c r="NOC68" s="401"/>
      <c r="NOD68" s="401"/>
      <c r="NOE68" s="401"/>
      <c r="NOF68" s="401"/>
      <c r="NOG68" s="401"/>
      <c r="NOH68" s="401"/>
      <c r="NOI68" s="401"/>
      <c r="NOJ68" s="401"/>
      <c r="NOK68" s="401"/>
      <c r="NOL68" s="401"/>
      <c r="NOM68" s="401"/>
      <c r="NON68" s="401"/>
      <c r="NOO68" s="401"/>
      <c r="NOP68" s="401"/>
      <c r="NOQ68" s="401"/>
      <c r="NOR68" s="401"/>
      <c r="NOS68" s="401"/>
      <c r="NOT68" s="401"/>
      <c r="NOU68" s="401"/>
      <c r="NOV68" s="401"/>
      <c r="NOW68" s="401"/>
      <c r="NOX68" s="401"/>
      <c r="NOY68" s="401"/>
      <c r="NOZ68" s="401"/>
      <c r="NPA68" s="401"/>
      <c r="NPB68" s="401"/>
      <c r="NPC68" s="401"/>
      <c r="NPD68" s="401"/>
      <c r="NPE68" s="401"/>
      <c r="NPF68" s="401"/>
      <c r="NPG68" s="401"/>
      <c r="NPH68" s="401"/>
      <c r="NPI68" s="401"/>
      <c r="NPJ68" s="401"/>
      <c r="NPK68" s="401"/>
      <c r="NPL68" s="401"/>
      <c r="NPM68" s="401"/>
      <c r="NPN68" s="401"/>
      <c r="NPO68" s="401"/>
      <c r="NPP68" s="401"/>
      <c r="NPQ68" s="401"/>
      <c r="NPR68" s="401"/>
      <c r="NPS68" s="401"/>
      <c r="NPT68" s="401"/>
      <c r="NPU68" s="401"/>
      <c r="NPV68" s="401"/>
      <c r="NPW68" s="401"/>
      <c r="NPX68" s="401"/>
      <c r="NPY68" s="401"/>
      <c r="NPZ68" s="401"/>
      <c r="NQA68" s="401"/>
      <c r="NQB68" s="401"/>
      <c r="NQC68" s="401"/>
      <c r="NQD68" s="401"/>
      <c r="NQE68" s="401"/>
      <c r="NQF68" s="401"/>
      <c r="NQG68" s="401"/>
      <c r="NQH68" s="401"/>
      <c r="NQI68" s="401"/>
      <c r="NQJ68" s="401"/>
      <c r="NQK68" s="401"/>
      <c r="NQL68" s="401"/>
      <c r="NQM68" s="401"/>
      <c r="NQN68" s="401"/>
      <c r="NQO68" s="401"/>
      <c r="NQP68" s="401"/>
      <c r="NQQ68" s="401"/>
      <c r="NQR68" s="401"/>
      <c r="NQS68" s="401"/>
      <c r="NQT68" s="401"/>
      <c r="NQU68" s="401"/>
      <c r="NQV68" s="401"/>
      <c r="NQW68" s="401"/>
      <c r="NQX68" s="401"/>
      <c r="NQY68" s="401"/>
      <c r="NQZ68" s="401"/>
      <c r="NRA68" s="401"/>
      <c r="NRB68" s="401"/>
      <c r="NRC68" s="401"/>
      <c r="NRD68" s="401"/>
      <c r="NRE68" s="401"/>
      <c r="NRF68" s="401"/>
      <c r="NRG68" s="401"/>
      <c r="NRH68" s="401"/>
      <c r="NRI68" s="401"/>
      <c r="NRJ68" s="401"/>
      <c r="NRK68" s="401"/>
      <c r="NRL68" s="401"/>
      <c r="NRM68" s="401"/>
      <c r="NRN68" s="401"/>
      <c r="NRO68" s="401"/>
      <c r="NRP68" s="401"/>
      <c r="NRQ68" s="401"/>
      <c r="NRR68" s="401"/>
      <c r="NRS68" s="401"/>
      <c r="NRT68" s="401"/>
      <c r="NRU68" s="401"/>
      <c r="NRV68" s="401"/>
      <c r="NRW68" s="401"/>
      <c r="NRX68" s="401"/>
      <c r="NRY68" s="401"/>
      <c r="NRZ68" s="401"/>
      <c r="NSA68" s="401"/>
      <c r="NSB68" s="401"/>
      <c r="NSC68" s="401"/>
      <c r="NSD68" s="401"/>
      <c r="NSE68" s="401"/>
      <c r="NSF68" s="401"/>
      <c r="NSG68" s="401"/>
      <c r="NSH68" s="401"/>
      <c r="NSI68" s="401"/>
      <c r="NSJ68" s="401"/>
      <c r="NSK68" s="401"/>
      <c r="NSL68" s="401"/>
      <c r="NSM68" s="401"/>
      <c r="NSN68" s="401"/>
      <c r="NSO68" s="401"/>
      <c r="NSP68" s="401"/>
      <c r="NSQ68" s="401"/>
      <c r="NSR68" s="401"/>
      <c r="NSS68" s="401"/>
      <c r="NST68" s="401"/>
      <c r="NSU68" s="401"/>
      <c r="NSV68" s="401"/>
      <c r="NSW68" s="401"/>
      <c r="NSX68" s="401"/>
      <c r="NSY68" s="401"/>
      <c r="NSZ68" s="401"/>
      <c r="NTA68" s="401"/>
      <c r="NTB68" s="401"/>
      <c r="NTC68" s="401"/>
      <c r="NTD68" s="401"/>
      <c r="NTE68" s="401"/>
      <c r="NTF68" s="401"/>
      <c r="NTG68" s="401"/>
      <c r="NTH68" s="401"/>
      <c r="NTI68" s="401"/>
      <c r="NTJ68" s="401"/>
      <c r="NTK68" s="401"/>
      <c r="NTL68" s="401"/>
      <c r="NTM68" s="401"/>
      <c r="NTN68" s="401"/>
      <c r="NTO68" s="401"/>
      <c r="NTP68" s="401"/>
      <c r="NTQ68" s="401"/>
      <c r="NTR68" s="401"/>
      <c r="NTS68" s="401"/>
      <c r="NTT68" s="401"/>
      <c r="NTU68" s="401"/>
      <c r="NTV68" s="401"/>
      <c r="NTW68" s="401"/>
      <c r="NTX68" s="401"/>
      <c r="NTY68" s="401"/>
      <c r="NTZ68" s="401"/>
      <c r="NUA68" s="401"/>
      <c r="NUB68" s="401"/>
      <c r="NUC68" s="401"/>
      <c r="NUD68" s="401"/>
      <c r="NUE68" s="401"/>
      <c r="NUF68" s="401"/>
      <c r="NUG68" s="401"/>
      <c r="NUH68" s="401"/>
      <c r="NUI68" s="401"/>
      <c r="NUJ68" s="401"/>
      <c r="NUK68" s="401"/>
      <c r="NUL68" s="401"/>
      <c r="NUM68" s="401"/>
      <c r="NUN68" s="401"/>
      <c r="NUO68" s="401"/>
      <c r="NUP68" s="401"/>
      <c r="NUQ68" s="401"/>
      <c r="NUR68" s="401"/>
      <c r="NUS68" s="401"/>
      <c r="NUT68" s="401"/>
      <c r="NUU68" s="401"/>
      <c r="NUV68" s="401"/>
      <c r="NUW68" s="401"/>
      <c r="NUX68" s="401"/>
      <c r="NUY68" s="401"/>
      <c r="NUZ68" s="401"/>
      <c r="NVA68" s="401"/>
      <c r="NVB68" s="401"/>
      <c r="NVC68" s="401"/>
      <c r="NVD68" s="401"/>
      <c r="NVE68" s="401"/>
      <c r="NVF68" s="401"/>
      <c r="NVG68" s="401"/>
      <c r="NVH68" s="401"/>
      <c r="NVI68" s="401"/>
      <c r="NVJ68" s="401"/>
      <c r="NVK68" s="401"/>
      <c r="NVL68" s="401"/>
      <c r="NVM68" s="401"/>
      <c r="NVN68" s="401"/>
      <c r="NVO68" s="401"/>
      <c r="NVP68" s="401"/>
      <c r="NVQ68" s="401"/>
      <c r="NVR68" s="401"/>
      <c r="NVS68" s="401"/>
      <c r="NVT68" s="401"/>
      <c r="NVU68" s="401"/>
      <c r="NVV68" s="401"/>
      <c r="NVW68" s="401"/>
      <c r="NVX68" s="401"/>
      <c r="NVY68" s="401"/>
      <c r="NVZ68" s="401"/>
      <c r="NWA68" s="401"/>
      <c r="NWB68" s="401"/>
      <c r="NWC68" s="401"/>
      <c r="NWD68" s="401"/>
      <c r="NWE68" s="401"/>
      <c r="NWF68" s="401"/>
      <c r="NWG68" s="401"/>
      <c r="NWH68" s="401"/>
      <c r="NWI68" s="401"/>
      <c r="NWJ68" s="401"/>
      <c r="NWK68" s="401"/>
      <c r="NWL68" s="401"/>
      <c r="NWM68" s="401"/>
      <c r="NWN68" s="401"/>
      <c r="NWO68" s="401"/>
      <c r="NWP68" s="401"/>
      <c r="NWQ68" s="401"/>
      <c r="NWR68" s="401"/>
      <c r="NWS68" s="401"/>
      <c r="NWT68" s="401"/>
      <c r="NWU68" s="401"/>
      <c r="NWV68" s="401"/>
      <c r="NWW68" s="401"/>
      <c r="NWX68" s="401"/>
      <c r="NWY68" s="401"/>
      <c r="NWZ68" s="401"/>
      <c r="NXA68" s="401"/>
      <c r="NXB68" s="401"/>
      <c r="NXC68" s="401"/>
      <c r="NXD68" s="401"/>
      <c r="NXE68" s="401"/>
      <c r="NXF68" s="401"/>
      <c r="NXG68" s="401"/>
      <c r="NXH68" s="401"/>
      <c r="NXI68" s="401"/>
      <c r="NXJ68" s="401"/>
      <c r="NXK68" s="401"/>
      <c r="NXL68" s="401"/>
      <c r="NXM68" s="401"/>
      <c r="NXN68" s="401"/>
      <c r="NXO68" s="401"/>
      <c r="NXP68" s="401"/>
      <c r="NXQ68" s="401"/>
      <c r="NXR68" s="401"/>
      <c r="NXS68" s="401"/>
      <c r="NXT68" s="401"/>
      <c r="NXU68" s="401"/>
      <c r="NXV68" s="401"/>
      <c r="NXW68" s="401"/>
      <c r="NXX68" s="401"/>
      <c r="NXY68" s="401"/>
      <c r="NXZ68" s="401"/>
      <c r="NYA68" s="401"/>
      <c r="NYB68" s="401"/>
      <c r="NYC68" s="401"/>
      <c r="NYD68" s="401"/>
      <c r="NYE68" s="401"/>
      <c r="NYF68" s="401"/>
      <c r="NYG68" s="401"/>
      <c r="NYH68" s="401"/>
      <c r="NYI68" s="401"/>
      <c r="NYJ68" s="401"/>
      <c r="NYK68" s="401"/>
      <c r="NYL68" s="401"/>
      <c r="NYM68" s="401"/>
      <c r="NYN68" s="401"/>
      <c r="NYO68" s="401"/>
      <c r="NYP68" s="401"/>
      <c r="NYQ68" s="401"/>
      <c r="NYR68" s="401"/>
      <c r="NYS68" s="401"/>
      <c r="NYT68" s="401"/>
      <c r="NYU68" s="401"/>
      <c r="NYV68" s="401"/>
      <c r="NYW68" s="401"/>
      <c r="NYX68" s="401"/>
      <c r="NYY68" s="401"/>
      <c r="NYZ68" s="401"/>
      <c r="NZA68" s="401"/>
      <c r="NZB68" s="401"/>
      <c r="NZC68" s="401"/>
      <c r="NZD68" s="401"/>
      <c r="NZE68" s="401"/>
      <c r="NZF68" s="401"/>
      <c r="NZG68" s="401"/>
      <c r="NZH68" s="401"/>
      <c r="NZI68" s="401"/>
      <c r="NZJ68" s="401"/>
      <c r="NZK68" s="401"/>
      <c r="NZL68" s="401"/>
      <c r="NZM68" s="401"/>
      <c r="NZN68" s="401"/>
      <c r="NZO68" s="401"/>
      <c r="NZP68" s="401"/>
      <c r="NZQ68" s="401"/>
      <c r="NZR68" s="401"/>
      <c r="NZS68" s="401"/>
      <c r="NZT68" s="401"/>
      <c r="NZU68" s="401"/>
      <c r="NZV68" s="401"/>
      <c r="NZW68" s="401"/>
      <c r="NZX68" s="401"/>
      <c r="NZY68" s="401"/>
      <c r="NZZ68" s="401"/>
      <c r="OAA68" s="401"/>
      <c r="OAB68" s="401"/>
      <c r="OAC68" s="401"/>
      <c r="OAD68" s="401"/>
      <c r="OAE68" s="401"/>
      <c r="OAF68" s="401"/>
      <c r="OAG68" s="401"/>
      <c r="OAH68" s="401"/>
      <c r="OAI68" s="401"/>
      <c r="OAJ68" s="401"/>
      <c r="OAK68" s="401"/>
      <c r="OAL68" s="401"/>
      <c r="OAM68" s="401"/>
      <c r="OAN68" s="401"/>
      <c r="OAO68" s="401"/>
      <c r="OAP68" s="401"/>
      <c r="OAQ68" s="401"/>
      <c r="OAR68" s="401"/>
      <c r="OAS68" s="401"/>
      <c r="OAT68" s="401"/>
      <c r="OAU68" s="401"/>
      <c r="OAV68" s="401"/>
      <c r="OAW68" s="401"/>
      <c r="OAX68" s="401"/>
      <c r="OAY68" s="401"/>
      <c r="OAZ68" s="401"/>
      <c r="OBA68" s="401"/>
      <c r="OBB68" s="401"/>
      <c r="OBC68" s="401"/>
      <c r="OBD68" s="401"/>
      <c r="OBE68" s="401"/>
      <c r="OBF68" s="401"/>
      <c r="OBG68" s="401"/>
      <c r="OBH68" s="401"/>
      <c r="OBI68" s="401"/>
      <c r="OBJ68" s="401"/>
      <c r="OBK68" s="401"/>
      <c r="OBL68" s="401"/>
      <c r="OBM68" s="401"/>
      <c r="OBN68" s="401"/>
      <c r="OBO68" s="401"/>
      <c r="OBP68" s="401"/>
      <c r="OBQ68" s="401"/>
      <c r="OBR68" s="401"/>
      <c r="OBS68" s="401"/>
      <c r="OBT68" s="401"/>
      <c r="OBU68" s="401"/>
      <c r="OBV68" s="401"/>
      <c r="OBW68" s="401"/>
      <c r="OBX68" s="401"/>
      <c r="OBY68" s="401"/>
      <c r="OBZ68" s="401"/>
      <c r="OCA68" s="401"/>
      <c r="OCB68" s="401"/>
      <c r="OCC68" s="401"/>
      <c r="OCD68" s="401"/>
      <c r="OCE68" s="401"/>
      <c r="OCF68" s="401"/>
      <c r="OCG68" s="401"/>
      <c r="OCH68" s="401"/>
      <c r="OCI68" s="401"/>
      <c r="OCJ68" s="401"/>
      <c r="OCK68" s="401"/>
      <c r="OCL68" s="401"/>
      <c r="OCM68" s="401"/>
      <c r="OCN68" s="401"/>
      <c r="OCO68" s="401"/>
      <c r="OCP68" s="401"/>
      <c r="OCQ68" s="401"/>
      <c r="OCR68" s="401"/>
      <c r="OCS68" s="401"/>
      <c r="OCT68" s="401"/>
      <c r="OCU68" s="401"/>
      <c r="OCV68" s="401"/>
      <c r="OCW68" s="401"/>
      <c r="OCX68" s="401"/>
      <c r="OCY68" s="401"/>
      <c r="OCZ68" s="401"/>
      <c r="ODA68" s="401"/>
      <c r="ODB68" s="401"/>
      <c r="ODC68" s="401"/>
      <c r="ODD68" s="401"/>
      <c r="ODE68" s="401"/>
      <c r="ODF68" s="401"/>
      <c r="ODG68" s="401"/>
      <c r="ODH68" s="401"/>
      <c r="ODI68" s="401"/>
      <c r="ODJ68" s="401"/>
      <c r="ODK68" s="401"/>
      <c r="ODL68" s="401"/>
      <c r="ODM68" s="401"/>
      <c r="ODN68" s="401"/>
      <c r="ODO68" s="401"/>
      <c r="ODP68" s="401"/>
      <c r="ODQ68" s="401"/>
      <c r="ODR68" s="401"/>
      <c r="ODS68" s="401"/>
      <c r="ODT68" s="401"/>
      <c r="ODU68" s="401"/>
      <c r="ODV68" s="401"/>
      <c r="ODW68" s="401"/>
      <c r="ODX68" s="401"/>
      <c r="ODY68" s="401"/>
      <c r="ODZ68" s="401"/>
      <c r="OEA68" s="401"/>
      <c r="OEB68" s="401"/>
      <c r="OEC68" s="401"/>
      <c r="OED68" s="401"/>
      <c r="OEE68" s="401"/>
      <c r="OEF68" s="401"/>
      <c r="OEG68" s="401"/>
      <c r="OEH68" s="401"/>
      <c r="OEI68" s="401"/>
      <c r="OEJ68" s="401"/>
      <c r="OEK68" s="401"/>
      <c r="OEL68" s="401"/>
      <c r="OEM68" s="401"/>
      <c r="OEN68" s="401"/>
      <c r="OEO68" s="401"/>
      <c r="OEP68" s="401"/>
      <c r="OEQ68" s="401"/>
      <c r="OER68" s="401"/>
      <c r="OES68" s="401"/>
      <c r="OET68" s="401"/>
      <c r="OEU68" s="401"/>
      <c r="OEV68" s="401"/>
      <c r="OEW68" s="401"/>
      <c r="OEX68" s="401"/>
      <c r="OEY68" s="401"/>
      <c r="OEZ68" s="401"/>
      <c r="OFA68" s="401"/>
      <c r="OFB68" s="401"/>
      <c r="OFC68" s="401"/>
      <c r="OFD68" s="401"/>
      <c r="OFE68" s="401"/>
      <c r="OFF68" s="401"/>
      <c r="OFG68" s="401"/>
      <c r="OFH68" s="401"/>
      <c r="OFI68" s="401"/>
      <c r="OFJ68" s="401"/>
      <c r="OFK68" s="401"/>
      <c r="OFL68" s="401"/>
      <c r="OFM68" s="401"/>
      <c r="OFN68" s="401"/>
      <c r="OFO68" s="401"/>
      <c r="OFP68" s="401"/>
      <c r="OFQ68" s="401"/>
      <c r="OFR68" s="401"/>
      <c r="OFS68" s="401"/>
      <c r="OFT68" s="401"/>
      <c r="OFU68" s="401"/>
      <c r="OFV68" s="401"/>
      <c r="OFW68" s="401"/>
      <c r="OFX68" s="401"/>
      <c r="OFY68" s="401"/>
      <c r="OFZ68" s="401"/>
      <c r="OGA68" s="401"/>
      <c r="OGB68" s="401"/>
      <c r="OGC68" s="401"/>
      <c r="OGD68" s="401"/>
      <c r="OGE68" s="401"/>
      <c r="OGF68" s="401"/>
      <c r="OGG68" s="401"/>
      <c r="OGH68" s="401"/>
      <c r="OGI68" s="401"/>
      <c r="OGJ68" s="401"/>
      <c r="OGK68" s="401"/>
      <c r="OGL68" s="401"/>
      <c r="OGM68" s="401"/>
      <c r="OGN68" s="401"/>
      <c r="OGO68" s="401"/>
      <c r="OGP68" s="401"/>
      <c r="OGQ68" s="401"/>
      <c r="OGR68" s="401"/>
      <c r="OGS68" s="401"/>
      <c r="OGT68" s="401"/>
      <c r="OGU68" s="401"/>
      <c r="OGV68" s="401"/>
      <c r="OGW68" s="401"/>
      <c r="OGX68" s="401"/>
      <c r="OGY68" s="401"/>
      <c r="OGZ68" s="401"/>
      <c r="OHA68" s="401"/>
      <c r="OHB68" s="401"/>
      <c r="OHC68" s="401"/>
      <c r="OHD68" s="401"/>
      <c r="OHE68" s="401"/>
      <c r="OHF68" s="401"/>
      <c r="OHG68" s="401"/>
      <c r="OHH68" s="401"/>
      <c r="OHI68" s="401"/>
      <c r="OHJ68" s="401"/>
      <c r="OHK68" s="401"/>
      <c r="OHL68" s="401"/>
      <c r="OHM68" s="401"/>
      <c r="OHN68" s="401"/>
      <c r="OHO68" s="401"/>
      <c r="OHP68" s="401"/>
      <c r="OHQ68" s="401"/>
      <c r="OHR68" s="401"/>
      <c r="OHS68" s="401"/>
      <c r="OHT68" s="401"/>
      <c r="OHU68" s="401"/>
      <c r="OHV68" s="401"/>
      <c r="OHW68" s="401"/>
      <c r="OHX68" s="401"/>
      <c r="OHY68" s="401"/>
      <c r="OHZ68" s="401"/>
      <c r="OIA68" s="401"/>
      <c r="OIB68" s="401"/>
      <c r="OIC68" s="401"/>
      <c r="OID68" s="401"/>
      <c r="OIE68" s="401"/>
      <c r="OIF68" s="401"/>
      <c r="OIG68" s="401"/>
      <c r="OIH68" s="401"/>
      <c r="OII68" s="401"/>
      <c r="OIJ68" s="401"/>
      <c r="OIK68" s="401"/>
      <c r="OIL68" s="401"/>
      <c r="OIM68" s="401"/>
      <c r="OIN68" s="401"/>
      <c r="OIO68" s="401"/>
      <c r="OIP68" s="401"/>
      <c r="OIQ68" s="401"/>
      <c r="OIR68" s="401"/>
      <c r="OIS68" s="401"/>
      <c r="OIT68" s="401"/>
      <c r="OIU68" s="401"/>
      <c r="OIV68" s="401"/>
      <c r="OIW68" s="401"/>
      <c r="OIX68" s="401"/>
      <c r="OIY68" s="401"/>
      <c r="OIZ68" s="401"/>
      <c r="OJA68" s="401"/>
      <c r="OJB68" s="401"/>
      <c r="OJC68" s="401"/>
      <c r="OJD68" s="401"/>
      <c r="OJE68" s="401"/>
      <c r="OJF68" s="401"/>
      <c r="OJG68" s="401"/>
      <c r="OJH68" s="401"/>
      <c r="OJI68" s="401"/>
      <c r="OJJ68" s="401"/>
      <c r="OJK68" s="401"/>
      <c r="OJL68" s="401"/>
      <c r="OJM68" s="401"/>
      <c r="OJN68" s="401"/>
      <c r="OJO68" s="401"/>
      <c r="OJP68" s="401"/>
      <c r="OJQ68" s="401"/>
      <c r="OJR68" s="401"/>
      <c r="OJS68" s="401"/>
      <c r="OJT68" s="401"/>
      <c r="OJU68" s="401"/>
      <c r="OJV68" s="401"/>
      <c r="OJW68" s="401"/>
      <c r="OJX68" s="401"/>
      <c r="OJY68" s="401"/>
      <c r="OJZ68" s="401"/>
      <c r="OKA68" s="401"/>
      <c r="OKB68" s="401"/>
      <c r="OKC68" s="401"/>
      <c r="OKD68" s="401"/>
      <c r="OKE68" s="401"/>
      <c r="OKF68" s="401"/>
      <c r="OKG68" s="401"/>
      <c r="OKH68" s="401"/>
      <c r="OKI68" s="401"/>
      <c r="OKJ68" s="401"/>
      <c r="OKK68" s="401"/>
      <c r="OKL68" s="401"/>
      <c r="OKM68" s="401"/>
      <c r="OKN68" s="401"/>
      <c r="OKO68" s="401"/>
      <c r="OKP68" s="401"/>
      <c r="OKQ68" s="401"/>
      <c r="OKR68" s="401"/>
      <c r="OKS68" s="401"/>
      <c r="OKT68" s="401"/>
      <c r="OKU68" s="401"/>
      <c r="OKV68" s="401"/>
      <c r="OKW68" s="401"/>
      <c r="OKX68" s="401"/>
      <c r="OKY68" s="401"/>
      <c r="OKZ68" s="401"/>
      <c r="OLA68" s="401"/>
      <c r="OLB68" s="401"/>
      <c r="OLC68" s="401"/>
      <c r="OLD68" s="401"/>
      <c r="OLE68" s="401"/>
      <c r="OLF68" s="401"/>
      <c r="OLG68" s="401"/>
      <c r="OLH68" s="401"/>
      <c r="OLI68" s="401"/>
      <c r="OLJ68" s="401"/>
      <c r="OLK68" s="401"/>
      <c r="OLL68" s="401"/>
      <c r="OLM68" s="401"/>
      <c r="OLN68" s="401"/>
      <c r="OLO68" s="401"/>
      <c r="OLP68" s="401"/>
      <c r="OLQ68" s="401"/>
      <c r="OLR68" s="401"/>
      <c r="OLS68" s="401"/>
      <c r="OLT68" s="401"/>
      <c r="OLU68" s="401"/>
      <c r="OLV68" s="401"/>
      <c r="OLW68" s="401"/>
      <c r="OLX68" s="401"/>
      <c r="OLY68" s="401"/>
      <c r="OLZ68" s="401"/>
      <c r="OMA68" s="401"/>
      <c r="OMB68" s="401"/>
      <c r="OMC68" s="401"/>
      <c r="OMD68" s="401"/>
      <c r="OME68" s="401"/>
      <c r="OMF68" s="401"/>
      <c r="OMG68" s="401"/>
      <c r="OMH68" s="401"/>
      <c r="OMI68" s="401"/>
      <c r="OMJ68" s="401"/>
      <c r="OMK68" s="401"/>
      <c r="OML68" s="401"/>
      <c r="OMM68" s="401"/>
      <c r="OMN68" s="401"/>
      <c r="OMO68" s="401"/>
      <c r="OMP68" s="401"/>
      <c r="OMQ68" s="401"/>
      <c r="OMR68" s="401"/>
      <c r="OMS68" s="401"/>
      <c r="OMT68" s="401"/>
      <c r="OMU68" s="401"/>
      <c r="OMV68" s="401"/>
      <c r="OMW68" s="401"/>
      <c r="OMX68" s="401"/>
      <c r="OMY68" s="401"/>
      <c r="OMZ68" s="401"/>
      <c r="ONA68" s="401"/>
      <c r="ONB68" s="401"/>
      <c r="ONC68" s="401"/>
      <c r="OND68" s="401"/>
      <c r="ONE68" s="401"/>
      <c r="ONF68" s="401"/>
      <c r="ONG68" s="401"/>
      <c r="ONH68" s="401"/>
      <c r="ONI68" s="401"/>
      <c r="ONJ68" s="401"/>
      <c r="ONK68" s="401"/>
      <c r="ONL68" s="401"/>
      <c r="ONM68" s="401"/>
      <c r="ONN68" s="401"/>
      <c r="ONO68" s="401"/>
      <c r="ONP68" s="401"/>
      <c r="ONQ68" s="401"/>
      <c r="ONR68" s="401"/>
      <c r="ONS68" s="401"/>
      <c r="ONT68" s="401"/>
      <c r="ONU68" s="401"/>
      <c r="ONV68" s="401"/>
      <c r="ONW68" s="401"/>
      <c r="ONX68" s="401"/>
      <c r="ONY68" s="401"/>
      <c r="ONZ68" s="401"/>
      <c r="OOA68" s="401"/>
      <c r="OOB68" s="401"/>
      <c r="OOC68" s="401"/>
      <c r="OOD68" s="401"/>
      <c r="OOE68" s="401"/>
      <c r="OOF68" s="401"/>
      <c r="OOG68" s="401"/>
      <c r="OOH68" s="401"/>
      <c r="OOI68" s="401"/>
      <c r="OOJ68" s="401"/>
      <c r="OOK68" s="401"/>
      <c r="OOL68" s="401"/>
      <c r="OOM68" s="401"/>
      <c r="OON68" s="401"/>
      <c r="OOO68" s="401"/>
      <c r="OOP68" s="401"/>
      <c r="OOQ68" s="401"/>
      <c r="OOR68" s="401"/>
      <c r="OOS68" s="401"/>
      <c r="OOT68" s="401"/>
      <c r="OOU68" s="401"/>
      <c r="OOV68" s="401"/>
      <c r="OOW68" s="401"/>
      <c r="OOX68" s="401"/>
      <c r="OOY68" s="401"/>
      <c r="OOZ68" s="401"/>
      <c r="OPA68" s="401"/>
      <c r="OPB68" s="401"/>
      <c r="OPC68" s="401"/>
      <c r="OPD68" s="401"/>
      <c r="OPE68" s="401"/>
      <c r="OPF68" s="401"/>
      <c r="OPG68" s="401"/>
      <c r="OPH68" s="401"/>
      <c r="OPI68" s="401"/>
      <c r="OPJ68" s="401"/>
      <c r="OPK68" s="401"/>
      <c r="OPL68" s="401"/>
      <c r="OPM68" s="401"/>
      <c r="OPN68" s="401"/>
      <c r="OPO68" s="401"/>
      <c r="OPP68" s="401"/>
      <c r="OPQ68" s="401"/>
      <c r="OPR68" s="401"/>
      <c r="OPS68" s="401"/>
      <c r="OPT68" s="401"/>
      <c r="OPU68" s="401"/>
      <c r="OPV68" s="401"/>
      <c r="OPW68" s="401"/>
      <c r="OPX68" s="401"/>
      <c r="OPY68" s="401"/>
      <c r="OPZ68" s="401"/>
      <c r="OQA68" s="401"/>
      <c r="OQB68" s="401"/>
      <c r="OQC68" s="401"/>
      <c r="OQD68" s="401"/>
      <c r="OQE68" s="401"/>
      <c r="OQF68" s="401"/>
      <c r="OQG68" s="401"/>
      <c r="OQH68" s="401"/>
      <c r="OQI68" s="401"/>
      <c r="OQJ68" s="401"/>
      <c r="OQK68" s="401"/>
      <c r="OQL68" s="401"/>
      <c r="OQM68" s="401"/>
      <c r="OQN68" s="401"/>
      <c r="OQO68" s="401"/>
      <c r="OQP68" s="401"/>
      <c r="OQQ68" s="401"/>
      <c r="OQR68" s="401"/>
      <c r="OQS68" s="401"/>
      <c r="OQT68" s="401"/>
      <c r="OQU68" s="401"/>
      <c r="OQV68" s="401"/>
      <c r="OQW68" s="401"/>
      <c r="OQX68" s="401"/>
      <c r="OQY68" s="401"/>
      <c r="OQZ68" s="401"/>
      <c r="ORA68" s="401"/>
      <c r="ORB68" s="401"/>
      <c r="ORC68" s="401"/>
      <c r="ORD68" s="401"/>
      <c r="ORE68" s="401"/>
      <c r="ORF68" s="401"/>
      <c r="ORG68" s="401"/>
      <c r="ORH68" s="401"/>
      <c r="ORI68" s="401"/>
      <c r="ORJ68" s="401"/>
      <c r="ORK68" s="401"/>
      <c r="ORL68" s="401"/>
      <c r="ORM68" s="401"/>
      <c r="ORN68" s="401"/>
      <c r="ORO68" s="401"/>
      <c r="ORP68" s="401"/>
      <c r="ORQ68" s="401"/>
      <c r="ORR68" s="401"/>
      <c r="ORS68" s="401"/>
      <c r="ORT68" s="401"/>
      <c r="ORU68" s="401"/>
      <c r="ORV68" s="401"/>
      <c r="ORW68" s="401"/>
      <c r="ORX68" s="401"/>
      <c r="ORY68" s="401"/>
      <c r="ORZ68" s="401"/>
      <c r="OSA68" s="401"/>
      <c r="OSB68" s="401"/>
      <c r="OSC68" s="401"/>
      <c r="OSD68" s="401"/>
      <c r="OSE68" s="401"/>
      <c r="OSF68" s="401"/>
      <c r="OSG68" s="401"/>
      <c r="OSH68" s="401"/>
      <c r="OSI68" s="401"/>
      <c r="OSJ68" s="401"/>
      <c r="OSK68" s="401"/>
      <c r="OSL68" s="401"/>
      <c r="OSM68" s="401"/>
      <c r="OSN68" s="401"/>
      <c r="OSO68" s="401"/>
      <c r="OSP68" s="401"/>
      <c r="OSQ68" s="401"/>
      <c r="OSR68" s="401"/>
      <c r="OSS68" s="401"/>
      <c r="OST68" s="401"/>
      <c r="OSU68" s="401"/>
      <c r="OSV68" s="401"/>
      <c r="OSW68" s="401"/>
      <c r="OSX68" s="401"/>
      <c r="OSY68" s="401"/>
      <c r="OSZ68" s="401"/>
      <c r="OTA68" s="401"/>
      <c r="OTB68" s="401"/>
      <c r="OTC68" s="401"/>
      <c r="OTD68" s="401"/>
      <c r="OTE68" s="401"/>
      <c r="OTF68" s="401"/>
      <c r="OTG68" s="401"/>
      <c r="OTH68" s="401"/>
      <c r="OTI68" s="401"/>
      <c r="OTJ68" s="401"/>
      <c r="OTK68" s="401"/>
      <c r="OTL68" s="401"/>
      <c r="OTM68" s="401"/>
      <c r="OTN68" s="401"/>
      <c r="OTO68" s="401"/>
      <c r="OTP68" s="401"/>
      <c r="OTQ68" s="401"/>
      <c r="OTR68" s="401"/>
      <c r="OTS68" s="401"/>
      <c r="OTT68" s="401"/>
      <c r="OTU68" s="401"/>
      <c r="OTV68" s="401"/>
      <c r="OTW68" s="401"/>
      <c r="OTX68" s="401"/>
      <c r="OTY68" s="401"/>
      <c r="OTZ68" s="401"/>
      <c r="OUA68" s="401"/>
      <c r="OUB68" s="401"/>
      <c r="OUC68" s="401"/>
      <c r="OUD68" s="401"/>
      <c r="OUE68" s="401"/>
      <c r="OUF68" s="401"/>
      <c r="OUG68" s="401"/>
      <c r="OUH68" s="401"/>
      <c r="OUI68" s="401"/>
      <c r="OUJ68" s="401"/>
      <c r="OUK68" s="401"/>
      <c r="OUL68" s="401"/>
      <c r="OUM68" s="401"/>
      <c r="OUN68" s="401"/>
      <c r="OUO68" s="401"/>
      <c r="OUP68" s="401"/>
      <c r="OUQ68" s="401"/>
      <c r="OUR68" s="401"/>
      <c r="OUS68" s="401"/>
      <c r="OUT68" s="401"/>
      <c r="OUU68" s="401"/>
      <c r="OUV68" s="401"/>
      <c r="OUW68" s="401"/>
      <c r="OUX68" s="401"/>
      <c r="OUY68" s="401"/>
      <c r="OUZ68" s="401"/>
      <c r="OVA68" s="401"/>
      <c r="OVB68" s="401"/>
      <c r="OVC68" s="401"/>
      <c r="OVD68" s="401"/>
      <c r="OVE68" s="401"/>
      <c r="OVF68" s="401"/>
      <c r="OVG68" s="401"/>
      <c r="OVH68" s="401"/>
      <c r="OVI68" s="401"/>
      <c r="OVJ68" s="401"/>
      <c r="OVK68" s="401"/>
      <c r="OVL68" s="401"/>
      <c r="OVM68" s="401"/>
      <c r="OVN68" s="401"/>
      <c r="OVO68" s="401"/>
      <c r="OVP68" s="401"/>
      <c r="OVQ68" s="401"/>
      <c r="OVR68" s="401"/>
      <c r="OVS68" s="401"/>
      <c r="OVT68" s="401"/>
      <c r="OVU68" s="401"/>
      <c r="OVV68" s="401"/>
      <c r="OVW68" s="401"/>
      <c r="OVX68" s="401"/>
      <c r="OVY68" s="401"/>
      <c r="OVZ68" s="401"/>
      <c r="OWA68" s="401"/>
      <c r="OWB68" s="401"/>
      <c r="OWC68" s="401"/>
      <c r="OWD68" s="401"/>
      <c r="OWE68" s="401"/>
      <c r="OWF68" s="401"/>
      <c r="OWG68" s="401"/>
      <c r="OWH68" s="401"/>
      <c r="OWI68" s="401"/>
      <c r="OWJ68" s="401"/>
      <c r="OWK68" s="401"/>
      <c r="OWL68" s="401"/>
      <c r="OWM68" s="401"/>
      <c r="OWN68" s="401"/>
      <c r="OWO68" s="401"/>
      <c r="OWP68" s="401"/>
      <c r="OWQ68" s="401"/>
      <c r="OWR68" s="401"/>
      <c r="OWS68" s="401"/>
      <c r="OWT68" s="401"/>
      <c r="OWU68" s="401"/>
      <c r="OWV68" s="401"/>
      <c r="OWW68" s="401"/>
      <c r="OWX68" s="401"/>
      <c r="OWY68" s="401"/>
      <c r="OWZ68" s="401"/>
      <c r="OXA68" s="401"/>
      <c r="OXB68" s="401"/>
      <c r="OXC68" s="401"/>
      <c r="OXD68" s="401"/>
      <c r="OXE68" s="401"/>
      <c r="OXF68" s="401"/>
      <c r="OXG68" s="401"/>
      <c r="OXH68" s="401"/>
      <c r="OXI68" s="401"/>
      <c r="OXJ68" s="401"/>
      <c r="OXK68" s="401"/>
      <c r="OXL68" s="401"/>
      <c r="OXM68" s="401"/>
      <c r="OXN68" s="401"/>
      <c r="OXO68" s="401"/>
      <c r="OXP68" s="401"/>
      <c r="OXQ68" s="401"/>
      <c r="OXR68" s="401"/>
      <c r="OXS68" s="401"/>
      <c r="OXT68" s="401"/>
      <c r="OXU68" s="401"/>
      <c r="OXV68" s="401"/>
      <c r="OXW68" s="401"/>
      <c r="OXX68" s="401"/>
      <c r="OXY68" s="401"/>
      <c r="OXZ68" s="401"/>
      <c r="OYA68" s="401"/>
      <c r="OYB68" s="401"/>
      <c r="OYC68" s="401"/>
      <c r="OYD68" s="401"/>
      <c r="OYE68" s="401"/>
      <c r="OYF68" s="401"/>
      <c r="OYG68" s="401"/>
      <c r="OYH68" s="401"/>
      <c r="OYI68" s="401"/>
      <c r="OYJ68" s="401"/>
      <c r="OYK68" s="401"/>
      <c r="OYL68" s="401"/>
      <c r="OYM68" s="401"/>
      <c r="OYN68" s="401"/>
      <c r="OYO68" s="401"/>
      <c r="OYP68" s="401"/>
      <c r="OYQ68" s="401"/>
      <c r="OYR68" s="401"/>
      <c r="OYS68" s="401"/>
      <c r="OYT68" s="401"/>
      <c r="OYU68" s="401"/>
      <c r="OYV68" s="401"/>
      <c r="OYW68" s="401"/>
      <c r="OYX68" s="401"/>
      <c r="OYY68" s="401"/>
      <c r="OYZ68" s="401"/>
      <c r="OZA68" s="401"/>
      <c r="OZB68" s="401"/>
      <c r="OZC68" s="401"/>
      <c r="OZD68" s="401"/>
      <c r="OZE68" s="401"/>
      <c r="OZF68" s="401"/>
      <c r="OZG68" s="401"/>
      <c r="OZH68" s="401"/>
      <c r="OZI68" s="401"/>
      <c r="OZJ68" s="401"/>
      <c r="OZK68" s="401"/>
      <c r="OZL68" s="401"/>
      <c r="OZM68" s="401"/>
      <c r="OZN68" s="401"/>
      <c r="OZO68" s="401"/>
      <c r="OZP68" s="401"/>
      <c r="OZQ68" s="401"/>
      <c r="OZR68" s="401"/>
      <c r="OZS68" s="401"/>
      <c r="OZT68" s="401"/>
      <c r="OZU68" s="401"/>
      <c r="OZV68" s="401"/>
      <c r="OZW68" s="401"/>
      <c r="OZX68" s="401"/>
      <c r="OZY68" s="401"/>
      <c r="OZZ68" s="401"/>
      <c r="PAA68" s="401"/>
      <c r="PAB68" s="401"/>
      <c r="PAC68" s="401"/>
      <c r="PAD68" s="401"/>
      <c r="PAE68" s="401"/>
      <c r="PAF68" s="401"/>
      <c r="PAG68" s="401"/>
      <c r="PAH68" s="401"/>
      <c r="PAI68" s="401"/>
      <c r="PAJ68" s="401"/>
      <c r="PAK68" s="401"/>
      <c r="PAL68" s="401"/>
      <c r="PAM68" s="401"/>
      <c r="PAN68" s="401"/>
      <c r="PAO68" s="401"/>
      <c r="PAP68" s="401"/>
      <c r="PAQ68" s="401"/>
      <c r="PAR68" s="401"/>
      <c r="PAS68" s="401"/>
      <c r="PAT68" s="401"/>
      <c r="PAU68" s="401"/>
      <c r="PAV68" s="401"/>
      <c r="PAW68" s="401"/>
      <c r="PAX68" s="401"/>
      <c r="PAY68" s="401"/>
      <c r="PAZ68" s="401"/>
      <c r="PBA68" s="401"/>
      <c r="PBB68" s="401"/>
      <c r="PBC68" s="401"/>
      <c r="PBD68" s="401"/>
      <c r="PBE68" s="401"/>
      <c r="PBF68" s="401"/>
      <c r="PBG68" s="401"/>
      <c r="PBH68" s="401"/>
      <c r="PBI68" s="401"/>
      <c r="PBJ68" s="401"/>
      <c r="PBK68" s="401"/>
      <c r="PBL68" s="401"/>
      <c r="PBM68" s="401"/>
      <c r="PBN68" s="401"/>
      <c r="PBO68" s="401"/>
      <c r="PBP68" s="401"/>
      <c r="PBQ68" s="401"/>
      <c r="PBR68" s="401"/>
      <c r="PBS68" s="401"/>
      <c r="PBT68" s="401"/>
      <c r="PBU68" s="401"/>
      <c r="PBV68" s="401"/>
      <c r="PBW68" s="401"/>
      <c r="PBX68" s="401"/>
      <c r="PBY68" s="401"/>
      <c r="PBZ68" s="401"/>
      <c r="PCA68" s="401"/>
      <c r="PCB68" s="401"/>
      <c r="PCC68" s="401"/>
      <c r="PCD68" s="401"/>
      <c r="PCE68" s="401"/>
      <c r="PCF68" s="401"/>
      <c r="PCG68" s="401"/>
      <c r="PCH68" s="401"/>
      <c r="PCI68" s="401"/>
      <c r="PCJ68" s="401"/>
      <c r="PCK68" s="401"/>
      <c r="PCL68" s="401"/>
      <c r="PCM68" s="401"/>
      <c r="PCN68" s="401"/>
      <c r="PCO68" s="401"/>
      <c r="PCP68" s="401"/>
      <c r="PCQ68" s="401"/>
      <c r="PCR68" s="401"/>
      <c r="PCS68" s="401"/>
      <c r="PCT68" s="401"/>
      <c r="PCU68" s="401"/>
      <c r="PCV68" s="401"/>
      <c r="PCW68" s="401"/>
      <c r="PCX68" s="401"/>
      <c r="PCY68" s="401"/>
      <c r="PCZ68" s="401"/>
      <c r="PDA68" s="401"/>
      <c r="PDB68" s="401"/>
      <c r="PDC68" s="401"/>
      <c r="PDD68" s="401"/>
      <c r="PDE68" s="401"/>
      <c r="PDF68" s="401"/>
      <c r="PDG68" s="401"/>
      <c r="PDH68" s="401"/>
      <c r="PDI68" s="401"/>
      <c r="PDJ68" s="401"/>
      <c r="PDK68" s="401"/>
      <c r="PDL68" s="401"/>
      <c r="PDM68" s="401"/>
      <c r="PDN68" s="401"/>
      <c r="PDO68" s="401"/>
      <c r="PDP68" s="401"/>
      <c r="PDQ68" s="401"/>
      <c r="PDR68" s="401"/>
      <c r="PDS68" s="401"/>
      <c r="PDT68" s="401"/>
      <c r="PDU68" s="401"/>
      <c r="PDV68" s="401"/>
      <c r="PDW68" s="401"/>
      <c r="PDX68" s="401"/>
      <c r="PDY68" s="401"/>
      <c r="PDZ68" s="401"/>
      <c r="PEA68" s="401"/>
      <c r="PEB68" s="401"/>
      <c r="PEC68" s="401"/>
      <c r="PED68" s="401"/>
      <c r="PEE68" s="401"/>
      <c r="PEF68" s="401"/>
      <c r="PEG68" s="401"/>
      <c r="PEH68" s="401"/>
      <c r="PEI68" s="401"/>
      <c r="PEJ68" s="401"/>
      <c r="PEK68" s="401"/>
      <c r="PEL68" s="401"/>
      <c r="PEM68" s="401"/>
      <c r="PEN68" s="401"/>
      <c r="PEO68" s="401"/>
      <c r="PEP68" s="401"/>
      <c r="PEQ68" s="401"/>
      <c r="PER68" s="401"/>
      <c r="PES68" s="401"/>
      <c r="PET68" s="401"/>
      <c r="PEU68" s="401"/>
      <c r="PEV68" s="401"/>
      <c r="PEW68" s="401"/>
      <c r="PEX68" s="401"/>
      <c r="PEY68" s="401"/>
      <c r="PEZ68" s="401"/>
      <c r="PFA68" s="401"/>
      <c r="PFB68" s="401"/>
      <c r="PFC68" s="401"/>
      <c r="PFD68" s="401"/>
      <c r="PFE68" s="401"/>
      <c r="PFF68" s="401"/>
      <c r="PFG68" s="401"/>
      <c r="PFH68" s="401"/>
      <c r="PFI68" s="401"/>
      <c r="PFJ68" s="401"/>
      <c r="PFK68" s="401"/>
      <c r="PFL68" s="401"/>
      <c r="PFM68" s="401"/>
      <c r="PFN68" s="401"/>
      <c r="PFO68" s="401"/>
      <c r="PFP68" s="401"/>
      <c r="PFQ68" s="401"/>
      <c r="PFR68" s="401"/>
      <c r="PFS68" s="401"/>
      <c r="PFT68" s="401"/>
      <c r="PFU68" s="401"/>
      <c r="PFV68" s="401"/>
      <c r="PFW68" s="401"/>
      <c r="PFX68" s="401"/>
      <c r="PFY68" s="401"/>
      <c r="PFZ68" s="401"/>
      <c r="PGA68" s="401"/>
      <c r="PGB68" s="401"/>
      <c r="PGC68" s="401"/>
      <c r="PGD68" s="401"/>
      <c r="PGE68" s="401"/>
      <c r="PGF68" s="401"/>
      <c r="PGG68" s="401"/>
      <c r="PGH68" s="401"/>
      <c r="PGI68" s="401"/>
      <c r="PGJ68" s="401"/>
      <c r="PGK68" s="401"/>
      <c r="PGL68" s="401"/>
      <c r="PGM68" s="401"/>
      <c r="PGN68" s="401"/>
      <c r="PGO68" s="401"/>
      <c r="PGP68" s="401"/>
      <c r="PGQ68" s="401"/>
      <c r="PGR68" s="401"/>
      <c r="PGS68" s="401"/>
      <c r="PGT68" s="401"/>
      <c r="PGU68" s="401"/>
      <c r="PGV68" s="401"/>
      <c r="PGW68" s="401"/>
      <c r="PGX68" s="401"/>
      <c r="PGY68" s="401"/>
      <c r="PGZ68" s="401"/>
      <c r="PHA68" s="401"/>
      <c r="PHB68" s="401"/>
      <c r="PHC68" s="401"/>
      <c r="PHD68" s="401"/>
      <c r="PHE68" s="401"/>
      <c r="PHF68" s="401"/>
      <c r="PHG68" s="401"/>
      <c r="PHH68" s="401"/>
      <c r="PHI68" s="401"/>
      <c r="PHJ68" s="401"/>
      <c r="PHK68" s="401"/>
      <c r="PHL68" s="401"/>
      <c r="PHM68" s="401"/>
      <c r="PHN68" s="401"/>
      <c r="PHO68" s="401"/>
      <c r="PHP68" s="401"/>
      <c r="PHQ68" s="401"/>
      <c r="PHR68" s="401"/>
      <c r="PHS68" s="401"/>
      <c r="PHT68" s="401"/>
      <c r="PHU68" s="401"/>
      <c r="PHV68" s="401"/>
      <c r="PHW68" s="401"/>
      <c r="PHX68" s="401"/>
      <c r="PHY68" s="401"/>
      <c r="PHZ68" s="401"/>
      <c r="PIA68" s="401"/>
      <c r="PIB68" s="401"/>
      <c r="PIC68" s="401"/>
      <c r="PID68" s="401"/>
      <c r="PIE68" s="401"/>
      <c r="PIF68" s="401"/>
      <c r="PIG68" s="401"/>
      <c r="PIH68" s="401"/>
      <c r="PII68" s="401"/>
      <c r="PIJ68" s="401"/>
      <c r="PIK68" s="401"/>
      <c r="PIL68" s="401"/>
      <c r="PIM68" s="401"/>
      <c r="PIN68" s="401"/>
      <c r="PIO68" s="401"/>
      <c r="PIP68" s="401"/>
      <c r="PIQ68" s="401"/>
      <c r="PIR68" s="401"/>
      <c r="PIS68" s="401"/>
      <c r="PIT68" s="401"/>
      <c r="PIU68" s="401"/>
      <c r="PIV68" s="401"/>
      <c r="PIW68" s="401"/>
      <c r="PIX68" s="401"/>
      <c r="PIY68" s="401"/>
      <c r="PIZ68" s="401"/>
      <c r="PJA68" s="401"/>
      <c r="PJB68" s="401"/>
      <c r="PJC68" s="401"/>
      <c r="PJD68" s="401"/>
      <c r="PJE68" s="401"/>
      <c r="PJF68" s="401"/>
      <c r="PJG68" s="401"/>
      <c r="PJH68" s="401"/>
      <c r="PJI68" s="401"/>
      <c r="PJJ68" s="401"/>
      <c r="PJK68" s="401"/>
      <c r="PJL68" s="401"/>
      <c r="PJM68" s="401"/>
      <c r="PJN68" s="401"/>
      <c r="PJO68" s="401"/>
      <c r="PJP68" s="401"/>
      <c r="PJQ68" s="401"/>
      <c r="PJR68" s="401"/>
      <c r="PJS68" s="401"/>
      <c r="PJT68" s="401"/>
      <c r="PJU68" s="401"/>
      <c r="PJV68" s="401"/>
      <c r="PJW68" s="401"/>
      <c r="PJX68" s="401"/>
      <c r="PJY68" s="401"/>
      <c r="PJZ68" s="401"/>
      <c r="PKA68" s="401"/>
      <c r="PKB68" s="401"/>
      <c r="PKC68" s="401"/>
      <c r="PKD68" s="401"/>
      <c r="PKE68" s="401"/>
      <c r="PKF68" s="401"/>
      <c r="PKG68" s="401"/>
      <c r="PKH68" s="401"/>
      <c r="PKI68" s="401"/>
      <c r="PKJ68" s="401"/>
      <c r="PKK68" s="401"/>
      <c r="PKL68" s="401"/>
      <c r="PKM68" s="401"/>
      <c r="PKN68" s="401"/>
      <c r="PKO68" s="401"/>
      <c r="PKP68" s="401"/>
      <c r="PKQ68" s="401"/>
      <c r="PKR68" s="401"/>
      <c r="PKS68" s="401"/>
      <c r="PKT68" s="401"/>
      <c r="PKU68" s="401"/>
      <c r="PKV68" s="401"/>
      <c r="PKW68" s="401"/>
      <c r="PKX68" s="401"/>
      <c r="PKY68" s="401"/>
      <c r="PKZ68" s="401"/>
      <c r="PLA68" s="401"/>
      <c r="PLB68" s="401"/>
      <c r="PLC68" s="401"/>
      <c r="PLD68" s="401"/>
      <c r="PLE68" s="401"/>
      <c r="PLF68" s="401"/>
      <c r="PLG68" s="401"/>
      <c r="PLH68" s="401"/>
      <c r="PLI68" s="401"/>
      <c r="PLJ68" s="401"/>
      <c r="PLK68" s="401"/>
      <c r="PLL68" s="401"/>
      <c r="PLM68" s="401"/>
      <c r="PLN68" s="401"/>
      <c r="PLO68" s="401"/>
      <c r="PLP68" s="401"/>
      <c r="PLQ68" s="401"/>
      <c r="PLR68" s="401"/>
      <c r="PLS68" s="401"/>
      <c r="PLT68" s="401"/>
      <c r="PLU68" s="401"/>
      <c r="PLV68" s="401"/>
      <c r="PLW68" s="401"/>
      <c r="PLX68" s="401"/>
      <c r="PLY68" s="401"/>
      <c r="PLZ68" s="401"/>
      <c r="PMA68" s="401"/>
      <c r="PMB68" s="401"/>
      <c r="PMC68" s="401"/>
      <c r="PMD68" s="401"/>
      <c r="PME68" s="401"/>
      <c r="PMF68" s="401"/>
      <c r="PMG68" s="401"/>
      <c r="PMH68" s="401"/>
      <c r="PMI68" s="401"/>
      <c r="PMJ68" s="401"/>
      <c r="PMK68" s="401"/>
      <c r="PML68" s="401"/>
      <c r="PMM68" s="401"/>
      <c r="PMN68" s="401"/>
      <c r="PMO68" s="401"/>
      <c r="PMP68" s="401"/>
      <c r="PMQ68" s="401"/>
      <c r="PMR68" s="401"/>
      <c r="PMS68" s="401"/>
      <c r="PMT68" s="401"/>
      <c r="PMU68" s="401"/>
      <c r="PMV68" s="401"/>
      <c r="PMW68" s="401"/>
      <c r="PMX68" s="401"/>
      <c r="PMY68" s="401"/>
      <c r="PMZ68" s="401"/>
      <c r="PNA68" s="401"/>
      <c r="PNB68" s="401"/>
      <c r="PNC68" s="401"/>
      <c r="PND68" s="401"/>
      <c r="PNE68" s="401"/>
      <c r="PNF68" s="401"/>
      <c r="PNG68" s="401"/>
      <c r="PNH68" s="401"/>
      <c r="PNI68" s="401"/>
      <c r="PNJ68" s="401"/>
      <c r="PNK68" s="401"/>
      <c r="PNL68" s="401"/>
      <c r="PNM68" s="401"/>
      <c r="PNN68" s="401"/>
      <c r="PNO68" s="401"/>
      <c r="PNP68" s="401"/>
      <c r="PNQ68" s="401"/>
      <c r="PNR68" s="401"/>
      <c r="PNS68" s="401"/>
      <c r="PNT68" s="401"/>
      <c r="PNU68" s="401"/>
      <c r="PNV68" s="401"/>
      <c r="PNW68" s="401"/>
      <c r="PNX68" s="401"/>
      <c r="PNY68" s="401"/>
      <c r="PNZ68" s="401"/>
      <c r="POA68" s="401"/>
      <c r="POB68" s="401"/>
      <c r="POC68" s="401"/>
      <c r="POD68" s="401"/>
      <c r="POE68" s="401"/>
      <c r="POF68" s="401"/>
      <c r="POG68" s="401"/>
      <c r="POH68" s="401"/>
      <c r="POI68" s="401"/>
      <c r="POJ68" s="401"/>
      <c r="POK68" s="401"/>
      <c r="POL68" s="401"/>
      <c r="POM68" s="401"/>
      <c r="PON68" s="401"/>
      <c r="POO68" s="401"/>
      <c r="POP68" s="401"/>
      <c r="POQ68" s="401"/>
      <c r="POR68" s="401"/>
      <c r="POS68" s="401"/>
      <c r="POT68" s="401"/>
      <c r="POU68" s="401"/>
      <c r="POV68" s="401"/>
      <c r="POW68" s="401"/>
      <c r="POX68" s="401"/>
      <c r="POY68" s="401"/>
      <c r="POZ68" s="401"/>
      <c r="PPA68" s="401"/>
      <c r="PPB68" s="401"/>
      <c r="PPC68" s="401"/>
      <c r="PPD68" s="401"/>
      <c r="PPE68" s="401"/>
      <c r="PPF68" s="401"/>
      <c r="PPG68" s="401"/>
      <c r="PPH68" s="401"/>
      <c r="PPI68" s="401"/>
      <c r="PPJ68" s="401"/>
      <c r="PPK68" s="401"/>
      <c r="PPL68" s="401"/>
      <c r="PPM68" s="401"/>
      <c r="PPN68" s="401"/>
      <c r="PPO68" s="401"/>
      <c r="PPP68" s="401"/>
      <c r="PPQ68" s="401"/>
      <c r="PPR68" s="401"/>
      <c r="PPS68" s="401"/>
      <c r="PPT68" s="401"/>
      <c r="PPU68" s="401"/>
      <c r="PPV68" s="401"/>
      <c r="PPW68" s="401"/>
      <c r="PPX68" s="401"/>
      <c r="PPY68" s="401"/>
      <c r="PPZ68" s="401"/>
      <c r="PQA68" s="401"/>
      <c r="PQB68" s="401"/>
      <c r="PQC68" s="401"/>
      <c r="PQD68" s="401"/>
      <c r="PQE68" s="401"/>
      <c r="PQF68" s="401"/>
      <c r="PQG68" s="401"/>
      <c r="PQH68" s="401"/>
      <c r="PQI68" s="401"/>
      <c r="PQJ68" s="401"/>
      <c r="PQK68" s="401"/>
      <c r="PQL68" s="401"/>
      <c r="PQM68" s="401"/>
      <c r="PQN68" s="401"/>
      <c r="PQO68" s="401"/>
      <c r="PQP68" s="401"/>
      <c r="PQQ68" s="401"/>
      <c r="PQR68" s="401"/>
      <c r="PQS68" s="401"/>
      <c r="PQT68" s="401"/>
      <c r="PQU68" s="401"/>
      <c r="PQV68" s="401"/>
      <c r="PQW68" s="401"/>
      <c r="PQX68" s="401"/>
      <c r="PQY68" s="401"/>
      <c r="PQZ68" s="401"/>
      <c r="PRA68" s="401"/>
      <c r="PRB68" s="401"/>
      <c r="PRC68" s="401"/>
      <c r="PRD68" s="401"/>
      <c r="PRE68" s="401"/>
      <c r="PRF68" s="401"/>
      <c r="PRG68" s="401"/>
      <c r="PRH68" s="401"/>
      <c r="PRI68" s="401"/>
      <c r="PRJ68" s="401"/>
      <c r="PRK68" s="401"/>
      <c r="PRL68" s="401"/>
      <c r="PRM68" s="401"/>
      <c r="PRN68" s="401"/>
      <c r="PRO68" s="401"/>
      <c r="PRP68" s="401"/>
      <c r="PRQ68" s="401"/>
      <c r="PRR68" s="401"/>
      <c r="PRS68" s="401"/>
      <c r="PRT68" s="401"/>
      <c r="PRU68" s="401"/>
      <c r="PRV68" s="401"/>
      <c r="PRW68" s="401"/>
      <c r="PRX68" s="401"/>
      <c r="PRY68" s="401"/>
      <c r="PRZ68" s="401"/>
      <c r="PSA68" s="401"/>
      <c r="PSB68" s="401"/>
      <c r="PSC68" s="401"/>
      <c r="PSD68" s="401"/>
      <c r="PSE68" s="401"/>
      <c r="PSF68" s="401"/>
      <c r="PSG68" s="401"/>
      <c r="PSH68" s="401"/>
      <c r="PSI68" s="401"/>
      <c r="PSJ68" s="401"/>
      <c r="PSK68" s="401"/>
      <c r="PSL68" s="401"/>
      <c r="PSM68" s="401"/>
      <c r="PSN68" s="401"/>
      <c r="PSO68" s="401"/>
      <c r="PSP68" s="401"/>
      <c r="PSQ68" s="401"/>
      <c r="PSR68" s="401"/>
      <c r="PSS68" s="401"/>
      <c r="PST68" s="401"/>
      <c r="PSU68" s="401"/>
      <c r="PSV68" s="401"/>
      <c r="PSW68" s="401"/>
      <c r="PSX68" s="401"/>
      <c r="PSY68" s="401"/>
      <c r="PSZ68" s="401"/>
      <c r="PTA68" s="401"/>
      <c r="PTB68" s="401"/>
      <c r="PTC68" s="401"/>
      <c r="PTD68" s="401"/>
      <c r="PTE68" s="401"/>
      <c r="PTF68" s="401"/>
      <c r="PTG68" s="401"/>
      <c r="PTH68" s="401"/>
      <c r="PTI68" s="401"/>
      <c r="PTJ68" s="401"/>
      <c r="PTK68" s="401"/>
      <c r="PTL68" s="401"/>
      <c r="PTM68" s="401"/>
      <c r="PTN68" s="401"/>
      <c r="PTO68" s="401"/>
      <c r="PTP68" s="401"/>
      <c r="PTQ68" s="401"/>
      <c r="PTR68" s="401"/>
      <c r="PTS68" s="401"/>
      <c r="PTT68" s="401"/>
      <c r="PTU68" s="401"/>
      <c r="PTV68" s="401"/>
      <c r="PTW68" s="401"/>
      <c r="PTX68" s="401"/>
      <c r="PTY68" s="401"/>
      <c r="PTZ68" s="401"/>
      <c r="PUA68" s="401"/>
      <c r="PUB68" s="401"/>
      <c r="PUC68" s="401"/>
      <c r="PUD68" s="401"/>
      <c r="PUE68" s="401"/>
      <c r="PUF68" s="401"/>
      <c r="PUG68" s="401"/>
      <c r="PUH68" s="401"/>
      <c r="PUI68" s="401"/>
      <c r="PUJ68" s="401"/>
      <c r="PUK68" s="401"/>
      <c r="PUL68" s="401"/>
      <c r="PUM68" s="401"/>
      <c r="PUN68" s="401"/>
      <c r="PUO68" s="401"/>
      <c r="PUP68" s="401"/>
      <c r="PUQ68" s="401"/>
      <c r="PUR68" s="401"/>
      <c r="PUS68" s="401"/>
      <c r="PUT68" s="401"/>
      <c r="PUU68" s="401"/>
      <c r="PUV68" s="401"/>
      <c r="PUW68" s="401"/>
      <c r="PUX68" s="401"/>
      <c r="PUY68" s="401"/>
      <c r="PUZ68" s="401"/>
      <c r="PVA68" s="401"/>
      <c r="PVB68" s="401"/>
      <c r="PVC68" s="401"/>
      <c r="PVD68" s="401"/>
      <c r="PVE68" s="401"/>
      <c r="PVF68" s="401"/>
      <c r="PVG68" s="401"/>
      <c r="PVH68" s="401"/>
      <c r="PVI68" s="401"/>
      <c r="PVJ68" s="401"/>
      <c r="PVK68" s="401"/>
      <c r="PVL68" s="401"/>
      <c r="PVM68" s="401"/>
      <c r="PVN68" s="401"/>
      <c r="PVO68" s="401"/>
      <c r="PVP68" s="401"/>
      <c r="PVQ68" s="401"/>
      <c r="PVR68" s="401"/>
      <c r="PVS68" s="401"/>
      <c r="PVT68" s="401"/>
      <c r="PVU68" s="401"/>
      <c r="PVV68" s="401"/>
      <c r="PVW68" s="401"/>
      <c r="PVX68" s="401"/>
      <c r="PVY68" s="401"/>
      <c r="PVZ68" s="401"/>
      <c r="PWA68" s="401"/>
      <c r="PWB68" s="401"/>
      <c r="PWC68" s="401"/>
      <c r="PWD68" s="401"/>
      <c r="PWE68" s="401"/>
      <c r="PWF68" s="401"/>
      <c r="PWG68" s="401"/>
      <c r="PWH68" s="401"/>
      <c r="PWI68" s="401"/>
      <c r="PWJ68" s="401"/>
      <c r="PWK68" s="401"/>
      <c r="PWL68" s="401"/>
      <c r="PWM68" s="401"/>
      <c r="PWN68" s="401"/>
      <c r="PWO68" s="401"/>
      <c r="PWP68" s="401"/>
      <c r="PWQ68" s="401"/>
      <c r="PWR68" s="401"/>
      <c r="PWS68" s="401"/>
      <c r="PWT68" s="401"/>
      <c r="PWU68" s="401"/>
      <c r="PWV68" s="401"/>
      <c r="PWW68" s="401"/>
      <c r="PWX68" s="401"/>
      <c r="PWY68" s="401"/>
      <c r="PWZ68" s="401"/>
      <c r="PXA68" s="401"/>
      <c r="PXB68" s="401"/>
      <c r="PXC68" s="401"/>
      <c r="PXD68" s="401"/>
      <c r="PXE68" s="401"/>
      <c r="PXF68" s="401"/>
      <c r="PXG68" s="401"/>
      <c r="PXH68" s="401"/>
      <c r="PXI68" s="401"/>
      <c r="PXJ68" s="401"/>
      <c r="PXK68" s="401"/>
      <c r="PXL68" s="401"/>
      <c r="PXM68" s="401"/>
      <c r="PXN68" s="401"/>
      <c r="PXO68" s="401"/>
      <c r="PXP68" s="401"/>
      <c r="PXQ68" s="401"/>
      <c r="PXR68" s="401"/>
      <c r="PXS68" s="401"/>
      <c r="PXT68" s="401"/>
      <c r="PXU68" s="401"/>
      <c r="PXV68" s="401"/>
      <c r="PXW68" s="401"/>
      <c r="PXX68" s="401"/>
      <c r="PXY68" s="401"/>
      <c r="PXZ68" s="401"/>
      <c r="PYA68" s="401"/>
      <c r="PYB68" s="401"/>
      <c r="PYC68" s="401"/>
      <c r="PYD68" s="401"/>
      <c r="PYE68" s="401"/>
      <c r="PYF68" s="401"/>
      <c r="PYG68" s="401"/>
      <c r="PYH68" s="401"/>
      <c r="PYI68" s="401"/>
      <c r="PYJ68" s="401"/>
      <c r="PYK68" s="401"/>
      <c r="PYL68" s="401"/>
      <c r="PYM68" s="401"/>
      <c r="PYN68" s="401"/>
      <c r="PYO68" s="401"/>
      <c r="PYP68" s="401"/>
      <c r="PYQ68" s="401"/>
      <c r="PYR68" s="401"/>
      <c r="PYS68" s="401"/>
      <c r="PYT68" s="401"/>
      <c r="PYU68" s="401"/>
      <c r="PYV68" s="401"/>
      <c r="PYW68" s="401"/>
      <c r="PYX68" s="401"/>
      <c r="PYY68" s="401"/>
      <c r="PYZ68" s="401"/>
      <c r="PZA68" s="401"/>
      <c r="PZB68" s="401"/>
      <c r="PZC68" s="401"/>
      <c r="PZD68" s="401"/>
      <c r="PZE68" s="401"/>
      <c r="PZF68" s="401"/>
      <c r="PZG68" s="401"/>
      <c r="PZH68" s="401"/>
      <c r="PZI68" s="401"/>
      <c r="PZJ68" s="401"/>
      <c r="PZK68" s="401"/>
      <c r="PZL68" s="401"/>
      <c r="PZM68" s="401"/>
      <c r="PZN68" s="401"/>
      <c r="PZO68" s="401"/>
      <c r="PZP68" s="401"/>
      <c r="PZQ68" s="401"/>
      <c r="PZR68" s="401"/>
      <c r="PZS68" s="401"/>
      <c r="PZT68" s="401"/>
      <c r="PZU68" s="401"/>
      <c r="PZV68" s="401"/>
      <c r="PZW68" s="401"/>
      <c r="PZX68" s="401"/>
      <c r="PZY68" s="401"/>
      <c r="PZZ68" s="401"/>
      <c r="QAA68" s="401"/>
      <c r="QAB68" s="401"/>
      <c r="QAC68" s="401"/>
      <c r="QAD68" s="401"/>
      <c r="QAE68" s="401"/>
      <c r="QAF68" s="401"/>
      <c r="QAG68" s="401"/>
      <c r="QAH68" s="401"/>
      <c r="QAI68" s="401"/>
      <c r="QAJ68" s="401"/>
      <c r="QAK68" s="401"/>
      <c r="QAL68" s="401"/>
      <c r="QAM68" s="401"/>
      <c r="QAN68" s="401"/>
      <c r="QAO68" s="401"/>
      <c r="QAP68" s="401"/>
      <c r="QAQ68" s="401"/>
      <c r="QAR68" s="401"/>
      <c r="QAS68" s="401"/>
      <c r="QAT68" s="401"/>
      <c r="QAU68" s="401"/>
      <c r="QAV68" s="401"/>
      <c r="QAW68" s="401"/>
      <c r="QAX68" s="401"/>
      <c r="QAY68" s="401"/>
      <c r="QAZ68" s="401"/>
      <c r="QBA68" s="401"/>
      <c r="QBB68" s="401"/>
      <c r="QBC68" s="401"/>
      <c r="QBD68" s="401"/>
      <c r="QBE68" s="401"/>
      <c r="QBF68" s="401"/>
      <c r="QBG68" s="401"/>
      <c r="QBH68" s="401"/>
      <c r="QBI68" s="401"/>
      <c r="QBJ68" s="401"/>
      <c r="QBK68" s="401"/>
      <c r="QBL68" s="401"/>
      <c r="QBM68" s="401"/>
      <c r="QBN68" s="401"/>
      <c r="QBO68" s="401"/>
      <c r="QBP68" s="401"/>
      <c r="QBQ68" s="401"/>
      <c r="QBR68" s="401"/>
      <c r="QBS68" s="401"/>
      <c r="QBT68" s="401"/>
      <c r="QBU68" s="401"/>
      <c r="QBV68" s="401"/>
      <c r="QBW68" s="401"/>
      <c r="QBX68" s="401"/>
      <c r="QBY68" s="401"/>
      <c r="QBZ68" s="401"/>
      <c r="QCA68" s="401"/>
      <c r="QCB68" s="401"/>
      <c r="QCC68" s="401"/>
      <c r="QCD68" s="401"/>
      <c r="QCE68" s="401"/>
      <c r="QCF68" s="401"/>
      <c r="QCG68" s="401"/>
      <c r="QCH68" s="401"/>
      <c r="QCI68" s="401"/>
      <c r="QCJ68" s="401"/>
      <c r="QCK68" s="401"/>
      <c r="QCL68" s="401"/>
      <c r="QCM68" s="401"/>
      <c r="QCN68" s="401"/>
      <c r="QCO68" s="401"/>
      <c r="QCP68" s="401"/>
      <c r="QCQ68" s="401"/>
      <c r="QCR68" s="401"/>
      <c r="QCS68" s="401"/>
      <c r="QCT68" s="401"/>
      <c r="QCU68" s="401"/>
      <c r="QCV68" s="401"/>
      <c r="QCW68" s="401"/>
      <c r="QCX68" s="401"/>
      <c r="QCY68" s="401"/>
      <c r="QCZ68" s="401"/>
      <c r="QDA68" s="401"/>
      <c r="QDB68" s="401"/>
      <c r="QDC68" s="401"/>
      <c r="QDD68" s="401"/>
      <c r="QDE68" s="401"/>
      <c r="QDF68" s="401"/>
      <c r="QDG68" s="401"/>
      <c r="QDH68" s="401"/>
      <c r="QDI68" s="401"/>
      <c r="QDJ68" s="401"/>
      <c r="QDK68" s="401"/>
      <c r="QDL68" s="401"/>
      <c r="QDM68" s="401"/>
      <c r="QDN68" s="401"/>
      <c r="QDO68" s="401"/>
      <c r="QDP68" s="401"/>
      <c r="QDQ68" s="401"/>
      <c r="QDR68" s="401"/>
      <c r="QDS68" s="401"/>
      <c r="QDT68" s="401"/>
      <c r="QDU68" s="401"/>
      <c r="QDV68" s="401"/>
      <c r="QDW68" s="401"/>
      <c r="QDX68" s="401"/>
      <c r="QDY68" s="401"/>
      <c r="QDZ68" s="401"/>
      <c r="QEA68" s="401"/>
      <c r="QEB68" s="401"/>
      <c r="QEC68" s="401"/>
      <c r="QED68" s="401"/>
      <c r="QEE68" s="401"/>
      <c r="QEF68" s="401"/>
      <c r="QEG68" s="401"/>
      <c r="QEH68" s="401"/>
      <c r="QEI68" s="401"/>
      <c r="QEJ68" s="401"/>
      <c r="QEK68" s="401"/>
      <c r="QEL68" s="401"/>
      <c r="QEM68" s="401"/>
      <c r="QEN68" s="401"/>
      <c r="QEO68" s="401"/>
      <c r="QEP68" s="401"/>
      <c r="QEQ68" s="401"/>
      <c r="QER68" s="401"/>
      <c r="QES68" s="401"/>
      <c r="QET68" s="401"/>
      <c r="QEU68" s="401"/>
      <c r="QEV68" s="401"/>
      <c r="QEW68" s="401"/>
      <c r="QEX68" s="401"/>
      <c r="QEY68" s="401"/>
      <c r="QEZ68" s="401"/>
      <c r="QFA68" s="401"/>
      <c r="QFB68" s="401"/>
      <c r="QFC68" s="401"/>
      <c r="QFD68" s="401"/>
      <c r="QFE68" s="401"/>
      <c r="QFF68" s="401"/>
      <c r="QFG68" s="401"/>
      <c r="QFH68" s="401"/>
      <c r="QFI68" s="401"/>
      <c r="QFJ68" s="401"/>
      <c r="QFK68" s="401"/>
      <c r="QFL68" s="401"/>
      <c r="QFM68" s="401"/>
      <c r="QFN68" s="401"/>
      <c r="QFO68" s="401"/>
      <c r="QFP68" s="401"/>
      <c r="QFQ68" s="401"/>
      <c r="QFR68" s="401"/>
      <c r="QFS68" s="401"/>
      <c r="QFT68" s="401"/>
      <c r="QFU68" s="401"/>
      <c r="QFV68" s="401"/>
      <c r="QFW68" s="401"/>
      <c r="QFX68" s="401"/>
      <c r="QFY68" s="401"/>
      <c r="QFZ68" s="401"/>
      <c r="QGA68" s="401"/>
      <c r="QGB68" s="401"/>
      <c r="QGC68" s="401"/>
      <c r="QGD68" s="401"/>
      <c r="QGE68" s="401"/>
      <c r="QGF68" s="401"/>
      <c r="QGG68" s="401"/>
      <c r="QGH68" s="401"/>
      <c r="QGI68" s="401"/>
      <c r="QGJ68" s="401"/>
      <c r="QGK68" s="401"/>
      <c r="QGL68" s="401"/>
      <c r="QGM68" s="401"/>
      <c r="QGN68" s="401"/>
      <c r="QGO68" s="401"/>
      <c r="QGP68" s="401"/>
      <c r="QGQ68" s="401"/>
      <c r="QGR68" s="401"/>
      <c r="QGS68" s="401"/>
      <c r="QGT68" s="401"/>
      <c r="QGU68" s="401"/>
      <c r="QGV68" s="401"/>
      <c r="QGW68" s="401"/>
      <c r="QGX68" s="401"/>
      <c r="QGY68" s="401"/>
      <c r="QGZ68" s="401"/>
      <c r="QHA68" s="401"/>
      <c r="QHB68" s="401"/>
      <c r="QHC68" s="401"/>
      <c r="QHD68" s="401"/>
      <c r="QHE68" s="401"/>
      <c r="QHF68" s="401"/>
      <c r="QHG68" s="401"/>
      <c r="QHH68" s="401"/>
      <c r="QHI68" s="401"/>
      <c r="QHJ68" s="401"/>
      <c r="QHK68" s="401"/>
      <c r="QHL68" s="401"/>
      <c r="QHM68" s="401"/>
      <c r="QHN68" s="401"/>
      <c r="QHO68" s="401"/>
      <c r="QHP68" s="401"/>
      <c r="QHQ68" s="401"/>
      <c r="QHR68" s="401"/>
      <c r="QHS68" s="401"/>
      <c r="QHT68" s="401"/>
      <c r="QHU68" s="401"/>
      <c r="QHV68" s="401"/>
      <c r="QHW68" s="401"/>
      <c r="QHX68" s="401"/>
      <c r="QHY68" s="401"/>
      <c r="QHZ68" s="401"/>
      <c r="QIA68" s="401"/>
      <c r="QIB68" s="401"/>
      <c r="QIC68" s="401"/>
      <c r="QID68" s="401"/>
      <c r="QIE68" s="401"/>
      <c r="QIF68" s="401"/>
      <c r="QIG68" s="401"/>
      <c r="QIH68" s="401"/>
      <c r="QII68" s="401"/>
      <c r="QIJ68" s="401"/>
      <c r="QIK68" s="401"/>
      <c r="QIL68" s="401"/>
      <c r="QIM68" s="401"/>
      <c r="QIN68" s="401"/>
      <c r="QIO68" s="401"/>
      <c r="QIP68" s="401"/>
      <c r="QIQ68" s="401"/>
      <c r="QIR68" s="401"/>
      <c r="QIS68" s="401"/>
      <c r="QIT68" s="401"/>
      <c r="QIU68" s="401"/>
      <c r="QIV68" s="401"/>
      <c r="QIW68" s="401"/>
      <c r="QIX68" s="401"/>
      <c r="QIY68" s="401"/>
      <c r="QIZ68" s="401"/>
      <c r="QJA68" s="401"/>
      <c r="QJB68" s="401"/>
      <c r="QJC68" s="401"/>
      <c r="QJD68" s="401"/>
      <c r="QJE68" s="401"/>
      <c r="QJF68" s="401"/>
      <c r="QJG68" s="401"/>
      <c r="QJH68" s="401"/>
      <c r="QJI68" s="401"/>
      <c r="QJJ68" s="401"/>
      <c r="QJK68" s="401"/>
      <c r="QJL68" s="401"/>
      <c r="QJM68" s="401"/>
      <c r="QJN68" s="401"/>
      <c r="QJO68" s="401"/>
      <c r="QJP68" s="401"/>
      <c r="QJQ68" s="401"/>
      <c r="QJR68" s="401"/>
      <c r="QJS68" s="401"/>
      <c r="QJT68" s="401"/>
      <c r="QJU68" s="401"/>
      <c r="QJV68" s="401"/>
      <c r="QJW68" s="401"/>
      <c r="QJX68" s="401"/>
      <c r="QJY68" s="401"/>
      <c r="QJZ68" s="401"/>
      <c r="QKA68" s="401"/>
      <c r="QKB68" s="401"/>
      <c r="QKC68" s="401"/>
      <c r="QKD68" s="401"/>
      <c r="QKE68" s="401"/>
      <c r="QKF68" s="401"/>
      <c r="QKG68" s="401"/>
      <c r="QKH68" s="401"/>
      <c r="QKI68" s="401"/>
      <c r="QKJ68" s="401"/>
      <c r="QKK68" s="401"/>
      <c r="QKL68" s="401"/>
      <c r="QKM68" s="401"/>
      <c r="QKN68" s="401"/>
      <c r="QKO68" s="401"/>
      <c r="QKP68" s="401"/>
      <c r="QKQ68" s="401"/>
      <c r="QKR68" s="401"/>
      <c r="QKS68" s="401"/>
      <c r="QKT68" s="401"/>
      <c r="QKU68" s="401"/>
      <c r="QKV68" s="401"/>
      <c r="QKW68" s="401"/>
      <c r="QKX68" s="401"/>
      <c r="QKY68" s="401"/>
      <c r="QKZ68" s="401"/>
      <c r="QLA68" s="401"/>
      <c r="QLB68" s="401"/>
      <c r="QLC68" s="401"/>
      <c r="QLD68" s="401"/>
      <c r="QLE68" s="401"/>
      <c r="QLF68" s="401"/>
      <c r="QLG68" s="401"/>
      <c r="QLH68" s="401"/>
      <c r="QLI68" s="401"/>
      <c r="QLJ68" s="401"/>
      <c r="QLK68" s="401"/>
      <c r="QLL68" s="401"/>
      <c r="QLM68" s="401"/>
      <c r="QLN68" s="401"/>
      <c r="QLO68" s="401"/>
      <c r="QLP68" s="401"/>
      <c r="QLQ68" s="401"/>
      <c r="QLR68" s="401"/>
      <c r="QLS68" s="401"/>
      <c r="QLT68" s="401"/>
      <c r="QLU68" s="401"/>
      <c r="QLV68" s="401"/>
      <c r="QLW68" s="401"/>
      <c r="QLX68" s="401"/>
      <c r="QLY68" s="401"/>
      <c r="QLZ68" s="401"/>
      <c r="QMA68" s="401"/>
      <c r="QMB68" s="401"/>
      <c r="QMC68" s="401"/>
      <c r="QMD68" s="401"/>
      <c r="QME68" s="401"/>
      <c r="QMF68" s="401"/>
      <c r="QMG68" s="401"/>
      <c r="QMH68" s="401"/>
      <c r="QMI68" s="401"/>
      <c r="QMJ68" s="401"/>
      <c r="QMK68" s="401"/>
      <c r="QML68" s="401"/>
      <c r="QMM68" s="401"/>
      <c r="QMN68" s="401"/>
      <c r="QMO68" s="401"/>
      <c r="QMP68" s="401"/>
      <c r="QMQ68" s="401"/>
      <c r="QMR68" s="401"/>
      <c r="QMS68" s="401"/>
      <c r="QMT68" s="401"/>
      <c r="QMU68" s="401"/>
      <c r="QMV68" s="401"/>
      <c r="QMW68" s="401"/>
      <c r="QMX68" s="401"/>
      <c r="QMY68" s="401"/>
      <c r="QMZ68" s="401"/>
      <c r="QNA68" s="401"/>
      <c r="QNB68" s="401"/>
      <c r="QNC68" s="401"/>
      <c r="QND68" s="401"/>
      <c r="QNE68" s="401"/>
      <c r="QNF68" s="401"/>
      <c r="QNG68" s="401"/>
      <c r="QNH68" s="401"/>
      <c r="QNI68" s="401"/>
      <c r="QNJ68" s="401"/>
      <c r="QNK68" s="401"/>
      <c r="QNL68" s="401"/>
      <c r="QNM68" s="401"/>
      <c r="QNN68" s="401"/>
      <c r="QNO68" s="401"/>
      <c r="QNP68" s="401"/>
      <c r="QNQ68" s="401"/>
      <c r="QNR68" s="401"/>
      <c r="QNS68" s="401"/>
      <c r="QNT68" s="401"/>
      <c r="QNU68" s="401"/>
      <c r="QNV68" s="401"/>
      <c r="QNW68" s="401"/>
      <c r="QNX68" s="401"/>
      <c r="QNY68" s="401"/>
      <c r="QNZ68" s="401"/>
      <c r="QOA68" s="401"/>
      <c r="QOB68" s="401"/>
      <c r="QOC68" s="401"/>
      <c r="QOD68" s="401"/>
      <c r="QOE68" s="401"/>
      <c r="QOF68" s="401"/>
      <c r="QOG68" s="401"/>
      <c r="QOH68" s="401"/>
      <c r="QOI68" s="401"/>
      <c r="QOJ68" s="401"/>
      <c r="QOK68" s="401"/>
      <c r="QOL68" s="401"/>
      <c r="QOM68" s="401"/>
      <c r="QON68" s="401"/>
      <c r="QOO68" s="401"/>
      <c r="QOP68" s="401"/>
      <c r="QOQ68" s="401"/>
      <c r="QOR68" s="401"/>
      <c r="QOS68" s="401"/>
      <c r="QOT68" s="401"/>
      <c r="QOU68" s="401"/>
      <c r="QOV68" s="401"/>
      <c r="QOW68" s="401"/>
      <c r="QOX68" s="401"/>
      <c r="QOY68" s="401"/>
      <c r="QOZ68" s="401"/>
      <c r="QPA68" s="401"/>
      <c r="QPB68" s="401"/>
      <c r="QPC68" s="401"/>
      <c r="QPD68" s="401"/>
      <c r="QPE68" s="401"/>
      <c r="QPF68" s="401"/>
      <c r="QPG68" s="401"/>
      <c r="QPH68" s="401"/>
      <c r="QPI68" s="401"/>
      <c r="QPJ68" s="401"/>
      <c r="QPK68" s="401"/>
      <c r="QPL68" s="401"/>
      <c r="QPM68" s="401"/>
      <c r="QPN68" s="401"/>
      <c r="QPO68" s="401"/>
      <c r="QPP68" s="401"/>
      <c r="QPQ68" s="401"/>
      <c r="QPR68" s="401"/>
      <c r="QPS68" s="401"/>
      <c r="QPT68" s="401"/>
      <c r="QPU68" s="401"/>
      <c r="QPV68" s="401"/>
      <c r="QPW68" s="401"/>
      <c r="QPX68" s="401"/>
      <c r="QPY68" s="401"/>
      <c r="QPZ68" s="401"/>
      <c r="QQA68" s="401"/>
      <c r="QQB68" s="401"/>
      <c r="QQC68" s="401"/>
      <c r="QQD68" s="401"/>
      <c r="QQE68" s="401"/>
      <c r="QQF68" s="401"/>
      <c r="QQG68" s="401"/>
      <c r="QQH68" s="401"/>
      <c r="QQI68" s="401"/>
      <c r="QQJ68" s="401"/>
      <c r="QQK68" s="401"/>
      <c r="QQL68" s="401"/>
      <c r="QQM68" s="401"/>
      <c r="QQN68" s="401"/>
      <c r="QQO68" s="401"/>
      <c r="QQP68" s="401"/>
      <c r="QQQ68" s="401"/>
      <c r="QQR68" s="401"/>
      <c r="QQS68" s="401"/>
      <c r="QQT68" s="401"/>
      <c r="QQU68" s="401"/>
      <c r="QQV68" s="401"/>
      <c r="QQW68" s="401"/>
      <c r="QQX68" s="401"/>
      <c r="QQY68" s="401"/>
      <c r="QQZ68" s="401"/>
      <c r="QRA68" s="401"/>
      <c r="QRB68" s="401"/>
      <c r="QRC68" s="401"/>
      <c r="QRD68" s="401"/>
      <c r="QRE68" s="401"/>
      <c r="QRF68" s="401"/>
      <c r="QRG68" s="401"/>
      <c r="QRH68" s="401"/>
      <c r="QRI68" s="401"/>
      <c r="QRJ68" s="401"/>
      <c r="QRK68" s="401"/>
      <c r="QRL68" s="401"/>
      <c r="QRM68" s="401"/>
      <c r="QRN68" s="401"/>
      <c r="QRO68" s="401"/>
      <c r="QRP68" s="401"/>
      <c r="QRQ68" s="401"/>
      <c r="QRR68" s="401"/>
      <c r="QRS68" s="401"/>
      <c r="QRT68" s="401"/>
      <c r="QRU68" s="401"/>
      <c r="QRV68" s="401"/>
      <c r="QRW68" s="401"/>
      <c r="QRX68" s="401"/>
      <c r="QRY68" s="401"/>
      <c r="QRZ68" s="401"/>
      <c r="QSA68" s="401"/>
      <c r="QSB68" s="401"/>
      <c r="QSC68" s="401"/>
      <c r="QSD68" s="401"/>
      <c r="QSE68" s="401"/>
      <c r="QSF68" s="401"/>
      <c r="QSG68" s="401"/>
      <c r="QSH68" s="401"/>
      <c r="QSI68" s="401"/>
      <c r="QSJ68" s="401"/>
      <c r="QSK68" s="401"/>
      <c r="QSL68" s="401"/>
      <c r="QSM68" s="401"/>
      <c r="QSN68" s="401"/>
      <c r="QSO68" s="401"/>
      <c r="QSP68" s="401"/>
      <c r="QSQ68" s="401"/>
      <c r="QSR68" s="401"/>
      <c r="QSS68" s="401"/>
      <c r="QST68" s="401"/>
      <c r="QSU68" s="401"/>
      <c r="QSV68" s="401"/>
      <c r="QSW68" s="401"/>
      <c r="QSX68" s="401"/>
      <c r="QSY68" s="401"/>
      <c r="QSZ68" s="401"/>
      <c r="QTA68" s="401"/>
      <c r="QTB68" s="401"/>
      <c r="QTC68" s="401"/>
      <c r="QTD68" s="401"/>
      <c r="QTE68" s="401"/>
      <c r="QTF68" s="401"/>
      <c r="QTG68" s="401"/>
      <c r="QTH68" s="401"/>
      <c r="QTI68" s="401"/>
      <c r="QTJ68" s="401"/>
      <c r="QTK68" s="401"/>
      <c r="QTL68" s="401"/>
      <c r="QTM68" s="401"/>
      <c r="QTN68" s="401"/>
      <c r="QTO68" s="401"/>
      <c r="QTP68" s="401"/>
      <c r="QTQ68" s="401"/>
      <c r="QTR68" s="401"/>
      <c r="QTS68" s="401"/>
      <c r="QTT68" s="401"/>
      <c r="QTU68" s="401"/>
      <c r="QTV68" s="401"/>
      <c r="QTW68" s="401"/>
      <c r="QTX68" s="401"/>
      <c r="QTY68" s="401"/>
      <c r="QTZ68" s="401"/>
      <c r="QUA68" s="401"/>
      <c r="QUB68" s="401"/>
      <c r="QUC68" s="401"/>
      <c r="QUD68" s="401"/>
      <c r="QUE68" s="401"/>
      <c r="QUF68" s="401"/>
      <c r="QUG68" s="401"/>
      <c r="QUH68" s="401"/>
      <c r="QUI68" s="401"/>
      <c r="QUJ68" s="401"/>
      <c r="QUK68" s="401"/>
      <c r="QUL68" s="401"/>
      <c r="QUM68" s="401"/>
      <c r="QUN68" s="401"/>
      <c r="QUO68" s="401"/>
      <c r="QUP68" s="401"/>
      <c r="QUQ68" s="401"/>
      <c r="QUR68" s="401"/>
      <c r="QUS68" s="401"/>
      <c r="QUT68" s="401"/>
      <c r="QUU68" s="401"/>
      <c r="QUV68" s="401"/>
      <c r="QUW68" s="401"/>
      <c r="QUX68" s="401"/>
      <c r="QUY68" s="401"/>
      <c r="QUZ68" s="401"/>
      <c r="QVA68" s="401"/>
      <c r="QVB68" s="401"/>
      <c r="QVC68" s="401"/>
      <c r="QVD68" s="401"/>
      <c r="QVE68" s="401"/>
      <c r="QVF68" s="401"/>
      <c r="QVG68" s="401"/>
      <c r="QVH68" s="401"/>
      <c r="QVI68" s="401"/>
      <c r="QVJ68" s="401"/>
      <c r="QVK68" s="401"/>
      <c r="QVL68" s="401"/>
      <c r="QVM68" s="401"/>
      <c r="QVN68" s="401"/>
      <c r="QVO68" s="401"/>
      <c r="QVP68" s="401"/>
      <c r="QVQ68" s="401"/>
      <c r="QVR68" s="401"/>
      <c r="QVS68" s="401"/>
      <c r="QVT68" s="401"/>
      <c r="QVU68" s="401"/>
      <c r="QVV68" s="401"/>
      <c r="QVW68" s="401"/>
      <c r="QVX68" s="401"/>
      <c r="QVY68" s="401"/>
      <c r="QVZ68" s="401"/>
      <c r="QWA68" s="401"/>
      <c r="QWB68" s="401"/>
      <c r="QWC68" s="401"/>
      <c r="QWD68" s="401"/>
      <c r="QWE68" s="401"/>
      <c r="QWF68" s="401"/>
      <c r="QWG68" s="401"/>
      <c r="QWH68" s="401"/>
      <c r="QWI68" s="401"/>
      <c r="QWJ68" s="401"/>
      <c r="QWK68" s="401"/>
      <c r="QWL68" s="401"/>
      <c r="QWM68" s="401"/>
      <c r="QWN68" s="401"/>
      <c r="QWO68" s="401"/>
      <c r="QWP68" s="401"/>
      <c r="QWQ68" s="401"/>
      <c r="QWR68" s="401"/>
      <c r="QWS68" s="401"/>
      <c r="QWT68" s="401"/>
      <c r="QWU68" s="401"/>
      <c r="QWV68" s="401"/>
      <c r="QWW68" s="401"/>
      <c r="QWX68" s="401"/>
      <c r="QWY68" s="401"/>
      <c r="QWZ68" s="401"/>
      <c r="QXA68" s="401"/>
      <c r="QXB68" s="401"/>
      <c r="QXC68" s="401"/>
      <c r="QXD68" s="401"/>
      <c r="QXE68" s="401"/>
      <c r="QXF68" s="401"/>
      <c r="QXG68" s="401"/>
      <c r="QXH68" s="401"/>
      <c r="QXI68" s="401"/>
      <c r="QXJ68" s="401"/>
      <c r="QXK68" s="401"/>
      <c r="QXL68" s="401"/>
      <c r="QXM68" s="401"/>
      <c r="QXN68" s="401"/>
      <c r="QXO68" s="401"/>
      <c r="QXP68" s="401"/>
      <c r="QXQ68" s="401"/>
      <c r="QXR68" s="401"/>
      <c r="QXS68" s="401"/>
      <c r="QXT68" s="401"/>
      <c r="QXU68" s="401"/>
      <c r="QXV68" s="401"/>
      <c r="QXW68" s="401"/>
      <c r="QXX68" s="401"/>
      <c r="QXY68" s="401"/>
      <c r="QXZ68" s="401"/>
      <c r="QYA68" s="401"/>
      <c r="QYB68" s="401"/>
      <c r="QYC68" s="401"/>
      <c r="QYD68" s="401"/>
      <c r="QYE68" s="401"/>
      <c r="QYF68" s="401"/>
      <c r="QYG68" s="401"/>
      <c r="QYH68" s="401"/>
      <c r="QYI68" s="401"/>
      <c r="QYJ68" s="401"/>
      <c r="QYK68" s="401"/>
      <c r="QYL68" s="401"/>
      <c r="QYM68" s="401"/>
      <c r="QYN68" s="401"/>
      <c r="QYO68" s="401"/>
      <c r="QYP68" s="401"/>
      <c r="QYQ68" s="401"/>
      <c r="QYR68" s="401"/>
      <c r="QYS68" s="401"/>
      <c r="QYT68" s="401"/>
      <c r="QYU68" s="401"/>
      <c r="QYV68" s="401"/>
      <c r="QYW68" s="401"/>
      <c r="QYX68" s="401"/>
      <c r="QYY68" s="401"/>
      <c r="QYZ68" s="401"/>
      <c r="QZA68" s="401"/>
      <c r="QZB68" s="401"/>
      <c r="QZC68" s="401"/>
      <c r="QZD68" s="401"/>
      <c r="QZE68" s="401"/>
      <c r="QZF68" s="401"/>
      <c r="QZG68" s="401"/>
      <c r="QZH68" s="401"/>
      <c r="QZI68" s="401"/>
      <c r="QZJ68" s="401"/>
      <c r="QZK68" s="401"/>
      <c r="QZL68" s="401"/>
      <c r="QZM68" s="401"/>
      <c r="QZN68" s="401"/>
      <c r="QZO68" s="401"/>
      <c r="QZP68" s="401"/>
      <c r="QZQ68" s="401"/>
      <c r="QZR68" s="401"/>
      <c r="QZS68" s="401"/>
      <c r="QZT68" s="401"/>
      <c r="QZU68" s="401"/>
      <c r="QZV68" s="401"/>
      <c r="QZW68" s="401"/>
      <c r="QZX68" s="401"/>
      <c r="QZY68" s="401"/>
      <c r="QZZ68" s="401"/>
      <c r="RAA68" s="401"/>
      <c r="RAB68" s="401"/>
      <c r="RAC68" s="401"/>
      <c r="RAD68" s="401"/>
      <c r="RAE68" s="401"/>
      <c r="RAF68" s="401"/>
      <c r="RAG68" s="401"/>
      <c r="RAH68" s="401"/>
      <c r="RAI68" s="401"/>
      <c r="RAJ68" s="401"/>
      <c r="RAK68" s="401"/>
      <c r="RAL68" s="401"/>
      <c r="RAM68" s="401"/>
      <c r="RAN68" s="401"/>
      <c r="RAO68" s="401"/>
      <c r="RAP68" s="401"/>
      <c r="RAQ68" s="401"/>
      <c r="RAR68" s="401"/>
      <c r="RAS68" s="401"/>
      <c r="RAT68" s="401"/>
      <c r="RAU68" s="401"/>
      <c r="RAV68" s="401"/>
      <c r="RAW68" s="401"/>
      <c r="RAX68" s="401"/>
      <c r="RAY68" s="401"/>
      <c r="RAZ68" s="401"/>
      <c r="RBA68" s="401"/>
      <c r="RBB68" s="401"/>
      <c r="RBC68" s="401"/>
      <c r="RBD68" s="401"/>
      <c r="RBE68" s="401"/>
      <c r="RBF68" s="401"/>
      <c r="RBG68" s="401"/>
      <c r="RBH68" s="401"/>
      <c r="RBI68" s="401"/>
      <c r="RBJ68" s="401"/>
      <c r="RBK68" s="401"/>
      <c r="RBL68" s="401"/>
      <c r="RBM68" s="401"/>
      <c r="RBN68" s="401"/>
      <c r="RBO68" s="401"/>
      <c r="RBP68" s="401"/>
      <c r="RBQ68" s="401"/>
      <c r="RBR68" s="401"/>
      <c r="RBS68" s="401"/>
      <c r="RBT68" s="401"/>
      <c r="RBU68" s="401"/>
      <c r="RBV68" s="401"/>
      <c r="RBW68" s="401"/>
      <c r="RBX68" s="401"/>
      <c r="RBY68" s="401"/>
      <c r="RBZ68" s="401"/>
      <c r="RCA68" s="401"/>
      <c r="RCB68" s="401"/>
      <c r="RCC68" s="401"/>
      <c r="RCD68" s="401"/>
      <c r="RCE68" s="401"/>
      <c r="RCF68" s="401"/>
      <c r="RCG68" s="401"/>
      <c r="RCH68" s="401"/>
      <c r="RCI68" s="401"/>
      <c r="RCJ68" s="401"/>
      <c r="RCK68" s="401"/>
      <c r="RCL68" s="401"/>
      <c r="RCM68" s="401"/>
      <c r="RCN68" s="401"/>
      <c r="RCO68" s="401"/>
      <c r="RCP68" s="401"/>
      <c r="RCQ68" s="401"/>
      <c r="RCR68" s="401"/>
      <c r="RCS68" s="401"/>
      <c r="RCT68" s="401"/>
      <c r="RCU68" s="401"/>
      <c r="RCV68" s="401"/>
      <c r="RCW68" s="401"/>
      <c r="RCX68" s="401"/>
      <c r="RCY68" s="401"/>
      <c r="RCZ68" s="401"/>
      <c r="RDA68" s="401"/>
      <c r="RDB68" s="401"/>
      <c r="RDC68" s="401"/>
      <c r="RDD68" s="401"/>
      <c r="RDE68" s="401"/>
      <c r="RDF68" s="401"/>
      <c r="RDG68" s="401"/>
      <c r="RDH68" s="401"/>
      <c r="RDI68" s="401"/>
      <c r="RDJ68" s="401"/>
      <c r="RDK68" s="401"/>
      <c r="RDL68" s="401"/>
      <c r="RDM68" s="401"/>
      <c r="RDN68" s="401"/>
      <c r="RDO68" s="401"/>
      <c r="RDP68" s="401"/>
      <c r="RDQ68" s="401"/>
      <c r="RDR68" s="401"/>
      <c r="RDS68" s="401"/>
      <c r="RDT68" s="401"/>
      <c r="RDU68" s="401"/>
      <c r="RDV68" s="401"/>
      <c r="RDW68" s="401"/>
      <c r="RDX68" s="401"/>
      <c r="RDY68" s="401"/>
      <c r="RDZ68" s="401"/>
      <c r="REA68" s="401"/>
      <c r="REB68" s="401"/>
      <c r="REC68" s="401"/>
      <c r="RED68" s="401"/>
      <c r="REE68" s="401"/>
      <c r="REF68" s="401"/>
      <c r="REG68" s="401"/>
      <c r="REH68" s="401"/>
      <c r="REI68" s="401"/>
      <c r="REJ68" s="401"/>
      <c r="REK68" s="401"/>
      <c r="REL68" s="401"/>
      <c r="REM68" s="401"/>
      <c r="REN68" s="401"/>
      <c r="REO68" s="401"/>
      <c r="REP68" s="401"/>
      <c r="REQ68" s="401"/>
      <c r="RER68" s="401"/>
      <c r="RES68" s="401"/>
      <c r="RET68" s="401"/>
      <c r="REU68" s="401"/>
      <c r="REV68" s="401"/>
      <c r="REW68" s="401"/>
      <c r="REX68" s="401"/>
      <c r="REY68" s="401"/>
      <c r="REZ68" s="401"/>
      <c r="RFA68" s="401"/>
      <c r="RFB68" s="401"/>
      <c r="RFC68" s="401"/>
      <c r="RFD68" s="401"/>
      <c r="RFE68" s="401"/>
      <c r="RFF68" s="401"/>
      <c r="RFG68" s="401"/>
      <c r="RFH68" s="401"/>
      <c r="RFI68" s="401"/>
      <c r="RFJ68" s="401"/>
      <c r="RFK68" s="401"/>
      <c r="RFL68" s="401"/>
      <c r="RFM68" s="401"/>
      <c r="RFN68" s="401"/>
      <c r="RFO68" s="401"/>
      <c r="RFP68" s="401"/>
      <c r="RFQ68" s="401"/>
      <c r="RFR68" s="401"/>
      <c r="RFS68" s="401"/>
      <c r="RFT68" s="401"/>
      <c r="RFU68" s="401"/>
      <c r="RFV68" s="401"/>
      <c r="RFW68" s="401"/>
      <c r="RFX68" s="401"/>
      <c r="RFY68" s="401"/>
      <c r="RFZ68" s="401"/>
      <c r="RGA68" s="401"/>
      <c r="RGB68" s="401"/>
      <c r="RGC68" s="401"/>
      <c r="RGD68" s="401"/>
      <c r="RGE68" s="401"/>
      <c r="RGF68" s="401"/>
      <c r="RGG68" s="401"/>
      <c r="RGH68" s="401"/>
      <c r="RGI68" s="401"/>
      <c r="RGJ68" s="401"/>
      <c r="RGK68" s="401"/>
      <c r="RGL68" s="401"/>
      <c r="RGM68" s="401"/>
      <c r="RGN68" s="401"/>
      <c r="RGO68" s="401"/>
      <c r="RGP68" s="401"/>
      <c r="RGQ68" s="401"/>
      <c r="RGR68" s="401"/>
      <c r="RGS68" s="401"/>
      <c r="RGT68" s="401"/>
      <c r="RGU68" s="401"/>
      <c r="RGV68" s="401"/>
      <c r="RGW68" s="401"/>
      <c r="RGX68" s="401"/>
      <c r="RGY68" s="401"/>
      <c r="RGZ68" s="401"/>
      <c r="RHA68" s="401"/>
      <c r="RHB68" s="401"/>
      <c r="RHC68" s="401"/>
      <c r="RHD68" s="401"/>
      <c r="RHE68" s="401"/>
      <c r="RHF68" s="401"/>
      <c r="RHG68" s="401"/>
      <c r="RHH68" s="401"/>
      <c r="RHI68" s="401"/>
      <c r="RHJ68" s="401"/>
      <c r="RHK68" s="401"/>
      <c r="RHL68" s="401"/>
      <c r="RHM68" s="401"/>
      <c r="RHN68" s="401"/>
      <c r="RHO68" s="401"/>
      <c r="RHP68" s="401"/>
      <c r="RHQ68" s="401"/>
      <c r="RHR68" s="401"/>
      <c r="RHS68" s="401"/>
      <c r="RHT68" s="401"/>
      <c r="RHU68" s="401"/>
      <c r="RHV68" s="401"/>
      <c r="RHW68" s="401"/>
      <c r="RHX68" s="401"/>
      <c r="RHY68" s="401"/>
      <c r="RHZ68" s="401"/>
      <c r="RIA68" s="401"/>
      <c r="RIB68" s="401"/>
      <c r="RIC68" s="401"/>
      <c r="RID68" s="401"/>
      <c r="RIE68" s="401"/>
      <c r="RIF68" s="401"/>
      <c r="RIG68" s="401"/>
      <c r="RIH68" s="401"/>
      <c r="RII68" s="401"/>
      <c r="RIJ68" s="401"/>
      <c r="RIK68" s="401"/>
      <c r="RIL68" s="401"/>
      <c r="RIM68" s="401"/>
      <c r="RIN68" s="401"/>
      <c r="RIO68" s="401"/>
      <c r="RIP68" s="401"/>
      <c r="RIQ68" s="401"/>
      <c r="RIR68" s="401"/>
      <c r="RIS68" s="401"/>
      <c r="RIT68" s="401"/>
      <c r="RIU68" s="401"/>
      <c r="RIV68" s="401"/>
      <c r="RIW68" s="401"/>
      <c r="RIX68" s="401"/>
      <c r="RIY68" s="401"/>
      <c r="RIZ68" s="401"/>
      <c r="RJA68" s="401"/>
      <c r="RJB68" s="401"/>
      <c r="RJC68" s="401"/>
      <c r="RJD68" s="401"/>
      <c r="RJE68" s="401"/>
      <c r="RJF68" s="401"/>
      <c r="RJG68" s="401"/>
      <c r="RJH68" s="401"/>
      <c r="RJI68" s="401"/>
      <c r="RJJ68" s="401"/>
      <c r="RJK68" s="401"/>
      <c r="RJL68" s="401"/>
      <c r="RJM68" s="401"/>
      <c r="RJN68" s="401"/>
      <c r="RJO68" s="401"/>
      <c r="RJP68" s="401"/>
      <c r="RJQ68" s="401"/>
      <c r="RJR68" s="401"/>
      <c r="RJS68" s="401"/>
      <c r="RJT68" s="401"/>
      <c r="RJU68" s="401"/>
      <c r="RJV68" s="401"/>
      <c r="RJW68" s="401"/>
      <c r="RJX68" s="401"/>
      <c r="RJY68" s="401"/>
      <c r="RJZ68" s="401"/>
      <c r="RKA68" s="401"/>
      <c r="RKB68" s="401"/>
      <c r="RKC68" s="401"/>
      <c r="RKD68" s="401"/>
      <c r="RKE68" s="401"/>
      <c r="RKF68" s="401"/>
      <c r="RKG68" s="401"/>
      <c r="RKH68" s="401"/>
      <c r="RKI68" s="401"/>
      <c r="RKJ68" s="401"/>
      <c r="RKK68" s="401"/>
      <c r="RKL68" s="401"/>
      <c r="RKM68" s="401"/>
      <c r="RKN68" s="401"/>
      <c r="RKO68" s="401"/>
      <c r="RKP68" s="401"/>
      <c r="RKQ68" s="401"/>
      <c r="RKR68" s="401"/>
      <c r="RKS68" s="401"/>
      <c r="RKT68" s="401"/>
      <c r="RKU68" s="401"/>
      <c r="RKV68" s="401"/>
      <c r="RKW68" s="401"/>
      <c r="RKX68" s="401"/>
      <c r="RKY68" s="401"/>
      <c r="RKZ68" s="401"/>
      <c r="RLA68" s="401"/>
      <c r="RLB68" s="401"/>
      <c r="RLC68" s="401"/>
      <c r="RLD68" s="401"/>
      <c r="RLE68" s="401"/>
      <c r="RLF68" s="401"/>
      <c r="RLG68" s="401"/>
      <c r="RLH68" s="401"/>
      <c r="RLI68" s="401"/>
      <c r="RLJ68" s="401"/>
      <c r="RLK68" s="401"/>
      <c r="RLL68" s="401"/>
      <c r="RLM68" s="401"/>
      <c r="RLN68" s="401"/>
      <c r="RLO68" s="401"/>
      <c r="RLP68" s="401"/>
      <c r="RLQ68" s="401"/>
      <c r="RLR68" s="401"/>
      <c r="RLS68" s="401"/>
      <c r="RLT68" s="401"/>
      <c r="RLU68" s="401"/>
      <c r="RLV68" s="401"/>
      <c r="RLW68" s="401"/>
      <c r="RLX68" s="401"/>
      <c r="RLY68" s="401"/>
      <c r="RLZ68" s="401"/>
      <c r="RMA68" s="401"/>
      <c r="RMB68" s="401"/>
      <c r="RMC68" s="401"/>
      <c r="RMD68" s="401"/>
      <c r="RME68" s="401"/>
      <c r="RMF68" s="401"/>
      <c r="RMG68" s="401"/>
      <c r="RMH68" s="401"/>
      <c r="RMI68" s="401"/>
      <c r="RMJ68" s="401"/>
      <c r="RMK68" s="401"/>
      <c r="RML68" s="401"/>
      <c r="RMM68" s="401"/>
      <c r="RMN68" s="401"/>
      <c r="RMO68" s="401"/>
      <c r="RMP68" s="401"/>
      <c r="RMQ68" s="401"/>
      <c r="RMR68" s="401"/>
      <c r="RMS68" s="401"/>
      <c r="RMT68" s="401"/>
      <c r="RMU68" s="401"/>
      <c r="RMV68" s="401"/>
      <c r="RMW68" s="401"/>
      <c r="RMX68" s="401"/>
      <c r="RMY68" s="401"/>
      <c r="RMZ68" s="401"/>
      <c r="RNA68" s="401"/>
      <c r="RNB68" s="401"/>
      <c r="RNC68" s="401"/>
      <c r="RND68" s="401"/>
      <c r="RNE68" s="401"/>
      <c r="RNF68" s="401"/>
      <c r="RNG68" s="401"/>
      <c r="RNH68" s="401"/>
      <c r="RNI68" s="401"/>
      <c r="RNJ68" s="401"/>
      <c r="RNK68" s="401"/>
      <c r="RNL68" s="401"/>
      <c r="RNM68" s="401"/>
      <c r="RNN68" s="401"/>
      <c r="RNO68" s="401"/>
      <c r="RNP68" s="401"/>
      <c r="RNQ68" s="401"/>
      <c r="RNR68" s="401"/>
      <c r="RNS68" s="401"/>
      <c r="RNT68" s="401"/>
      <c r="RNU68" s="401"/>
      <c r="RNV68" s="401"/>
      <c r="RNW68" s="401"/>
      <c r="RNX68" s="401"/>
      <c r="RNY68" s="401"/>
      <c r="RNZ68" s="401"/>
      <c r="ROA68" s="401"/>
      <c r="ROB68" s="401"/>
      <c r="ROC68" s="401"/>
      <c r="ROD68" s="401"/>
      <c r="ROE68" s="401"/>
      <c r="ROF68" s="401"/>
      <c r="ROG68" s="401"/>
      <c r="ROH68" s="401"/>
      <c r="ROI68" s="401"/>
      <c r="ROJ68" s="401"/>
      <c r="ROK68" s="401"/>
      <c r="ROL68" s="401"/>
      <c r="ROM68" s="401"/>
      <c r="RON68" s="401"/>
      <c r="ROO68" s="401"/>
      <c r="ROP68" s="401"/>
      <c r="ROQ68" s="401"/>
      <c r="ROR68" s="401"/>
      <c r="ROS68" s="401"/>
      <c r="ROT68" s="401"/>
      <c r="ROU68" s="401"/>
      <c r="ROV68" s="401"/>
      <c r="ROW68" s="401"/>
      <c r="ROX68" s="401"/>
      <c r="ROY68" s="401"/>
      <c r="ROZ68" s="401"/>
      <c r="RPA68" s="401"/>
      <c r="RPB68" s="401"/>
      <c r="RPC68" s="401"/>
      <c r="RPD68" s="401"/>
      <c r="RPE68" s="401"/>
      <c r="RPF68" s="401"/>
      <c r="RPG68" s="401"/>
      <c r="RPH68" s="401"/>
      <c r="RPI68" s="401"/>
      <c r="RPJ68" s="401"/>
      <c r="RPK68" s="401"/>
      <c r="RPL68" s="401"/>
      <c r="RPM68" s="401"/>
      <c r="RPN68" s="401"/>
      <c r="RPO68" s="401"/>
      <c r="RPP68" s="401"/>
      <c r="RPQ68" s="401"/>
      <c r="RPR68" s="401"/>
      <c r="RPS68" s="401"/>
      <c r="RPT68" s="401"/>
      <c r="RPU68" s="401"/>
      <c r="RPV68" s="401"/>
      <c r="RPW68" s="401"/>
      <c r="RPX68" s="401"/>
      <c r="RPY68" s="401"/>
      <c r="RPZ68" s="401"/>
      <c r="RQA68" s="401"/>
      <c r="RQB68" s="401"/>
      <c r="RQC68" s="401"/>
      <c r="RQD68" s="401"/>
      <c r="RQE68" s="401"/>
      <c r="RQF68" s="401"/>
      <c r="RQG68" s="401"/>
      <c r="RQH68" s="401"/>
      <c r="RQI68" s="401"/>
      <c r="RQJ68" s="401"/>
      <c r="RQK68" s="401"/>
      <c r="RQL68" s="401"/>
      <c r="RQM68" s="401"/>
      <c r="RQN68" s="401"/>
      <c r="RQO68" s="401"/>
      <c r="RQP68" s="401"/>
      <c r="RQQ68" s="401"/>
      <c r="RQR68" s="401"/>
      <c r="RQS68" s="401"/>
      <c r="RQT68" s="401"/>
      <c r="RQU68" s="401"/>
      <c r="RQV68" s="401"/>
      <c r="RQW68" s="401"/>
      <c r="RQX68" s="401"/>
      <c r="RQY68" s="401"/>
      <c r="RQZ68" s="401"/>
      <c r="RRA68" s="401"/>
      <c r="RRB68" s="401"/>
      <c r="RRC68" s="401"/>
      <c r="RRD68" s="401"/>
      <c r="RRE68" s="401"/>
      <c r="RRF68" s="401"/>
      <c r="RRG68" s="401"/>
      <c r="RRH68" s="401"/>
      <c r="RRI68" s="401"/>
      <c r="RRJ68" s="401"/>
      <c r="RRK68" s="401"/>
      <c r="RRL68" s="401"/>
      <c r="RRM68" s="401"/>
      <c r="RRN68" s="401"/>
      <c r="RRO68" s="401"/>
      <c r="RRP68" s="401"/>
      <c r="RRQ68" s="401"/>
      <c r="RRR68" s="401"/>
      <c r="RRS68" s="401"/>
      <c r="RRT68" s="401"/>
      <c r="RRU68" s="401"/>
      <c r="RRV68" s="401"/>
      <c r="RRW68" s="401"/>
      <c r="RRX68" s="401"/>
      <c r="RRY68" s="401"/>
      <c r="RRZ68" s="401"/>
      <c r="RSA68" s="401"/>
      <c r="RSB68" s="401"/>
      <c r="RSC68" s="401"/>
      <c r="RSD68" s="401"/>
      <c r="RSE68" s="401"/>
      <c r="RSF68" s="401"/>
      <c r="RSG68" s="401"/>
      <c r="RSH68" s="401"/>
      <c r="RSI68" s="401"/>
      <c r="RSJ68" s="401"/>
      <c r="RSK68" s="401"/>
      <c r="RSL68" s="401"/>
      <c r="RSM68" s="401"/>
      <c r="RSN68" s="401"/>
      <c r="RSO68" s="401"/>
      <c r="RSP68" s="401"/>
      <c r="RSQ68" s="401"/>
      <c r="RSR68" s="401"/>
      <c r="RSS68" s="401"/>
      <c r="RST68" s="401"/>
      <c r="RSU68" s="401"/>
      <c r="RSV68" s="401"/>
      <c r="RSW68" s="401"/>
      <c r="RSX68" s="401"/>
      <c r="RSY68" s="401"/>
      <c r="RSZ68" s="401"/>
      <c r="RTA68" s="401"/>
      <c r="RTB68" s="401"/>
      <c r="RTC68" s="401"/>
      <c r="RTD68" s="401"/>
      <c r="RTE68" s="401"/>
      <c r="RTF68" s="401"/>
      <c r="RTG68" s="401"/>
      <c r="RTH68" s="401"/>
      <c r="RTI68" s="401"/>
      <c r="RTJ68" s="401"/>
      <c r="RTK68" s="401"/>
      <c r="RTL68" s="401"/>
      <c r="RTM68" s="401"/>
      <c r="RTN68" s="401"/>
      <c r="RTO68" s="401"/>
      <c r="RTP68" s="401"/>
      <c r="RTQ68" s="401"/>
      <c r="RTR68" s="401"/>
      <c r="RTS68" s="401"/>
      <c r="RTT68" s="401"/>
      <c r="RTU68" s="401"/>
      <c r="RTV68" s="401"/>
      <c r="RTW68" s="401"/>
      <c r="RTX68" s="401"/>
      <c r="RTY68" s="401"/>
      <c r="RTZ68" s="401"/>
      <c r="RUA68" s="401"/>
      <c r="RUB68" s="401"/>
      <c r="RUC68" s="401"/>
      <c r="RUD68" s="401"/>
      <c r="RUE68" s="401"/>
      <c r="RUF68" s="401"/>
      <c r="RUG68" s="401"/>
      <c r="RUH68" s="401"/>
      <c r="RUI68" s="401"/>
      <c r="RUJ68" s="401"/>
      <c r="RUK68" s="401"/>
      <c r="RUL68" s="401"/>
      <c r="RUM68" s="401"/>
      <c r="RUN68" s="401"/>
      <c r="RUO68" s="401"/>
      <c r="RUP68" s="401"/>
      <c r="RUQ68" s="401"/>
      <c r="RUR68" s="401"/>
      <c r="RUS68" s="401"/>
      <c r="RUT68" s="401"/>
      <c r="RUU68" s="401"/>
      <c r="RUV68" s="401"/>
      <c r="RUW68" s="401"/>
      <c r="RUX68" s="401"/>
      <c r="RUY68" s="401"/>
      <c r="RUZ68" s="401"/>
      <c r="RVA68" s="401"/>
      <c r="RVB68" s="401"/>
      <c r="RVC68" s="401"/>
      <c r="RVD68" s="401"/>
      <c r="RVE68" s="401"/>
      <c r="RVF68" s="401"/>
      <c r="RVG68" s="401"/>
      <c r="RVH68" s="401"/>
      <c r="RVI68" s="401"/>
      <c r="RVJ68" s="401"/>
      <c r="RVK68" s="401"/>
      <c r="RVL68" s="401"/>
      <c r="RVM68" s="401"/>
      <c r="RVN68" s="401"/>
      <c r="RVO68" s="401"/>
      <c r="RVP68" s="401"/>
      <c r="RVQ68" s="401"/>
      <c r="RVR68" s="401"/>
      <c r="RVS68" s="401"/>
      <c r="RVT68" s="401"/>
      <c r="RVU68" s="401"/>
      <c r="RVV68" s="401"/>
      <c r="RVW68" s="401"/>
      <c r="RVX68" s="401"/>
      <c r="RVY68" s="401"/>
      <c r="RVZ68" s="401"/>
      <c r="RWA68" s="401"/>
      <c r="RWB68" s="401"/>
      <c r="RWC68" s="401"/>
      <c r="RWD68" s="401"/>
      <c r="RWE68" s="401"/>
      <c r="RWF68" s="401"/>
      <c r="RWG68" s="401"/>
      <c r="RWH68" s="401"/>
      <c r="RWI68" s="401"/>
      <c r="RWJ68" s="401"/>
      <c r="RWK68" s="401"/>
      <c r="RWL68" s="401"/>
      <c r="RWM68" s="401"/>
      <c r="RWN68" s="401"/>
      <c r="RWO68" s="401"/>
      <c r="RWP68" s="401"/>
      <c r="RWQ68" s="401"/>
      <c r="RWR68" s="401"/>
      <c r="RWS68" s="401"/>
      <c r="RWT68" s="401"/>
      <c r="RWU68" s="401"/>
      <c r="RWV68" s="401"/>
      <c r="RWW68" s="401"/>
      <c r="RWX68" s="401"/>
      <c r="RWY68" s="401"/>
      <c r="RWZ68" s="401"/>
      <c r="RXA68" s="401"/>
      <c r="RXB68" s="401"/>
      <c r="RXC68" s="401"/>
      <c r="RXD68" s="401"/>
      <c r="RXE68" s="401"/>
      <c r="RXF68" s="401"/>
      <c r="RXG68" s="401"/>
      <c r="RXH68" s="401"/>
      <c r="RXI68" s="401"/>
      <c r="RXJ68" s="401"/>
      <c r="RXK68" s="401"/>
      <c r="RXL68" s="401"/>
      <c r="RXM68" s="401"/>
      <c r="RXN68" s="401"/>
      <c r="RXO68" s="401"/>
      <c r="RXP68" s="401"/>
      <c r="RXQ68" s="401"/>
      <c r="RXR68" s="401"/>
      <c r="RXS68" s="401"/>
      <c r="RXT68" s="401"/>
      <c r="RXU68" s="401"/>
      <c r="RXV68" s="401"/>
      <c r="RXW68" s="401"/>
      <c r="RXX68" s="401"/>
      <c r="RXY68" s="401"/>
      <c r="RXZ68" s="401"/>
      <c r="RYA68" s="401"/>
      <c r="RYB68" s="401"/>
      <c r="RYC68" s="401"/>
      <c r="RYD68" s="401"/>
      <c r="RYE68" s="401"/>
      <c r="RYF68" s="401"/>
      <c r="RYG68" s="401"/>
      <c r="RYH68" s="401"/>
      <c r="RYI68" s="401"/>
      <c r="RYJ68" s="401"/>
      <c r="RYK68" s="401"/>
      <c r="RYL68" s="401"/>
      <c r="RYM68" s="401"/>
      <c r="RYN68" s="401"/>
      <c r="RYO68" s="401"/>
      <c r="RYP68" s="401"/>
      <c r="RYQ68" s="401"/>
      <c r="RYR68" s="401"/>
      <c r="RYS68" s="401"/>
      <c r="RYT68" s="401"/>
      <c r="RYU68" s="401"/>
      <c r="RYV68" s="401"/>
      <c r="RYW68" s="401"/>
      <c r="RYX68" s="401"/>
      <c r="RYY68" s="401"/>
      <c r="RYZ68" s="401"/>
      <c r="RZA68" s="401"/>
      <c r="RZB68" s="401"/>
      <c r="RZC68" s="401"/>
      <c r="RZD68" s="401"/>
      <c r="RZE68" s="401"/>
      <c r="RZF68" s="401"/>
      <c r="RZG68" s="401"/>
      <c r="RZH68" s="401"/>
      <c r="RZI68" s="401"/>
      <c r="RZJ68" s="401"/>
      <c r="RZK68" s="401"/>
      <c r="RZL68" s="401"/>
      <c r="RZM68" s="401"/>
      <c r="RZN68" s="401"/>
      <c r="RZO68" s="401"/>
      <c r="RZP68" s="401"/>
      <c r="RZQ68" s="401"/>
      <c r="RZR68" s="401"/>
      <c r="RZS68" s="401"/>
      <c r="RZT68" s="401"/>
      <c r="RZU68" s="401"/>
      <c r="RZV68" s="401"/>
      <c r="RZW68" s="401"/>
      <c r="RZX68" s="401"/>
      <c r="RZY68" s="401"/>
      <c r="RZZ68" s="401"/>
      <c r="SAA68" s="401"/>
      <c r="SAB68" s="401"/>
      <c r="SAC68" s="401"/>
      <c r="SAD68" s="401"/>
      <c r="SAE68" s="401"/>
      <c r="SAF68" s="401"/>
      <c r="SAG68" s="401"/>
      <c r="SAH68" s="401"/>
      <c r="SAI68" s="401"/>
      <c r="SAJ68" s="401"/>
      <c r="SAK68" s="401"/>
      <c r="SAL68" s="401"/>
      <c r="SAM68" s="401"/>
      <c r="SAN68" s="401"/>
      <c r="SAO68" s="401"/>
      <c r="SAP68" s="401"/>
      <c r="SAQ68" s="401"/>
      <c r="SAR68" s="401"/>
      <c r="SAS68" s="401"/>
      <c r="SAT68" s="401"/>
      <c r="SAU68" s="401"/>
      <c r="SAV68" s="401"/>
      <c r="SAW68" s="401"/>
      <c r="SAX68" s="401"/>
      <c r="SAY68" s="401"/>
      <c r="SAZ68" s="401"/>
      <c r="SBA68" s="401"/>
      <c r="SBB68" s="401"/>
      <c r="SBC68" s="401"/>
      <c r="SBD68" s="401"/>
      <c r="SBE68" s="401"/>
      <c r="SBF68" s="401"/>
      <c r="SBG68" s="401"/>
      <c r="SBH68" s="401"/>
      <c r="SBI68" s="401"/>
      <c r="SBJ68" s="401"/>
      <c r="SBK68" s="401"/>
      <c r="SBL68" s="401"/>
      <c r="SBM68" s="401"/>
      <c r="SBN68" s="401"/>
      <c r="SBO68" s="401"/>
      <c r="SBP68" s="401"/>
      <c r="SBQ68" s="401"/>
      <c r="SBR68" s="401"/>
      <c r="SBS68" s="401"/>
      <c r="SBT68" s="401"/>
      <c r="SBU68" s="401"/>
      <c r="SBV68" s="401"/>
      <c r="SBW68" s="401"/>
      <c r="SBX68" s="401"/>
      <c r="SBY68" s="401"/>
      <c r="SBZ68" s="401"/>
      <c r="SCA68" s="401"/>
      <c r="SCB68" s="401"/>
      <c r="SCC68" s="401"/>
      <c r="SCD68" s="401"/>
      <c r="SCE68" s="401"/>
      <c r="SCF68" s="401"/>
      <c r="SCG68" s="401"/>
      <c r="SCH68" s="401"/>
      <c r="SCI68" s="401"/>
      <c r="SCJ68" s="401"/>
      <c r="SCK68" s="401"/>
      <c r="SCL68" s="401"/>
      <c r="SCM68" s="401"/>
      <c r="SCN68" s="401"/>
      <c r="SCO68" s="401"/>
      <c r="SCP68" s="401"/>
      <c r="SCQ68" s="401"/>
      <c r="SCR68" s="401"/>
      <c r="SCS68" s="401"/>
      <c r="SCT68" s="401"/>
      <c r="SCU68" s="401"/>
      <c r="SCV68" s="401"/>
      <c r="SCW68" s="401"/>
      <c r="SCX68" s="401"/>
      <c r="SCY68" s="401"/>
      <c r="SCZ68" s="401"/>
      <c r="SDA68" s="401"/>
      <c r="SDB68" s="401"/>
      <c r="SDC68" s="401"/>
      <c r="SDD68" s="401"/>
      <c r="SDE68" s="401"/>
      <c r="SDF68" s="401"/>
      <c r="SDG68" s="401"/>
      <c r="SDH68" s="401"/>
      <c r="SDI68" s="401"/>
      <c r="SDJ68" s="401"/>
      <c r="SDK68" s="401"/>
      <c r="SDL68" s="401"/>
      <c r="SDM68" s="401"/>
      <c r="SDN68" s="401"/>
      <c r="SDO68" s="401"/>
      <c r="SDP68" s="401"/>
      <c r="SDQ68" s="401"/>
      <c r="SDR68" s="401"/>
      <c r="SDS68" s="401"/>
      <c r="SDT68" s="401"/>
      <c r="SDU68" s="401"/>
      <c r="SDV68" s="401"/>
      <c r="SDW68" s="401"/>
      <c r="SDX68" s="401"/>
      <c r="SDY68" s="401"/>
      <c r="SDZ68" s="401"/>
      <c r="SEA68" s="401"/>
      <c r="SEB68" s="401"/>
      <c r="SEC68" s="401"/>
      <c r="SED68" s="401"/>
      <c r="SEE68" s="401"/>
      <c r="SEF68" s="401"/>
      <c r="SEG68" s="401"/>
      <c r="SEH68" s="401"/>
      <c r="SEI68" s="401"/>
      <c r="SEJ68" s="401"/>
      <c r="SEK68" s="401"/>
      <c r="SEL68" s="401"/>
      <c r="SEM68" s="401"/>
      <c r="SEN68" s="401"/>
      <c r="SEO68" s="401"/>
      <c r="SEP68" s="401"/>
      <c r="SEQ68" s="401"/>
      <c r="SER68" s="401"/>
      <c r="SES68" s="401"/>
      <c r="SET68" s="401"/>
      <c r="SEU68" s="401"/>
      <c r="SEV68" s="401"/>
      <c r="SEW68" s="401"/>
      <c r="SEX68" s="401"/>
      <c r="SEY68" s="401"/>
      <c r="SEZ68" s="401"/>
      <c r="SFA68" s="401"/>
      <c r="SFB68" s="401"/>
      <c r="SFC68" s="401"/>
      <c r="SFD68" s="401"/>
      <c r="SFE68" s="401"/>
      <c r="SFF68" s="401"/>
      <c r="SFG68" s="401"/>
      <c r="SFH68" s="401"/>
      <c r="SFI68" s="401"/>
      <c r="SFJ68" s="401"/>
      <c r="SFK68" s="401"/>
      <c r="SFL68" s="401"/>
      <c r="SFM68" s="401"/>
      <c r="SFN68" s="401"/>
      <c r="SFO68" s="401"/>
      <c r="SFP68" s="401"/>
      <c r="SFQ68" s="401"/>
      <c r="SFR68" s="401"/>
      <c r="SFS68" s="401"/>
      <c r="SFT68" s="401"/>
      <c r="SFU68" s="401"/>
      <c r="SFV68" s="401"/>
      <c r="SFW68" s="401"/>
      <c r="SFX68" s="401"/>
      <c r="SFY68" s="401"/>
      <c r="SFZ68" s="401"/>
      <c r="SGA68" s="401"/>
      <c r="SGB68" s="401"/>
      <c r="SGC68" s="401"/>
      <c r="SGD68" s="401"/>
      <c r="SGE68" s="401"/>
      <c r="SGF68" s="401"/>
      <c r="SGG68" s="401"/>
      <c r="SGH68" s="401"/>
      <c r="SGI68" s="401"/>
      <c r="SGJ68" s="401"/>
      <c r="SGK68" s="401"/>
      <c r="SGL68" s="401"/>
      <c r="SGM68" s="401"/>
      <c r="SGN68" s="401"/>
      <c r="SGO68" s="401"/>
      <c r="SGP68" s="401"/>
      <c r="SGQ68" s="401"/>
      <c r="SGR68" s="401"/>
      <c r="SGS68" s="401"/>
      <c r="SGT68" s="401"/>
      <c r="SGU68" s="401"/>
      <c r="SGV68" s="401"/>
      <c r="SGW68" s="401"/>
      <c r="SGX68" s="401"/>
      <c r="SGY68" s="401"/>
      <c r="SGZ68" s="401"/>
      <c r="SHA68" s="401"/>
      <c r="SHB68" s="401"/>
      <c r="SHC68" s="401"/>
      <c r="SHD68" s="401"/>
      <c r="SHE68" s="401"/>
      <c r="SHF68" s="401"/>
      <c r="SHG68" s="401"/>
      <c r="SHH68" s="401"/>
      <c r="SHI68" s="401"/>
      <c r="SHJ68" s="401"/>
      <c r="SHK68" s="401"/>
      <c r="SHL68" s="401"/>
      <c r="SHM68" s="401"/>
      <c r="SHN68" s="401"/>
      <c r="SHO68" s="401"/>
      <c r="SHP68" s="401"/>
      <c r="SHQ68" s="401"/>
      <c r="SHR68" s="401"/>
      <c r="SHS68" s="401"/>
      <c r="SHT68" s="401"/>
      <c r="SHU68" s="401"/>
      <c r="SHV68" s="401"/>
      <c r="SHW68" s="401"/>
      <c r="SHX68" s="401"/>
      <c r="SHY68" s="401"/>
      <c r="SHZ68" s="401"/>
      <c r="SIA68" s="401"/>
      <c r="SIB68" s="401"/>
      <c r="SIC68" s="401"/>
      <c r="SID68" s="401"/>
      <c r="SIE68" s="401"/>
      <c r="SIF68" s="401"/>
      <c r="SIG68" s="401"/>
      <c r="SIH68" s="401"/>
      <c r="SII68" s="401"/>
      <c r="SIJ68" s="401"/>
      <c r="SIK68" s="401"/>
      <c r="SIL68" s="401"/>
      <c r="SIM68" s="401"/>
      <c r="SIN68" s="401"/>
      <c r="SIO68" s="401"/>
      <c r="SIP68" s="401"/>
      <c r="SIQ68" s="401"/>
      <c r="SIR68" s="401"/>
      <c r="SIS68" s="401"/>
      <c r="SIT68" s="401"/>
      <c r="SIU68" s="401"/>
      <c r="SIV68" s="401"/>
      <c r="SIW68" s="401"/>
      <c r="SIX68" s="401"/>
      <c r="SIY68" s="401"/>
      <c r="SIZ68" s="401"/>
      <c r="SJA68" s="401"/>
      <c r="SJB68" s="401"/>
      <c r="SJC68" s="401"/>
      <c r="SJD68" s="401"/>
      <c r="SJE68" s="401"/>
      <c r="SJF68" s="401"/>
      <c r="SJG68" s="401"/>
      <c r="SJH68" s="401"/>
      <c r="SJI68" s="401"/>
      <c r="SJJ68" s="401"/>
      <c r="SJK68" s="401"/>
      <c r="SJL68" s="401"/>
      <c r="SJM68" s="401"/>
      <c r="SJN68" s="401"/>
      <c r="SJO68" s="401"/>
      <c r="SJP68" s="401"/>
      <c r="SJQ68" s="401"/>
      <c r="SJR68" s="401"/>
      <c r="SJS68" s="401"/>
      <c r="SJT68" s="401"/>
      <c r="SJU68" s="401"/>
      <c r="SJV68" s="401"/>
      <c r="SJW68" s="401"/>
      <c r="SJX68" s="401"/>
      <c r="SJY68" s="401"/>
      <c r="SJZ68" s="401"/>
      <c r="SKA68" s="401"/>
      <c r="SKB68" s="401"/>
      <c r="SKC68" s="401"/>
      <c r="SKD68" s="401"/>
      <c r="SKE68" s="401"/>
      <c r="SKF68" s="401"/>
      <c r="SKG68" s="401"/>
      <c r="SKH68" s="401"/>
      <c r="SKI68" s="401"/>
      <c r="SKJ68" s="401"/>
      <c r="SKK68" s="401"/>
      <c r="SKL68" s="401"/>
      <c r="SKM68" s="401"/>
      <c r="SKN68" s="401"/>
      <c r="SKO68" s="401"/>
      <c r="SKP68" s="401"/>
      <c r="SKQ68" s="401"/>
      <c r="SKR68" s="401"/>
      <c r="SKS68" s="401"/>
      <c r="SKT68" s="401"/>
      <c r="SKU68" s="401"/>
      <c r="SKV68" s="401"/>
      <c r="SKW68" s="401"/>
      <c r="SKX68" s="401"/>
      <c r="SKY68" s="401"/>
      <c r="SKZ68" s="401"/>
      <c r="SLA68" s="401"/>
      <c r="SLB68" s="401"/>
      <c r="SLC68" s="401"/>
      <c r="SLD68" s="401"/>
      <c r="SLE68" s="401"/>
      <c r="SLF68" s="401"/>
      <c r="SLG68" s="401"/>
      <c r="SLH68" s="401"/>
      <c r="SLI68" s="401"/>
      <c r="SLJ68" s="401"/>
      <c r="SLK68" s="401"/>
      <c r="SLL68" s="401"/>
      <c r="SLM68" s="401"/>
      <c r="SLN68" s="401"/>
      <c r="SLO68" s="401"/>
      <c r="SLP68" s="401"/>
      <c r="SLQ68" s="401"/>
      <c r="SLR68" s="401"/>
      <c r="SLS68" s="401"/>
      <c r="SLT68" s="401"/>
      <c r="SLU68" s="401"/>
      <c r="SLV68" s="401"/>
      <c r="SLW68" s="401"/>
      <c r="SLX68" s="401"/>
      <c r="SLY68" s="401"/>
      <c r="SLZ68" s="401"/>
      <c r="SMA68" s="401"/>
      <c r="SMB68" s="401"/>
      <c r="SMC68" s="401"/>
      <c r="SMD68" s="401"/>
      <c r="SME68" s="401"/>
      <c r="SMF68" s="401"/>
      <c r="SMG68" s="401"/>
      <c r="SMH68" s="401"/>
      <c r="SMI68" s="401"/>
      <c r="SMJ68" s="401"/>
      <c r="SMK68" s="401"/>
      <c r="SML68" s="401"/>
      <c r="SMM68" s="401"/>
      <c r="SMN68" s="401"/>
      <c r="SMO68" s="401"/>
      <c r="SMP68" s="401"/>
      <c r="SMQ68" s="401"/>
      <c r="SMR68" s="401"/>
      <c r="SMS68" s="401"/>
      <c r="SMT68" s="401"/>
      <c r="SMU68" s="401"/>
      <c r="SMV68" s="401"/>
      <c r="SMW68" s="401"/>
      <c r="SMX68" s="401"/>
      <c r="SMY68" s="401"/>
      <c r="SMZ68" s="401"/>
      <c r="SNA68" s="401"/>
      <c r="SNB68" s="401"/>
      <c r="SNC68" s="401"/>
      <c r="SND68" s="401"/>
      <c r="SNE68" s="401"/>
      <c r="SNF68" s="401"/>
      <c r="SNG68" s="401"/>
      <c r="SNH68" s="401"/>
      <c r="SNI68" s="401"/>
      <c r="SNJ68" s="401"/>
      <c r="SNK68" s="401"/>
      <c r="SNL68" s="401"/>
      <c r="SNM68" s="401"/>
      <c r="SNN68" s="401"/>
      <c r="SNO68" s="401"/>
      <c r="SNP68" s="401"/>
      <c r="SNQ68" s="401"/>
      <c r="SNR68" s="401"/>
      <c r="SNS68" s="401"/>
      <c r="SNT68" s="401"/>
      <c r="SNU68" s="401"/>
      <c r="SNV68" s="401"/>
      <c r="SNW68" s="401"/>
      <c r="SNX68" s="401"/>
      <c r="SNY68" s="401"/>
      <c r="SNZ68" s="401"/>
      <c r="SOA68" s="401"/>
      <c r="SOB68" s="401"/>
      <c r="SOC68" s="401"/>
      <c r="SOD68" s="401"/>
      <c r="SOE68" s="401"/>
      <c r="SOF68" s="401"/>
      <c r="SOG68" s="401"/>
      <c r="SOH68" s="401"/>
      <c r="SOI68" s="401"/>
      <c r="SOJ68" s="401"/>
      <c r="SOK68" s="401"/>
      <c r="SOL68" s="401"/>
      <c r="SOM68" s="401"/>
      <c r="SON68" s="401"/>
      <c r="SOO68" s="401"/>
      <c r="SOP68" s="401"/>
      <c r="SOQ68" s="401"/>
      <c r="SOR68" s="401"/>
      <c r="SOS68" s="401"/>
      <c r="SOT68" s="401"/>
      <c r="SOU68" s="401"/>
      <c r="SOV68" s="401"/>
      <c r="SOW68" s="401"/>
      <c r="SOX68" s="401"/>
      <c r="SOY68" s="401"/>
      <c r="SOZ68" s="401"/>
      <c r="SPA68" s="401"/>
      <c r="SPB68" s="401"/>
      <c r="SPC68" s="401"/>
      <c r="SPD68" s="401"/>
      <c r="SPE68" s="401"/>
      <c r="SPF68" s="401"/>
      <c r="SPG68" s="401"/>
      <c r="SPH68" s="401"/>
      <c r="SPI68" s="401"/>
      <c r="SPJ68" s="401"/>
      <c r="SPK68" s="401"/>
      <c r="SPL68" s="401"/>
      <c r="SPM68" s="401"/>
      <c r="SPN68" s="401"/>
      <c r="SPO68" s="401"/>
      <c r="SPP68" s="401"/>
      <c r="SPQ68" s="401"/>
      <c r="SPR68" s="401"/>
      <c r="SPS68" s="401"/>
      <c r="SPT68" s="401"/>
      <c r="SPU68" s="401"/>
      <c r="SPV68" s="401"/>
      <c r="SPW68" s="401"/>
      <c r="SPX68" s="401"/>
      <c r="SPY68" s="401"/>
      <c r="SPZ68" s="401"/>
      <c r="SQA68" s="401"/>
      <c r="SQB68" s="401"/>
      <c r="SQC68" s="401"/>
      <c r="SQD68" s="401"/>
      <c r="SQE68" s="401"/>
      <c r="SQF68" s="401"/>
      <c r="SQG68" s="401"/>
      <c r="SQH68" s="401"/>
      <c r="SQI68" s="401"/>
      <c r="SQJ68" s="401"/>
      <c r="SQK68" s="401"/>
      <c r="SQL68" s="401"/>
      <c r="SQM68" s="401"/>
      <c r="SQN68" s="401"/>
      <c r="SQO68" s="401"/>
      <c r="SQP68" s="401"/>
      <c r="SQQ68" s="401"/>
      <c r="SQR68" s="401"/>
      <c r="SQS68" s="401"/>
      <c r="SQT68" s="401"/>
      <c r="SQU68" s="401"/>
      <c r="SQV68" s="401"/>
      <c r="SQW68" s="401"/>
      <c r="SQX68" s="401"/>
      <c r="SQY68" s="401"/>
      <c r="SQZ68" s="401"/>
      <c r="SRA68" s="401"/>
      <c r="SRB68" s="401"/>
      <c r="SRC68" s="401"/>
      <c r="SRD68" s="401"/>
      <c r="SRE68" s="401"/>
      <c r="SRF68" s="401"/>
      <c r="SRG68" s="401"/>
      <c r="SRH68" s="401"/>
      <c r="SRI68" s="401"/>
      <c r="SRJ68" s="401"/>
      <c r="SRK68" s="401"/>
      <c r="SRL68" s="401"/>
      <c r="SRM68" s="401"/>
      <c r="SRN68" s="401"/>
      <c r="SRO68" s="401"/>
      <c r="SRP68" s="401"/>
      <c r="SRQ68" s="401"/>
      <c r="SRR68" s="401"/>
      <c r="SRS68" s="401"/>
      <c r="SRT68" s="401"/>
      <c r="SRU68" s="401"/>
      <c r="SRV68" s="401"/>
      <c r="SRW68" s="401"/>
      <c r="SRX68" s="401"/>
      <c r="SRY68" s="401"/>
      <c r="SRZ68" s="401"/>
      <c r="SSA68" s="401"/>
      <c r="SSB68" s="401"/>
      <c r="SSC68" s="401"/>
      <c r="SSD68" s="401"/>
      <c r="SSE68" s="401"/>
      <c r="SSF68" s="401"/>
      <c r="SSG68" s="401"/>
      <c r="SSH68" s="401"/>
      <c r="SSI68" s="401"/>
      <c r="SSJ68" s="401"/>
      <c r="SSK68" s="401"/>
      <c r="SSL68" s="401"/>
      <c r="SSM68" s="401"/>
      <c r="SSN68" s="401"/>
      <c r="SSO68" s="401"/>
      <c r="SSP68" s="401"/>
      <c r="SSQ68" s="401"/>
      <c r="SSR68" s="401"/>
      <c r="SSS68" s="401"/>
      <c r="SST68" s="401"/>
      <c r="SSU68" s="401"/>
      <c r="SSV68" s="401"/>
      <c r="SSW68" s="401"/>
      <c r="SSX68" s="401"/>
      <c r="SSY68" s="401"/>
      <c r="SSZ68" s="401"/>
      <c r="STA68" s="401"/>
      <c r="STB68" s="401"/>
      <c r="STC68" s="401"/>
      <c r="STD68" s="401"/>
      <c r="STE68" s="401"/>
      <c r="STF68" s="401"/>
      <c r="STG68" s="401"/>
      <c r="STH68" s="401"/>
      <c r="STI68" s="401"/>
      <c r="STJ68" s="401"/>
      <c r="STK68" s="401"/>
      <c r="STL68" s="401"/>
      <c r="STM68" s="401"/>
      <c r="STN68" s="401"/>
      <c r="STO68" s="401"/>
      <c r="STP68" s="401"/>
      <c r="STQ68" s="401"/>
      <c r="STR68" s="401"/>
      <c r="STS68" s="401"/>
      <c r="STT68" s="401"/>
      <c r="STU68" s="401"/>
      <c r="STV68" s="401"/>
      <c r="STW68" s="401"/>
      <c r="STX68" s="401"/>
      <c r="STY68" s="401"/>
      <c r="STZ68" s="401"/>
      <c r="SUA68" s="401"/>
      <c r="SUB68" s="401"/>
      <c r="SUC68" s="401"/>
      <c r="SUD68" s="401"/>
      <c r="SUE68" s="401"/>
      <c r="SUF68" s="401"/>
      <c r="SUG68" s="401"/>
      <c r="SUH68" s="401"/>
      <c r="SUI68" s="401"/>
      <c r="SUJ68" s="401"/>
      <c r="SUK68" s="401"/>
      <c r="SUL68" s="401"/>
      <c r="SUM68" s="401"/>
      <c r="SUN68" s="401"/>
      <c r="SUO68" s="401"/>
      <c r="SUP68" s="401"/>
      <c r="SUQ68" s="401"/>
      <c r="SUR68" s="401"/>
      <c r="SUS68" s="401"/>
      <c r="SUT68" s="401"/>
      <c r="SUU68" s="401"/>
      <c r="SUV68" s="401"/>
      <c r="SUW68" s="401"/>
      <c r="SUX68" s="401"/>
      <c r="SUY68" s="401"/>
      <c r="SUZ68" s="401"/>
      <c r="SVA68" s="401"/>
      <c r="SVB68" s="401"/>
      <c r="SVC68" s="401"/>
      <c r="SVD68" s="401"/>
      <c r="SVE68" s="401"/>
      <c r="SVF68" s="401"/>
      <c r="SVG68" s="401"/>
      <c r="SVH68" s="401"/>
      <c r="SVI68" s="401"/>
      <c r="SVJ68" s="401"/>
      <c r="SVK68" s="401"/>
      <c r="SVL68" s="401"/>
      <c r="SVM68" s="401"/>
      <c r="SVN68" s="401"/>
      <c r="SVO68" s="401"/>
      <c r="SVP68" s="401"/>
      <c r="SVQ68" s="401"/>
      <c r="SVR68" s="401"/>
      <c r="SVS68" s="401"/>
      <c r="SVT68" s="401"/>
      <c r="SVU68" s="401"/>
      <c r="SVV68" s="401"/>
      <c r="SVW68" s="401"/>
      <c r="SVX68" s="401"/>
      <c r="SVY68" s="401"/>
      <c r="SVZ68" s="401"/>
      <c r="SWA68" s="401"/>
      <c r="SWB68" s="401"/>
      <c r="SWC68" s="401"/>
      <c r="SWD68" s="401"/>
      <c r="SWE68" s="401"/>
      <c r="SWF68" s="401"/>
      <c r="SWG68" s="401"/>
      <c r="SWH68" s="401"/>
      <c r="SWI68" s="401"/>
      <c r="SWJ68" s="401"/>
      <c r="SWK68" s="401"/>
      <c r="SWL68" s="401"/>
      <c r="SWM68" s="401"/>
      <c r="SWN68" s="401"/>
      <c r="SWO68" s="401"/>
      <c r="SWP68" s="401"/>
      <c r="SWQ68" s="401"/>
      <c r="SWR68" s="401"/>
      <c r="SWS68" s="401"/>
      <c r="SWT68" s="401"/>
      <c r="SWU68" s="401"/>
      <c r="SWV68" s="401"/>
      <c r="SWW68" s="401"/>
      <c r="SWX68" s="401"/>
      <c r="SWY68" s="401"/>
      <c r="SWZ68" s="401"/>
      <c r="SXA68" s="401"/>
      <c r="SXB68" s="401"/>
      <c r="SXC68" s="401"/>
      <c r="SXD68" s="401"/>
      <c r="SXE68" s="401"/>
      <c r="SXF68" s="401"/>
      <c r="SXG68" s="401"/>
      <c r="SXH68" s="401"/>
      <c r="SXI68" s="401"/>
      <c r="SXJ68" s="401"/>
      <c r="SXK68" s="401"/>
      <c r="SXL68" s="401"/>
      <c r="SXM68" s="401"/>
      <c r="SXN68" s="401"/>
      <c r="SXO68" s="401"/>
      <c r="SXP68" s="401"/>
      <c r="SXQ68" s="401"/>
      <c r="SXR68" s="401"/>
      <c r="SXS68" s="401"/>
      <c r="SXT68" s="401"/>
      <c r="SXU68" s="401"/>
      <c r="SXV68" s="401"/>
      <c r="SXW68" s="401"/>
      <c r="SXX68" s="401"/>
      <c r="SXY68" s="401"/>
      <c r="SXZ68" s="401"/>
      <c r="SYA68" s="401"/>
      <c r="SYB68" s="401"/>
      <c r="SYC68" s="401"/>
      <c r="SYD68" s="401"/>
      <c r="SYE68" s="401"/>
      <c r="SYF68" s="401"/>
      <c r="SYG68" s="401"/>
      <c r="SYH68" s="401"/>
      <c r="SYI68" s="401"/>
      <c r="SYJ68" s="401"/>
      <c r="SYK68" s="401"/>
      <c r="SYL68" s="401"/>
      <c r="SYM68" s="401"/>
      <c r="SYN68" s="401"/>
      <c r="SYO68" s="401"/>
      <c r="SYP68" s="401"/>
      <c r="SYQ68" s="401"/>
      <c r="SYR68" s="401"/>
      <c r="SYS68" s="401"/>
      <c r="SYT68" s="401"/>
      <c r="SYU68" s="401"/>
      <c r="SYV68" s="401"/>
      <c r="SYW68" s="401"/>
      <c r="SYX68" s="401"/>
      <c r="SYY68" s="401"/>
      <c r="SYZ68" s="401"/>
      <c r="SZA68" s="401"/>
      <c r="SZB68" s="401"/>
      <c r="SZC68" s="401"/>
      <c r="SZD68" s="401"/>
      <c r="SZE68" s="401"/>
      <c r="SZF68" s="401"/>
      <c r="SZG68" s="401"/>
      <c r="SZH68" s="401"/>
      <c r="SZI68" s="401"/>
      <c r="SZJ68" s="401"/>
      <c r="SZK68" s="401"/>
      <c r="SZL68" s="401"/>
      <c r="SZM68" s="401"/>
      <c r="SZN68" s="401"/>
      <c r="SZO68" s="401"/>
      <c r="SZP68" s="401"/>
      <c r="SZQ68" s="401"/>
      <c r="SZR68" s="401"/>
      <c r="SZS68" s="401"/>
      <c r="SZT68" s="401"/>
      <c r="SZU68" s="401"/>
      <c r="SZV68" s="401"/>
      <c r="SZW68" s="401"/>
      <c r="SZX68" s="401"/>
      <c r="SZY68" s="401"/>
      <c r="SZZ68" s="401"/>
      <c r="TAA68" s="401"/>
      <c r="TAB68" s="401"/>
      <c r="TAC68" s="401"/>
      <c r="TAD68" s="401"/>
      <c r="TAE68" s="401"/>
      <c r="TAF68" s="401"/>
      <c r="TAG68" s="401"/>
      <c r="TAH68" s="401"/>
      <c r="TAI68" s="401"/>
      <c r="TAJ68" s="401"/>
      <c r="TAK68" s="401"/>
      <c r="TAL68" s="401"/>
      <c r="TAM68" s="401"/>
      <c r="TAN68" s="401"/>
      <c r="TAO68" s="401"/>
      <c r="TAP68" s="401"/>
      <c r="TAQ68" s="401"/>
      <c r="TAR68" s="401"/>
      <c r="TAS68" s="401"/>
      <c r="TAT68" s="401"/>
      <c r="TAU68" s="401"/>
      <c r="TAV68" s="401"/>
      <c r="TAW68" s="401"/>
      <c r="TAX68" s="401"/>
      <c r="TAY68" s="401"/>
      <c r="TAZ68" s="401"/>
      <c r="TBA68" s="401"/>
      <c r="TBB68" s="401"/>
      <c r="TBC68" s="401"/>
      <c r="TBD68" s="401"/>
      <c r="TBE68" s="401"/>
      <c r="TBF68" s="401"/>
      <c r="TBG68" s="401"/>
      <c r="TBH68" s="401"/>
      <c r="TBI68" s="401"/>
      <c r="TBJ68" s="401"/>
      <c r="TBK68" s="401"/>
      <c r="TBL68" s="401"/>
      <c r="TBM68" s="401"/>
      <c r="TBN68" s="401"/>
      <c r="TBO68" s="401"/>
      <c r="TBP68" s="401"/>
      <c r="TBQ68" s="401"/>
      <c r="TBR68" s="401"/>
      <c r="TBS68" s="401"/>
      <c r="TBT68" s="401"/>
      <c r="TBU68" s="401"/>
      <c r="TBV68" s="401"/>
      <c r="TBW68" s="401"/>
      <c r="TBX68" s="401"/>
      <c r="TBY68" s="401"/>
      <c r="TBZ68" s="401"/>
      <c r="TCA68" s="401"/>
      <c r="TCB68" s="401"/>
      <c r="TCC68" s="401"/>
      <c r="TCD68" s="401"/>
      <c r="TCE68" s="401"/>
      <c r="TCF68" s="401"/>
      <c r="TCG68" s="401"/>
      <c r="TCH68" s="401"/>
      <c r="TCI68" s="401"/>
      <c r="TCJ68" s="401"/>
      <c r="TCK68" s="401"/>
      <c r="TCL68" s="401"/>
      <c r="TCM68" s="401"/>
      <c r="TCN68" s="401"/>
      <c r="TCO68" s="401"/>
      <c r="TCP68" s="401"/>
      <c r="TCQ68" s="401"/>
      <c r="TCR68" s="401"/>
      <c r="TCS68" s="401"/>
      <c r="TCT68" s="401"/>
      <c r="TCU68" s="401"/>
      <c r="TCV68" s="401"/>
      <c r="TCW68" s="401"/>
      <c r="TCX68" s="401"/>
      <c r="TCY68" s="401"/>
      <c r="TCZ68" s="401"/>
      <c r="TDA68" s="401"/>
      <c r="TDB68" s="401"/>
      <c r="TDC68" s="401"/>
      <c r="TDD68" s="401"/>
      <c r="TDE68" s="401"/>
      <c r="TDF68" s="401"/>
      <c r="TDG68" s="401"/>
      <c r="TDH68" s="401"/>
      <c r="TDI68" s="401"/>
      <c r="TDJ68" s="401"/>
      <c r="TDK68" s="401"/>
      <c r="TDL68" s="401"/>
      <c r="TDM68" s="401"/>
      <c r="TDN68" s="401"/>
      <c r="TDO68" s="401"/>
      <c r="TDP68" s="401"/>
      <c r="TDQ68" s="401"/>
      <c r="TDR68" s="401"/>
      <c r="TDS68" s="401"/>
      <c r="TDT68" s="401"/>
      <c r="TDU68" s="401"/>
      <c r="TDV68" s="401"/>
      <c r="TDW68" s="401"/>
      <c r="TDX68" s="401"/>
      <c r="TDY68" s="401"/>
      <c r="TDZ68" s="401"/>
      <c r="TEA68" s="401"/>
      <c r="TEB68" s="401"/>
      <c r="TEC68" s="401"/>
      <c r="TED68" s="401"/>
      <c r="TEE68" s="401"/>
      <c r="TEF68" s="401"/>
      <c r="TEG68" s="401"/>
      <c r="TEH68" s="401"/>
      <c r="TEI68" s="401"/>
      <c r="TEJ68" s="401"/>
      <c r="TEK68" s="401"/>
      <c r="TEL68" s="401"/>
      <c r="TEM68" s="401"/>
      <c r="TEN68" s="401"/>
      <c r="TEO68" s="401"/>
      <c r="TEP68" s="401"/>
      <c r="TEQ68" s="401"/>
      <c r="TER68" s="401"/>
      <c r="TES68" s="401"/>
      <c r="TET68" s="401"/>
      <c r="TEU68" s="401"/>
      <c r="TEV68" s="401"/>
      <c r="TEW68" s="401"/>
      <c r="TEX68" s="401"/>
      <c r="TEY68" s="401"/>
      <c r="TEZ68" s="401"/>
      <c r="TFA68" s="401"/>
      <c r="TFB68" s="401"/>
      <c r="TFC68" s="401"/>
      <c r="TFD68" s="401"/>
      <c r="TFE68" s="401"/>
      <c r="TFF68" s="401"/>
      <c r="TFG68" s="401"/>
      <c r="TFH68" s="401"/>
      <c r="TFI68" s="401"/>
      <c r="TFJ68" s="401"/>
      <c r="TFK68" s="401"/>
      <c r="TFL68" s="401"/>
      <c r="TFM68" s="401"/>
      <c r="TFN68" s="401"/>
      <c r="TFO68" s="401"/>
      <c r="TFP68" s="401"/>
      <c r="TFQ68" s="401"/>
      <c r="TFR68" s="401"/>
      <c r="TFS68" s="401"/>
      <c r="TFT68" s="401"/>
      <c r="TFU68" s="401"/>
      <c r="TFV68" s="401"/>
      <c r="TFW68" s="401"/>
      <c r="TFX68" s="401"/>
      <c r="TFY68" s="401"/>
      <c r="TFZ68" s="401"/>
      <c r="TGA68" s="401"/>
      <c r="TGB68" s="401"/>
      <c r="TGC68" s="401"/>
      <c r="TGD68" s="401"/>
      <c r="TGE68" s="401"/>
      <c r="TGF68" s="401"/>
      <c r="TGG68" s="401"/>
      <c r="TGH68" s="401"/>
      <c r="TGI68" s="401"/>
      <c r="TGJ68" s="401"/>
      <c r="TGK68" s="401"/>
      <c r="TGL68" s="401"/>
      <c r="TGM68" s="401"/>
      <c r="TGN68" s="401"/>
      <c r="TGO68" s="401"/>
      <c r="TGP68" s="401"/>
      <c r="TGQ68" s="401"/>
      <c r="TGR68" s="401"/>
      <c r="TGS68" s="401"/>
      <c r="TGT68" s="401"/>
      <c r="TGU68" s="401"/>
      <c r="TGV68" s="401"/>
      <c r="TGW68" s="401"/>
      <c r="TGX68" s="401"/>
      <c r="TGY68" s="401"/>
      <c r="TGZ68" s="401"/>
      <c r="THA68" s="401"/>
      <c r="THB68" s="401"/>
      <c r="THC68" s="401"/>
      <c r="THD68" s="401"/>
      <c r="THE68" s="401"/>
      <c r="THF68" s="401"/>
      <c r="THG68" s="401"/>
      <c r="THH68" s="401"/>
      <c r="THI68" s="401"/>
      <c r="THJ68" s="401"/>
      <c r="THK68" s="401"/>
      <c r="THL68" s="401"/>
      <c r="THM68" s="401"/>
      <c r="THN68" s="401"/>
      <c r="THO68" s="401"/>
      <c r="THP68" s="401"/>
      <c r="THQ68" s="401"/>
      <c r="THR68" s="401"/>
      <c r="THS68" s="401"/>
      <c r="THT68" s="401"/>
      <c r="THU68" s="401"/>
      <c r="THV68" s="401"/>
      <c r="THW68" s="401"/>
      <c r="THX68" s="401"/>
      <c r="THY68" s="401"/>
      <c r="THZ68" s="401"/>
      <c r="TIA68" s="401"/>
      <c r="TIB68" s="401"/>
      <c r="TIC68" s="401"/>
      <c r="TID68" s="401"/>
      <c r="TIE68" s="401"/>
      <c r="TIF68" s="401"/>
      <c r="TIG68" s="401"/>
      <c r="TIH68" s="401"/>
      <c r="TII68" s="401"/>
      <c r="TIJ68" s="401"/>
      <c r="TIK68" s="401"/>
      <c r="TIL68" s="401"/>
      <c r="TIM68" s="401"/>
      <c r="TIN68" s="401"/>
      <c r="TIO68" s="401"/>
      <c r="TIP68" s="401"/>
      <c r="TIQ68" s="401"/>
      <c r="TIR68" s="401"/>
      <c r="TIS68" s="401"/>
      <c r="TIT68" s="401"/>
      <c r="TIU68" s="401"/>
      <c r="TIV68" s="401"/>
      <c r="TIW68" s="401"/>
      <c r="TIX68" s="401"/>
      <c r="TIY68" s="401"/>
      <c r="TIZ68" s="401"/>
      <c r="TJA68" s="401"/>
      <c r="TJB68" s="401"/>
      <c r="TJC68" s="401"/>
      <c r="TJD68" s="401"/>
      <c r="TJE68" s="401"/>
      <c r="TJF68" s="401"/>
      <c r="TJG68" s="401"/>
      <c r="TJH68" s="401"/>
      <c r="TJI68" s="401"/>
      <c r="TJJ68" s="401"/>
      <c r="TJK68" s="401"/>
      <c r="TJL68" s="401"/>
      <c r="TJM68" s="401"/>
      <c r="TJN68" s="401"/>
      <c r="TJO68" s="401"/>
      <c r="TJP68" s="401"/>
      <c r="TJQ68" s="401"/>
      <c r="TJR68" s="401"/>
      <c r="TJS68" s="401"/>
      <c r="TJT68" s="401"/>
      <c r="TJU68" s="401"/>
      <c r="TJV68" s="401"/>
      <c r="TJW68" s="401"/>
      <c r="TJX68" s="401"/>
      <c r="TJY68" s="401"/>
      <c r="TJZ68" s="401"/>
      <c r="TKA68" s="401"/>
      <c r="TKB68" s="401"/>
      <c r="TKC68" s="401"/>
      <c r="TKD68" s="401"/>
      <c r="TKE68" s="401"/>
      <c r="TKF68" s="401"/>
      <c r="TKG68" s="401"/>
      <c r="TKH68" s="401"/>
      <c r="TKI68" s="401"/>
      <c r="TKJ68" s="401"/>
      <c r="TKK68" s="401"/>
      <c r="TKL68" s="401"/>
      <c r="TKM68" s="401"/>
      <c r="TKN68" s="401"/>
      <c r="TKO68" s="401"/>
      <c r="TKP68" s="401"/>
      <c r="TKQ68" s="401"/>
      <c r="TKR68" s="401"/>
      <c r="TKS68" s="401"/>
      <c r="TKT68" s="401"/>
      <c r="TKU68" s="401"/>
      <c r="TKV68" s="401"/>
      <c r="TKW68" s="401"/>
      <c r="TKX68" s="401"/>
      <c r="TKY68" s="401"/>
      <c r="TKZ68" s="401"/>
      <c r="TLA68" s="401"/>
      <c r="TLB68" s="401"/>
      <c r="TLC68" s="401"/>
      <c r="TLD68" s="401"/>
      <c r="TLE68" s="401"/>
      <c r="TLF68" s="401"/>
      <c r="TLG68" s="401"/>
      <c r="TLH68" s="401"/>
      <c r="TLI68" s="401"/>
      <c r="TLJ68" s="401"/>
      <c r="TLK68" s="401"/>
      <c r="TLL68" s="401"/>
      <c r="TLM68" s="401"/>
      <c r="TLN68" s="401"/>
      <c r="TLO68" s="401"/>
      <c r="TLP68" s="401"/>
      <c r="TLQ68" s="401"/>
      <c r="TLR68" s="401"/>
      <c r="TLS68" s="401"/>
      <c r="TLT68" s="401"/>
      <c r="TLU68" s="401"/>
      <c r="TLV68" s="401"/>
      <c r="TLW68" s="401"/>
      <c r="TLX68" s="401"/>
      <c r="TLY68" s="401"/>
      <c r="TLZ68" s="401"/>
      <c r="TMA68" s="401"/>
      <c r="TMB68" s="401"/>
      <c r="TMC68" s="401"/>
      <c r="TMD68" s="401"/>
      <c r="TME68" s="401"/>
      <c r="TMF68" s="401"/>
      <c r="TMG68" s="401"/>
      <c r="TMH68" s="401"/>
      <c r="TMI68" s="401"/>
      <c r="TMJ68" s="401"/>
      <c r="TMK68" s="401"/>
      <c r="TML68" s="401"/>
      <c r="TMM68" s="401"/>
      <c r="TMN68" s="401"/>
      <c r="TMO68" s="401"/>
      <c r="TMP68" s="401"/>
      <c r="TMQ68" s="401"/>
      <c r="TMR68" s="401"/>
      <c r="TMS68" s="401"/>
      <c r="TMT68" s="401"/>
      <c r="TMU68" s="401"/>
      <c r="TMV68" s="401"/>
      <c r="TMW68" s="401"/>
      <c r="TMX68" s="401"/>
      <c r="TMY68" s="401"/>
      <c r="TMZ68" s="401"/>
      <c r="TNA68" s="401"/>
      <c r="TNB68" s="401"/>
      <c r="TNC68" s="401"/>
      <c r="TND68" s="401"/>
      <c r="TNE68" s="401"/>
      <c r="TNF68" s="401"/>
      <c r="TNG68" s="401"/>
      <c r="TNH68" s="401"/>
      <c r="TNI68" s="401"/>
      <c r="TNJ68" s="401"/>
      <c r="TNK68" s="401"/>
      <c r="TNL68" s="401"/>
      <c r="TNM68" s="401"/>
      <c r="TNN68" s="401"/>
      <c r="TNO68" s="401"/>
      <c r="TNP68" s="401"/>
      <c r="TNQ68" s="401"/>
      <c r="TNR68" s="401"/>
      <c r="TNS68" s="401"/>
      <c r="TNT68" s="401"/>
      <c r="TNU68" s="401"/>
      <c r="TNV68" s="401"/>
      <c r="TNW68" s="401"/>
      <c r="TNX68" s="401"/>
      <c r="TNY68" s="401"/>
      <c r="TNZ68" s="401"/>
      <c r="TOA68" s="401"/>
      <c r="TOB68" s="401"/>
      <c r="TOC68" s="401"/>
      <c r="TOD68" s="401"/>
      <c r="TOE68" s="401"/>
      <c r="TOF68" s="401"/>
      <c r="TOG68" s="401"/>
      <c r="TOH68" s="401"/>
      <c r="TOI68" s="401"/>
      <c r="TOJ68" s="401"/>
      <c r="TOK68" s="401"/>
      <c r="TOL68" s="401"/>
      <c r="TOM68" s="401"/>
      <c r="TON68" s="401"/>
      <c r="TOO68" s="401"/>
      <c r="TOP68" s="401"/>
      <c r="TOQ68" s="401"/>
      <c r="TOR68" s="401"/>
      <c r="TOS68" s="401"/>
      <c r="TOT68" s="401"/>
      <c r="TOU68" s="401"/>
      <c r="TOV68" s="401"/>
      <c r="TOW68" s="401"/>
      <c r="TOX68" s="401"/>
      <c r="TOY68" s="401"/>
      <c r="TOZ68" s="401"/>
      <c r="TPA68" s="401"/>
      <c r="TPB68" s="401"/>
      <c r="TPC68" s="401"/>
      <c r="TPD68" s="401"/>
      <c r="TPE68" s="401"/>
      <c r="TPF68" s="401"/>
      <c r="TPG68" s="401"/>
      <c r="TPH68" s="401"/>
      <c r="TPI68" s="401"/>
      <c r="TPJ68" s="401"/>
      <c r="TPK68" s="401"/>
      <c r="TPL68" s="401"/>
      <c r="TPM68" s="401"/>
      <c r="TPN68" s="401"/>
      <c r="TPO68" s="401"/>
      <c r="TPP68" s="401"/>
      <c r="TPQ68" s="401"/>
      <c r="TPR68" s="401"/>
      <c r="TPS68" s="401"/>
      <c r="TPT68" s="401"/>
      <c r="TPU68" s="401"/>
      <c r="TPV68" s="401"/>
      <c r="TPW68" s="401"/>
      <c r="TPX68" s="401"/>
      <c r="TPY68" s="401"/>
      <c r="TPZ68" s="401"/>
      <c r="TQA68" s="401"/>
      <c r="TQB68" s="401"/>
      <c r="TQC68" s="401"/>
      <c r="TQD68" s="401"/>
      <c r="TQE68" s="401"/>
      <c r="TQF68" s="401"/>
      <c r="TQG68" s="401"/>
      <c r="TQH68" s="401"/>
      <c r="TQI68" s="401"/>
      <c r="TQJ68" s="401"/>
      <c r="TQK68" s="401"/>
      <c r="TQL68" s="401"/>
      <c r="TQM68" s="401"/>
      <c r="TQN68" s="401"/>
      <c r="TQO68" s="401"/>
      <c r="TQP68" s="401"/>
      <c r="TQQ68" s="401"/>
      <c r="TQR68" s="401"/>
      <c r="TQS68" s="401"/>
      <c r="TQT68" s="401"/>
      <c r="TQU68" s="401"/>
      <c r="TQV68" s="401"/>
      <c r="TQW68" s="401"/>
      <c r="TQX68" s="401"/>
      <c r="TQY68" s="401"/>
      <c r="TQZ68" s="401"/>
      <c r="TRA68" s="401"/>
      <c r="TRB68" s="401"/>
      <c r="TRC68" s="401"/>
      <c r="TRD68" s="401"/>
      <c r="TRE68" s="401"/>
      <c r="TRF68" s="401"/>
      <c r="TRG68" s="401"/>
      <c r="TRH68" s="401"/>
      <c r="TRI68" s="401"/>
      <c r="TRJ68" s="401"/>
      <c r="TRK68" s="401"/>
      <c r="TRL68" s="401"/>
      <c r="TRM68" s="401"/>
      <c r="TRN68" s="401"/>
      <c r="TRO68" s="401"/>
      <c r="TRP68" s="401"/>
      <c r="TRQ68" s="401"/>
      <c r="TRR68" s="401"/>
      <c r="TRS68" s="401"/>
      <c r="TRT68" s="401"/>
      <c r="TRU68" s="401"/>
      <c r="TRV68" s="401"/>
      <c r="TRW68" s="401"/>
      <c r="TRX68" s="401"/>
      <c r="TRY68" s="401"/>
      <c r="TRZ68" s="401"/>
      <c r="TSA68" s="401"/>
      <c r="TSB68" s="401"/>
      <c r="TSC68" s="401"/>
      <c r="TSD68" s="401"/>
      <c r="TSE68" s="401"/>
      <c r="TSF68" s="401"/>
      <c r="TSG68" s="401"/>
      <c r="TSH68" s="401"/>
      <c r="TSI68" s="401"/>
      <c r="TSJ68" s="401"/>
      <c r="TSK68" s="401"/>
      <c r="TSL68" s="401"/>
      <c r="TSM68" s="401"/>
      <c r="TSN68" s="401"/>
      <c r="TSO68" s="401"/>
      <c r="TSP68" s="401"/>
      <c r="TSQ68" s="401"/>
      <c r="TSR68" s="401"/>
      <c r="TSS68" s="401"/>
      <c r="TST68" s="401"/>
      <c r="TSU68" s="401"/>
      <c r="TSV68" s="401"/>
      <c r="TSW68" s="401"/>
      <c r="TSX68" s="401"/>
      <c r="TSY68" s="401"/>
      <c r="TSZ68" s="401"/>
      <c r="TTA68" s="401"/>
      <c r="TTB68" s="401"/>
      <c r="TTC68" s="401"/>
      <c r="TTD68" s="401"/>
      <c r="TTE68" s="401"/>
      <c r="TTF68" s="401"/>
      <c r="TTG68" s="401"/>
      <c r="TTH68" s="401"/>
      <c r="TTI68" s="401"/>
      <c r="TTJ68" s="401"/>
      <c r="TTK68" s="401"/>
      <c r="TTL68" s="401"/>
      <c r="TTM68" s="401"/>
      <c r="TTN68" s="401"/>
      <c r="TTO68" s="401"/>
      <c r="TTP68" s="401"/>
      <c r="TTQ68" s="401"/>
      <c r="TTR68" s="401"/>
      <c r="TTS68" s="401"/>
      <c r="TTT68" s="401"/>
      <c r="TTU68" s="401"/>
      <c r="TTV68" s="401"/>
      <c r="TTW68" s="401"/>
      <c r="TTX68" s="401"/>
      <c r="TTY68" s="401"/>
      <c r="TTZ68" s="401"/>
      <c r="TUA68" s="401"/>
      <c r="TUB68" s="401"/>
      <c r="TUC68" s="401"/>
      <c r="TUD68" s="401"/>
      <c r="TUE68" s="401"/>
      <c r="TUF68" s="401"/>
      <c r="TUG68" s="401"/>
      <c r="TUH68" s="401"/>
      <c r="TUI68" s="401"/>
      <c r="TUJ68" s="401"/>
      <c r="TUK68" s="401"/>
      <c r="TUL68" s="401"/>
      <c r="TUM68" s="401"/>
      <c r="TUN68" s="401"/>
      <c r="TUO68" s="401"/>
      <c r="TUP68" s="401"/>
      <c r="TUQ68" s="401"/>
      <c r="TUR68" s="401"/>
      <c r="TUS68" s="401"/>
      <c r="TUT68" s="401"/>
      <c r="TUU68" s="401"/>
      <c r="TUV68" s="401"/>
      <c r="TUW68" s="401"/>
      <c r="TUX68" s="401"/>
      <c r="TUY68" s="401"/>
      <c r="TUZ68" s="401"/>
      <c r="TVA68" s="401"/>
      <c r="TVB68" s="401"/>
      <c r="TVC68" s="401"/>
      <c r="TVD68" s="401"/>
      <c r="TVE68" s="401"/>
      <c r="TVF68" s="401"/>
      <c r="TVG68" s="401"/>
      <c r="TVH68" s="401"/>
      <c r="TVI68" s="401"/>
      <c r="TVJ68" s="401"/>
      <c r="TVK68" s="401"/>
      <c r="TVL68" s="401"/>
      <c r="TVM68" s="401"/>
      <c r="TVN68" s="401"/>
      <c r="TVO68" s="401"/>
      <c r="TVP68" s="401"/>
      <c r="TVQ68" s="401"/>
      <c r="TVR68" s="401"/>
      <c r="TVS68" s="401"/>
      <c r="TVT68" s="401"/>
      <c r="TVU68" s="401"/>
      <c r="TVV68" s="401"/>
      <c r="TVW68" s="401"/>
      <c r="TVX68" s="401"/>
      <c r="TVY68" s="401"/>
      <c r="TVZ68" s="401"/>
      <c r="TWA68" s="401"/>
      <c r="TWB68" s="401"/>
      <c r="TWC68" s="401"/>
      <c r="TWD68" s="401"/>
      <c r="TWE68" s="401"/>
      <c r="TWF68" s="401"/>
      <c r="TWG68" s="401"/>
      <c r="TWH68" s="401"/>
      <c r="TWI68" s="401"/>
      <c r="TWJ68" s="401"/>
      <c r="TWK68" s="401"/>
      <c r="TWL68" s="401"/>
      <c r="TWM68" s="401"/>
      <c r="TWN68" s="401"/>
      <c r="TWO68" s="401"/>
      <c r="TWP68" s="401"/>
      <c r="TWQ68" s="401"/>
      <c r="TWR68" s="401"/>
      <c r="TWS68" s="401"/>
      <c r="TWT68" s="401"/>
      <c r="TWU68" s="401"/>
      <c r="TWV68" s="401"/>
      <c r="TWW68" s="401"/>
      <c r="TWX68" s="401"/>
      <c r="TWY68" s="401"/>
      <c r="TWZ68" s="401"/>
      <c r="TXA68" s="401"/>
      <c r="TXB68" s="401"/>
      <c r="TXC68" s="401"/>
      <c r="TXD68" s="401"/>
      <c r="TXE68" s="401"/>
      <c r="TXF68" s="401"/>
      <c r="TXG68" s="401"/>
      <c r="TXH68" s="401"/>
      <c r="TXI68" s="401"/>
      <c r="TXJ68" s="401"/>
      <c r="TXK68" s="401"/>
      <c r="TXL68" s="401"/>
      <c r="TXM68" s="401"/>
      <c r="TXN68" s="401"/>
      <c r="TXO68" s="401"/>
      <c r="TXP68" s="401"/>
      <c r="TXQ68" s="401"/>
      <c r="TXR68" s="401"/>
      <c r="TXS68" s="401"/>
      <c r="TXT68" s="401"/>
      <c r="TXU68" s="401"/>
      <c r="TXV68" s="401"/>
      <c r="TXW68" s="401"/>
      <c r="TXX68" s="401"/>
      <c r="TXY68" s="401"/>
      <c r="TXZ68" s="401"/>
      <c r="TYA68" s="401"/>
      <c r="TYB68" s="401"/>
      <c r="TYC68" s="401"/>
      <c r="TYD68" s="401"/>
      <c r="TYE68" s="401"/>
      <c r="TYF68" s="401"/>
      <c r="TYG68" s="401"/>
      <c r="TYH68" s="401"/>
      <c r="TYI68" s="401"/>
      <c r="TYJ68" s="401"/>
      <c r="TYK68" s="401"/>
      <c r="TYL68" s="401"/>
      <c r="TYM68" s="401"/>
      <c r="TYN68" s="401"/>
      <c r="TYO68" s="401"/>
      <c r="TYP68" s="401"/>
      <c r="TYQ68" s="401"/>
      <c r="TYR68" s="401"/>
      <c r="TYS68" s="401"/>
      <c r="TYT68" s="401"/>
      <c r="TYU68" s="401"/>
      <c r="TYV68" s="401"/>
      <c r="TYW68" s="401"/>
      <c r="TYX68" s="401"/>
      <c r="TYY68" s="401"/>
      <c r="TYZ68" s="401"/>
      <c r="TZA68" s="401"/>
      <c r="TZB68" s="401"/>
      <c r="TZC68" s="401"/>
      <c r="TZD68" s="401"/>
      <c r="TZE68" s="401"/>
      <c r="TZF68" s="401"/>
      <c r="TZG68" s="401"/>
      <c r="TZH68" s="401"/>
      <c r="TZI68" s="401"/>
      <c r="TZJ68" s="401"/>
      <c r="TZK68" s="401"/>
      <c r="TZL68" s="401"/>
      <c r="TZM68" s="401"/>
      <c r="TZN68" s="401"/>
      <c r="TZO68" s="401"/>
      <c r="TZP68" s="401"/>
      <c r="TZQ68" s="401"/>
      <c r="TZR68" s="401"/>
      <c r="TZS68" s="401"/>
      <c r="TZT68" s="401"/>
      <c r="TZU68" s="401"/>
      <c r="TZV68" s="401"/>
      <c r="TZW68" s="401"/>
      <c r="TZX68" s="401"/>
      <c r="TZY68" s="401"/>
      <c r="TZZ68" s="401"/>
      <c r="UAA68" s="401"/>
      <c r="UAB68" s="401"/>
      <c r="UAC68" s="401"/>
      <c r="UAD68" s="401"/>
      <c r="UAE68" s="401"/>
      <c r="UAF68" s="401"/>
      <c r="UAG68" s="401"/>
      <c r="UAH68" s="401"/>
      <c r="UAI68" s="401"/>
      <c r="UAJ68" s="401"/>
      <c r="UAK68" s="401"/>
      <c r="UAL68" s="401"/>
      <c r="UAM68" s="401"/>
      <c r="UAN68" s="401"/>
      <c r="UAO68" s="401"/>
      <c r="UAP68" s="401"/>
      <c r="UAQ68" s="401"/>
      <c r="UAR68" s="401"/>
      <c r="UAS68" s="401"/>
      <c r="UAT68" s="401"/>
      <c r="UAU68" s="401"/>
      <c r="UAV68" s="401"/>
      <c r="UAW68" s="401"/>
      <c r="UAX68" s="401"/>
      <c r="UAY68" s="401"/>
      <c r="UAZ68" s="401"/>
      <c r="UBA68" s="401"/>
      <c r="UBB68" s="401"/>
      <c r="UBC68" s="401"/>
      <c r="UBD68" s="401"/>
      <c r="UBE68" s="401"/>
      <c r="UBF68" s="401"/>
      <c r="UBG68" s="401"/>
      <c r="UBH68" s="401"/>
      <c r="UBI68" s="401"/>
      <c r="UBJ68" s="401"/>
      <c r="UBK68" s="401"/>
      <c r="UBL68" s="401"/>
      <c r="UBM68" s="401"/>
      <c r="UBN68" s="401"/>
      <c r="UBO68" s="401"/>
      <c r="UBP68" s="401"/>
      <c r="UBQ68" s="401"/>
      <c r="UBR68" s="401"/>
      <c r="UBS68" s="401"/>
      <c r="UBT68" s="401"/>
      <c r="UBU68" s="401"/>
      <c r="UBV68" s="401"/>
      <c r="UBW68" s="401"/>
      <c r="UBX68" s="401"/>
      <c r="UBY68" s="401"/>
      <c r="UBZ68" s="401"/>
      <c r="UCA68" s="401"/>
      <c r="UCB68" s="401"/>
      <c r="UCC68" s="401"/>
      <c r="UCD68" s="401"/>
      <c r="UCE68" s="401"/>
      <c r="UCF68" s="401"/>
      <c r="UCG68" s="401"/>
      <c r="UCH68" s="401"/>
      <c r="UCI68" s="401"/>
      <c r="UCJ68" s="401"/>
      <c r="UCK68" s="401"/>
      <c r="UCL68" s="401"/>
      <c r="UCM68" s="401"/>
      <c r="UCN68" s="401"/>
      <c r="UCO68" s="401"/>
      <c r="UCP68" s="401"/>
      <c r="UCQ68" s="401"/>
      <c r="UCR68" s="401"/>
      <c r="UCS68" s="401"/>
      <c r="UCT68" s="401"/>
      <c r="UCU68" s="401"/>
      <c r="UCV68" s="401"/>
      <c r="UCW68" s="401"/>
      <c r="UCX68" s="401"/>
      <c r="UCY68" s="401"/>
      <c r="UCZ68" s="401"/>
      <c r="UDA68" s="401"/>
      <c r="UDB68" s="401"/>
      <c r="UDC68" s="401"/>
      <c r="UDD68" s="401"/>
      <c r="UDE68" s="401"/>
      <c r="UDF68" s="401"/>
      <c r="UDG68" s="401"/>
      <c r="UDH68" s="401"/>
      <c r="UDI68" s="401"/>
      <c r="UDJ68" s="401"/>
      <c r="UDK68" s="401"/>
      <c r="UDL68" s="401"/>
      <c r="UDM68" s="401"/>
      <c r="UDN68" s="401"/>
      <c r="UDO68" s="401"/>
      <c r="UDP68" s="401"/>
      <c r="UDQ68" s="401"/>
      <c r="UDR68" s="401"/>
      <c r="UDS68" s="401"/>
      <c r="UDT68" s="401"/>
      <c r="UDU68" s="401"/>
      <c r="UDV68" s="401"/>
      <c r="UDW68" s="401"/>
      <c r="UDX68" s="401"/>
      <c r="UDY68" s="401"/>
      <c r="UDZ68" s="401"/>
      <c r="UEA68" s="401"/>
      <c r="UEB68" s="401"/>
      <c r="UEC68" s="401"/>
      <c r="UED68" s="401"/>
      <c r="UEE68" s="401"/>
      <c r="UEF68" s="401"/>
      <c r="UEG68" s="401"/>
      <c r="UEH68" s="401"/>
      <c r="UEI68" s="401"/>
      <c r="UEJ68" s="401"/>
      <c r="UEK68" s="401"/>
      <c r="UEL68" s="401"/>
      <c r="UEM68" s="401"/>
      <c r="UEN68" s="401"/>
      <c r="UEO68" s="401"/>
      <c r="UEP68" s="401"/>
      <c r="UEQ68" s="401"/>
      <c r="UER68" s="401"/>
      <c r="UES68" s="401"/>
      <c r="UET68" s="401"/>
      <c r="UEU68" s="401"/>
      <c r="UEV68" s="401"/>
      <c r="UEW68" s="401"/>
      <c r="UEX68" s="401"/>
      <c r="UEY68" s="401"/>
      <c r="UEZ68" s="401"/>
      <c r="UFA68" s="401"/>
      <c r="UFB68" s="401"/>
      <c r="UFC68" s="401"/>
      <c r="UFD68" s="401"/>
      <c r="UFE68" s="401"/>
      <c r="UFF68" s="401"/>
      <c r="UFG68" s="401"/>
      <c r="UFH68" s="401"/>
      <c r="UFI68" s="401"/>
      <c r="UFJ68" s="401"/>
      <c r="UFK68" s="401"/>
      <c r="UFL68" s="401"/>
      <c r="UFM68" s="401"/>
      <c r="UFN68" s="401"/>
      <c r="UFO68" s="401"/>
      <c r="UFP68" s="401"/>
      <c r="UFQ68" s="401"/>
      <c r="UFR68" s="401"/>
      <c r="UFS68" s="401"/>
      <c r="UFT68" s="401"/>
      <c r="UFU68" s="401"/>
      <c r="UFV68" s="401"/>
      <c r="UFW68" s="401"/>
      <c r="UFX68" s="401"/>
      <c r="UFY68" s="401"/>
      <c r="UFZ68" s="401"/>
      <c r="UGA68" s="401"/>
      <c r="UGB68" s="401"/>
      <c r="UGC68" s="401"/>
      <c r="UGD68" s="401"/>
      <c r="UGE68" s="401"/>
      <c r="UGF68" s="401"/>
      <c r="UGG68" s="401"/>
      <c r="UGH68" s="401"/>
      <c r="UGI68" s="401"/>
      <c r="UGJ68" s="401"/>
      <c r="UGK68" s="401"/>
      <c r="UGL68" s="401"/>
      <c r="UGM68" s="401"/>
      <c r="UGN68" s="401"/>
      <c r="UGO68" s="401"/>
      <c r="UGP68" s="401"/>
      <c r="UGQ68" s="401"/>
      <c r="UGR68" s="401"/>
      <c r="UGS68" s="401"/>
      <c r="UGT68" s="401"/>
      <c r="UGU68" s="401"/>
      <c r="UGV68" s="401"/>
      <c r="UGW68" s="401"/>
      <c r="UGX68" s="401"/>
      <c r="UGY68" s="401"/>
      <c r="UGZ68" s="401"/>
      <c r="UHA68" s="401"/>
      <c r="UHB68" s="401"/>
      <c r="UHC68" s="401"/>
      <c r="UHD68" s="401"/>
      <c r="UHE68" s="401"/>
      <c r="UHF68" s="401"/>
      <c r="UHG68" s="401"/>
      <c r="UHH68" s="401"/>
      <c r="UHI68" s="401"/>
      <c r="UHJ68" s="401"/>
      <c r="UHK68" s="401"/>
      <c r="UHL68" s="401"/>
      <c r="UHM68" s="401"/>
      <c r="UHN68" s="401"/>
      <c r="UHO68" s="401"/>
      <c r="UHP68" s="401"/>
      <c r="UHQ68" s="401"/>
      <c r="UHR68" s="401"/>
      <c r="UHS68" s="401"/>
      <c r="UHT68" s="401"/>
      <c r="UHU68" s="401"/>
      <c r="UHV68" s="401"/>
      <c r="UHW68" s="401"/>
      <c r="UHX68" s="401"/>
      <c r="UHY68" s="401"/>
      <c r="UHZ68" s="401"/>
      <c r="UIA68" s="401"/>
      <c r="UIB68" s="401"/>
      <c r="UIC68" s="401"/>
      <c r="UID68" s="401"/>
      <c r="UIE68" s="401"/>
      <c r="UIF68" s="401"/>
      <c r="UIG68" s="401"/>
      <c r="UIH68" s="401"/>
      <c r="UII68" s="401"/>
      <c r="UIJ68" s="401"/>
      <c r="UIK68" s="401"/>
      <c r="UIL68" s="401"/>
      <c r="UIM68" s="401"/>
      <c r="UIN68" s="401"/>
      <c r="UIO68" s="401"/>
      <c r="UIP68" s="401"/>
      <c r="UIQ68" s="401"/>
      <c r="UIR68" s="401"/>
      <c r="UIS68" s="401"/>
      <c r="UIT68" s="401"/>
      <c r="UIU68" s="401"/>
      <c r="UIV68" s="401"/>
      <c r="UIW68" s="401"/>
      <c r="UIX68" s="401"/>
      <c r="UIY68" s="401"/>
      <c r="UIZ68" s="401"/>
      <c r="UJA68" s="401"/>
      <c r="UJB68" s="401"/>
      <c r="UJC68" s="401"/>
      <c r="UJD68" s="401"/>
      <c r="UJE68" s="401"/>
      <c r="UJF68" s="401"/>
      <c r="UJG68" s="401"/>
      <c r="UJH68" s="401"/>
      <c r="UJI68" s="401"/>
      <c r="UJJ68" s="401"/>
      <c r="UJK68" s="401"/>
      <c r="UJL68" s="401"/>
      <c r="UJM68" s="401"/>
      <c r="UJN68" s="401"/>
      <c r="UJO68" s="401"/>
      <c r="UJP68" s="401"/>
      <c r="UJQ68" s="401"/>
      <c r="UJR68" s="401"/>
      <c r="UJS68" s="401"/>
      <c r="UJT68" s="401"/>
      <c r="UJU68" s="401"/>
      <c r="UJV68" s="401"/>
      <c r="UJW68" s="401"/>
      <c r="UJX68" s="401"/>
      <c r="UJY68" s="401"/>
      <c r="UJZ68" s="401"/>
      <c r="UKA68" s="401"/>
      <c r="UKB68" s="401"/>
      <c r="UKC68" s="401"/>
      <c r="UKD68" s="401"/>
      <c r="UKE68" s="401"/>
      <c r="UKF68" s="401"/>
      <c r="UKG68" s="401"/>
      <c r="UKH68" s="401"/>
      <c r="UKI68" s="401"/>
      <c r="UKJ68" s="401"/>
      <c r="UKK68" s="401"/>
      <c r="UKL68" s="401"/>
      <c r="UKM68" s="401"/>
      <c r="UKN68" s="401"/>
      <c r="UKO68" s="401"/>
      <c r="UKP68" s="401"/>
      <c r="UKQ68" s="401"/>
      <c r="UKR68" s="401"/>
      <c r="UKS68" s="401"/>
      <c r="UKT68" s="401"/>
      <c r="UKU68" s="401"/>
      <c r="UKV68" s="401"/>
      <c r="UKW68" s="401"/>
      <c r="UKX68" s="401"/>
      <c r="UKY68" s="401"/>
      <c r="UKZ68" s="401"/>
      <c r="ULA68" s="401"/>
      <c r="ULB68" s="401"/>
      <c r="ULC68" s="401"/>
      <c r="ULD68" s="401"/>
      <c r="ULE68" s="401"/>
      <c r="ULF68" s="401"/>
      <c r="ULG68" s="401"/>
      <c r="ULH68" s="401"/>
      <c r="ULI68" s="401"/>
      <c r="ULJ68" s="401"/>
      <c r="ULK68" s="401"/>
      <c r="ULL68" s="401"/>
      <c r="ULM68" s="401"/>
      <c r="ULN68" s="401"/>
      <c r="ULO68" s="401"/>
      <c r="ULP68" s="401"/>
      <c r="ULQ68" s="401"/>
      <c r="ULR68" s="401"/>
      <c r="ULS68" s="401"/>
      <c r="ULT68" s="401"/>
      <c r="ULU68" s="401"/>
      <c r="ULV68" s="401"/>
      <c r="ULW68" s="401"/>
      <c r="ULX68" s="401"/>
      <c r="ULY68" s="401"/>
      <c r="ULZ68" s="401"/>
      <c r="UMA68" s="401"/>
      <c r="UMB68" s="401"/>
      <c r="UMC68" s="401"/>
      <c r="UMD68" s="401"/>
      <c r="UME68" s="401"/>
      <c r="UMF68" s="401"/>
      <c r="UMG68" s="401"/>
      <c r="UMH68" s="401"/>
      <c r="UMI68" s="401"/>
      <c r="UMJ68" s="401"/>
      <c r="UMK68" s="401"/>
      <c r="UML68" s="401"/>
      <c r="UMM68" s="401"/>
      <c r="UMN68" s="401"/>
      <c r="UMO68" s="401"/>
      <c r="UMP68" s="401"/>
      <c r="UMQ68" s="401"/>
      <c r="UMR68" s="401"/>
      <c r="UMS68" s="401"/>
      <c r="UMT68" s="401"/>
      <c r="UMU68" s="401"/>
      <c r="UMV68" s="401"/>
      <c r="UMW68" s="401"/>
      <c r="UMX68" s="401"/>
      <c r="UMY68" s="401"/>
      <c r="UMZ68" s="401"/>
      <c r="UNA68" s="401"/>
      <c r="UNB68" s="401"/>
      <c r="UNC68" s="401"/>
      <c r="UND68" s="401"/>
      <c r="UNE68" s="401"/>
      <c r="UNF68" s="401"/>
      <c r="UNG68" s="401"/>
      <c r="UNH68" s="401"/>
      <c r="UNI68" s="401"/>
      <c r="UNJ68" s="401"/>
      <c r="UNK68" s="401"/>
      <c r="UNL68" s="401"/>
      <c r="UNM68" s="401"/>
      <c r="UNN68" s="401"/>
      <c r="UNO68" s="401"/>
      <c r="UNP68" s="401"/>
      <c r="UNQ68" s="401"/>
      <c r="UNR68" s="401"/>
      <c r="UNS68" s="401"/>
      <c r="UNT68" s="401"/>
      <c r="UNU68" s="401"/>
      <c r="UNV68" s="401"/>
      <c r="UNW68" s="401"/>
      <c r="UNX68" s="401"/>
      <c r="UNY68" s="401"/>
      <c r="UNZ68" s="401"/>
      <c r="UOA68" s="401"/>
      <c r="UOB68" s="401"/>
      <c r="UOC68" s="401"/>
      <c r="UOD68" s="401"/>
      <c r="UOE68" s="401"/>
      <c r="UOF68" s="401"/>
      <c r="UOG68" s="401"/>
      <c r="UOH68" s="401"/>
      <c r="UOI68" s="401"/>
      <c r="UOJ68" s="401"/>
      <c r="UOK68" s="401"/>
      <c r="UOL68" s="401"/>
      <c r="UOM68" s="401"/>
      <c r="UON68" s="401"/>
      <c r="UOO68" s="401"/>
      <c r="UOP68" s="401"/>
      <c r="UOQ68" s="401"/>
      <c r="UOR68" s="401"/>
      <c r="UOS68" s="401"/>
      <c r="UOT68" s="401"/>
      <c r="UOU68" s="401"/>
      <c r="UOV68" s="401"/>
      <c r="UOW68" s="401"/>
      <c r="UOX68" s="401"/>
      <c r="UOY68" s="401"/>
      <c r="UOZ68" s="401"/>
      <c r="UPA68" s="401"/>
      <c r="UPB68" s="401"/>
      <c r="UPC68" s="401"/>
      <c r="UPD68" s="401"/>
      <c r="UPE68" s="401"/>
      <c r="UPF68" s="401"/>
      <c r="UPG68" s="401"/>
      <c r="UPH68" s="401"/>
      <c r="UPI68" s="401"/>
      <c r="UPJ68" s="401"/>
      <c r="UPK68" s="401"/>
      <c r="UPL68" s="401"/>
      <c r="UPM68" s="401"/>
      <c r="UPN68" s="401"/>
      <c r="UPO68" s="401"/>
      <c r="UPP68" s="401"/>
      <c r="UPQ68" s="401"/>
      <c r="UPR68" s="401"/>
      <c r="UPS68" s="401"/>
      <c r="UPT68" s="401"/>
      <c r="UPU68" s="401"/>
      <c r="UPV68" s="401"/>
      <c r="UPW68" s="401"/>
      <c r="UPX68" s="401"/>
      <c r="UPY68" s="401"/>
      <c r="UPZ68" s="401"/>
      <c r="UQA68" s="401"/>
      <c r="UQB68" s="401"/>
      <c r="UQC68" s="401"/>
      <c r="UQD68" s="401"/>
      <c r="UQE68" s="401"/>
      <c r="UQF68" s="401"/>
      <c r="UQG68" s="401"/>
      <c r="UQH68" s="401"/>
      <c r="UQI68" s="401"/>
      <c r="UQJ68" s="401"/>
      <c r="UQK68" s="401"/>
      <c r="UQL68" s="401"/>
      <c r="UQM68" s="401"/>
      <c r="UQN68" s="401"/>
      <c r="UQO68" s="401"/>
      <c r="UQP68" s="401"/>
      <c r="UQQ68" s="401"/>
      <c r="UQR68" s="401"/>
      <c r="UQS68" s="401"/>
      <c r="UQT68" s="401"/>
      <c r="UQU68" s="401"/>
      <c r="UQV68" s="401"/>
      <c r="UQW68" s="401"/>
      <c r="UQX68" s="401"/>
      <c r="UQY68" s="401"/>
      <c r="UQZ68" s="401"/>
      <c r="URA68" s="401"/>
      <c r="URB68" s="401"/>
      <c r="URC68" s="401"/>
      <c r="URD68" s="401"/>
      <c r="URE68" s="401"/>
      <c r="URF68" s="401"/>
      <c r="URG68" s="401"/>
      <c r="URH68" s="401"/>
      <c r="URI68" s="401"/>
      <c r="URJ68" s="401"/>
      <c r="URK68" s="401"/>
      <c r="URL68" s="401"/>
      <c r="URM68" s="401"/>
      <c r="URN68" s="401"/>
      <c r="URO68" s="401"/>
      <c r="URP68" s="401"/>
      <c r="URQ68" s="401"/>
      <c r="URR68" s="401"/>
      <c r="URS68" s="401"/>
      <c r="URT68" s="401"/>
      <c r="URU68" s="401"/>
      <c r="URV68" s="401"/>
      <c r="URW68" s="401"/>
      <c r="URX68" s="401"/>
      <c r="URY68" s="401"/>
      <c r="URZ68" s="401"/>
      <c r="USA68" s="401"/>
      <c r="USB68" s="401"/>
      <c r="USC68" s="401"/>
      <c r="USD68" s="401"/>
      <c r="USE68" s="401"/>
      <c r="USF68" s="401"/>
      <c r="USG68" s="401"/>
      <c r="USH68" s="401"/>
      <c r="USI68" s="401"/>
      <c r="USJ68" s="401"/>
      <c r="USK68" s="401"/>
      <c r="USL68" s="401"/>
      <c r="USM68" s="401"/>
      <c r="USN68" s="401"/>
      <c r="USO68" s="401"/>
      <c r="USP68" s="401"/>
      <c r="USQ68" s="401"/>
      <c r="USR68" s="401"/>
      <c r="USS68" s="401"/>
      <c r="UST68" s="401"/>
      <c r="USU68" s="401"/>
      <c r="USV68" s="401"/>
      <c r="USW68" s="401"/>
      <c r="USX68" s="401"/>
      <c r="USY68" s="401"/>
      <c r="USZ68" s="401"/>
      <c r="UTA68" s="401"/>
      <c r="UTB68" s="401"/>
      <c r="UTC68" s="401"/>
      <c r="UTD68" s="401"/>
      <c r="UTE68" s="401"/>
      <c r="UTF68" s="401"/>
      <c r="UTG68" s="401"/>
      <c r="UTH68" s="401"/>
      <c r="UTI68" s="401"/>
      <c r="UTJ68" s="401"/>
      <c r="UTK68" s="401"/>
      <c r="UTL68" s="401"/>
      <c r="UTM68" s="401"/>
      <c r="UTN68" s="401"/>
      <c r="UTO68" s="401"/>
      <c r="UTP68" s="401"/>
      <c r="UTQ68" s="401"/>
      <c r="UTR68" s="401"/>
      <c r="UTS68" s="401"/>
      <c r="UTT68" s="401"/>
      <c r="UTU68" s="401"/>
      <c r="UTV68" s="401"/>
      <c r="UTW68" s="401"/>
      <c r="UTX68" s="401"/>
      <c r="UTY68" s="401"/>
      <c r="UTZ68" s="401"/>
      <c r="UUA68" s="401"/>
      <c r="UUB68" s="401"/>
      <c r="UUC68" s="401"/>
      <c r="UUD68" s="401"/>
      <c r="UUE68" s="401"/>
      <c r="UUF68" s="401"/>
      <c r="UUG68" s="401"/>
      <c r="UUH68" s="401"/>
      <c r="UUI68" s="401"/>
      <c r="UUJ68" s="401"/>
      <c r="UUK68" s="401"/>
      <c r="UUL68" s="401"/>
      <c r="UUM68" s="401"/>
      <c r="UUN68" s="401"/>
      <c r="UUO68" s="401"/>
      <c r="UUP68" s="401"/>
      <c r="UUQ68" s="401"/>
      <c r="UUR68" s="401"/>
      <c r="UUS68" s="401"/>
      <c r="UUT68" s="401"/>
      <c r="UUU68" s="401"/>
      <c r="UUV68" s="401"/>
      <c r="UUW68" s="401"/>
      <c r="UUX68" s="401"/>
      <c r="UUY68" s="401"/>
      <c r="UUZ68" s="401"/>
      <c r="UVA68" s="401"/>
      <c r="UVB68" s="401"/>
      <c r="UVC68" s="401"/>
      <c r="UVD68" s="401"/>
      <c r="UVE68" s="401"/>
      <c r="UVF68" s="401"/>
      <c r="UVG68" s="401"/>
      <c r="UVH68" s="401"/>
      <c r="UVI68" s="401"/>
      <c r="UVJ68" s="401"/>
      <c r="UVK68" s="401"/>
      <c r="UVL68" s="401"/>
      <c r="UVM68" s="401"/>
      <c r="UVN68" s="401"/>
      <c r="UVO68" s="401"/>
      <c r="UVP68" s="401"/>
      <c r="UVQ68" s="401"/>
      <c r="UVR68" s="401"/>
      <c r="UVS68" s="401"/>
      <c r="UVT68" s="401"/>
      <c r="UVU68" s="401"/>
      <c r="UVV68" s="401"/>
      <c r="UVW68" s="401"/>
      <c r="UVX68" s="401"/>
      <c r="UVY68" s="401"/>
      <c r="UVZ68" s="401"/>
      <c r="UWA68" s="401"/>
      <c r="UWB68" s="401"/>
      <c r="UWC68" s="401"/>
      <c r="UWD68" s="401"/>
      <c r="UWE68" s="401"/>
      <c r="UWF68" s="401"/>
      <c r="UWG68" s="401"/>
      <c r="UWH68" s="401"/>
      <c r="UWI68" s="401"/>
      <c r="UWJ68" s="401"/>
      <c r="UWK68" s="401"/>
      <c r="UWL68" s="401"/>
      <c r="UWM68" s="401"/>
      <c r="UWN68" s="401"/>
      <c r="UWO68" s="401"/>
      <c r="UWP68" s="401"/>
      <c r="UWQ68" s="401"/>
      <c r="UWR68" s="401"/>
      <c r="UWS68" s="401"/>
      <c r="UWT68" s="401"/>
      <c r="UWU68" s="401"/>
      <c r="UWV68" s="401"/>
      <c r="UWW68" s="401"/>
      <c r="UWX68" s="401"/>
      <c r="UWY68" s="401"/>
      <c r="UWZ68" s="401"/>
      <c r="UXA68" s="401"/>
      <c r="UXB68" s="401"/>
      <c r="UXC68" s="401"/>
      <c r="UXD68" s="401"/>
      <c r="UXE68" s="401"/>
      <c r="UXF68" s="401"/>
      <c r="UXG68" s="401"/>
      <c r="UXH68" s="401"/>
      <c r="UXI68" s="401"/>
      <c r="UXJ68" s="401"/>
      <c r="UXK68" s="401"/>
      <c r="UXL68" s="401"/>
      <c r="UXM68" s="401"/>
      <c r="UXN68" s="401"/>
      <c r="UXO68" s="401"/>
      <c r="UXP68" s="401"/>
      <c r="UXQ68" s="401"/>
      <c r="UXR68" s="401"/>
      <c r="UXS68" s="401"/>
      <c r="UXT68" s="401"/>
      <c r="UXU68" s="401"/>
      <c r="UXV68" s="401"/>
      <c r="UXW68" s="401"/>
      <c r="UXX68" s="401"/>
      <c r="UXY68" s="401"/>
      <c r="UXZ68" s="401"/>
      <c r="UYA68" s="401"/>
      <c r="UYB68" s="401"/>
      <c r="UYC68" s="401"/>
      <c r="UYD68" s="401"/>
      <c r="UYE68" s="401"/>
      <c r="UYF68" s="401"/>
      <c r="UYG68" s="401"/>
      <c r="UYH68" s="401"/>
      <c r="UYI68" s="401"/>
      <c r="UYJ68" s="401"/>
      <c r="UYK68" s="401"/>
      <c r="UYL68" s="401"/>
      <c r="UYM68" s="401"/>
      <c r="UYN68" s="401"/>
      <c r="UYO68" s="401"/>
      <c r="UYP68" s="401"/>
      <c r="UYQ68" s="401"/>
      <c r="UYR68" s="401"/>
      <c r="UYS68" s="401"/>
      <c r="UYT68" s="401"/>
      <c r="UYU68" s="401"/>
      <c r="UYV68" s="401"/>
      <c r="UYW68" s="401"/>
      <c r="UYX68" s="401"/>
      <c r="UYY68" s="401"/>
      <c r="UYZ68" s="401"/>
      <c r="UZA68" s="401"/>
      <c r="UZB68" s="401"/>
      <c r="UZC68" s="401"/>
      <c r="UZD68" s="401"/>
      <c r="UZE68" s="401"/>
      <c r="UZF68" s="401"/>
      <c r="UZG68" s="401"/>
      <c r="UZH68" s="401"/>
      <c r="UZI68" s="401"/>
      <c r="UZJ68" s="401"/>
      <c r="UZK68" s="401"/>
      <c r="UZL68" s="401"/>
      <c r="UZM68" s="401"/>
      <c r="UZN68" s="401"/>
      <c r="UZO68" s="401"/>
      <c r="UZP68" s="401"/>
      <c r="UZQ68" s="401"/>
      <c r="UZR68" s="401"/>
      <c r="UZS68" s="401"/>
      <c r="UZT68" s="401"/>
      <c r="UZU68" s="401"/>
      <c r="UZV68" s="401"/>
      <c r="UZW68" s="401"/>
      <c r="UZX68" s="401"/>
      <c r="UZY68" s="401"/>
      <c r="UZZ68" s="401"/>
      <c r="VAA68" s="401"/>
      <c r="VAB68" s="401"/>
      <c r="VAC68" s="401"/>
      <c r="VAD68" s="401"/>
      <c r="VAE68" s="401"/>
      <c r="VAF68" s="401"/>
      <c r="VAG68" s="401"/>
      <c r="VAH68" s="401"/>
      <c r="VAI68" s="401"/>
      <c r="VAJ68" s="401"/>
      <c r="VAK68" s="401"/>
      <c r="VAL68" s="401"/>
      <c r="VAM68" s="401"/>
      <c r="VAN68" s="401"/>
      <c r="VAO68" s="401"/>
      <c r="VAP68" s="401"/>
      <c r="VAQ68" s="401"/>
      <c r="VAR68" s="401"/>
      <c r="VAS68" s="401"/>
      <c r="VAT68" s="401"/>
      <c r="VAU68" s="401"/>
      <c r="VAV68" s="401"/>
      <c r="VAW68" s="401"/>
      <c r="VAX68" s="401"/>
      <c r="VAY68" s="401"/>
      <c r="VAZ68" s="401"/>
      <c r="VBA68" s="401"/>
      <c r="VBB68" s="401"/>
      <c r="VBC68" s="401"/>
      <c r="VBD68" s="401"/>
      <c r="VBE68" s="401"/>
      <c r="VBF68" s="401"/>
      <c r="VBG68" s="401"/>
      <c r="VBH68" s="401"/>
      <c r="VBI68" s="401"/>
      <c r="VBJ68" s="401"/>
      <c r="VBK68" s="401"/>
      <c r="VBL68" s="401"/>
      <c r="VBM68" s="401"/>
      <c r="VBN68" s="401"/>
      <c r="VBO68" s="401"/>
      <c r="VBP68" s="401"/>
      <c r="VBQ68" s="401"/>
      <c r="VBR68" s="401"/>
      <c r="VBS68" s="401"/>
      <c r="VBT68" s="401"/>
      <c r="VBU68" s="401"/>
      <c r="VBV68" s="401"/>
      <c r="VBW68" s="401"/>
      <c r="VBX68" s="401"/>
      <c r="VBY68" s="401"/>
      <c r="VBZ68" s="401"/>
      <c r="VCA68" s="401"/>
      <c r="VCB68" s="401"/>
      <c r="VCC68" s="401"/>
      <c r="VCD68" s="401"/>
      <c r="VCE68" s="401"/>
      <c r="VCF68" s="401"/>
      <c r="VCG68" s="401"/>
      <c r="VCH68" s="401"/>
      <c r="VCI68" s="401"/>
      <c r="VCJ68" s="401"/>
      <c r="VCK68" s="401"/>
      <c r="VCL68" s="401"/>
      <c r="VCM68" s="401"/>
      <c r="VCN68" s="401"/>
      <c r="VCO68" s="401"/>
      <c r="VCP68" s="401"/>
      <c r="VCQ68" s="401"/>
      <c r="VCR68" s="401"/>
      <c r="VCS68" s="401"/>
      <c r="VCT68" s="401"/>
      <c r="VCU68" s="401"/>
      <c r="VCV68" s="401"/>
      <c r="VCW68" s="401"/>
      <c r="VCX68" s="401"/>
      <c r="VCY68" s="401"/>
      <c r="VCZ68" s="401"/>
      <c r="VDA68" s="401"/>
      <c r="VDB68" s="401"/>
      <c r="VDC68" s="401"/>
      <c r="VDD68" s="401"/>
      <c r="VDE68" s="401"/>
      <c r="VDF68" s="401"/>
      <c r="VDG68" s="401"/>
      <c r="VDH68" s="401"/>
      <c r="VDI68" s="401"/>
      <c r="VDJ68" s="401"/>
      <c r="VDK68" s="401"/>
      <c r="VDL68" s="401"/>
      <c r="VDM68" s="401"/>
      <c r="VDN68" s="401"/>
      <c r="VDO68" s="401"/>
      <c r="VDP68" s="401"/>
      <c r="VDQ68" s="401"/>
      <c r="VDR68" s="401"/>
      <c r="VDS68" s="401"/>
      <c r="VDT68" s="401"/>
      <c r="VDU68" s="401"/>
      <c r="VDV68" s="401"/>
      <c r="VDW68" s="401"/>
      <c r="VDX68" s="401"/>
      <c r="VDY68" s="401"/>
      <c r="VDZ68" s="401"/>
      <c r="VEA68" s="401"/>
      <c r="VEB68" s="401"/>
      <c r="VEC68" s="401"/>
      <c r="VED68" s="401"/>
      <c r="VEE68" s="401"/>
      <c r="VEF68" s="401"/>
      <c r="VEG68" s="401"/>
      <c r="VEH68" s="401"/>
      <c r="VEI68" s="401"/>
      <c r="VEJ68" s="401"/>
      <c r="VEK68" s="401"/>
      <c r="VEL68" s="401"/>
      <c r="VEM68" s="401"/>
      <c r="VEN68" s="401"/>
      <c r="VEO68" s="401"/>
      <c r="VEP68" s="401"/>
      <c r="VEQ68" s="401"/>
      <c r="VER68" s="401"/>
      <c r="VES68" s="401"/>
      <c r="VET68" s="401"/>
      <c r="VEU68" s="401"/>
      <c r="VEV68" s="401"/>
      <c r="VEW68" s="401"/>
      <c r="VEX68" s="401"/>
      <c r="VEY68" s="401"/>
      <c r="VEZ68" s="401"/>
      <c r="VFA68" s="401"/>
      <c r="VFB68" s="401"/>
      <c r="VFC68" s="401"/>
      <c r="VFD68" s="401"/>
      <c r="VFE68" s="401"/>
      <c r="VFF68" s="401"/>
      <c r="VFG68" s="401"/>
      <c r="VFH68" s="401"/>
      <c r="VFI68" s="401"/>
      <c r="VFJ68" s="401"/>
      <c r="VFK68" s="401"/>
      <c r="VFL68" s="401"/>
      <c r="VFM68" s="401"/>
      <c r="VFN68" s="401"/>
      <c r="VFO68" s="401"/>
      <c r="VFP68" s="401"/>
      <c r="VFQ68" s="401"/>
      <c r="VFR68" s="401"/>
      <c r="VFS68" s="401"/>
      <c r="VFT68" s="401"/>
      <c r="VFU68" s="401"/>
      <c r="VFV68" s="401"/>
      <c r="VFW68" s="401"/>
      <c r="VFX68" s="401"/>
      <c r="VFY68" s="401"/>
      <c r="VFZ68" s="401"/>
      <c r="VGA68" s="401"/>
      <c r="VGB68" s="401"/>
      <c r="VGC68" s="401"/>
      <c r="VGD68" s="401"/>
      <c r="VGE68" s="401"/>
      <c r="VGF68" s="401"/>
      <c r="VGG68" s="401"/>
      <c r="VGH68" s="401"/>
      <c r="VGI68" s="401"/>
      <c r="VGJ68" s="401"/>
      <c r="VGK68" s="401"/>
      <c r="VGL68" s="401"/>
      <c r="VGM68" s="401"/>
      <c r="VGN68" s="401"/>
      <c r="VGO68" s="401"/>
      <c r="VGP68" s="401"/>
      <c r="VGQ68" s="401"/>
      <c r="VGR68" s="401"/>
      <c r="VGS68" s="401"/>
      <c r="VGT68" s="401"/>
      <c r="VGU68" s="401"/>
      <c r="VGV68" s="401"/>
      <c r="VGW68" s="401"/>
      <c r="VGX68" s="401"/>
      <c r="VGY68" s="401"/>
      <c r="VGZ68" s="401"/>
      <c r="VHA68" s="401"/>
      <c r="VHB68" s="401"/>
      <c r="VHC68" s="401"/>
      <c r="VHD68" s="401"/>
      <c r="VHE68" s="401"/>
      <c r="VHF68" s="401"/>
      <c r="VHG68" s="401"/>
      <c r="VHH68" s="401"/>
      <c r="VHI68" s="401"/>
      <c r="VHJ68" s="401"/>
      <c r="VHK68" s="401"/>
      <c r="VHL68" s="401"/>
      <c r="VHM68" s="401"/>
      <c r="VHN68" s="401"/>
      <c r="VHO68" s="401"/>
      <c r="VHP68" s="401"/>
      <c r="VHQ68" s="401"/>
      <c r="VHR68" s="401"/>
      <c r="VHS68" s="401"/>
      <c r="VHT68" s="401"/>
      <c r="VHU68" s="401"/>
      <c r="VHV68" s="401"/>
      <c r="VHW68" s="401"/>
      <c r="VHX68" s="401"/>
      <c r="VHY68" s="401"/>
      <c r="VHZ68" s="401"/>
      <c r="VIA68" s="401"/>
      <c r="VIB68" s="401"/>
      <c r="VIC68" s="401"/>
      <c r="VID68" s="401"/>
      <c r="VIE68" s="401"/>
      <c r="VIF68" s="401"/>
      <c r="VIG68" s="401"/>
      <c r="VIH68" s="401"/>
      <c r="VII68" s="401"/>
      <c r="VIJ68" s="401"/>
      <c r="VIK68" s="401"/>
      <c r="VIL68" s="401"/>
      <c r="VIM68" s="401"/>
      <c r="VIN68" s="401"/>
      <c r="VIO68" s="401"/>
      <c r="VIP68" s="401"/>
      <c r="VIQ68" s="401"/>
      <c r="VIR68" s="401"/>
      <c r="VIS68" s="401"/>
      <c r="VIT68" s="401"/>
      <c r="VIU68" s="401"/>
      <c r="VIV68" s="401"/>
      <c r="VIW68" s="401"/>
      <c r="VIX68" s="401"/>
      <c r="VIY68" s="401"/>
      <c r="VIZ68" s="401"/>
      <c r="VJA68" s="401"/>
      <c r="VJB68" s="401"/>
      <c r="VJC68" s="401"/>
      <c r="VJD68" s="401"/>
      <c r="VJE68" s="401"/>
      <c r="VJF68" s="401"/>
      <c r="VJG68" s="401"/>
      <c r="VJH68" s="401"/>
      <c r="VJI68" s="401"/>
      <c r="VJJ68" s="401"/>
      <c r="VJK68" s="401"/>
      <c r="VJL68" s="401"/>
      <c r="VJM68" s="401"/>
      <c r="VJN68" s="401"/>
      <c r="VJO68" s="401"/>
      <c r="VJP68" s="401"/>
      <c r="VJQ68" s="401"/>
      <c r="VJR68" s="401"/>
      <c r="VJS68" s="401"/>
      <c r="VJT68" s="401"/>
      <c r="VJU68" s="401"/>
      <c r="VJV68" s="401"/>
      <c r="VJW68" s="401"/>
      <c r="VJX68" s="401"/>
      <c r="VJY68" s="401"/>
      <c r="VJZ68" s="401"/>
      <c r="VKA68" s="401"/>
      <c r="VKB68" s="401"/>
      <c r="VKC68" s="401"/>
      <c r="VKD68" s="401"/>
      <c r="VKE68" s="401"/>
      <c r="VKF68" s="401"/>
      <c r="VKG68" s="401"/>
      <c r="VKH68" s="401"/>
      <c r="VKI68" s="401"/>
      <c r="VKJ68" s="401"/>
      <c r="VKK68" s="401"/>
      <c r="VKL68" s="401"/>
      <c r="VKM68" s="401"/>
      <c r="VKN68" s="401"/>
      <c r="VKO68" s="401"/>
      <c r="VKP68" s="401"/>
      <c r="VKQ68" s="401"/>
      <c r="VKR68" s="401"/>
      <c r="VKS68" s="401"/>
      <c r="VKT68" s="401"/>
      <c r="VKU68" s="401"/>
      <c r="VKV68" s="401"/>
      <c r="VKW68" s="401"/>
      <c r="VKX68" s="401"/>
      <c r="VKY68" s="401"/>
      <c r="VKZ68" s="401"/>
      <c r="VLA68" s="401"/>
      <c r="VLB68" s="401"/>
      <c r="VLC68" s="401"/>
      <c r="VLD68" s="401"/>
      <c r="VLE68" s="401"/>
      <c r="VLF68" s="401"/>
      <c r="VLG68" s="401"/>
      <c r="VLH68" s="401"/>
      <c r="VLI68" s="401"/>
      <c r="VLJ68" s="401"/>
      <c r="VLK68" s="401"/>
      <c r="VLL68" s="401"/>
      <c r="VLM68" s="401"/>
      <c r="VLN68" s="401"/>
      <c r="VLO68" s="401"/>
      <c r="VLP68" s="401"/>
      <c r="VLQ68" s="401"/>
      <c r="VLR68" s="401"/>
      <c r="VLS68" s="401"/>
      <c r="VLT68" s="401"/>
      <c r="VLU68" s="401"/>
      <c r="VLV68" s="401"/>
      <c r="VLW68" s="401"/>
      <c r="VLX68" s="401"/>
      <c r="VLY68" s="401"/>
      <c r="VLZ68" s="401"/>
      <c r="VMA68" s="401"/>
      <c r="VMB68" s="401"/>
      <c r="VMC68" s="401"/>
      <c r="VMD68" s="401"/>
      <c r="VME68" s="401"/>
      <c r="VMF68" s="401"/>
      <c r="VMG68" s="401"/>
      <c r="VMH68" s="401"/>
      <c r="VMI68" s="401"/>
      <c r="VMJ68" s="401"/>
      <c r="VMK68" s="401"/>
      <c r="VML68" s="401"/>
      <c r="VMM68" s="401"/>
      <c r="VMN68" s="401"/>
      <c r="VMO68" s="401"/>
      <c r="VMP68" s="401"/>
      <c r="VMQ68" s="401"/>
      <c r="VMR68" s="401"/>
      <c r="VMS68" s="401"/>
      <c r="VMT68" s="401"/>
      <c r="VMU68" s="401"/>
      <c r="VMV68" s="401"/>
      <c r="VMW68" s="401"/>
      <c r="VMX68" s="401"/>
      <c r="VMY68" s="401"/>
      <c r="VMZ68" s="401"/>
      <c r="VNA68" s="401"/>
      <c r="VNB68" s="401"/>
      <c r="VNC68" s="401"/>
      <c r="VND68" s="401"/>
      <c r="VNE68" s="401"/>
      <c r="VNF68" s="401"/>
      <c r="VNG68" s="401"/>
      <c r="VNH68" s="401"/>
      <c r="VNI68" s="401"/>
      <c r="VNJ68" s="401"/>
      <c r="VNK68" s="401"/>
      <c r="VNL68" s="401"/>
      <c r="VNM68" s="401"/>
      <c r="VNN68" s="401"/>
      <c r="VNO68" s="401"/>
      <c r="VNP68" s="401"/>
      <c r="VNQ68" s="401"/>
      <c r="VNR68" s="401"/>
      <c r="VNS68" s="401"/>
      <c r="VNT68" s="401"/>
      <c r="VNU68" s="401"/>
      <c r="VNV68" s="401"/>
      <c r="VNW68" s="401"/>
      <c r="VNX68" s="401"/>
      <c r="VNY68" s="401"/>
      <c r="VNZ68" s="401"/>
      <c r="VOA68" s="401"/>
      <c r="VOB68" s="401"/>
      <c r="VOC68" s="401"/>
      <c r="VOD68" s="401"/>
      <c r="VOE68" s="401"/>
      <c r="VOF68" s="401"/>
      <c r="VOG68" s="401"/>
      <c r="VOH68" s="401"/>
      <c r="VOI68" s="401"/>
      <c r="VOJ68" s="401"/>
      <c r="VOK68" s="401"/>
      <c r="VOL68" s="401"/>
      <c r="VOM68" s="401"/>
      <c r="VON68" s="401"/>
      <c r="VOO68" s="401"/>
      <c r="VOP68" s="401"/>
      <c r="VOQ68" s="401"/>
      <c r="VOR68" s="401"/>
      <c r="VOS68" s="401"/>
      <c r="VOT68" s="401"/>
      <c r="VOU68" s="401"/>
      <c r="VOV68" s="401"/>
      <c r="VOW68" s="401"/>
      <c r="VOX68" s="401"/>
      <c r="VOY68" s="401"/>
      <c r="VOZ68" s="401"/>
      <c r="VPA68" s="401"/>
      <c r="VPB68" s="401"/>
      <c r="VPC68" s="401"/>
      <c r="VPD68" s="401"/>
      <c r="VPE68" s="401"/>
      <c r="VPF68" s="401"/>
      <c r="VPG68" s="401"/>
      <c r="VPH68" s="401"/>
      <c r="VPI68" s="401"/>
      <c r="VPJ68" s="401"/>
      <c r="VPK68" s="401"/>
      <c r="VPL68" s="401"/>
      <c r="VPM68" s="401"/>
      <c r="VPN68" s="401"/>
      <c r="VPO68" s="401"/>
      <c r="VPP68" s="401"/>
      <c r="VPQ68" s="401"/>
      <c r="VPR68" s="401"/>
      <c r="VPS68" s="401"/>
      <c r="VPT68" s="401"/>
      <c r="VPU68" s="401"/>
      <c r="VPV68" s="401"/>
      <c r="VPW68" s="401"/>
      <c r="VPX68" s="401"/>
      <c r="VPY68" s="401"/>
      <c r="VPZ68" s="401"/>
      <c r="VQA68" s="401"/>
      <c r="VQB68" s="401"/>
      <c r="VQC68" s="401"/>
      <c r="VQD68" s="401"/>
      <c r="VQE68" s="401"/>
      <c r="VQF68" s="401"/>
      <c r="VQG68" s="401"/>
      <c r="VQH68" s="401"/>
      <c r="VQI68" s="401"/>
      <c r="VQJ68" s="401"/>
      <c r="VQK68" s="401"/>
      <c r="VQL68" s="401"/>
      <c r="VQM68" s="401"/>
      <c r="VQN68" s="401"/>
      <c r="VQO68" s="401"/>
      <c r="VQP68" s="401"/>
      <c r="VQQ68" s="401"/>
      <c r="VQR68" s="401"/>
      <c r="VQS68" s="401"/>
      <c r="VQT68" s="401"/>
      <c r="VQU68" s="401"/>
      <c r="VQV68" s="401"/>
      <c r="VQW68" s="401"/>
      <c r="VQX68" s="401"/>
      <c r="VQY68" s="401"/>
      <c r="VQZ68" s="401"/>
      <c r="VRA68" s="401"/>
      <c r="VRB68" s="401"/>
      <c r="VRC68" s="401"/>
      <c r="VRD68" s="401"/>
      <c r="VRE68" s="401"/>
      <c r="VRF68" s="401"/>
      <c r="VRG68" s="401"/>
      <c r="VRH68" s="401"/>
      <c r="VRI68" s="401"/>
      <c r="VRJ68" s="401"/>
      <c r="VRK68" s="401"/>
      <c r="VRL68" s="401"/>
      <c r="VRM68" s="401"/>
      <c r="VRN68" s="401"/>
      <c r="VRO68" s="401"/>
      <c r="VRP68" s="401"/>
      <c r="VRQ68" s="401"/>
      <c r="VRR68" s="401"/>
      <c r="VRS68" s="401"/>
      <c r="VRT68" s="401"/>
      <c r="VRU68" s="401"/>
      <c r="VRV68" s="401"/>
      <c r="VRW68" s="401"/>
      <c r="VRX68" s="401"/>
      <c r="VRY68" s="401"/>
      <c r="VRZ68" s="401"/>
      <c r="VSA68" s="401"/>
      <c r="VSB68" s="401"/>
      <c r="VSC68" s="401"/>
      <c r="VSD68" s="401"/>
      <c r="VSE68" s="401"/>
      <c r="VSF68" s="401"/>
      <c r="VSG68" s="401"/>
      <c r="VSH68" s="401"/>
      <c r="VSI68" s="401"/>
      <c r="VSJ68" s="401"/>
      <c r="VSK68" s="401"/>
      <c r="VSL68" s="401"/>
      <c r="VSM68" s="401"/>
      <c r="VSN68" s="401"/>
      <c r="VSO68" s="401"/>
      <c r="VSP68" s="401"/>
      <c r="VSQ68" s="401"/>
      <c r="VSR68" s="401"/>
      <c r="VSS68" s="401"/>
      <c r="VST68" s="401"/>
      <c r="VSU68" s="401"/>
      <c r="VSV68" s="401"/>
      <c r="VSW68" s="401"/>
      <c r="VSX68" s="401"/>
      <c r="VSY68" s="401"/>
      <c r="VSZ68" s="401"/>
      <c r="VTA68" s="401"/>
      <c r="VTB68" s="401"/>
      <c r="VTC68" s="401"/>
      <c r="VTD68" s="401"/>
      <c r="VTE68" s="401"/>
      <c r="VTF68" s="401"/>
      <c r="VTG68" s="401"/>
      <c r="VTH68" s="401"/>
      <c r="VTI68" s="401"/>
      <c r="VTJ68" s="401"/>
      <c r="VTK68" s="401"/>
      <c r="VTL68" s="401"/>
      <c r="VTM68" s="401"/>
      <c r="VTN68" s="401"/>
      <c r="VTO68" s="401"/>
      <c r="VTP68" s="401"/>
      <c r="VTQ68" s="401"/>
      <c r="VTR68" s="401"/>
      <c r="VTS68" s="401"/>
      <c r="VTT68" s="401"/>
      <c r="VTU68" s="401"/>
      <c r="VTV68" s="401"/>
      <c r="VTW68" s="401"/>
      <c r="VTX68" s="401"/>
      <c r="VTY68" s="401"/>
      <c r="VTZ68" s="401"/>
      <c r="VUA68" s="401"/>
      <c r="VUB68" s="401"/>
      <c r="VUC68" s="401"/>
      <c r="VUD68" s="401"/>
      <c r="VUE68" s="401"/>
      <c r="VUF68" s="401"/>
      <c r="VUG68" s="401"/>
      <c r="VUH68" s="401"/>
      <c r="VUI68" s="401"/>
      <c r="VUJ68" s="401"/>
      <c r="VUK68" s="401"/>
      <c r="VUL68" s="401"/>
      <c r="VUM68" s="401"/>
      <c r="VUN68" s="401"/>
      <c r="VUO68" s="401"/>
      <c r="VUP68" s="401"/>
      <c r="VUQ68" s="401"/>
      <c r="VUR68" s="401"/>
      <c r="VUS68" s="401"/>
      <c r="VUT68" s="401"/>
      <c r="VUU68" s="401"/>
      <c r="VUV68" s="401"/>
      <c r="VUW68" s="401"/>
      <c r="VUX68" s="401"/>
      <c r="VUY68" s="401"/>
      <c r="VUZ68" s="401"/>
      <c r="VVA68" s="401"/>
      <c r="VVB68" s="401"/>
      <c r="VVC68" s="401"/>
      <c r="VVD68" s="401"/>
      <c r="VVE68" s="401"/>
      <c r="VVF68" s="401"/>
      <c r="VVG68" s="401"/>
      <c r="VVH68" s="401"/>
      <c r="VVI68" s="401"/>
      <c r="VVJ68" s="401"/>
      <c r="VVK68" s="401"/>
      <c r="VVL68" s="401"/>
      <c r="VVM68" s="401"/>
      <c r="VVN68" s="401"/>
      <c r="VVO68" s="401"/>
      <c r="VVP68" s="401"/>
      <c r="VVQ68" s="401"/>
      <c r="VVR68" s="401"/>
      <c r="VVS68" s="401"/>
      <c r="VVT68" s="401"/>
      <c r="VVU68" s="401"/>
      <c r="VVV68" s="401"/>
      <c r="VVW68" s="401"/>
      <c r="VVX68" s="401"/>
      <c r="VVY68" s="401"/>
      <c r="VVZ68" s="401"/>
      <c r="VWA68" s="401"/>
      <c r="VWB68" s="401"/>
      <c r="VWC68" s="401"/>
      <c r="VWD68" s="401"/>
      <c r="VWE68" s="401"/>
      <c r="VWF68" s="401"/>
      <c r="VWG68" s="401"/>
      <c r="VWH68" s="401"/>
      <c r="VWI68" s="401"/>
      <c r="VWJ68" s="401"/>
      <c r="VWK68" s="401"/>
      <c r="VWL68" s="401"/>
      <c r="VWM68" s="401"/>
      <c r="VWN68" s="401"/>
      <c r="VWO68" s="401"/>
      <c r="VWP68" s="401"/>
      <c r="VWQ68" s="401"/>
      <c r="VWR68" s="401"/>
      <c r="VWS68" s="401"/>
      <c r="VWT68" s="401"/>
      <c r="VWU68" s="401"/>
      <c r="VWV68" s="401"/>
      <c r="VWW68" s="401"/>
      <c r="VWX68" s="401"/>
      <c r="VWY68" s="401"/>
      <c r="VWZ68" s="401"/>
      <c r="VXA68" s="401"/>
      <c r="VXB68" s="401"/>
      <c r="VXC68" s="401"/>
      <c r="VXD68" s="401"/>
      <c r="VXE68" s="401"/>
      <c r="VXF68" s="401"/>
      <c r="VXG68" s="401"/>
      <c r="VXH68" s="401"/>
      <c r="VXI68" s="401"/>
      <c r="VXJ68" s="401"/>
      <c r="VXK68" s="401"/>
      <c r="VXL68" s="401"/>
      <c r="VXM68" s="401"/>
      <c r="VXN68" s="401"/>
      <c r="VXO68" s="401"/>
      <c r="VXP68" s="401"/>
      <c r="VXQ68" s="401"/>
      <c r="VXR68" s="401"/>
      <c r="VXS68" s="401"/>
      <c r="VXT68" s="401"/>
      <c r="VXU68" s="401"/>
      <c r="VXV68" s="401"/>
      <c r="VXW68" s="401"/>
      <c r="VXX68" s="401"/>
      <c r="VXY68" s="401"/>
      <c r="VXZ68" s="401"/>
      <c r="VYA68" s="401"/>
      <c r="VYB68" s="401"/>
      <c r="VYC68" s="401"/>
      <c r="VYD68" s="401"/>
      <c r="VYE68" s="401"/>
      <c r="VYF68" s="401"/>
      <c r="VYG68" s="401"/>
      <c r="VYH68" s="401"/>
      <c r="VYI68" s="401"/>
      <c r="VYJ68" s="401"/>
      <c r="VYK68" s="401"/>
      <c r="VYL68" s="401"/>
      <c r="VYM68" s="401"/>
      <c r="VYN68" s="401"/>
      <c r="VYO68" s="401"/>
      <c r="VYP68" s="401"/>
      <c r="VYQ68" s="401"/>
      <c r="VYR68" s="401"/>
      <c r="VYS68" s="401"/>
      <c r="VYT68" s="401"/>
      <c r="VYU68" s="401"/>
      <c r="VYV68" s="401"/>
      <c r="VYW68" s="401"/>
      <c r="VYX68" s="401"/>
      <c r="VYY68" s="401"/>
      <c r="VYZ68" s="401"/>
      <c r="VZA68" s="401"/>
      <c r="VZB68" s="401"/>
      <c r="VZC68" s="401"/>
      <c r="VZD68" s="401"/>
      <c r="VZE68" s="401"/>
      <c r="VZF68" s="401"/>
      <c r="VZG68" s="401"/>
      <c r="VZH68" s="401"/>
      <c r="VZI68" s="401"/>
      <c r="VZJ68" s="401"/>
      <c r="VZK68" s="401"/>
      <c r="VZL68" s="401"/>
      <c r="VZM68" s="401"/>
      <c r="VZN68" s="401"/>
      <c r="VZO68" s="401"/>
      <c r="VZP68" s="401"/>
      <c r="VZQ68" s="401"/>
      <c r="VZR68" s="401"/>
      <c r="VZS68" s="401"/>
      <c r="VZT68" s="401"/>
      <c r="VZU68" s="401"/>
      <c r="VZV68" s="401"/>
      <c r="VZW68" s="401"/>
      <c r="VZX68" s="401"/>
      <c r="VZY68" s="401"/>
      <c r="VZZ68" s="401"/>
      <c r="WAA68" s="401"/>
      <c r="WAB68" s="401"/>
      <c r="WAC68" s="401"/>
      <c r="WAD68" s="401"/>
      <c r="WAE68" s="401"/>
      <c r="WAF68" s="401"/>
      <c r="WAG68" s="401"/>
      <c r="WAH68" s="401"/>
      <c r="WAI68" s="401"/>
      <c r="WAJ68" s="401"/>
      <c r="WAK68" s="401"/>
      <c r="WAL68" s="401"/>
      <c r="WAM68" s="401"/>
      <c r="WAN68" s="401"/>
      <c r="WAO68" s="401"/>
      <c r="WAP68" s="401"/>
      <c r="WAQ68" s="401"/>
      <c r="WAR68" s="401"/>
      <c r="WAS68" s="401"/>
      <c r="WAT68" s="401"/>
      <c r="WAU68" s="401"/>
      <c r="WAV68" s="401"/>
      <c r="WAW68" s="401"/>
      <c r="WAX68" s="401"/>
      <c r="WAY68" s="401"/>
      <c r="WAZ68" s="401"/>
      <c r="WBA68" s="401"/>
      <c r="WBB68" s="401"/>
      <c r="WBC68" s="401"/>
      <c r="WBD68" s="401"/>
      <c r="WBE68" s="401"/>
      <c r="WBF68" s="401"/>
      <c r="WBG68" s="401"/>
      <c r="WBH68" s="401"/>
      <c r="WBI68" s="401"/>
      <c r="WBJ68" s="401"/>
      <c r="WBK68" s="401"/>
      <c r="WBL68" s="401"/>
      <c r="WBM68" s="401"/>
      <c r="WBN68" s="401"/>
      <c r="WBO68" s="401"/>
      <c r="WBP68" s="401"/>
      <c r="WBQ68" s="401"/>
      <c r="WBR68" s="401"/>
      <c r="WBS68" s="401"/>
      <c r="WBT68" s="401"/>
      <c r="WBU68" s="401"/>
      <c r="WBV68" s="401"/>
      <c r="WBW68" s="401"/>
      <c r="WBX68" s="401"/>
      <c r="WBY68" s="401"/>
      <c r="WBZ68" s="401"/>
      <c r="WCA68" s="401"/>
      <c r="WCB68" s="401"/>
      <c r="WCC68" s="401"/>
      <c r="WCD68" s="401"/>
      <c r="WCE68" s="401"/>
      <c r="WCF68" s="401"/>
      <c r="WCG68" s="401"/>
      <c r="WCH68" s="401"/>
      <c r="WCI68" s="401"/>
      <c r="WCJ68" s="401"/>
      <c r="WCK68" s="401"/>
      <c r="WCL68" s="401"/>
      <c r="WCM68" s="401"/>
      <c r="WCN68" s="401"/>
      <c r="WCO68" s="401"/>
      <c r="WCP68" s="401"/>
      <c r="WCQ68" s="401"/>
      <c r="WCR68" s="401"/>
      <c r="WCS68" s="401"/>
      <c r="WCT68" s="401"/>
      <c r="WCU68" s="401"/>
      <c r="WCV68" s="401"/>
      <c r="WCW68" s="401"/>
      <c r="WCX68" s="401"/>
      <c r="WCY68" s="401"/>
      <c r="WCZ68" s="401"/>
      <c r="WDA68" s="401"/>
      <c r="WDB68" s="401"/>
      <c r="WDC68" s="401"/>
      <c r="WDD68" s="401"/>
      <c r="WDE68" s="401"/>
      <c r="WDF68" s="401"/>
      <c r="WDG68" s="401"/>
      <c r="WDH68" s="401"/>
      <c r="WDI68" s="401"/>
      <c r="WDJ68" s="401"/>
      <c r="WDK68" s="401"/>
      <c r="WDL68" s="401"/>
      <c r="WDM68" s="401"/>
      <c r="WDN68" s="401"/>
      <c r="WDO68" s="401"/>
      <c r="WDP68" s="401"/>
      <c r="WDQ68" s="401"/>
      <c r="WDR68" s="401"/>
      <c r="WDS68" s="401"/>
      <c r="WDT68" s="401"/>
      <c r="WDU68" s="401"/>
      <c r="WDV68" s="401"/>
      <c r="WDW68" s="401"/>
      <c r="WDX68" s="401"/>
      <c r="WDY68" s="401"/>
      <c r="WDZ68" s="401"/>
      <c r="WEA68" s="401"/>
      <c r="WEB68" s="401"/>
      <c r="WEC68" s="401"/>
      <c r="WED68" s="401"/>
      <c r="WEE68" s="401"/>
      <c r="WEF68" s="401"/>
      <c r="WEG68" s="401"/>
      <c r="WEH68" s="401"/>
      <c r="WEI68" s="401"/>
      <c r="WEJ68" s="401"/>
      <c r="WEK68" s="401"/>
      <c r="WEL68" s="401"/>
      <c r="WEM68" s="401"/>
      <c r="WEN68" s="401"/>
      <c r="WEO68" s="401"/>
      <c r="WEP68" s="401"/>
      <c r="WEQ68" s="401"/>
      <c r="WER68" s="401"/>
      <c r="WES68" s="401"/>
      <c r="WET68" s="401"/>
      <c r="WEU68" s="401"/>
      <c r="WEV68" s="401"/>
      <c r="WEW68" s="401"/>
      <c r="WEX68" s="401"/>
      <c r="WEY68" s="401"/>
      <c r="WEZ68" s="401"/>
      <c r="WFA68" s="401"/>
      <c r="WFB68" s="401"/>
      <c r="WFC68" s="401"/>
      <c r="WFD68" s="401"/>
      <c r="WFE68" s="401"/>
      <c r="WFF68" s="401"/>
      <c r="WFG68" s="401"/>
      <c r="WFH68" s="401"/>
      <c r="WFI68" s="401"/>
      <c r="WFJ68" s="401"/>
      <c r="WFK68" s="401"/>
      <c r="WFL68" s="401"/>
      <c r="WFM68" s="401"/>
      <c r="WFN68" s="401"/>
      <c r="WFO68" s="401"/>
      <c r="WFP68" s="401"/>
      <c r="WFQ68" s="401"/>
      <c r="WFR68" s="401"/>
      <c r="WFS68" s="401"/>
      <c r="WFT68" s="401"/>
      <c r="WFU68" s="401"/>
      <c r="WFV68" s="401"/>
      <c r="WFW68" s="401"/>
      <c r="WFX68" s="401"/>
      <c r="WFY68" s="401"/>
      <c r="WFZ68" s="401"/>
      <c r="WGA68" s="401"/>
      <c r="WGB68" s="401"/>
      <c r="WGC68" s="401"/>
      <c r="WGD68" s="401"/>
      <c r="WGE68" s="401"/>
      <c r="WGF68" s="401"/>
      <c r="WGG68" s="401"/>
      <c r="WGH68" s="401"/>
      <c r="WGI68" s="401"/>
      <c r="WGJ68" s="401"/>
      <c r="WGK68" s="401"/>
      <c r="WGL68" s="401"/>
      <c r="WGM68" s="401"/>
      <c r="WGN68" s="401"/>
      <c r="WGO68" s="401"/>
      <c r="WGP68" s="401"/>
      <c r="WGQ68" s="401"/>
      <c r="WGR68" s="401"/>
      <c r="WGS68" s="401"/>
      <c r="WGT68" s="401"/>
      <c r="WGU68" s="401"/>
      <c r="WGV68" s="401"/>
      <c r="WGW68" s="401"/>
      <c r="WGX68" s="401"/>
      <c r="WGY68" s="401"/>
      <c r="WGZ68" s="401"/>
      <c r="WHA68" s="401"/>
      <c r="WHB68" s="401"/>
      <c r="WHC68" s="401"/>
      <c r="WHD68" s="401"/>
      <c r="WHE68" s="401"/>
      <c r="WHF68" s="401"/>
      <c r="WHG68" s="401"/>
      <c r="WHH68" s="401"/>
      <c r="WHI68" s="401"/>
      <c r="WHJ68" s="401"/>
      <c r="WHK68" s="401"/>
      <c r="WHL68" s="401"/>
      <c r="WHM68" s="401"/>
      <c r="WHN68" s="401"/>
      <c r="WHO68" s="401"/>
      <c r="WHP68" s="401"/>
      <c r="WHQ68" s="401"/>
      <c r="WHR68" s="401"/>
      <c r="WHS68" s="401"/>
      <c r="WHT68" s="401"/>
      <c r="WHU68" s="401"/>
      <c r="WHV68" s="401"/>
      <c r="WHW68" s="401"/>
      <c r="WHX68" s="401"/>
      <c r="WHY68" s="401"/>
      <c r="WHZ68" s="401"/>
      <c r="WIA68" s="401"/>
      <c r="WIB68" s="401"/>
      <c r="WIC68" s="401"/>
      <c r="WID68" s="401"/>
      <c r="WIE68" s="401"/>
      <c r="WIF68" s="401"/>
      <c r="WIG68" s="401"/>
      <c r="WIH68" s="401"/>
      <c r="WII68" s="401"/>
      <c r="WIJ68" s="401"/>
      <c r="WIK68" s="401"/>
      <c r="WIL68" s="401"/>
      <c r="WIM68" s="401"/>
      <c r="WIN68" s="401"/>
      <c r="WIO68" s="401"/>
      <c r="WIP68" s="401"/>
      <c r="WIQ68" s="401"/>
      <c r="WIR68" s="401"/>
      <c r="WIS68" s="401"/>
      <c r="WIT68" s="401"/>
      <c r="WIU68" s="401"/>
      <c r="WIV68" s="401"/>
      <c r="WIW68" s="401"/>
      <c r="WIX68" s="401"/>
      <c r="WIY68" s="401"/>
      <c r="WIZ68" s="401"/>
      <c r="WJA68" s="401"/>
      <c r="WJB68" s="401"/>
      <c r="WJC68" s="401"/>
      <c r="WJD68" s="401"/>
      <c r="WJE68" s="401"/>
      <c r="WJF68" s="401"/>
      <c r="WJG68" s="401"/>
      <c r="WJH68" s="401"/>
      <c r="WJI68" s="401"/>
      <c r="WJJ68" s="401"/>
      <c r="WJK68" s="401"/>
      <c r="WJL68" s="401"/>
      <c r="WJM68" s="401"/>
      <c r="WJN68" s="401"/>
      <c r="WJO68" s="401"/>
      <c r="WJP68" s="401"/>
      <c r="WJQ68" s="401"/>
      <c r="WJR68" s="401"/>
      <c r="WJS68" s="401"/>
      <c r="WJT68" s="401"/>
      <c r="WJU68" s="401"/>
      <c r="WJV68" s="401"/>
      <c r="WJW68" s="401"/>
      <c r="WJX68" s="401"/>
      <c r="WJY68" s="401"/>
      <c r="WJZ68" s="401"/>
      <c r="WKA68" s="401"/>
      <c r="WKB68" s="401"/>
      <c r="WKC68" s="401"/>
      <c r="WKD68" s="401"/>
      <c r="WKE68" s="401"/>
      <c r="WKF68" s="401"/>
      <c r="WKG68" s="401"/>
      <c r="WKH68" s="401"/>
      <c r="WKI68" s="401"/>
      <c r="WKJ68" s="401"/>
      <c r="WKK68" s="401"/>
      <c r="WKL68" s="401"/>
      <c r="WKM68" s="401"/>
      <c r="WKN68" s="401"/>
      <c r="WKO68" s="401"/>
      <c r="WKP68" s="401"/>
      <c r="WKQ68" s="401"/>
      <c r="WKR68" s="401"/>
      <c r="WKS68" s="401"/>
      <c r="WKT68" s="401"/>
      <c r="WKU68" s="401"/>
      <c r="WKV68" s="401"/>
      <c r="WKW68" s="401"/>
      <c r="WKX68" s="401"/>
      <c r="WKY68" s="401"/>
      <c r="WKZ68" s="401"/>
      <c r="WLA68" s="401"/>
      <c r="WLB68" s="401"/>
      <c r="WLC68" s="401"/>
      <c r="WLD68" s="401"/>
      <c r="WLE68" s="401"/>
      <c r="WLF68" s="401"/>
      <c r="WLG68" s="401"/>
      <c r="WLH68" s="401"/>
      <c r="WLI68" s="401"/>
      <c r="WLJ68" s="401"/>
      <c r="WLK68" s="401"/>
      <c r="WLL68" s="401"/>
      <c r="WLM68" s="401"/>
      <c r="WLN68" s="401"/>
      <c r="WLO68" s="401"/>
      <c r="WLP68" s="401"/>
      <c r="WLQ68" s="401"/>
      <c r="WLR68" s="401"/>
      <c r="WLS68" s="401"/>
      <c r="WLT68" s="401"/>
      <c r="WLU68" s="401"/>
      <c r="WLV68" s="401"/>
      <c r="WLW68" s="401"/>
      <c r="WLX68" s="401"/>
      <c r="WLY68" s="401"/>
      <c r="WLZ68" s="401"/>
      <c r="WMA68" s="401"/>
      <c r="WMB68" s="401"/>
      <c r="WMC68" s="401"/>
      <c r="WMD68" s="401"/>
      <c r="WME68" s="401"/>
      <c r="WMF68" s="401"/>
      <c r="WMG68" s="401"/>
      <c r="WMH68" s="401"/>
      <c r="WMI68" s="401"/>
      <c r="WMJ68" s="401"/>
      <c r="WMK68" s="401"/>
      <c r="WML68" s="401"/>
      <c r="WMM68" s="401"/>
      <c r="WMN68" s="401"/>
      <c r="WMO68" s="401"/>
      <c r="WMP68" s="401"/>
      <c r="WMQ68" s="401"/>
      <c r="WMR68" s="401"/>
      <c r="WMS68" s="401"/>
      <c r="WMT68" s="401"/>
      <c r="WMU68" s="401"/>
      <c r="WMV68" s="401"/>
      <c r="WMW68" s="401"/>
      <c r="WMX68" s="401"/>
      <c r="WMY68" s="401"/>
      <c r="WMZ68" s="401"/>
      <c r="WNA68" s="401"/>
      <c r="WNB68" s="401"/>
      <c r="WNC68" s="401"/>
      <c r="WND68" s="401"/>
      <c r="WNE68" s="401"/>
      <c r="WNF68" s="401"/>
      <c r="WNG68" s="401"/>
      <c r="WNH68" s="401"/>
      <c r="WNI68" s="401"/>
      <c r="WNJ68" s="401"/>
      <c r="WNK68" s="401"/>
      <c r="WNL68" s="401"/>
      <c r="WNM68" s="401"/>
      <c r="WNN68" s="401"/>
      <c r="WNO68" s="401"/>
      <c r="WNP68" s="401"/>
      <c r="WNQ68" s="401"/>
      <c r="WNR68" s="401"/>
      <c r="WNS68" s="401"/>
      <c r="WNT68" s="401"/>
      <c r="WNU68" s="401"/>
      <c r="WNV68" s="401"/>
      <c r="WNW68" s="401"/>
      <c r="WNX68" s="401"/>
      <c r="WNY68" s="401"/>
      <c r="WNZ68" s="401"/>
      <c r="WOA68" s="401"/>
      <c r="WOB68" s="401"/>
      <c r="WOC68" s="401"/>
      <c r="WOD68" s="401"/>
      <c r="WOE68" s="401"/>
      <c r="WOF68" s="401"/>
      <c r="WOG68" s="401"/>
      <c r="WOH68" s="401"/>
      <c r="WOI68" s="401"/>
      <c r="WOJ68" s="401"/>
      <c r="WOK68" s="401"/>
      <c r="WOL68" s="401"/>
      <c r="WOM68" s="401"/>
      <c r="WON68" s="401"/>
      <c r="WOO68" s="401"/>
      <c r="WOP68" s="401"/>
      <c r="WOQ68" s="401"/>
      <c r="WOR68" s="401"/>
      <c r="WOS68" s="401"/>
      <c r="WOT68" s="401"/>
      <c r="WOU68" s="401"/>
      <c r="WOV68" s="401"/>
      <c r="WOW68" s="401"/>
      <c r="WOX68" s="401"/>
      <c r="WOY68" s="401"/>
      <c r="WOZ68" s="401"/>
      <c r="WPA68" s="401"/>
      <c r="WPB68" s="401"/>
      <c r="WPC68" s="401"/>
      <c r="WPD68" s="401"/>
      <c r="WPE68" s="401"/>
      <c r="WPF68" s="401"/>
      <c r="WPG68" s="401"/>
      <c r="WPH68" s="401"/>
      <c r="WPI68" s="401"/>
      <c r="WPJ68" s="401"/>
      <c r="WPK68" s="401"/>
      <c r="WPL68" s="401"/>
      <c r="WPM68" s="401"/>
      <c r="WPN68" s="401"/>
      <c r="WPO68" s="401"/>
      <c r="WPP68" s="401"/>
      <c r="WPQ68" s="401"/>
      <c r="WPR68" s="401"/>
      <c r="WPS68" s="401"/>
      <c r="WPT68" s="401"/>
      <c r="WPU68" s="401"/>
      <c r="WPV68" s="401"/>
      <c r="WPW68" s="401"/>
      <c r="WPX68" s="401"/>
      <c r="WPY68" s="401"/>
      <c r="WPZ68" s="401"/>
      <c r="WQA68" s="401"/>
      <c r="WQB68" s="401"/>
      <c r="WQC68" s="401"/>
      <c r="WQD68" s="401"/>
      <c r="WQE68" s="401"/>
      <c r="WQF68" s="401"/>
      <c r="WQG68" s="401"/>
      <c r="WQH68" s="401"/>
      <c r="WQI68" s="401"/>
      <c r="WQJ68" s="401"/>
      <c r="WQK68" s="401"/>
      <c r="WQL68" s="401"/>
      <c r="WQM68" s="401"/>
      <c r="WQN68" s="401"/>
      <c r="WQO68" s="401"/>
      <c r="WQP68" s="401"/>
      <c r="WQQ68" s="401"/>
      <c r="WQR68" s="401"/>
      <c r="WQS68" s="401"/>
      <c r="WQT68" s="401"/>
      <c r="WQU68" s="401"/>
      <c r="WQV68" s="401"/>
      <c r="WQW68" s="401"/>
      <c r="WQX68" s="401"/>
      <c r="WQY68" s="401"/>
      <c r="WQZ68" s="401"/>
      <c r="WRA68" s="401"/>
      <c r="WRB68" s="401"/>
      <c r="WRC68" s="401"/>
      <c r="WRD68" s="401"/>
      <c r="WRE68" s="401"/>
      <c r="WRF68" s="401"/>
      <c r="WRG68" s="401"/>
      <c r="WRH68" s="401"/>
      <c r="WRI68" s="401"/>
      <c r="WRJ68" s="401"/>
      <c r="WRK68" s="401"/>
      <c r="WRL68" s="401"/>
      <c r="WRM68" s="401"/>
      <c r="WRN68" s="401"/>
      <c r="WRO68" s="401"/>
      <c r="WRP68" s="401"/>
      <c r="WRQ68" s="401"/>
      <c r="WRR68" s="401"/>
      <c r="WRS68" s="401"/>
      <c r="WRT68" s="401"/>
      <c r="WRU68" s="401"/>
      <c r="WRV68" s="401"/>
      <c r="WRW68" s="401"/>
      <c r="WRX68" s="401"/>
      <c r="WRY68" s="401"/>
      <c r="WRZ68" s="401"/>
      <c r="WSA68" s="401"/>
      <c r="WSB68" s="401"/>
      <c r="WSC68" s="401"/>
      <c r="WSD68" s="401"/>
      <c r="WSE68" s="401"/>
      <c r="WSF68" s="401"/>
      <c r="WSG68" s="401"/>
      <c r="WSH68" s="401"/>
      <c r="WSI68" s="401"/>
      <c r="WSJ68" s="401"/>
      <c r="WSK68" s="401"/>
      <c r="WSL68" s="401"/>
      <c r="WSM68" s="401"/>
      <c r="WSN68" s="401"/>
      <c r="WSO68" s="401"/>
      <c r="WSP68" s="401"/>
      <c r="WSQ68" s="401"/>
      <c r="WSR68" s="401"/>
      <c r="WSS68" s="401"/>
      <c r="WST68" s="401"/>
      <c r="WSU68" s="401"/>
      <c r="WSV68" s="401"/>
      <c r="WSW68" s="401"/>
      <c r="WSX68" s="401"/>
      <c r="WSY68" s="401"/>
      <c r="WSZ68" s="401"/>
      <c r="WTA68" s="401"/>
      <c r="WTB68" s="401"/>
      <c r="WTC68" s="401"/>
      <c r="WTD68" s="401"/>
      <c r="WTE68" s="401"/>
      <c r="WTF68" s="401"/>
      <c r="WTG68" s="401"/>
      <c r="WTH68" s="401"/>
      <c r="WTI68" s="401"/>
      <c r="WTJ68" s="401"/>
      <c r="WTK68" s="401"/>
      <c r="WTL68" s="401"/>
      <c r="WTM68" s="401"/>
      <c r="WTN68" s="401"/>
      <c r="WTO68" s="401"/>
      <c r="WTP68" s="401"/>
      <c r="WTQ68" s="401"/>
      <c r="WTR68" s="401"/>
      <c r="WTS68" s="401"/>
      <c r="WTT68" s="401"/>
      <c r="WTU68" s="401"/>
      <c r="WTV68" s="401"/>
      <c r="WTW68" s="401"/>
      <c r="WTX68" s="401"/>
      <c r="WTY68" s="401"/>
      <c r="WTZ68" s="401"/>
      <c r="WUA68" s="401"/>
      <c r="WUB68" s="401"/>
      <c r="WUC68" s="401"/>
      <c r="WUD68" s="401"/>
      <c r="WUE68" s="401"/>
      <c r="WUF68" s="401"/>
      <c r="WUG68" s="401"/>
      <c r="WUH68" s="401"/>
      <c r="WUI68" s="401"/>
      <c r="WUJ68" s="401"/>
      <c r="WUK68" s="401"/>
      <c r="WUL68" s="401"/>
      <c r="WUM68" s="401"/>
      <c r="WUN68" s="401"/>
      <c r="WUO68" s="401"/>
      <c r="WUP68" s="401"/>
      <c r="WUQ68" s="401"/>
      <c r="WUR68" s="401"/>
      <c r="WUS68" s="401"/>
      <c r="WUT68" s="401"/>
      <c r="WUU68" s="401"/>
      <c r="WUV68" s="401"/>
      <c r="WUW68" s="401"/>
      <c r="WUX68" s="401"/>
      <c r="WUY68" s="401"/>
      <c r="WUZ68" s="401"/>
      <c r="WVA68" s="401"/>
      <c r="WVB68" s="401"/>
      <c r="WVC68" s="401"/>
      <c r="WVD68" s="401"/>
      <c r="WVE68" s="401"/>
      <c r="WVF68" s="401"/>
      <c r="WVG68" s="401"/>
      <c r="WVH68" s="401"/>
      <c r="WVI68" s="401"/>
      <c r="WVJ68" s="401"/>
      <c r="WVK68" s="401"/>
      <c r="WVL68" s="401"/>
      <c r="WVM68" s="401"/>
      <c r="WVN68" s="401"/>
      <c r="WVO68" s="401"/>
      <c r="WVP68" s="401"/>
      <c r="WVQ68" s="401"/>
      <c r="WVR68" s="401"/>
      <c r="WVS68" s="401"/>
      <c r="WVT68" s="401"/>
      <c r="WVU68" s="401"/>
      <c r="WVV68" s="401"/>
      <c r="WVW68" s="401"/>
      <c r="WVX68" s="401"/>
      <c r="WVY68" s="401"/>
      <c r="WVZ68" s="401"/>
      <c r="WWA68" s="401"/>
      <c r="WWB68" s="401"/>
      <c r="WWC68" s="401"/>
      <c r="WWD68" s="401"/>
      <c r="WWE68" s="401"/>
      <c r="WWF68" s="401"/>
      <c r="WWG68" s="401"/>
      <c r="WWH68" s="401"/>
      <c r="WWI68" s="401"/>
      <c r="WWJ68" s="401"/>
      <c r="WWK68" s="401"/>
      <c r="WWL68" s="401"/>
      <c r="WWM68" s="401"/>
      <c r="WWN68" s="401"/>
      <c r="WWO68" s="401"/>
      <c r="WWP68" s="401"/>
      <c r="WWQ68" s="401"/>
      <c r="WWR68" s="401"/>
      <c r="WWS68" s="401"/>
      <c r="WWT68" s="401"/>
      <c r="WWU68" s="401"/>
      <c r="WWV68" s="401"/>
      <c r="WWW68" s="401"/>
      <c r="WWX68" s="401"/>
      <c r="WWY68" s="401"/>
      <c r="WWZ68" s="401"/>
      <c r="WXA68" s="401"/>
      <c r="WXB68" s="401"/>
      <c r="WXC68" s="401"/>
      <c r="WXD68" s="401"/>
      <c r="WXE68" s="401"/>
      <c r="WXF68" s="401"/>
      <c r="WXG68" s="401"/>
      <c r="WXH68" s="401"/>
      <c r="WXI68" s="401"/>
      <c r="WXJ68" s="401"/>
      <c r="WXK68" s="401"/>
      <c r="WXL68" s="401"/>
      <c r="WXM68" s="401"/>
      <c r="WXN68" s="401"/>
      <c r="WXO68" s="401"/>
      <c r="WXP68" s="401"/>
      <c r="WXQ68" s="401"/>
      <c r="WXR68" s="401"/>
      <c r="WXS68" s="401"/>
      <c r="WXT68" s="401"/>
      <c r="WXU68" s="401"/>
      <c r="WXV68" s="401"/>
      <c r="WXW68" s="401"/>
      <c r="WXX68" s="401"/>
      <c r="WXY68" s="401"/>
      <c r="WXZ68" s="401"/>
      <c r="WYA68" s="401"/>
      <c r="WYB68" s="401"/>
      <c r="WYC68" s="401"/>
      <c r="WYD68" s="401"/>
      <c r="WYE68" s="401"/>
      <c r="WYF68" s="401"/>
      <c r="WYG68" s="401"/>
      <c r="WYH68" s="401"/>
      <c r="WYI68" s="401"/>
      <c r="WYJ68" s="401"/>
      <c r="WYK68" s="401"/>
      <c r="WYL68" s="401"/>
      <c r="WYM68" s="401"/>
      <c r="WYN68" s="401"/>
      <c r="WYO68" s="401"/>
      <c r="WYP68" s="401"/>
      <c r="WYQ68" s="401"/>
      <c r="WYR68" s="401"/>
      <c r="WYS68" s="401"/>
      <c r="WYT68" s="401"/>
      <c r="WYU68" s="401"/>
      <c r="WYV68" s="401"/>
      <c r="WYW68" s="401"/>
      <c r="WYX68" s="401"/>
      <c r="WYY68" s="401"/>
      <c r="WYZ68" s="401"/>
      <c r="WZA68" s="401"/>
      <c r="WZB68" s="401"/>
      <c r="WZC68" s="401"/>
      <c r="WZD68" s="401"/>
      <c r="WZE68" s="401"/>
      <c r="WZF68" s="401"/>
      <c r="WZG68" s="401"/>
      <c r="WZH68" s="401"/>
      <c r="WZI68" s="401"/>
      <c r="WZJ68" s="401"/>
      <c r="WZK68" s="401"/>
      <c r="WZL68" s="401"/>
      <c r="WZM68" s="401"/>
      <c r="WZN68" s="401"/>
      <c r="WZO68" s="401"/>
      <c r="WZP68" s="401"/>
      <c r="WZQ68" s="401"/>
      <c r="WZR68" s="401"/>
      <c r="WZS68" s="401"/>
      <c r="WZT68" s="401"/>
      <c r="WZU68" s="401"/>
      <c r="WZV68" s="401"/>
      <c r="WZW68" s="401"/>
      <c r="WZX68" s="401"/>
      <c r="WZY68" s="401"/>
      <c r="WZZ68" s="401"/>
      <c r="XAA68" s="401"/>
      <c r="XAB68" s="401"/>
      <c r="XAC68" s="401"/>
      <c r="XAD68" s="401"/>
      <c r="XAE68" s="401"/>
      <c r="XAF68" s="401"/>
      <c r="XAG68" s="401"/>
      <c r="XAH68" s="401"/>
      <c r="XAI68" s="401"/>
      <c r="XAJ68" s="401"/>
      <c r="XAK68" s="401"/>
      <c r="XAL68" s="401"/>
      <c r="XAM68" s="401"/>
      <c r="XAN68" s="401"/>
      <c r="XAO68" s="401"/>
      <c r="XAP68" s="401"/>
      <c r="XAQ68" s="401"/>
      <c r="XAR68" s="401"/>
      <c r="XAS68" s="401"/>
      <c r="XAT68" s="401"/>
      <c r="XAU68" s="401"/>
      <c r="XAV68" s="401"/>
      <c r="XAW68" s="401"/>
      <c r="XAX68" s="401"/>
      <c r="XAY68" s="401"/>
      <c r="XAZ68" s="401"/>
      <c r="XBA68" s="401"/>
      <c r="XBB68" s="401"/>
      <c r="XBC68" s="401"/>
      <c r="XBD68" s="401"/>
      <c r="XBE68" s="401"/>
      <c r="XBF68" s="401"/>
      <c r="XBG68" s="401"/>
      <c r="XBH68" s="401"/>
      <c r="XBI68" s="401"/>
      <c r="XBJ68" s="401"/>
      <c r="XBK68" s="401"/>
      <c r="XBL68" s="401"/>
      <c r="XBM68" s="401"/>
      <c r="XBN68" s="401"/>
      <c r="XBO68" s="401"/>
      <c r="XBP68" s="401"/>
      <c r="XBQ68" s="401"/>
      <c r="XBR68" s="401"/>
      <c r="XBS68" s="401"/>
      <c r="XBT68" s="401"/>
      <c r="XBU68" s="401"/>
      <c r="XBV68" s="401"/>
      <c r="XBW68" s="401"/>
      <c r="XBX68" s="401"/>
      <c r="XBY68" s="401"/>
      <c r="XBZ68" s="401"/>
      <c r="XCA68" s="401"/>
      <c r="XCB68" s="401"/>
      <c r="XCC68" s="401"/>
      <c r="XCD68" s="401"/>
      <c r="XCE68" s="401"/>
      <c r="XCF68" s="401"/>
      <c r="XCG68" s="401"/>
      <c r="XCH68" s="401"/>
      <c r="XCI68" s="401"/>
      <c r="XCJ68" s="401"/>
      <c r="XCK68" s="401"/>
      <c r="XCL68" s="401"/>
      <c r="XCM68" s="401"/>
      <c r="XCN68" s="401"/>
      <c r="XCO68" s="401"/>
      <c r="XCP68" s="401"/>
      <c r="XCQ68" s="401"/>
      <c r="XCR68" s="401"/>
      <c r="XCS68" s="401"/>
      <c r="XCT68" s="401"/>
      <c r="XCU68" s="401"/>
      <c r="XCV68" s="401"/>
      <c r="XCW68" s="401"/>
      <c r="XCX68" s="401"/>
      <c r="XCY68" s="401"/>
      <c r="XCZ68" s="401"/>
      <c r="XDA68" s="401"/>
      <c r="XDB68" s="401"/>
      <c r="XDC68" s="401"/>
      <c r="XDD68" s="401"/>
      <c r="XDE68" s="401"/>
      <c r="XDF68" s="401"/>
      <c r="XDG68" s="401"/>
      <c r="XDH68" s="401"/>
      <c r="XDI68" s="401"/>
      <c r="XDJ68" s="401"/>
      <c r="XDK68" s="401"/>
      <c r="XDL68" s="401"/>
      <c r="XDM68" s="401"/>
      <c r="XDN68" s="401"/>
      <c r="XDO68" s="401"/>
      <c r="XDP68" s="401"/>
      <c r="XDQ68" s="401"/>
      <c r="XDR68" s="401"/>
      <c r="XDS68" s="401"/>
      <c r="XDT68" s="401"/>
      <c r="XDU68" s="401"/>
      <c r="XDV68" s="401"/>
      <c r="XDW68" s="401"/>
      <c r="XDX68" s="401"/>
      <c r="XDY68" s="401"/>
      <c r="XDZ68" s="401"/>
      <c r="XEA68" s="401"/>
      <c r="XEB68" s="401"/>
      <c r="XEC68" s="401"/>
      <c r="XED68" s="401"/>
      <c r="XEE68" s="401"/>
      <c r="XEF68" s="401"/>
      <c r="XEG68" s="401"/>
      <c r="XEH68" s="401"/>
      <c r="XEI68" s="401"/>
      <c r="XEJ68" s="401"/>
      <c r="XEK68" s="401"/>
      <c r="XEL68" s="401"/>
      <c r="XEM68" s="401"/>
      <c r="XEN68" s="401"/>
      <c r="XEO68" s="401"/>
      <c r="XEP68" s="401"/>
      <c r="XEQ68" s="401"/>
      <c r="XER68" s="401"/>
      <c r="XES68" s="401"/>
      <c r="XET68" s="401"/>
      <c r="XEU68" s="401"/>
      <c r="XEV68" s="401"/>
      <c r="XEW68" s="401"/>
      <c r="XEX68" s="401"/>
      <c r="XEY68" s="401"/>
      <c r="XEZ68" s="401"/>
      <c r="XFA68" s="401"/>
      <c r="XFB68" s="401"/>
      <c r="XFC68" s="401"/>
    </row>
    <row r="69" spans="1:16383" s="558" customFormat="1" ht="31.5">
      <c r="A69" s="418" t="s">
        <v>1047</v>
      </c>
      <c r="B69" s="311" t="s">
        <v>1048</v>
      </c>
      <c r="C69" s="311" t="s">
        <v>412</v>
      </c>
      <c r="D69" s="266" t="s">
        <v>1057</v>
      </c>
      <c r="E69" s="222" t="s">
        <v>32</v>
      </c>
      <c r="F69" s="315">
        <v>9751.07</v>
      </c>
      <c r="G69" s="444">
        <v>45919</v>
      </c>
      <c r="H69" s="445">
        <v>45943</v>
      </c>
      <c r="I69" s="445">
        <v>45951</v>
      </c>
      <c r="J69" s="444">
        <v>45954</v>
      </c>
      <c r="K69" s="444">
        <v>45957</v>
      </c>
      <c r="L69" s="444" t="s">
        <v>38</v>
      </c>
      <c r="M69" s="311" t="s">
        <v>146</v>
      </c>
      <c r="N69" s="311" t="s">
        <v>1058</v>
      </c>
      <c r="O69" s="400">
        <v>45977</v>
      </c>
      <c r="P69" s="222" t="s">
        <v>1059</v>
      </c>
      <c r="Q69" s="401" t="s">
        <v>1060</v>
      </c>
      <c r="R69" s="401"/>
      <c r="S69" s="401"/>
      <c r="T69" s="401"/>
      <c r="U69" s="401"/>
      <c r="V69" s="401"/>
      <c r="W69" s="401"/>
      <c r="X69" s="401"/>
      <c r="Y69" s="401"/>
      <c r="Z69" s="401"/>
      <c r="AA69" s="401"/>
      <c r="AB69" s="401"/>
      <c r="AC69" s="401"/>
      <c r="AD69" s="401"/>
      <c r="AE69" s="401"/>
      <c r="AF69" s="401"/>
      <c r="AG69" s="401"/>
      <c r="AH69" s="401"/>
      <c r="AI69" s="401"/>
      <c r="AJ69" s="401"/>
      <c r="AK69" s="401"/>
      <c r="AL69" s="401"/>
      <c r="AM69" s="401"/>
      <c r="AN69" s="401"/>
      <c r="AO69" s="401"/>
      <c r="AP69" s="401"/>
      <c r="AQ69" s="401"/>
      <c r="AR69" s="401"/>
      <c r="AS69" s="401"/>
      <c r="AT69" s="401"/>
      <c r="AU69" s="401"/>
      <c r="AV69" s="401"/>
      <c r="AW69" s="401"/>
      <c r="AX69" s="401"/>
      <c r="AY69" s="401"/>
      <c r="AZ69" s="401"/>
      <c r="BA69" s="401"/>
      <c r="BB69" s="401"/>
      <c r="BC69" s="401"/>
      <c r="BD69" s="401"/>
      <c r="BE69" s="401"/>
      <c r="BF69" s="401"/>
      <c r="BG69" s="401"/>
      <c r="BH69" s="401"/>
      <c r="BI69" s="401"/>
      <c r="BJ69" s="401"/>
      <c r="BK69" s="401"/>
      <c r="BL69" s="401"/>
      <c r="BM69" s="401"/>
      <c r="BN69" s="401"/>
      <c r="BO69" s="401"/>
      <c r="BP69" s="401"/>
      <c r="BQ69" s="401"/>
      <c r="BR69" s="401"/>
      <c r="BS69" s="401"/>
      <c r="BT69" s="401"/>
      <c r="BU69" s="401"/>
      <c r="BV69" s="401"/>
      <c r="BW69" s="401"/>
      <c r="BX69" s="401"/>
      <c r="BY69" s="401"/>
      <c r="BZ69" s="401"/>
      <c r="CA69" s="401"/>
      <c r="CB69" s="401"/>
      <c r="CC69" s="401"/>
      <c r="CD69" s="401"/>
      <c r="CE69" s="401"/>
      <c r="CF69" s="401"/>
      <c r="CG69" s="401"/>
      <c r="CH69" s="401"/>
      <c r="CI69" s="401"/>
      <c r="CJ69" s="401"/>
      <c r="CK69" s="401"/>
      <c r="CL69" s="401"/>
      <c r="CM69" s="401"/>
      <c r="CN69" s="401"/>
      <c r="CO69" s="401"/>
      <c r="CP69" s="401"/>
      <c r="CQ69" s="401"/>
      <c r="CR69" s="401"/>
      <c r="CS69" s="401"/>
      <c r="CT69" s="401"/>
      <c r="CU69" s="401"/>
      <c r="CV69" s="401"/>
      <c r="CW69" s="401"/>
      <c r="CX69" s="401"/>
      <c r="CY69" s="401"/>
      <c r="CZ69" s="401"/>
      <c r="DA69" s="401"/>
      <c r="DB69" s="401"/>
      <c r="DC69" s="401"/>
      <c r="DD69" s="401"/>
      <c r="DE69" s="401"/>
      <c r="DF69" s="401"/>
      <c r="DG69" s="401"/>
      <c r="DH69" s="401"/>
      <c r="DI69" s="401"/>
      <c r="DJ69" s="401"/>
      <c r="DK69" s="401"/>
      <c r="DL69" s="401"/>
      <c r="DM69" s="401"/>
      <c r="DN69" s="401"/>
      <c r="DO69" s="401"/>
      <c r="DP69" s="401"/>
      <c r="DQ69" s="401"/>
      <c r="DR69" s="401"/>
      <c r="DS69" s="401"/>
      <c r="DT69" s="401"/>
      <c r="DU69" s="401"/>
      <c r="DV69" s="401"/>
      <c r="DW69" s="401"/>
      <c r="DX69" s="401"/>
      <c r="DY69" s="401"/>
      <c r="DZ69" s="401"/>
      <c r="EA69" s="401"/>
      <c r="EB69" s="401"/>
      <c r="EC69" s="401"/>
      <c r="ED69" s="401"/>
      <c r="EE69" s="401"/>
      <c r="EF69" s="401"/>
      <c r="EG69" s="401"/>
      <c r="EH69" s="401"/>
      <c r="EI69" s="401"/>
      <c r="EJ69" s="401"/>
      <c r="EK69" s="401"/>
      <c r="EL69" s="401"/>
      <c r="EM69" s="401"/>
      <c r="EN69" s="401"/>
      <c r="EO69" s="401"/>
      <c r="EP69" s="401"/>
      <c r="EQ69" s="401"/>
      <c r="ER69" s="401"/>
      <c r="ES69" s="401"/>
      <c r="ET69" s="401"/>
      <c r="EU69" s="401"/>
      <c r="EV69" s="401"/>
      <c r="EW69" s="401"/>
      <c r="EX69" s="401"/>
      <c r="EY69" s="401"/>
      <c r="EZ69" s="401"/>
      <c r="FA69" s="401"/>
      <c r="FB69" s="401"/>
      <c r="FC69" s="401"/>
      <c r="FD69" s="401"/>
      <c r="FE69" s="401"/>
      <c r="FF69" s="401"/>
      <c r="FG69" s="401"/>
      <c r="FH69" s="401"/>
      <c r="FI69" s="401"/>
      <c r="FJ69" s="401"/>
      <c r="FK69" s="401"/>
      <c r="FL69" s="401"/>
      <c r="FM69" s="401"/>
      <c r="FN69" s="401"/>
      <c r="FO69" s="401"/>
      <c r="FP69" s="401"/>
      <c r="FQ69" s="401"/>
      <c r="FR69" s="401"/>
      <c r="FS69" s="401"/>
      <c r="FT69" s="401"/>
      <c r="FU69" s="401"/>
      <c r="FV69" s="401"/>
      <c r="FW69" s="401"/>
      <c r="FX69" s="401"/>
      <c r="FY69" s="401"/>
      <c r="FZ69" s="401"/>
      <c r="GA69" s="401"/>
      <c r="GB69" s="401"/>
      <c r="GC69" s="401"/>
      <c r="GD69" s="401"/>
      <c r="GE69" s="401"/>
      <c r="GF69" s="401"/>
      <c r="GG69" s="401"/>
      <c r="GH69" s="401"/>
      <c r="GI69" s="401"/>
      <c r="GJ69" s="401"/>
      <c r="GK69" s="401"/>
      <c r="GL69" s="401"/>
      <c r="GM69" s="401"/>
      <c r="GN69" s="401"/>
      <c r="GO69" s="401"/>
      <c r="GP69" s="401"/>
      <c r="GQ69" s="401"/>
      <c r="GR69" s="401"/>
      <c r="GS69" s="401"/>
      <c r="GT69" s="401"/>
      <c r="GU69" s="401"/>
      <c r="GV69" s="401"/>
      <c r="GW69" s="401"/>
      <c r="GX69" s="401"/>
      <c r="GY69" s="401"/>
      <c r="GZ69" s="401"/>
      <c r="HA69" s="401"/>
      <c r="HB69" s="401"/>
      <c r="HC69" s="401"/>
      <c r="HD69" s="401"/>
      <c r="HE69" s="401"/>
      <c r="HF69" s="401"/>
      <c r="HG69" s="401"/>
      <c r="HH69" s="401"/>
      <c r="HI69" s="401"/>
      <c r="HJ69" s="401"/>
      <c r="HK69" s="401"/>
      <c r="HL69" s="401"/>
      <c r="HM69" s="401"/>
      <c r="HN69" s="401"/>
      <c r="HO69" s="401"/>
      <c r="HP69" s="401"/>
      <c r="HQ69" s="401"/>
      <c r="HR69" s="401"/>
      <c r="HS69" s="401"/>
      <c r="HT69" s="401"/>
      <c r="HU69" s="401"/>
      <c r="HV69" s="401"/>
      <c r="HW69" s="401"/>
      <c r="HX69" s="401"/>
      <c r="HY69" s="401"/>
      <c r="HZ69" s="401"/>
      <c r="IA69" s="401"/>
      <c r="IB69" s="401"/>
      <c r="IC69" s="401"/>
      <c r="ID69" s="401"/>
      <c r="IE69" s="401"/>
      <c r="IF69" s="401"/>
      <c r="IG69" s="401"/>
      <c r="IH69" s="401"/>
      <c r="II69" s="401"/>
      <c r="IJ69" s="401"/>
      <c r="IK69" s="401"/>
      <c r="IL69" s="401"/>
      <c r="IM69" s="401"/>
      <c r="IN69" s="401"/>
      <c r="IO69" s="401"/>
      <c r="IP69" s="401"/>
      <c r="IQ69" s="401"/>
      <c r="IR69" s="401"/>
      <c r="IS69" s="401"/>
      <c r="IT69" s="401"/>
      <c r="IU69" s="401"/>
      <c r="IV69" s="401"/>
      <c r="IW69" s="401"/>
      <c r="IX69" s="401"/>
      <c r="IY69" s="401"/>
      <c r="IZ69" s="401"/>
      <c r="JA69" s="401"/>
      <c r="JB69" s="401"/>
      <c r="JC69" s="401"/>
      <c r="JD69" s="401"/>
      <c r="JE69" s="401"/>
      <c r="JF69" s="401"/>
      <c r="JG69" s="401"/>
      <c r="JH69" s="401"/>
      <c r="JI69" s="401"/>
      <c r="JJ69" s="401"/>
      <c r="JK69" s="401"/>
      <c r="JL69" s="401"/>
      <c r="JM69" s="401"/>
      <c r="JN69" s="401"/>
      <c r="JO69" s="401"/>
      <c r="JP69" s="401"/>
      <c r="JQ69" s="401"/>
      <c r="JR69" s="401"/>
      <c r="JS69" s="401"/>
      <c r="JT69" s="401"/>
      <c r="JU69" s="401"/>
      <c r="JV69" s="401"/>
      <c r="JW69" s="401"/>
      <c r="JX69" s="401"/>
      <c r="JY69" s="401"/>
      <c r="JZ69" s="401"/>
      <c r="KA69" s="401"/>
      <c r="KB69" s="401"/>
      <c r="KC69" s="401"/>
      <c r="KD69" s="401"/>
      <c r="KE69" s="401"/>
      <c r="KF69" s="401"/>
      <c r="KG69" s="401"/>
      <c r="KH69" s="401"/>
      <c r="KI69" s="401"/>
      <c r="KJ69" s="401"/>
      <c r="KK69" s="401"/>
      <c r="KL69" s="401"/>
      <c r="KM69" s="401"/>
      <c r="KN69" s="401"/>
      <c r="KO69" s="401"/>
      <c r="KP69" s="401"/>
      <c r="KQ69" s="401"/>
      <c r="KR69" s="401"/>
      <c r="KS69" s="401"/>
      <c r="KT69" s="401"/>
      <c r="KU69" s="401"/>
      <c r="KV69" s="401"/>
      <c r="KW69" s="401"/>
      <c r="KX69" s="401"/>
      <c r="KY69" s="401"/>
      <c r="KZ69" s="401"/>
      <c r="LA69" s="401"/>
      <c r="LB69" s="401"/>
      <c r="LC69" s="401"/>
      <c r="LD69" s="401"/>
      <c r="LE69" s="401"/>
      <c r="LF69" s="401"/>
      <c r="LG69" s="401"/>
      <c r="LH69" s="401"/>
      <c r="LI69" s="401"/>
      <c r="LJ69" s="401"/>
      <c r="LK69" s="401"/>
      <c r="LL69" s="401"/>
      <c r="LM69" s="401"/>
      <c r="LN69" s="401"/>
      <c r="LO69" s="401"/>
      <c r="LP69" s="401"/>
      <c r="LQ69" s="401"/>
      <c r="LR69" s="401"/>
      <c r="LS69" s="401"/>
      <c r="LT69" s="401"/>
      <c r="LU69" s="401"/>
      <c r="LV69" s="401"/>
      <c r="LW69" s="401"/>
      <c r="LX69" s="401"/>
      <c r="LY69" s="401"/>
      <c r="LZ69" s="401"/>
      <c r="MA69" s="401"/>
      <c r="MB69" s="401"/>
      <c r="MC69" s="401"/>
      <c r="MD69" s="401"/>
      <c r="ME69" s="401"/>
      <c r="MF69" s="401"/>
      <c r="MG69" s="401"/>
      <c r="MH69" s="401"/>
      <c r="MI69" s="401"/>
      <c r="MJ69" s="401"/>
      <c r="MK69" s="401"/>
      <c r="ML69" s="401"/>
      <c r="MM69" s="401"/>
      <c r="MN69" s="401"/>
      <c r="MO69" s="401"/>
      <c r="MP69" s="401"/>
      <c r="MQ69" s="401"/>
      <c r="MR69" s="401"/>
      <c r="MS69" s="401"/>
      <c r="MT69" s="401"/>
      <c r="MU69" s="401"/>
      <c r="MV69" s="401"/>
      <c r="MW69" s="401"/>
      <c r="MX69" s="401"/>
      <c r="MY69" s="401"/>
      <c r="MZ69" s="401"/>
      <c r="NA69" s="401"/>
      <c r="NB69" s="401"/>
      <c r="NC69" s="401"/>
      <c r="ND69" s="401"/>
      <c r="NE69" s="401"/>
      <c r="NF69" s="401"/>
      <c r="NG69" s="401"/>
      <c r="NH69" s="401"/>
      <c r="NI69" s="401"/>
      <c r="NJ69" s="401"/>
      <c r="NK69" s="401"/>
      <c r="NL69" s="401"/>
      <c r="NM69" s="401"/>
      <c r="NN69" s="401"/>
      <c r="NO69" s="401"/>
      <c r="NP69" s="401"/>
      <c r="NQ69" s="401"/>
      <c r="NR69" s="401"/>
      <c r="NS69" s="401"/>
      <c r="NT69" s="401"/>
      <c r="NU69" s="401"/>
      <c r="NV69" s="401"/>
      <c r="NW69" s="401"/>
      <c r="NX69" s="401"/>
      <c r="NY69" s="401"/>
      <c r="NZ69" s="401"/>
      <c r="OA69" s="401"/>
      <c r="OB69" s="401"/>
      <c r="OC69" s="401"/>
      <c r="OD69" s="401"/>
      <c r="OE69" s="401"/>
      <c r="OF69" s="401"/>
      <c r="OG69" s="401"/>
      <c r="OH69" s="401"/>
      <c r="OI69" s="401"/>
      <c r="OJ69" s="401"/>
      <c r="OK69" s="401"/>
      <c r="OL69" s="401"/>
      <c r="OM69" s="401"/>
      <c r="ON69" s="401"/>
      <c r="OO69" s="401"/>
      <c r="OP69" s="401"/>
      <c r="OQ69" s="401"/>
      <c r="OR69" s="401"/>
      <c r="OS69" s="401"/>
      <c r="OT69" s="401"/>
      <c r="OU69" s="401"/>
      <c r="OV69" s="401"/>
      <c r="OW69" s="401"/>
      <c r="OX69" s="401"/>
      <c r="OY69" s="401"/>
      <c r="OZ69" s="401"/>
      <c r="PA69" s="401"/>
      <c r="PB69" s="401"/>
      <c r="PC69" s="401"/>
      <c r="PD69" s="401"/>
      <c r="PE69" s="401"/>
      <c r="PF69" s="401"/>
      <c r="PG69" s="401"/>
      <c r="PH69" s="401"/>
      <c r="PI69" s="401"/>
      <c r="PJ69" s="401"/>
      <c r="PK69" s="401"/>
      <c r="PL69" s="401"/>
      <c r="PM69" s="401"/>
      <c r="PN69" s="401"/>
      <c r="PO69" s="401"/>
      <c r="PP69" s="401"/>
      <c r="PQ69" s="401"/>
      <c r="PR69" s="401"/>
      <c r="PS69" s="401"/>
      <c r="PT69" s="401"/>
      <c r="PU69" s="401"/>
      <c r="PV69" s="401"/>
      <c r="PW69" s="401"/>
      <c r="PX69" s="401"/>
      <c r="PY69" s="401"/>
      <c r="PZ69" s="401"/>
      <c r="QA69" s="401"/>
      <c r="QB69" s="401"/>
      <c r="QC69" s="401"/>
      <c r="QD69" s="401"/>
      <c r="QE69" s="401"/>
      <c r="QF69" s="401"/>
      <c r="QG69" s="401"/>
      <c r="QH69" s="401"/>
      <c r="QI69" s="401"/>
      <c r="QJ69" s="401"/>
      <c r="QK69" s="401"/>
      <c r="QL69" s="401"/>
      <c r="QM69" s="401"/>
      <c r="QN69" s="401"/>
      <c r="QO69" s="401"/>
      <c r="QP69" s="401"/>
      <c r="QQ69" s="401"/>
      <c r="QR69" s="401"/>
      <c r="QS69" s="401"/>
      <c r="QT69" s="401"/>
      <c r="QU69" s="401"/>
      <c r="QV69" s="401"/>
      <c r="QW69" s="401"/>
      <c r="QX69" s="401"/>
      <c r="QY69" s="401"/>
      <c r="QZ69" s="401"/>
      <c r="RA69" s="401"/>
      <c r="RB69" s="401"/>
      <c r="RC69" s="401"/>
      <c r="RD69" s="401"/>
      <c r="RE69" s="401"/>
      <c r="RF69" s="401"/>
      <c r="RG69" s="401"/>
      <c r="RH69" s="401"/>
      <c r="RI69" s="401"/>
      <c r="RJ69" s="401"/>
      <c r="RK69" s="401"/>
      <c r="RL69" s="401"/>
      <c r="RM69" s="401"/>
      <c r="RN69" s="401"/>
      <c r="RO69" s="401"/>
      <c r="RP69" s="401"/>
      <c r="RQ69" s="401"/>
      <c r="RR69" s="401"/>
      <c r="RS69" s="401"/>
      <c r="RT69" s="401"/>
      <c r="RU69" s="401"/>
      <c r="RV69" s="401"/>
      <c r="RW69" s="401"/>
      <c r="RX69" s="401"/>
      <c r="RY69" s="401"/>
      <c r="RZ69" s="401"/>
      <c r="SA69" s="401"/>
      <c r="SB69" s="401"/>
      <c r="SC69" s="401"/>
      <c r="SD69" s="401"/>
      <c r="SE69" s="401"/>
      <c r="SF69" s="401"/>
      <c r="SG69" s="401"/>
      <c r="SH69" s="401"/>
      <c r="SI69" s="401"/>
      <c r="SJ69" s="401"/>
      <c r="SK69" s="401"/>
      <c r="SL69" s="401"/>
      <c r="SM69" s="401"/>
      <c r="SN69" s="401"/>
      <c r="SO69" s="401"/>
      <c r="SP69" s="401"/>
      <c r="SQ69" s="401"/>
      <c r="SR69" s="401"/>
      <c r="SS69" s="401"/>
      <c r="ST69" s="401"/>
      <c r="SU69" s="401"/>
      <c r="SV69" s="401"/>
      <c r="SW69" s="401"/>
      <c r="SX69" s="401"/>
      <c r="SY69" s="401"/>
      <c r="SZ69" s="401"/>
      <c r="TA69" s="401"/>
      <c r="TB69" s="401"/>
      <c r="TC69" s="401"/>
      <c r="TD69" s="401"/>
      <c r="TE69" s="401"/>
      <c r="TF69" s="401"/>
      <c r="TG69" s="401"/>
      <c r="TH69" s="401"/>
      <c r="TI69" s="401"/>
      <c r="TJ69" s="401"/>
      <c r="TK69" s="401"/>
      <c r="TL69" s="401"/>
      <c r="TM69" s="401"/>
      <c r="TN69" s="401"/>
      <c r="TO69" s="401"/>
      <c r="TP69" s="401"/>
      <c r="TQ69" s="401"/>
      <c r="TR69" s="401"/>
      <c r="TS69" s="401"/>
      <c r="TT69" s="401"/>
      <c r="TU69" s="401"/>
      <c r="TV69" s="401"/>
      <c r="TW69" s="401"/>
      <c r="TX69" s="401"/>
      <c r="TY69" s="401"/>
      <c r="TZ69" s="401"/>
      <c r="UA69" s="401"/>
      <c r="UB69" s="401"/>
      <c r="UC69" s="401"/>
      <c r="UD69" s="401"/>
      <c r="UE69" s="401"/>
      <c r="UF69" s="401"/>
      <c r="UG69" s="401"/>
      <c r="UH69" s="401"/>
      <c r="UI69" s="401"/>
      <c r="UJ69" s="401"/>
      <c r="UK69" s="401"/>
      <c r="UL69" s="401"/>
      <c r="UM69" s="401"/>
      <c r="UN69" s="401"/>
      <c r="UO69" s="401"/>
      <c r="UP69" s="401"/>
      <c r="UQ69" s="401"/>
      <c r="UR69" s="401"/>
      <c r="US69" s="401"/>
      <c r="UT69" s="401"/>
      <c r="UU69" s="401"/>
      <c r="UV69" s="401"/>
      <c r="UW69" s="401"/>
      <c r="UX69" s="401"/>
      <c r="UY69" s="401"/>
      <c r="UZ69" s="401"/>
      <c r="VA69" s="401"/>
      <c r="VB69" s="401"/>
      <c r="VC69" s="401"/>
      <c r="VD69" s="401"/>
      <c r="VE69" s="401"/>
      <c r="VF69" s="401"/>
      <c r="VG69" s="401"/>
      <c r="VH69" s="401"/>
      <c r="VI69" s="401"/>
      <c r="VJ69" s="401"/>
      <c r="VK69" s="401"/>
      <c r="VL69" s="401"/>
      <c r="VM69" s="401"/>
      <c r="VN69" s="401"/>
      <c r="VO69" s="401"/>
      <c r="VP69" s="401"/>
      <c r="VQ69" s="401"/>
      <c r="VR69" s="401"/>
      <c r="VS69" s="401"/>
      <c r="VT69" s="401"/>
      <c r="VU69" s="401"/>
      <c r="VV69" s="401"/>
      <c r="VW69" s="401"/>
      <c r="VX69" s="401"/>
      <c r="VY69" s="401"/>
      <c r="VZ69" s="401"/>
      <c r="WA69" s="401"/>
      <c r="WB69" s="401"/>
      <c r="WC69" s="401"/>
      <c r="WD69" s="401"/>
      <c r="WE69" s="401"/>
      <c r="WF69" s="401"/>
      <c r="WG69" s="401"/>
      <c r="WH69" s="401"/>
      <c r="WI69" s="401"/>
      <c r="WJ69" s="401"/>
      <c r="WK69" s="401"/>
      <c r="WL69" s="401"/>
      <c r="WM69" s="401"/>
      <c r="WN69" s="401"/>
      <c r="WO69" s="401"/>
      <c r="WP69" s="401"/>
      <c r="WQ69" s="401"/>
      <c r="WR69" s="401"/>
      <c r="WS69" s="401"/>
      <c r="WT69" s="401"/>
      <c r="WU69" s="401"/>
      <c r="WV69" s="401"/>
      <c r="WW69" s="401"/>
      <c r="WX69" s="401"/>
      <c r="WY69" s="401"/>
      <c r="WZ69" s="401"/>
      <c r="XA69" s="401"/>
      <c r="XB69" s="401"/>
      <c r="XC69" s="401"/>
      <c r="XD69" s="401"/>
      <c r="XE69" s="401"/>
      <c r="XF69" s="401"/>
      <c r="XG69" s="401"/>
      <c r="XH69" s="401"/>
      <c r="XI69" s="401"/>
      <c r="XJ69" s="401"/>
      <c r="XK69" s="401"/>
      <c r="XL69" s="401"/>
      <c r="XM69" s="401"/>
      <c r="XN69" s="401"/>
      <c r="XO69" s="401"/>
      <c r="XP69" s="401"/>
      <c r="XQ69" s="401"/>
      <c r="XR69" s="401"/>
      <c r="XS69" s="401"/>
      <c r="XT69" s="401"/>
      <c r="XU69" s="401"/>
      <c r="XV69" s="401"/>
      <c r="XW69" s="401"/>
      <c r="XX69" s="401"/>
      <c r="XY69" s="401"/>
      <c r="XZ69" s="401"/>
      <c r="YA69" s="401"/>
      <c r="YB69" s="401"/>
      <c r="YC69" s="401"/>
      <c r="YD69" s="401"/>
      <c r="YE69" s="401"/>
      <c r="YF69" s="401"/>
      <c r="YG69" s="401"/>
      <c r="YH69" s="401"/>
      <c r="YI69" s="401"/>
      <c r="YJ69" s="401"/>
      <c r="YK69" s="401"/>
      <c r="YL69" s="401"/>
      <c r="YM69" s="401"/>
      <c r="YN69" s="401"/>
      <c r="YO69" s="401"/>
      <c r="YP69" s="401"/>
      <c r="YQ69" s="401"/>
      <c r="YR69" s="401"/>
      <c r="YS69" s="401"/>
      <c r="YT69" s="401"/>
      <c r="YU69" s="401"/>
      <c r="YV69" s="401"/>
      <c r="YW69" s="401"/>
      <c r="YX69" s="401"/>
      <c r="YY69" s="401"/>
      <c r="YZ69" s="401"/>
      <c r="ZA69" s="401"/>
      <c r="ZB69" s="401"/>
      <c r="ZC69" s="401"/>
      <c r="ZD69" s="401"/>
      <c r="ZE69" s="401"/>
      <c r="ZF69" s="401"/>
      <c r="ZG69" s="401"/>
      <c r="ZH69" s="401"/>
      <c r="ZI69" s="401"/>
      <c r="ZJ69" s="401"/>
      <c r="ZK69" s="401"/>
      <c r="ZL69" s="401"/>
      <c r="ZM69" s="401"/>
      <c r="ZN69" s="401"/>
      <c r="ZO69" s="401"/>
      <c r="ZP69" s="401"/>
      <c r="ZQ69" s="401"/>
      <c r="ZR69" s="401"/>
      <c r="ZS69" s="401"/>
      <c r="ZT69" s="401"/>
      <c r="ZU69" s="401"/>
      <c r="ZV69" s="401"/>
      <c r="ZW69" s="401"/>
      <c r="ZX69" s="401"/>
      <c r="ZY69" s="401"/>
      <c r="ZZ69" s="401"/>
      <c r="AAA69" s="401"/>
      <c r="AAB69" s="401"/>
      <c r="AAC69" s="401"/>
      <c r="AAD69" s="401"/>
      <c r="AAE69" s="401"/>
      <c r="AAF69" s="401"/>
      <c r="AAG69" s="401"/>
      <c r="AAH69" s="401"/>
      <c r="AAI69" s="401"/>
      <c r="AAJ69" s="401"/>
      <c r="AAK69" s="401"/>
      <c r="AAL69" s="401"/>
      <c r="AAM69" s="401"/>
      <c r="AAN69" s="401"/>
      <c r="AAO69" s="401"/>
      <c r="AAP69" s="401"/>
      <c r="AAQ69" s="401"/>
      <c r="AAR69" s="401"/>
      <c r="AAS69" s="401"/>
      <c r="AAT69" s="401"/>
      <c r="AAU69" s="401"/>
      <c r="AAV69" s="401"/>
      <c r="AAW69" s="401"/>
      <c r="AAX69" s="401"/>
      <c r="AAY69" s="401"/>
      <c r="AAZ69" s="401"/>
      <c r="ABA69" s="401"/>
      <c r="ABB69" s="401"/>
      <c r="ABC69" s="401"/>
      <c r="ABD69" s="401"/>
      <c r="ABE69" s="401"/>
      <c r="ABF69" s="401"/>
      <c r="ABG69" s="401"/>
      <c r="ABH69" s="401"/>
      <c r="ABI69" s="401"/>
      <c r="ABJ69" s="401"/>
      <c r="ABK69" s="401"/>
      <c r="ABL69" s="401"/>
      <c r="ABM69" s="401"/>
      <c r="ABN69" s="401"/>
      <c r="ABO69" s="401"/>
      <c r="ABP69" s="401"/>
      <c r="ABQ69" s="401"/>
      <c r="ABR69" s="401"/>
      <c r="ABS69" s="401"/>
      <c r="ABT69" s="401"/>
      <c r="ABU69" s="401"/>
      <c r="ABV69" s="401"/>
      <c r="ABW69" s="401"/>
      <c r="ABX69" s="401"/>
      <c r="ABY69" s="401"/>
      <c r="ABZ69" s="401"/>
      <c r="ACA69" s="401"/>
      <c r="ACB69" s="401"/>
      <c r="ACC69" s="401"/>
      <c r="ACD69" s="401"/>
      <c r="ACE69" s="401"/>
      <c r="ACF69" s="401"/>
      <c r="ACG69" s="401"/>
      <c r="ACH69" s="401"/>
      <c r="ACI69" s="401"/>
      <c r="ACJ69" s="401"/>
      <c r="ACK69" s="401"/>
      <c r="ACL69" s="401"/>
      <c r="ACM69" s="401"/>
      <c r="ACN69" s="401"/>
      <c r="ACO69" s="401"/>
      <c r="ACP69" s="401"/>
      <c r="ACQ69" s="401"/>
      <c r="ACR69" s="401"/>
      <c r="ACS69" s="401"/>
      <c r="ACT69" s="401"/>
      <c r="ACU69" s="401"/>
      <c r="ACV69" s="401"/>
      <c r="ACW69" s="401"/>
      <c r="ACX69" s="401"/>
      <c r="ACY69" s="401"/>
      <c r="ACZ69" s="401"/>
      <c r="ADA69" s="401"/>
      <c r="ADB69" s="401"/>
      <c r="ADC69" s="401"/>
      <c r="ADD69" s="401"/>
      <c r="ADE69" s="401"/>
      <c r="ADF69" s="401"/>
      <c r="ADG69" s="401"/>
      <c r="ADH69" s="401"/>
      <c r="ADI69" s="401"/>
      <c r="ADJ69" s="401"/>
      <c r="ADK69" s="401"/>
      <c r="ADL69" s="401"/>
      <c r="ADM69" s="401"/>
      <c r="ADN69" s="401"/>
      <c r="ADO69" s="401"/>
      <c r="ADP69" s="401"/>
      <c r="ADQ69" s="401"/>
      <c r="ADR69" s="401"/>
      <c r="ADS69" s="401"/>
      <c r="ADT69" s="401"/>
      <c r="ADU69" s="401"/>
      <c r="ADV69" s="401"/>
      <c r="ADW69" s="401"/>
      <c r="ADX69" s="401"/>
      <c r="ADY69" s="401"/>
      <c r="ADZ69" s="401"/>
      <c r="AEA69" s="401"/>
      <c r="AEB69" s="401"/>
      <c r="AEC69" s="401"/>
      <c r="AED69" s="401"/>
      <c r="AEE69" s="401"/>
      <c r="AEF69" s="401"/>
      <c r="AEG69" s="401"/>
      <c r="AEH69" s="401"/>
      <c r="AEI69" s="401"/>
      <c r="AEJ69" s="401"/>
      <c r="AEK69" s="401"/>
      <c r="AEL69" s="401"/>
      <c r="AEM69" s="401"/>
      <c r="AEN69" s="401"/>
      <c r="AEO69" s="401"/>
      <c r="AEP69" s="401"/>
      <c r="AEQ69" s="401"/>
      <c r="AER69" s="401"/>
      <c r="AES69" s="401"/>
      <c r="AET69" s="401"/>
      <c r="AEU69" s="401"/>
      <c r="AEV69" s="401"/>
      <c r="AEW69" s="401"/>
      <c r="AEX69" s="401"/>
      <c r="AEY69" s="401"/>
      <c r="AEZ69" s="401"/>
      <c r="AFA69" s="401"/>
      <c r="AFB69" s="401"/>
      <c r="AFC69" s="401"/>
      <c r="AFD69" s="401"/>
      <c r="AFE69" s="401"/>
      <c r="AFF69" s="401"/>
      <c r="AFG69" s="401"/>
      <c r="AFH69" s="401"/>
      <c r="AFI69" s="401"/>
      <c r="AFJ69" s="401"/>
      <c r="AFK69" s="401"/>
      <c r="AFL69" s="401"/>
      <c r="AFM69" s="401"/>
      <c r="AFN69" s="401"/>
      <c r="AFO69" s="401"/>
      <c r="AFP69" s="401"/>
      <c r="AFQ69" s="401"/>
      <c r="AFR69" s="401"/>
      <c r="AFS69" s="401"/>
      <c r="AFT69" s="401"/>
      <c r="AFU69" s="401"/>
      <c r="AFV69" s="401"/>
      <c r="AFW69" s="401"/>
      <c r="AFX69" s="401"/>
      <c r="AFY69" s="401"/>
      <c r="AFZ69" s="401"/>
      <c r="AGA69" s="401"/>
      <c r="AGB69" s="401"/>
      <c r="AGC69" s="401"/>
      <c r="AGD69" s="401"/>
      <c r="AGE69" s="401"/>
      <c r="AGF69" s="401"/>
      <c r="AGG69" s="401"/>
      <c r="AGH69" s="401"/>
      <c r="AGI69" s="401"/>
      <c r="AGJ69" s="401"/>
      <c r="AGK69" s="401"/>
      <c r="AGL69" s="401"/>
      <c r="AGM69" s="401"/>
      <c r="AGN69" s="401"/>
      <c r="AGO69" s="401"/>
      <c r="AGP69" s="401"/>
      <c r="AGQ69" s="401"/>
      <c r="AGR69" s="401"/>
      <c r="AGS69" s="401"/>
      <c r="AGT69" s="401"/>
      <c r="AGU69" s="401"/>
      <c r="AGV69" s="401"/>
      <c r="AGW69" s="401"/>
      <c r="AGX69" s="401"/>
      <c r="AGY69" s="401"/>
      <c r="AGZ69" s="401"/>
      <c r="AHA69" s="401"/>
      <c r="AHB69" s="401"/>
      <c r="AHC69" s="401"/>
      <c r="AHD69" s="401"/>
      <c r="AHE69" s="401"/>
      <c r="AHF69" s="401"/>
      <c r="AHG69" s="401"/>
      <c r="AHH69" s="401"/>
      <c r="AHI69" s="401"/>
      <c r="AHJ69" s="401"/>
      <c r="AHK69" s="401"/>
      <c r="AHL69" s="401"/>
      <c r="AHM69" s="401"/>
      <c r="AHN69" s="401"/>
      <c r="AHO69" s="401"/>
      <c r="AHP69" s="401"/>
      <c r="AHQ69" s="401"/>
      <c r="AHR69" s="401"/>
      <c r="AHS69" s="401"/>
      <c r="AHT69" s="401"/>
      <c r="AHU69" s="401"/>
      <c r="AHV69" s="401"/>
      <c r="AHW69" s="401"/>
      <c r="AHX69" s="401"/>
      <c r="AHY69" s="401"/>
      <c r="AHZ69" s="401"/>
      <c r="AIA69" s="401"/>
      <c r="AIB69" s="401"/>
      <c r="AIC69" s="401"/>
      <c r="AID69" s="401"/>
      <c r="AIE69" s="401"/>
      <c r="AIF69" s="401"/>
      <c r="AIG69" s="401"/>
      <c r="AIH69" s="401"/>
      <c r="AII69" s="401"/>
      <c r="AIJ69" s="401"/>
      <c r="AIK69" s="401"/>
      <c r="AIL69" s="401"/>
      <c r="AIM69" s="401"/>
      <c r="AIN69" s="401"/>
      <c r="AIO69" s="401"/>
      <c r="AIP69" s="401"/>
      <c r="AIQ69" s="401"/>
      <c r="AIR69" s="401"/>
      <c r="AIS69" s="401"/>
      <c r="AIT69" s="401"/>
      <c r="AIU69" s="401"/>
      <c r="AIV69" s="401"/>
      <c r="AIW69" s="401"/>
      <c r="AIX69" s="401"/>
      <c r="AIY69" s="401"/>
      <c r="AIZ69" s="401"/>
      <c r="AJA69" s="401"/>
      <c r="AJB69" s="401"/>
      <c r="AJC69" s="401"/>
      <c r="AJD69" s="401"/>
      <c r="AJE69" s="401"/>
      <c r="AJF69" s="401"/>
      <c r="AJG69" s="401"/>
      <c r="AJH69" s="401"/>
      <c r="AJI69" s="401"/>
      <c r="AJJ69" s="401"/>
      <c r="AJK69" s="401"/>
      <c r="AJL69" s="401"/>
      <c r="AJM69" s="401"/>
      <c r="AJN69" s="401"/>
      <c r="AJO69" s="401"/>
      <c r="AJP69" s="401"/>
      <c r="AJQ69" s="401"/>
      <c r="AJR69" s="401"/>
      <c r="AJS69" s="401"/>
      <c r="AJT69" s="401"/>
      <c r="AJU69" s="401"/>
      <c r="AJV69" s="401"/>
      <c r="AJW69" s="401"/>
      <c r="AJX69" s="401"/>
      <c r="AJY69" s="401"/>
      <c r="AJZ69" s="401"/>
      <c r="AKA69" s="401"/>
      <c r="AKB69" s="401"/>
      <c r="AKC69" s="401"/>
      <c r="AKD69" s="401"/>
      <c r="AKE69" s="401"/>
      <c r="AKF69" s="401"/>
      <c r="AKG69" s="401"/>
      <c r="AKH69" s="401"/>
      <c r="AKI69" s="401"/>
      <c r="AKJ69" s="401"/>
      <c r="AKK69" s="401"/>
      <c r="AKL69" s="401"/>
      <c r="AKM69" s="401"/>
      <c r="AKN69" s="401"/>
      <c r="AKO69" s="401"/>
      <c r="AKP69" s="401"/>
      <c r="AKQ69" s="401"/>
      <c r="AKR69" s="401"/>
      <c r="AKS69" s="401"/>
      <c r="AKT69" s="401"/>
      <c r="AKU69" s="401"/>
      <c r="AKV69" s="401"/>
      <c r="AKW69" s="401"/>
      <c r="AKX69" s="401"/>
      <c r="AKY69" s="401"/>
      <c r="AKZ69" s="401"/>
      <c r="ALA69" s="401"/>
      <c r="ALB69" s="401"/>
      <c r="ALC69" s="401"/>
      <c r="ALD69" s="401"/>
      <c r="ALE69" s="401"/>
      <c r="ALF69" s="401"/>
      <c r="ALG69" s="401"/>
      <c r="ALH69" s="401"/>
      <c r="ALI69" s="401"/>
      <c r="ALJ69" s="401"/>
      <c r="ALK69" s="401"/>
      <c r="ALL69" s="401"/>
      <c r="ALM69" s="401"/>
      <c r="ALN69" s="401"/>
      <c r="ALO69" s="401"/>
      <c r="ALP69" s="401"/>
      <c r="ALQ69" s="401"/>
      <c r="ALR69" s="401"/>
      <c r="ALS69" s="401"/>
      <c r="ALT69" s="401"/>
      <c r="ALU69" s="401"/>
      <c r="ALV69" s="401"/>
      <c r="ALW69" s="401"/>
      <c r="ALX69" s="401"/>
      <c r="ALY69" s="401"/>
      <c r="ALZ69" s="401"/>
      <c r="AMA69" s="401"/>
      <c r="AMB69" s="401"/>
      <c r="AMC69" s="401"/>
      <c r="AMD69" s="401"/>
      <c r="AME69" s="401"/>
      <c r="AMF69" s="401"/>
      <c r="AMG69" s="401"/>
      <c r="AMH69" s="401"/>
      <c r="AMI69" s="401"/>
      <c r="AMJ69" s="401"/>
      <c r="AMK69" s="401"/>
      <c r="AML69" s="401"/>
      <c r="AMM69" s="401"/>
      <c r="AMN69" s="401"/>
      <c r="AMO69" s="401"/>
      <c r="AMP69" s="401"/>
      <c r="AMQ69" s="401"/>
      <c r="AMR69" s="401"/>
      <c r="AMS69" s="401"/>
      <c r="AMT69" s="401"/>
      <c r="AMU69" s="401"/>
      <c r="AMV69" s="401"/>
      <c r="AMW69" s="401"/>
      <c r="AMX69" s="401"/>
      <c r="AMY69" s="401"/>
      <c r="AMZ69" s="401"/>
      <c r="ANA69" s="401"/>
      <c r="ANB69" s="401"/>
      <c r="ANC69" s="401"/>
      <c r="AND69" s="401"/>
      <c r="ANE69" s="401"/>
      <c r="ANF69" s="401"/>
      <c r="ANG69" s="401"/>
      <c r="ANH69" s="401"/>
      <c r="ANI69" s="401"/>
      <c r="ANJ69" s="401"/>
      <c r="ANK69" s="401"/>
      <c r="ANL69" s="401"/>
      <c r="ANM69" s="401"/>
      <c r="ANN69" s="401"/>
      <c r="ANO69" s="401"/>
      <c r="ANP69" s="401"/>
      <c r="ANQ69" s="401"/>
      <c r="ANR69" s="401"/>
      <c r="ANS69" s="401"/>
      <c r="ANT69" s="401"/>
      <c r="ANU69" s="401"/>
      <c r="ANV69" s="401"/>
      <c r="ANW69" s="401"/>
      <c r="ANX69" s="401"/>
      <c r="ANY69" s="401"/>
      <c r="ANZ69" s="401"/>
      <c r="AOA69" s="401"/>
      <c r="AOB69" s="401"/>
      <c r="AOC69" s="401"/>
      <c r="AOD69" s="401"/>
      <c r="AOE69" s="401"/>
      <c r="AOF69" s="401"/>
      <c r="AOG69" s="401"/>
      <c r="AOH69" s="401"/>
      <c r="AOI69" s="401"/>
      <c r="AOJ69" s="401"/>
      <c r="AOK69" s="401"/>
      <c r="AOL69" s="401"/>
      <c r="AOM69" s="401"/>
      <c r="AON69" s="401"/>
      <c r="AOO69" s="401"/>
      <c r="AOP69" s="401"/>
      <c r="AOQ69" s="401"/>
      <c r="AOR69" s="401"/>
      <c r="AOS69" s="401"/>
      <c r="AOT69" s="401"/>
      <c r="AOU69" s="401"/>
      <c r="AOV69" s="401"/>
      <c r="AOW69" s="401"/>
      <c r="AOX69" s="401"/>
      <c r="AOY69" s="401"/>
      <c r="AOZ69" s="401"/>
      <c r="APA69" s="401"/>
      <c r="APB69" s="401"/>
      <c r="APC69" s="401"/>
      <c r="APD69" s="401"/>
      <c r="APE69" s="401"/>
      <c r="APF69" s="401"/>
      <c r="APG69" s="401"/>
      <c r="APH69" s="401"/>
      <c r="API69" s="401"/>
      <c r="APJ69" s="401"/>
      <c r="APK69" s="401"/>
      <c r="APL69" s="401"/>
      <c r="APM69" s="401"/>
      <c r="APN69" s="401"/>
      <c r="APO69" s="401"/>
      <c r="APP69" s="401"/>
      <c r="APQ69" s="401"/>
      <c r="APR69" s="401"/>
      <c r="APS69" s="401"/>
      <c r="APT69" s="401"/>
      <c r="APU69" s="401"/>
      <c r="APV69" s="401"/>
      <c r="APW69" s="401"/>
      <c r="APX69" s="401"/>
      <c r="APY69" s="401"/>
      <c r="APZ69" s="401"/>
      <c r="AQA69" s="401"/>
      <c r="AQB69" s="401"/>
      <c r="AQC69" s="401"/>
      <c r="AQD69" s="401"/>
      <c r="AQE69" s="401"/>
      <c r="AQF69" s="401"/>
      <c r="AQG69" s="401"/>
      <c r="AQH69" s="401"/>
      <c r="AQI69" s="401"/>
      <c r="AQJ69" s="401"/>
      <c r="AQK69" s="401"/>
      <c r="AQL69" s="401"/>
      <c r="AQM69" s="401"/>
      <c r="AQN69" s="401"/>
      <c r="AQO69" s="401"/>
      <c r="AQP69" s="401"/>
      <c r="AQQ69" s="401"/>
      <c r="AQR69" s="401"/>
      <c r="AQS69" s="401"/>
      <c r="AQT69" s="401"/>
      <c r="AQU69" s="401"/>
      <c r="AQV69" s="401"/>
      <c r="AQW69" s="401"/>
      <c r="AQX69" s="401"/>
      <c r="AQY69" s="401"/>
      <c r="AQZ69" s="401"/>
      <c r="ARA69" s="401"/>
      <c r="ARB69" s="401"/>
      <c r="ARC69" s="401"/>
      <c r="ARD69" s="401"/>
      <c r="ARE69" s="401"/>
      <c r="ARF69" s="401"/>
      <c r="ARG69" s="401"/>
      <c r="ARH69" s="401"/>
      <c r="ARI69" s="401"/>
      <c r="ARJ69" s="401"/>
      <c r="ARK69" s="401"/>
      <c r="ARL69" s="401"/>
      <c r="ARM69" s="401"/>
      <c r="ARN69" s="401"/>
      <c r="ARO69" s="401"/>
      <c r="ARP69" s="401"/>
      <c r="ARQ69" s="401"/>
      <c r="ARR69" s="401"/>
      <c r="ARS69" s="401"/>
      <c r="ART69" s="401"/>
      <c r="ARU69" s="401"/>
      <c r="ARV69" s="401"/>
      <c r="ARW69" s="401"/>
      <c r="ARX69" s="401"/>
      <c r="ARY69" s="401"/>
      <c r="ARZ69" s="401"/>
      <c r="ASA69" s="401"/>
      <c r="ASB69" s="401"/>
      <c r="ASC69" s="401"/>
      <c r="ASD69" s="401"/>
      <c r="ASE69" s="401"/>
      <c r="ASF69" s="401"/>
      <c r="ASG69" s="401"/>
      <c r="ASH69" s="401"/>
      <c r="ASI69" s="401"/>
      <c r="ASJ69" s="401"/>
      <c r="ASK69" s="401"/>
      <c r="ASL69" s="401"/>
      <c r="ASM69" s="401"/>
      <c r="ASN69" s="401"/>
      <c r="ASO69" s="401"/>
      <c r="ASP69" s="401"/>
      <c r="ASQ69" s="401"/>
      <c r="ASR69" s="401"/>
      <c r="ASS69" s="401"/>
      <c r="AST69" s="401"/>
      <c r="ASU69" s="401"/>
      <c r="ASV69" s="401"/>
      <c r="ASW69" s="401"/>
      <c r="ASX69" s="401"/>
      <c r="ASY69" s="401"/>
      <c r="ASZ69" s="401"/>
      <c r="ATA69" s="401"/>
      <c r="ATB69" s="401"/>
      <c r="ATC69" s="401"/>
      <c r="ATD69" s="401"/>
      <c r="ATE69" s="401"/>
      <c r="ATF69" s="401"/>
      <c r="ATG69" s="401"/>
      <c r="ATH69" s="401"/>
      <c r="ATI69" s="401"/>
      <c r="ATJ69" s="401"/>
      <c r="ATK69" s="401"/>
      <c r="ATL69" s="401"/>
      <c r="ATM69" s="401"/>
      <c r="ATN69" s="401"/>
      <c r="ATO69" s="401"/>
      <c r="ATP69" s="401"/>
      <c r="ATQ69" s="401"/>
      <c r="ATR69" s="401"/>
      <c r="ATS69" s="401"/>
      <c r="ATT69" s="401"/>
      <c r="ATU69" s="401"/>
      <c r="ATV69" s="401"/>
      <c r="ATW69" s="401"/>
      <c r="ATX69" s="401"/>
      <c r="ATY69" s="401"/>
      <c r="ATZ69" s="401"/>
      <c r="AUA69" s="401"/>
      <c r="AUB69" s="401"/>
      <c r="AUC69" s="401"/>
      <c r="AUD69" s="401"/>
      <c r="AUE69" s="401"/>
      <c r="AUF69" s="401"/>
      <c r="AUG69" s="401"/>
      <c r="AUH69" s="401"/>
      <c r="AUI69" s="401"/>
      <c r="AUJ69" s="401"/>
      <c r="AUK69" s="401"/>
      <c r="AUL69" s="401"/>
      <c r="AUM69" s="401"/>
      <c r="AUN69" s="401"/>
      <c r="AUO69" s="401"/>
      <c r="AUP69" s="401"/>
      <c r="AUQ69" s="401"/>
      <c r="AUR69" s="401"/>
      <c r="AUS69" s="401"/>
      <c r="AUT69" s="401"/>
      <c r="AUU69" s="401"/>
      <c r="AUV69" s="401"/>
      <c r="AUW69" s="401"/>
      <c r="AUX69" s="401"/>
      <c r="AUY69" s="401"/>
      <c r="AUZ69" s="401"/>
      <c r="AVA69" s="401"/>
      <c r="AVB69" s="401"/>
      <c r="AVC69" s="401"/>
      <c r="AVD69" s="401"/>
      <c r="AVE69" s="401"/>
      <c r="AVF69" s="401"/>
      <c r="AVG69" s="401"/>
      <c r="AVH69" s="401"/>
      <c r="AVI69" s="401"/>
      <c r="AVJ69" s="401"/>
      <c r="AVK69" s="401"/>
      <c r="AVL69" s="401"/>
      <c r="AVM69" s="401"/>
      <c r="AVN69" s="401"/>
      <c r="AVO69" s="401"/>
      <c r="AVP69" s="401"/>
      <c r="AVQ69" s="401"/>
      <c r="AVR69" s="401"/>
      <c r="AVS69" s="401"/>
      <c r="AVT69" s="401"/>
      <c r="AVU69" s="401"/>
      <c r="AVV69" s="401"/>
      <c r="AVW69" s="401"/>
      <c r="AVX69" s="401"/>
      <c r="AVY69" s="401"/>
      <c r="AVZ69" s="401"/>
      <c r="AWA69" s="401"/>
      <c r="AWB69" s="401"/>
      <c r="AWC69" s="401"/>
      <c r="AWD69" s="401"/>
      <c r="AWE69" s="401"/>
      <c r="AWF69" s="401"/>
      <c r="AWG69" s="401"/>
      <c r="AWH69" s="401"/>
      <c r="AWI69" s="401"/>
      <c r="AWJ69" s="401"/>
      <c r="AWK69" s="401"/>
      <c r="AWL69" s="401"/>
      <c r="AWM69" s="401"/>
      <c r="AWN69" s="401"/>
      <c r="AWO69" s="401"/>
      <c r="AWP69" s="401"/>
      <c r="AWQ69" s="401"/>
      <c r="AWR69" s="401"/>
      <c r="AWS69" s="401"/>
      <c r="AWT69" s="401"/>
      <c r="AWU69" s="401"/>
      <c r="AWV69" s="401"/>
      <c r="AWW69" s="401"/>
      <c r="AWX69" s="401"/>
      <c r="AWY69" s="401"/>
      <c r="AWZ69" s="401"/>
      <c r="AXA69" s="401"/>
      <c r="AXB69" s="401"/>
      <c r="AXC69" s="401"/>
      <c r="AXD69" s="401"/>
      <c r="AXE69" s="401"/>
      <c r="AXF69" s="401"/>
      <c r="AXG69" s="401"/>
      <c r="AXH69" s="401"/>
      <c r="AXI69" s="401"/>
      <c r="AXJ69" s="401"/>
      <c r="AXK69" s="401"/>
      <c r="AXL69" s="401"/>
      <c r="AXM69" s="401"/>
      <c r="AXN69" s="401"/>
      <c r="AXO69" s="401"/>
      <c r="AXP69" s="401"/>
      <c r="AXQ69" s="401"/>
      <c r="AXR69" s="401"/>
      <c r="AXS69" s="401"/>
      <c r="AXT69" s="401"/>
      <c r="AXU69" s="401"/>
      <c r="AXV69" s="401"/>
      <c r="AXW69" s="401"/>
      <c r="AXX69" s="401"/>
      <c r="AXY69" s="401"/>
      <c r="AXZ69" s="401"/>
      <c r="AYA69" s="401"/>
      <c r="AYB69" s="401"/>
      <c r="AYC69" s="401"/>
      <c r="AYD69" s="401"/>
      <c r="AYE69" s="401"/>
      <c r="AYF69" s="401"/>
      <c r="AYG69" s="401"/>
      <c r="AYH69" s="401"/>
      <c r="AYI69" s="401"/>
      <c r="AYJ69" s="401"/>
      <c r="AYK69" s="401"/>
      <c r="AYL69" s="401"/>
      <c r="AYM69" s="401"/>
      <c r="AYN69" s="401"/>
      <c r="AYO69" s="401"/>
      <c r="AYP69" s="401"/>
      <c r="AYQ69" s="401"/>
      <c r="AYR69" s="401"/>
      <c r="AYS69" s="401"/>
      <c r="AYT69" s="401"/>
      <c r="AYU69" s="401"/>
      <c r="AYV69" s="401"/>
      <c r="AYW69" s="401"/>
      <c r="AYX69" s="401"/>
      <c r="AYY69" s="401"/>
      <c r="AYZ69" s="401"/>
      <c r="AZA69" s="401"/>
      <c r="AZB69" s="401"/>
      <c r="AZC69" s="401"/>
      <c r="AZD69" s="401"/>
      <c r="AZE69" s="401"/>
      <c r="AZF69" s="401"/>
      <c r="AZG69" s="401"/>
      <c r="AZH69" s="401"/>
      <c r="AZI69" s="401"/>
      <c r="AZJ69" s="401"/>
      <c r="AZK69" s="401"/>
      <c r="AZL69" s="401"/>
      <c r="AZM69" s="401"/>
      <c r="AZN69" s="401"/>
      <c r="AZO69" s="401"/>
      <c r="AZP69" s="401"/>
      <c r="AZQ69" s="401"/>
      <c r="AZR69" s="401"/>
      <c r="AZS69" s="401"/>
      <c r="AZT69" s="401"/>
      <c r="AZU69" s="401"/>
      <c r="AZV69" s="401"/>
      <c r="AZW69" s="401"/>
      <c r="AZX69" s="401"/>
      <c r="AZY69" s="401"/>
      <c r="AZZ69" s="401"/>
      <c r="BAA69" s="401"/>
      <c r="BAB69" s="401"/>
      <c r="BAC69" s="401"/>
      <c r="BAD69" s="401"/>
      <c r="BAE69" s="401"/>
      <c r="BAF69" s="401"/>
      <c r="BAG69" s="401"/>
      <c r="BAH69" s="401"/>
      <c r="BAI69" s="401"/>
      <c r="BAJ69" s="401"/>
      <c r="BAK69" s="401"/>
      <c r="BAL69" s="401"/>
      <c r="BAM69" s="401"/>
      <c r="BAN69" s="401"/>
      <c r="BAO69" s="401"/>
      <c r="BAP69" s="401"/>
      <c r="BAQ69" s="401"/>
      <c r="BAR69" s="401"/>
      <c r="BAS69" s="401"/>
      <c r="BAT69" s="401"/>
      <c r="BAU69" s="401"/>
      <c r="BAV69" s="401"/>
      <c r="BAW69" s="401"/>
      <c r="BAX69" s="401"/>
      <c r="BAY69" s="401"/>
      <c r="BAZ69" s="401"/>
      <c r="BBA69" s="401"/>
      <c r="BBB69" s="401"/>
      <c r="BBC69" s="401"/>
      <c r="BBD69" s="401"/>
      <c r="BBE69" s="401"/>
      <c r="BBF69" s="401"/>
      <c r="BBG69" s="401"/>
      <c r="BBH69" s="401"/>
      <c r="BBI69" s="401"/>
      <c r="BBJ69" s="401"/>
      <c r="BBK69" s="401"/>
      <c r="BBL69" s="401"/>
      <c r="BBM69" s="401"/>
      <c r="BBN69" s="401"/>
      <c r="BBO69" s="401"/>
      <c r="BBP69" s="401"/>
      <c r="BBQ69" s="401"/>
      <c r="BBR69" s="401"/>
      <c r="BBS69" s="401"/>
      <c r="BBT69" s="401"/>
      <c r="BBU69" s="401"/>
      <c r="BBV69" s="401"/>
      <c r="BBW69" s="401"/>
      <c r="BBX69" s="401"/>
      <c r="BBY69" s="401"/>
      <c r="BBZ69" s="401"/>
      <c r="BCA69" s="401"/>
      <c r="BCB69" s="401"/>
      <c r="BCC69" s="401"/>
      <c r="BCD69" s="401"/>
      <c r="BCE69" s="401"/>
      <c r="BCF69" s="401"/>
      <c r="BCG69" s="401"/>
      <c r="BCH69" s="401"/>
      <c r="BCI69" s="401"/>
      <c r="BCJ69" s="401"/>
      <c r="BCK69" s="401"/>
      <c r="BCL69" s="401"/>
      <c r="BCM69" s="401"/>
      <c r="BCN69" s="401"/>
      <c r="BCO69" s="401"/>
      <c r="BCP69" s="401"/>
      <c r="BCQ69" s="401"/>
      <c r="BCR69" s="401"/>
      <c r="BCS69" s="401"/>
      <c r="BCT69" s="401"/>
      <c r="BCU69" s="401"/>
      <c r="BCV69" s="401"/>
      <c r="BCW69" s="401"/>
      <c r="BCX69" s="401"/>
      <c r="BCY69" s="401"/>
      <c r="BCZ69" s="401"/>
      <c r="BDA69" s="401"/>
      <c r="BDB69" s="401"/>
      <c r="BDC69" s="401"/>
      <c r="BDD69" s="401"/>
      <c r="BDE69" s="401"/>
      <c r="BDF69" s="401"/>
      <c r="BDG69" s="401"/>
      <c r="BDH69" s="401"/>
      <c r="BDI69" s="401"/>
      <c r="BDJ69" s="401"/>
      <c r="BDK69" s="401"/>
      <c r="BDL69" s="401"/>
      <c r="BDM69" s="401"/>
      <c r="BDN69" s="401"/>
      <c r="BDO69" s="401"/>
      <c r="BDP69" s="401"/>
      <c r="BDQ69" s="401"/>
      <c r="BDR69" s="401"/>
      <c r="BDS69" s="401"/>
      <c r="BDT69" s="401"/>
      <c r="BDU69" s="401"/>
      <c r="BDV69" s="401"/>
      <c r="BDW69" s="401"/>
      <c r="BDX69" s="401"/>
      <c r="BDY69" s="401"/>
      <c r="BDZ69" s="401"/>
      <c r="BEA69" s="401"/>
      <c r="BEB69" s="401"/>
      <c r="BEC69" s="401"/>
      <c r="BED69" s="401"/>
      <c r="BEE69" s="401"/>
      <c r="BEF69" s="401"/>
      <c r="BEG69" s="401"/>
      <c r="BEH69" s="401"/>
      <c r="BEI69" s="401"/>
      <c r="BEJ69" s="401"/>
      <c r="BEK69" s="401"/>
      <c r="BEL69" s="401"/>
      <c r="BEM69" s="401"/>
      <c r="BEN69" s="401"/>
      <c r="BEO69" s="401"/>
      <c r="BEP69" s="401"/>
      <c r="BEQ69" s="401"/>
      <c r="BER69" s="401"/>
      <c r="BES69" s="401"/>
      <c r="BET69" s="401"/>
      <c r="BEU69" s="401"/>
      <c r="BEV69" s="401"/>
      <c r="BEW69" s="401"/>
      <c r="BEX69" s="401"/>
      <c r="BEY69" s="401"/>
      <c r="BEZ69" s="401"/>
      <c r="BFA69" s="401"/>
      <c r="BFB69" s="401"/>
      <c r="BFC69" s="401"/>
      <c r="BFD69" s="401"/>
      <c r="BFE69" s="401"/>
      <c r="BFF69" s="401"/>
      <c r="BFG69" s="401"/>
      <c r="BFH69" s="401"/>
      <c r="BFI69" s="401"/>
      <c r="BFJ69" s="401"/>
      <c r="BFK69" s="401"/>
      <c r="BFL69" s="401"/>
      <c r="BFM69" s="401"/>
      <c r="BFN69" s="401"/>
      <c r="BFO69" s="401"/>
      <c r="BFP69" s="401"/>
      <c r="BFQ69" s="401"/>
      <c r="BFR69" s="401"/>
      <c r="BFS69" s="401"/>
      <c r="BFT69" s="401"/>
      <c r="BFU69" s="401"/>
      <c r="BFV69" s="401"/>
      <c r="BFW69" s="401"/>
      <c r="BFX69" s="401"/>
      <c r="BFY69" s="401"/>
      <c r="BFZ69" s="401"/>
      <c r="BGA69" s="401"/>
      <c r="BGB69" s="401"/>
      <c r="BGC69" s="401"/>
      <c r="BGD69" s="401"/>
      <c r="BGE69" s="401"/>
      <c r="BGF69" s="401"/>
      <c r="BGG69" s="401"/>
      <c r="BGH69" s="401"/>
      <c r="BGI69" s="401"/>
      <c r="BGJ69" s="401"/>
      <c r="BGK69" s="401"/>
      <c r="BGL69" s="401"/>
      <c r="BGM69" s="401"/>
      <c r="BGN69" s="401"/>
      <c r="BGO69" s="401"/>
      <c r="BGP69" s="401"/>
      <c r="BGQ69" s="401"/>
      <c r="BGR69" s="401"/>
      <c r="BGS69" s="401"/>
      <c r="BGT69" s="401"/>
      <c r="BGU69" s="401"/>
      <c r="BGV69" s="401"/>
      <c r="BGW69" s="401"/>
      <c r="BGX69" s="401"/>
      <c r="BGY69" s="401"/>
      <c r="BGZ69" s="401"/>
      <c r="BHA69" s="401"/>
      <c r="BHB69" s="401"/>
      <c r="BHC69" s="401"/>
      <c r="BHD69" s="401"/>
      <c r="BHE69" s="401"/>
      <c r="BHF69" s="401"/>
      <c r="BHG69" s="401"/>
      <c r="BHH69" s="401"/>
      <c r="BHI69" s="401"/>
      <c r="BHJ69" s="401"/>
      <c r="BHK69" s="401"/>
      <c r="BHL69" s="401"/>
      <c r="BHM69" s="401"/>
      <c r="BHN69" s="401"/>
      <c r="BHO69" s="401"/>
      <c r="BHP69" s="401"/>
      <c r="BHQ69" s="401"/>
      <c r="BHR69" s="401"/>
      <c r="BHS69" s="401"/>
      <c r="BHT69" s="401"/>
      <c r="BHU69" s="401"/>
      <c r="BHV69" s="401"/>
      <c r="BHW69" s="401"/>
      <c r="BHX69" s="401"/>
      <c r="BHY69" s="401"/>
      <c r="BHZ69" s="401"/>
      <c r="BIA69" s="401"/>
      <c r="BIB69" s="401"/>
      <c r="BIC69" s="401"/>
      <c r="BID69" s="401"/>
      <c r="BIE69" s="401"/>
      <c r="BIF69" s="401"/>
      <c r="BIG69" s="401"/>
      <c r="BIH69" s="401"/>
      <c r="BII69" s="401"/>
      <c r="BIJ69" s="401"/>
      <c r="BIK69" s="401"/>
      <c r="BIL69" s="401"/>
      <c r="BIM69" s="401"/>
      <c r="BIN69" s="401"/>
      <c r="BIO69" s="401"/>
      <c r="BIP69" s="401"/>
      <c r="BIQ69" s="401"/>
      <c r="BIR69" s="401"/>
      <c r="BIS69" s="401"/>
      <c r="BIT69" s="401"/>
      <c r="BIU69" s="401"/>
      <c r="BIV69" s="401"/>
      <c r="BIW69" s="401"/>
      <c r="BIX69" s="401"/>
      <c r="BIY69" s="401"/>
      <c r="BIZ69" s="401"/>
      <c r="BJA69" s="401"/>
      <c r="BJB69" s="401"/>
      <c r="BJC69" s="401"/>
      <c r="BJD69" s="401"/>
      <c r="BJE69" s="401"/>
      <c r="BJF69" s="401"/>
      <c r="BJG69" s="401"/>
      <c r="BJH69" s="401"/>
      <c r="BJI69" s="401"/>
      <c r="BJJ69" s="401"/>
      <c r="BJK69" s="401"/>
      <c r="BJL69" s="401"/>
      <c r="BJM69" s="401"/>
      <c r="BJN69" s="401"/>
      <c r="BJO69" s="401"/>
      <c r="BJP69" s="401"/>
      <c r="BJQ69" s="401"/>
      <c r="BJR69" s="401"/>
      <c r="BJS69" s="401"/>
      <c r="BJT69" s="401"/>
      <c r="BJU69" s="401"/>
      <c r="BJV69" s="401"/>
      <c r="BJW69" s="401"/>
      <c r="BJX69" s="401"/>
      <c r="BJY69" s="401"/>
      <c r="BJZ69" s="401"/>
      <c r="BKA69" s="401"/>
      <c r="BKB69" s="401"/>
      <c r="BKC69" s="401"/>
      <c r="BKD69" s="401"/>
      <c r="BKE69" s="401"/>
      <c r="BKF69" s="401"/>
      <c r="BKG69" s="401"/>
      <c r="BKH69" s="401"/>
      <c r="BKI69" s="401"/>
      <c r="BKJ69" s="401"/>
      <c r="BKK69" s="401"/>
      <c r="BKL69" s="401"/>
      <c r="BKM69" s="401"/>
      <c r="BKN69" s="401"/>
      <c r="BKO69" s="401"/>
      <c r="BKP69" s="401"/>
      <c r="BKQ69" s="401"/>
      <c r="BKR69" s="401"/>
      <c r="BKS69" s="401"/>
      <c r="BKT69" s="401"/>
      <c r="BKU69" s="401"/>
      <c r="BKV69" s="401"/>
      <c r="BKW69" s="401"/>
      <c r="BKX69" s="401"/>
      <c r="BKY69" s="401"/>
      <c r="BKZ69" s="401"/>
      <c r="BLA69" s="401"/>
      <c r="BLB69" s="401"/>
      <c r="BLC69" s="401"/>
      <c r="BLD69" s="401"/>
      <c r="BLE69" s="401"/>
      <c r="BLF69" s="401"/>
      <c r="BLG69" s="401"/>
      <c r="BLH69" s="401"/>
      <c r="BLI69" s="401"/>
      <c r="BLJ69" s="401"/>
      <c r="BLK69" s="401"/>
      <c r="BLL69" s="401"/>
      <c r="BLM69" s="401"/>
      <c r="BLN69" s="401"/>
      <c r="BLO69" s="401"/>
      <c r="BLP69" s="401"/>
      <c r="BLQ69" s="401"/>
      <c r="BLR69" s="401"/>
      <c r="BLS69" s="401"/>
      <c r="BLT69" s="401"/>
      <c r="BLU69" s="401"/>
      <c r="BLV69" s="401"/>
      <c r="BLW69" s="401"/>
      <c r="BLX69" s="401"/>
      <c r="BLY69" s="401"/>
      <c r="BLZ69" s="401"/>
      <c r="BMA69" s="401"/>
      <c r="BMB69" s="401"/>
      <c r="BMC69" s="401"/>
      <c r="BMD69" s="401"/>
      <c r="BME69" s="401"/>
      <c r="BMF69" s="401"/>
      <c r="BMG69" s="401"/>
      <c r="BMH69" s="401"/>
      <c r="BMI69" s="401"/>
      <c r="BMJ69" s="401"/>
      <c r="BMK69" s="401"/>
      <c r="BML69" s="401"/>
      <c r="BMM69" s="401"/>
      <c r="BMN69" s="401"/>
      <c r="BMO69" s="401"/>
      <c r="BMP69" s="401"/>
      <c r="BMQ69" s="401"/>
      <c r="BMR69" s="401"/>
      <c r="BMS69" s="401"/>
      <c r="BMT69" s="401"/>
      <c r="BMU69" s="401"/>
      <c r="BMV69" s="401"/>
      <c r="BMW69" s="401"/>
      <c r="BMX69" s="401"/>
      <c r="BMY69" s="401"/>
      <c r="BMZ69" s="401"/>
      <c r="BNA69" s="401"/>
      <c r="BNB69" s="401"/>
      <c r="BNC69" s="401"/>
      <c r="BND69" s="401"/>
      <c r="BNE69" s="401"/>
      <c r="BNF69" s="401"/>
      <c r="BNG69" s="401"/>
      <c r="BNH69" s="401"/>
      <c r="BNI69" s="401"/>
      <c r="BNJ69" s="401"/>
      <c r="BNK69" s="401"/>
      <c r="BNL69" s="401"/>
      <c r="BNM69" s="401"/>
      <c r="BNN69" s="401"/>
      <c r="BNO69" s="401"/>
      <c r="BNP69" s="401"/>
      <c r="BNQ69" s="401"/>
      <c r="BNR69" s="401"/>
      <c r="BNS69" s="401"/>
      <c r="BNT69" s="401"/>
      <c r="BNU69" s="401"/>
      <c r="BNV69" s="401"/>
      <c r="BNW69" s="401"/>
      <c r="BNX69" s="401"/>
      <c r="BNY69" s="401"/>
      <c r="BNZ69" s="401"/>
      <c r="BOA69" s="401"/>
      <c r="BOB69" s="401"/>
      <c r="BOC69" s="401"/>
      <c r="BOD69" s="401"/>
      <c r="BOE69" s="401"/>
      <c r="BOF69" s="401"/>
      <c r="BOG69" s="401"/>
      <c r="BOH69" s="401"/>
      <c r="BOI69" s="401"/>
      <c r="BOJ69" s="401"/>
      <c r="BOK69" s="401"/>
      <c r="BOL69" s="401"/>
      <c r="BOM69" s="401"/>
      <c r="BON69" s="401"/>
      <c r="BOO69" s="401"/>
      <c r="BOP69" s="401"/>
      <c r="BOQ69" s="401"/>
      <c r="BOR69" s="401"/>
      <c r="BOS69" s="401"/>
      <c r="BOT69" s="401"/>
      <c r="BOU69" s="401"/>
      <c r="BOV69" s="401"/>
      <c r="BOW69" s="401"/>
      <c r="BOX69" s="401"/>
      <c r="BOY69" s="401"/>
      <c r="BOZ69" s="401"/>
      <c r="BPA69" s="401"/>
      <c r="BPB69" s="401"/>
      <c r="BPC69" s="401"/>
      <c r="BPD69" s="401"/>
      <c r="BPE69" s="401"/>
      <c r="BPF69" s="401"/>
      <c r="BPG69" s="401"/>
      <c r="BPH69" s="401"/>
      <c r="BPI69" s="401"/>
      <c r="BPJ69" s="401"/>
      <c r="BPK69" s="401"/>
      <c r="BPL69" s="401"/>
      <c r="BPM69" s="401"/>
      <c r="BPN69" s="401"/>
      <c r="BPO69" s="401"/>
      <c r="BPP69" s="401"/>
      <c r="BPQ69" s="401"/>
      <c r="BPR69" s="401"/>
      <c r="BPS69" s="401"/>
      <c r="BPT69" s="401"/>
      <c r="BPU69" s="401"/>
      <c r="BPV69" s="401"/>
      <c r="BPW69" s="401"/>
      <c r="BPX69" s="401"/>
      <c r="BPY69" s="401"/>
      <c r="BPZ69" s="401"/>
      <c r="BQA69" s="401"/>
      <c r="BQB69" s="401"/>
      <c r="BQC69" s="401"/>
      <c r="BQD69" s="401"/>
      <c r="BQE69" s="401"/>
      <c r="BQF69" s="401"/>
      <c r="BQG69" s="401"/>
      <c r="BQH69" s="401"/>
      <c r="BQI69" s="401"/>
      <c r="BQJ69" s="401"/>
      <c r="BQK69" s="401"/>
      <c r="BQL69" s="401"/>
      <c r="BQM69" s="401"/>
      <c r="BQN69" s="401"/>
      <c r="BQO69" s="401"/>
      <c r="BQP69" s="401"/>
      <c r="BQQ69" s="401"/>
      <c r="BQR69" s="401"/>
      <c r="BQS69" s="401"/>
      <c r="BQT69" s="401"/>
      <c r="BQU69" s="401"/>
      <c r="BQV69" s="401"/>
      <c r="BQW69" s="401"/>
      <c r="BQX69" s="401"/>
      <c r="BQY69" s="401"/>
      <c r="BQZ69" s="401"/>
      <c r="BRA69" s="401"/>
      <c r="BRB69" s="401"/>
      <c r="BRC69" s="401"/>
      <c r="BRD69" s="401"/>
      <c r="BRE69" s="401"/>
      <c r="BRF69" s="401"/>
      <c r="BRG69" s="401"/>
      <c r="BRH69" s="401"/>
      <c r="BRI69" s="401"/>
      <c r="BRJ69" s="401"/>
      <c r="BRK69" s="401"/>
      <c r="BRL69" s="401"/>
      <c r="BRM69" s="401"/>
      <c r="BRN69" s="401"/>
      <c r="BRO69" s="401"/>
      <c r="BRP69" s="401"/>
      <c r="BRQ69" s="401"/>
      <c r="BRR69" s="401"/>
      <c r="BRS69" s="401"/>
      <c r="BRT69" s="401"/>
      <c r="BRU69" s="401"/>
      <c r="BRV69" s="401"/>
      <c r="BRW69" s="401"/>
      <c r="BRX69" s="401"/>
      <c r="BRY69" s="401"/>
      <c r="BRZ69" s="401"/>
      <c r="BSA69" s="401"/>
      <c r="BSB69" s="401"/>
      <c r="BSC69" s="401"/>
      <c r="BSD69" s="401"/>
      <c r="BSE69" s="401"/>
      <c r="BSF69" s="401"/>
      <c r="BSG69" s="401"/>
      <c r="BSH69" s="401"/>
      <c r="BSI69" s="401"/>
      <c r="BSJ69" s="401"/>
      <c r="BSK69" s="401"/>
      <c r="BSL69" s="401"/>
      <c r="BSM69" s="401"/>
      <c r="BSN69" s="401"/>
      <c r="BSO69" s="401"/>
      <c r="BSP69" s="401"/>
      <c r="BSQ69" s="401"/>
      <c r="BSR69" s="401"/>
      <c r="BSS69" s="401"/>
      <c r="BST69" s="401"/>
      <c r="BSU69" s="401"/>
      <c r="BSV69" s="401"/>
      <c r="BSW69" s="401"/>
      <c r="BSX69" s="401"/>
      <c r="BSY69" s="401"/>
      <c r="BSZ69" s="401"/>
      <c r="BTA69" s="401"/>
      <c r="BTB69" s="401"/>
      <c r="BTC69" s="401"/>
      <c r="BTD69" s="401"/>
      <c r="BTE69" s="401"/>
      <c r="BTF69" s="401"/>
      <c r="BTG69" s="401"/>
      <c r="BTH69" s="401"/>
      <c r="BTI69" s="401"/>
      <c r="BTJ69" s="401"/>
      <c r="BTK69" s="401"/>
      <c r="BTL69" s="401"/>
      <c r="BTM69" s="401"/>
      <c r="BTN69" s="401"/>
      <c r="BTO69" s="401"/>
      <c r="BTP69" s="401"/>
      <c r="BTQ69" s="401"/>
      <c r="BTR69" s="401"/>
      <c r="BTS69" s="401"/>
      <c r="BTT69" s="401"/>
      <c r="BTU69" s="401"/>
      <c r="BTV69" s="401"/>
      <c r="BTW69" s="401"/>
      <c r="BTX69" s="401"/>
      <c r="BTY69" s="401"/>
      <c r="BTZ69" s="401"/>
      <c r="BUA69" s="401"/>
      <c r="BUB69" s="401"/>
      <c r="BUC69" s="401"/>
      <c r="BUD69" s="401"/>
      <c r="BUE69" s="401"/>
      <c r="BUF69" s="401"/>
      <c r="BUG69" s="401"/>
      <c r="BUH69" s="401"/>
      <c r="BUI69" s="401"/>
      <c r="BUJ69" s="401"/>
      <c r="BUK69" s="401"/>
      <c r="BUL69" s="401"/>
      <c r="BUM69" s="401"/>
      <c r="BUN69" s="401"/>
      <c r="BUO69" s="401"/>
      <c r="BUP69" s="401"/>
      <c r="BUQ69" s="401"/>
      <c r="BUR69" s="401"/>
      <c r="BUS69" s="401"/>
      <c r="BUT69" s="401"/>
      <c r="BUU69" s="401"/>
      <c r="BUV69" s="401"/>
      <c r="BUW69" s="401"/>
      <c r="BUX69" s="401"/>
      <c r="BUY69" s="401"/>
      <c r="BUZ69" s="401"/>
      <c r="BVA69" s="401"/>
      <c r="BVB69" s="401"/>
      <c r="BVC69" s="401"/>
      <c r="BVD69" s="401"/>
      <c r="BVE69" s="401"/>
      <c r="BVF69" s="401"/>
      <c r="BVG69" s="401"/>
      <c r="BVH69" s="401"/>
      <c r="BVI69" s="401"/>
      <c r="BVJ69" s="401"/>
      <c r="BVK69" s="401"/>
      <c r="BVL69" s="401"/>
      <c r="BVM69" s="401"/>
      <c r="BVN69" s="401"/>
      <c r="BVO69" s="401"/>
      <c r="BVP69" s="401"/>
      <c r="BVQ69" s="401"/>
      <c r="BVR69" s="401"/>
      <c r="BVS69" s="401"/>
      <c r="BVT69" s="401"/>
      <c r="BVU69" s="401"/>
      <c r="BVV69" s="401"/>
      <c r="BVW69" s="401"/>
      <c r="BVX69" s="401"/>
      <c r="BVY69" s="401"/>
      <c r="BVZ69" s="401"/>
      <c r="BWA69" s="401"/>
      <c r="BWB69" s="401"/>
      <c r="BWC69" s="401"/>
      <c r="BWD69" s="401"/>
      <c r="BWE69" s="401"/>
      <c r="BWF69" s="401"/>
      <c r="BWG69" s="401"/>
      <c r="BWH69" s="401"/>
      <c r="BWI69" s="401"/>
      <c r="BWJ69" s="401"/>
      <c r="BWK69" s="401"/>
      <c r="BWL69" s="401"/>
      <c r="BWM69" s="401"/>
      <c r="BWN69" s="401"/>
      <c r="BWO69" s="401"/>
      <c r="BWP69" s="401"/>
      <c r="BWQ69" s="401"/>
      <c r="BWR69" s="401"/>
      <c r="BWS69" s="401"/>
      <c r="BWT69" s="401"/>
      <c r="BWU69" s="401"/>
      <c r="BWV69" s="401"/>
      <c r="BWW69" s="401"/>
      <c r="BWX69" s="401"/>
      <c r="BWY69" s="401"/>
      <c r="BWZ69" s="401"/>
      <c r="BXA69" s="401"/>
      <c r="BXB69" s="401"/>
      <c r="BXC69" s="401"/>
      <c r="BXD69" s="401"/>
      <c r="BXE69" s="401"/>
      <c r="BXF69" s="401"/>
      <c r="BXG69" s="401"/>
      <c r="BXH69" s="401"/>
      <c r="BXI69" s="401"/>
      <c r="BXJ69" s="401"/>
      <c r="BXK69" s="401"/>
      <c r="BXL69" s="401"/>
      <c r="BXM69" s="401"/>
      <c r="BXN69" s="401"/>
      <c r="BXO69" s="401"/>
      <c r="BXP69" s="401"/>
      <c r="BXQ69" s="401"/>
      <c r="BXR69" s="401"/>
      <c r="BXS69" s="401"/>
      <c r="BXT69" s="401"/>
      <c r="BXU69" s="401"/>
      <c r="BXV69" s="401"/>
      <c r="BXW69" s="401"/>
      <c r="BXX69" s="401"/>
      <c r="BXY69" s="401"/>
      <c r="BXZ69" s="401"/>
      <c r="BYA69" s="401"/>
      <c r="BYB69" s="401"/>
      <c r="BYC69" s="401"/>
      <c r="BYD69" s="401"/>
      <c r="BYE69" s="401"/>
      <c r="BYF69" s="401"/>
      <c r="BYG69" s="401"/>
      <c r="BYH69" s="401"/>
      <c r="BYI69" s="401"/>
      <c r="BYJ69" s="401"/>
      <c r="BYK69" s="401"/>
      <c r="BYL69" s="401"/>
      <c r="BYM69" s="401"/>
      <c r="BYN69" s="401"/>
      <c r="BYO69" s="401"/>
      <c r="BYP69" s="401"/>
      <c r="BYQ69" s="401"/>
      <c r="BYR69" s="401"/>
      <c r="BYS69" s="401"/>
      <c r="BYT69" s="401"/>
      <c r="BYU69" s="401"/>
      <c r="BYV69" s="401"/>
      <c r="BYW69" s="401"/>
      <c r="BYX69" s="401"/>
      <c r="BYY69" s="401"/>
      <c r="BYZ69" s="401"/>
      <c r="BZA69" s="401"/>
      <c r="BZB69" s="401"/>
      <c r="BZC69" s="401"/>
      <c r="BZD69" s="401"/>
      <c r="BZE69" s="401"/>
      <c r="BZF69" s="401"/>
      <c r="BZG69" s="401"/>
      <c r="BZH69" s="401"/>
      <c r="BZI69" s="401"/>
      <c r="BZJ69" s="401"/>
      <c r="BZK69" s="401"/>
      <c r="BZL69" s="401"/>
      <c r="BZM69" s="401"/>
      <c r="BZN69" s="401"/>
      <c r="BZO69" s="401"/>
      <c r="BZP69" s="401"/>
      <c r="BZQ69" s="401"/>
      <c r="BZR69" s="401"/>
      <c r="BZS69" s="401"/>
      <c r="BZT69" s="401"/>
      <c r="BZU69" s="401"/>
      <c r="BZV69" s="401"/>
      <c r="BZW69" s="401"/>
      <c r="BZX69" s="401"/>
      <c r="BZY69" s="401"/>
      <c r="BZZ69" s="401"/>
      <c r="CAA69" s="401"/>
      <c r="CAB69" s="401"/>
      <c r="CAC69" s="401"/>
      <c r="CAD69" s="401"/>
      <c r="CAE69" s="401"/>
      <c r="CAF69" s="401"/>
      <c r="CAG69" s="401"/>
      <c r="CAH69" s="401"/>
      <c r="CAI69" s="401"/>
      <c r="CAJ69" s="401"/>
      <c r="CAK69" s="401"/>
      <c r="CAL69" s="401"/>
      <c r="CAM69" s="401"/>
      <c r="CAN69" s="401"/>
      <c r="CAO69" s="401"/>
      <c r="CAP69" s="401"/>
      <c r="CAQ69" s="401"/>
      <c r="CAR69" s="401"/>
      <c r="CAS69" s="401"/>
      <c r="CAT69" s="401"/>
      <c r="CAU69" s="401"/>
      <c r="CAV69" s="401"/>
      <c r="CAW69" s="401"/>
      <c r="CAX69" s="401"/>
      <c r="CAY69" s="401"/>
      <c r="CAZ69" s="401"/>
      <c r="CBA69" s="401"/>
      <c r="CBB69" s="401"/>
      <c r="CBC69" s="401"/>
      <c r="CBD69" s="401"/>
      <c r="CBE69" s="401"/>
      <c r="CBF69" s="401"/>
      <c r="CBG69" s="401"/>
      <c r="CBH69" s="401"/>
      <c r="CBI69" s="401"/>
      <c r="CBJ69" s="401"/>
      <c r="CBK69" s="401"/>
      <c r="CBL69" s="401"/>
      <c r="CBM69" s="401"/>
      <c r="CBN69" s="401"/>
      <c r="CBO69" s="401"/>
      <c r="CBP69" s="401"/>
      <c r="CBQ69" s="401"/>
      <c r="CBR69" s="401"/>
      <c r="CBS69" s="401"/>
      <c r="CBT69" s="401"/>
      <c r="CBU69" s="401"/>
      <c r="CBV69" s="401"/>
      <c r="CBW69" s="401"/>
      <c r="CBX69" s="401"/>
      <c r="CBY69" s="401"/>
      <c r="CBZ69" s="401"/>
      <c r="CCA69" s="401"/>
      <c r="CCB69" s="401"/>
      <c r="CCC69" s="401"/>
      <c r="CCD69" s="401"/>
      <c r="CCE69" s="401"/>
      <c r="CCF69" s="401"/>
      <c r="CCG69" s="401"/>
      <c r="CCH69" s="401"/>
      <c r="CCI69" s="401"/>
      <c r="CCJ69" s="401"/>
      <c r="CCK69" s="401"/>
      <c r="CCL69" s="401"/>
      <c r="CCM69" s="401"/>
      <c r="CCN69" s="401"/>
      <c r="CCO69" s="401"/>
      <c r="CCP69" s="401"/>
      <c r="CCQ69" s="401"/>
      <c r="CCR69" s="401"/>
      <c r="CCS69" s="401"/>
      <c r="CCT69" s="401"/>
      <c r="CCU69" s="401"/>
      <c r="CCV69" s="401"/>
      <c r="CCW69" s="401"/>
      <c r="CCX69" s="401"/>
      <c r="CCY69" s="401"/>
      <c r="CCZ69" s="401"/>
      <c r="CDA69" s="401"/>
      <c r="CDB69" s="401"/>
      <c r="CDC69" s="401"/>
      <c r="CDD69" s="401"/>
      <c r="CDE69" s="401"/>
      <c r="CDF69" s="401"/>
      <c r="CDG69" s="401"/>
      <c r="CDH69" s="401"/>
      <c r="CDI69" s="401"/>
      <c r="CDJ69" s="401"/>
      <c r="CDK69" s="401"/>
      <c r="CDL69" s="401"/>
      <c r="CDM69" s="401"/>
      <c r="CDN69" s="401"/>
      <c r="CDO69" s="401"/>
      <c r="CDP69" s="401"/>
      <c r="CDQ69" s="401"/>
      <c r="CDR69" s="401"/>
      <c r="CDS69" s="401"/>
      <c r="CDT69" s="401"/>
      <c r="CDU69" s="401"/>
      <c r="CDV69" s="401"/>
      <c r="CDW69" s="401"/>
      <c r="CDX69" s="401"/>
      <c r="CDY69" s="401"/>
      <c r="CDZ69" s="401"/>
      <c r="CEA69" s="401"/>
      <c r="CEB69" s="401"/>
      <c r="CEC69" s="401"/>
      <c r="CED69" s="401"/>
      <c r="CEE69" s="401"/>
      <c r="CEF69" s="401"/>
      <c r="CEG69" s="401"/>
      <c r="CEH69" s="401"/>
      <c r="CEI69" s="401"/>
      <c r="CEJ69" s="401"/>
      <c r="CEK69" s="401"/>
      <c r="CEL69" s="401"/>
      <c r="CEM69" s="401"/>
      <c r="CEN69" s="401"/>
      <c r="CEO69" s="401"/>
      <c r="CEP69" s="401"/>
      <c r="CEQ69" s="401"/>
      <c r="CER69" s="401"/>
      <c r="CES69" s="401"/>
      <c r="CET69" s="401"/>
      <c r="CEU69" s="401"/>
      <c r="CEV69" s="401"/>
      <c r="CEW69" s="401"/>
      <c r="CEX69" s="401"/>
      <c r="CEY69" s="401"/>
      <c r="CEZ69" s="401"/>
      <c r="CFA69" s="401"/>
      <c r="CFB69" s="401"/>
      <c r="CFC69" s="401"/>
      <c r="CFD69" s="401"/>
      <c r="CFE69" s="401"/>
      <c r="CFF69" s="401"/>
      <c r="CFG69" s="401"/>
      <c r="CFH69" s="401"/>
      <c r="CFI69" s="401"/>
      <c r="CFJ69" s="401"/>
      <c r="CFK69" s="401"/>
      <c r="CFL69" s="401"/>
      <c r="CFM69" s="401"/>
      <c r="CFN69" s="401"/>
      <c r="CFO69" s="401"/>
      <c r="CFP69" s="401"/>
      <c r="CFQ69" s="401"/>
      <c r="CFR69" s="401"/>
      <c r="CFS69" s="401"/>
      <c r="CFT69" s="401"/>
      <c r="CFU69" s="401"/>
      <c r="CFV69" s="401"/>
      <c r="CFW69" s="401"/>
      <c r="CFX69" s="401"/>
      <c r="CFY69" s="401"/>
      <c r="CFZ69" s="401"/>
      <c r="CGA69" s="401"/>
      <c r="CGB69" s="401"/>
      <c r="CGC69" s="401"/>
      <c r="CGD69" s="401"/>
      <c r="CGE69" s="401"/>
      <c r="CGF69" s="401"/>
      <c r="CGG69" s="401"/>
      <c r="CGH69" s="401"/>
      <c r="CGI69" s="401"/>
      <c r="CGJ69" s="401"/>
      <c r="CGK69" s="401"/>
      <c r="CGL69" s="401"/>
      <c r="CGM69" s="401"/>
      <c r="CGN69" s="401"/>
      <c r="CGO69" s="401"/>
      <c r="CGP69" s="401"/>
      <c r="CGQ69" s="401"/>
      <c r="CGR69" s="401"/>
      <c r="CGS69" s="401"/>
      <c r="CGT69" s="401"/>
      <c r="CGU69" s="401"/>
      <c r="CGV69" s="401"/>
      <c r="CGW69" s="401"/>
      <c r="CGX69" s="401"/>
      <c r="CGY69" s="401"/>
      <c r="CGZ69" s="401"/>
      <c r="CHA69" s="401"/>
      <c r="CHB69" s="401"/>
      <c r="CHC69" s="401"/>
      <c r="CHD69" s="401"/>
      <c r="CHE69" s="401"/>
      <c r="CHF69" s="401"/>
      <c r="CHG69" s="401"/>
      <c r="CHH69" s="401"/>
      <c r="CHI69" s="401"/>
      <c r="CHJ69" s="401"/>
      <c r="CHK69" s="401"/>
      <c r="CHL69" s="401"/>
      <c r="CHM69" s="401"/>
      <c r="CHN69" s="401"/>
      <c r="CHO69" s="401"/>
      <c r="CHP69" s="401"/>
      <c r="CHQ69" s="401"/>
      <c r="CHR69" s="401"/>
      <c r="CHS69" s="401"/>
      <c r="CHT69" s="401"/>
      <c r="CHU69" s="401"/>
      <c r="CHV69" s="401"/>
      <c r="CHW69" s="401"/>
      <c r="CHX69" s="401"/>
      <c r="CHY69" s="401"/>
      <c r="CHZ69" s="401"/>
      <c r="CIA69" s="401"/>
      <c r="CIB69" s="401"/>
      <c r="CIC69" s="401"/>
      <c r="CID69" s="401"/>
      <c r="CIE69" s="401"/>
      <c r="CIF69" s="401"/>
      <c r="CIG69" s="401"/>
      <c r="CIH69" s="401"/>
      <c r="CII69" s="401"/>
      <c r="CIJ69" s="401"/>
      <c r="CIK69" s="401"/>
      <c r="CIL69" s="401"/>
      <c r="CIM69" s="401"/>
      <c r="CIN69" s="401"/>
      <c r="CIO69" s="401"/>
      <c r="CIP69" s="401"/>
      <c r="CIQ69" s="401"/>
      <c r="CIR69" s="401"/>
      <c r="CIS69" s="401"/>
      <c r="CIT69" s="401"/>
      <c r="CIU69" s="401"/>
      <c r="CIV69" s="401"/>
      <c r="CIW69" s="401"/>
      <c r="CIX69" s="401"/>
      <c r="CIY69" s="401"/>
      <c r="CIZ69" s="401"/>
      <c r="CJA69" s="401"/>
      <c r="CJB69" s="401"/>
      <c r="CJC69" s="401"/>
      <c r="CJD69" s="401"/>
      <c r="CJE69" s="401"/>
      <c r="CJF69" s="401"/>
      <c r="CJG69" s="401"/>
      <c r="CJH69" s="401"/>
      <c r="CJI69" s="401"/>
      <c r="CJJ69" s="401"/>
      <c r="CJK69" s="401"/>
      <c r="CJL69" s="401"/>
      <c r="CJM69" s="401"/>
      <c r="CJN69" s="401"/>
      <c r="CJO69" s="401"/>
      <c r="CJP69" s="401"/>
      <c r="CJQ69" s="401"/>
      <c r="CJR69" s="401"/>
      <c r="CJS69" s="401"/>
      <c r="CJT69" s="401"/>
      <c r="CJU69" s="401"/>
      <c r="CJV69" s="401"/>
      <c r="CJW69" s="401"/>
      <c r="CJX69" s="401"/>
      <c r="CJY69" s="401"/>
      <c r="CJZ69" s="401"/>
      <c r="CKA69" s="401"/>
      <c r="CKB69" s="401"/>
      <c r="CKC69" s="401"/>
      <c r="CKD69" s="401"/>
      <c r="CKE69" s="401"/>
      <c r="CKF69" s="401"/>
      <c r="CKG69" s="401"/>
      <c r="CKH69" s="401"/>
      <c r="CKI69" s="401"/>
      <c r="CKJ69" s="401"/>
      <c r="CKK69" s="401"/>
      <c r="CKL69" s="401"/>
      <c r="CKM69" s="401"/>
      <c r="CKN69" s="401"/>
      <c r="CKO69" s="401"/>
      <c r="CKP69" s="401"/>
      <c r="CKQ69" s="401"/>
      <c r="CKR69" s="401"/>
      <c r="CKS69" s="401"/>
      <c r="CKT69" s="401"/>
      <c r="CKU69" s="401"/>
      <c r="CKV69" s="401"/>
      <c r="CKW69" s="401"/>
      <c r="CKX69" s="401"/>
      <c r="CKY69" s="401"/>
      <c r="CKZ69" s="401"/>
      <c r="CLA69" s="401"/>
      <c r="CLB69" s="401"/>
      <c r="CLC69" s="401"/>
      <c r="CLD69" s="401"/>
      <c r="CLE69" s="401"/>
      <c r="CLF69" s="401"/>
      <c r="CLG69" s="401"/>
      <c r="CLH69" s="401"/>
      <c r="CLI69" s="401"/>
      <c r="CLJ69" s="401"/>
      <c r="CLK69" s="401"/>
      <c r="CLL69" s="401"/>
      <c r="CLM69" s="401"/>
      <c r="CLN69" s="401"/>
      <c r="CLO69" s="401"/>
      <c r="CLP69" s="401"/>
      <c r="CLQ69" s="401"/>
      <c r="CLR69" s="401"/>
      <c r="CLS69" s="401"/>
      <c r="CLT69" s="401"/>
      <c r="CLU69" s="401"/>
      <c r="CLV69" s="401"/>
      <c r="CLW69" s="401"/>
      <c r="CLX69" s="401"/>
      <c r="CLY69" s="401"/>
      <c r="CLZ69" s="401"/>
      <c r="CMA69" s="401"/>
      <c r="CMB69" s="401"/>
      <c r="CMC69" s="401"/>
      <c r="CMD69" s="401"/>
      <c r="CME69" s="401"/>
      <c r="CMF69" s="401"/>
      <c r="CMG69" s="401"/>
      <c r="CMH69" s="401"/>
      <c r="CMI69" s="401"/>
      <c r="CMJ69" s="401"/>
      <c r="CMK69" s="401"/>
      <c r="CML69" s="401"/>
      <c r="CMM69" s="401"/>
      <c r="CMN69" s="401"/>
      <c r="CMO69" s="401"/>
      <c r="CMP69" s="401"/>
      <c r="CMQ69" s="401"/>
      <c r="CMR69" s="401"/>
      <c r="CMS69" s="401"/>
      <c r="CMT69" s="401"/>
      <c r="CMU69" s="401"/>
      <c r="CMV69" s="401"/>
      <c r="CMW69" s="401"/>
      <c r="CMX69" s="401"/>
      <c r="CMY69" s="401"/>
      <c r="CMZ69" s="401"/>
      <c r="CNA69" s="401"/>
      <c r="CNB69" s="401"/>
      <c r="CNC69" s="401"/>
      <c r="CND69" s="401"/>
      <c r="CNE69" s="401"/>
      <c r="CNF69" s="401"/>
      <c r="CNG69" s="401"/>
      <c r="CNH69" s="401"/>
      <c r="CNI69" s="401"/>
      <c r="CNJ69" s="401"/>
      <c r="CNK69" s="401"/>
      <c r="CNL69" s="401"/>
      <c r="CNM69" s="401"/>
      <c r="CNN69" s="401"/>
      <c r="CNO69" s="401"/>
      <c r="CNP69" s="401"/>
      <c r="CNQ69" s="401"/>
      <c r="CNR69" s="401"/>
      <c r="CNS69" s="401"/>
      <c r="CNT69" s="401"/>
      <c r="CNU69" s="401"/>
      <c r="CNV69" s="401"/>
      <c r="CNW69" s="401"/>
      <c r="CNX69" s="401"/>
      <c r="CNY69" s="401"/>
      <c r="CNZ69" s="401"/>
      <c r="COA69" s="401"/>
      <c r="COB69" s="401"/>
      <c r="COC69" s="401"/>
      <c r="COD69" s="401"/>
      <c r="COE69" s="401"/>
      <c r="COF69" s="401"/>
      <c r="COG69" s="401"/>
      <c r="COH69" s="401"/>
      <c r="COI69" s="401"/>
      <c r="COJ69" s="401"/>
      <c r="COK69" s="401"/>
      <c r="COL69" s="401"/>
      <c r="COM69" s="401"/>
      <c r="CON69" s="401"/>
      <c r="COO69" s="401"/>
      <c r="COP69" s="401"/>
      <c r="COQ69" s="401"/>
      <c r="COR69" s="401"/>
      <c r="COS69" s="401"/>
      <c r="COT69" s="401"/>
      <c r="COU69" s="401"/>
      <c r="COV69" s="401"/>
      <c r="COW69" s="401"/>
      <c r="COX69" s="401"/>
      <c r="COY69" s="401"/>
      <c r="COZ69" s="401"/>
      <c r="CPA69" s="401"/>
      <c r="CPB69" s="401"/>
      <c r="CPC69" s="401"/>
      <c r="CPD69" s="401"/>
      <c r="CPE69" s="401"/>
      <c r="CPF69" s="401"/>
      <c r="CPG69" s="401"/>
      <c r="CPH69" s="401"/>
      <c r="CPI69" s="401"/>
      <c r="CPJ69" s="401"/>
      <c r="CPK69" s="401"/>
      <c r="CPL69" s="401"/>
      <c r="CPM69" s="401"/>
      <c r="CPN69" s="401"/>
      <c r="CPO69" s="401"/>
      <c r="CPP69" s="401"/>
      <c r="CPQ69" s="401"/>
      <c r="CPR69" s="401"/>
      <c r="CPS69" s="401"/>
      <c r="CPT69" s="401"/>
      <c r="CPU69" s="401"/>
      <c r="CPV69" s="401"/>
      <c r="CPW69" s="401"/>
      <c r="CPX69" s="401"/>
      <c r="CPY69" s="401"/>
      <c r="CPZ69" s="401"/>
      <c r="CQA69" s="401"/>
      <c r="CQB69" s="401"/>
      <c r="CQC69" s="401"/>
      <c r="CQD69" s="401"/>
      <c r="CQE69" s="401"/>
      <c r="CQF69" s="401"/>
      <c r="CQG69" s="401"/>
      <c r="CQH69" s="401"/>
      <c r="CQI69" s="401"/>
      <c r="CQJ69" s="401"/>
      <c r="CQK69" s="401"/>
      <c r="CQL69" s="401"/>
      <c r="CQM69" s="401"/>
      <c r="CQN69" s="401"/>
      <c r="CQO69" s="401"/>
      <c r="CQP69" s="401"/>
      <c r="CQQ69" s="401"/>
      <c r="CQR69" s="401"/>
      <c r="CQS69" s="401"/>
      <c r="CQT69" s="401"/>
      <c r="CQU69" s="401"/>
      <c r="CQV69" s="401"/>
      <c r="CQW69" s="401"/>
      <c r="CQX69" s="401"/>
      <c r="CQY69" s="401"/>
      <c r="CQZ69" s="401"/>
      <c r="CRA69" s="401"/>
      <c r="CRB69" s="401"/>
      <c r="CRC69" s="401"/>
      <c r="CRD69" s="401"/>
      <c r="CRE69" s="401"/>
      <c r="CRF69" s="401"/>
      <c r="CRG69" s="401"/>
      <c r="CRH69" s="401"/>
      <c r="CRI69" s="401"/>
      <c r="CRJ69" s="401"/>
      <c r="CRK69" s="401"/>
      <c r="CRL69" s="401"/>
      <c r="CRM69" s="401"/>
      <c r="CRN69" s="401"/>
      <c r="CRO69" s="401"/>
      <c r="CRP69" s="401"/>
      <c r="CRQ69" s="401"/>
      <c r="CRR69" s="401"/>
      <c r="CRS69" s="401"/>
      <c r="CRT69" s="401"/>
      <c r="CRU69" s="401"/>
      <c r="CRV69" s="401"/>
      <c r="CRW69" s="401"/>
      <c r="CRX69" s="401"/>
      <c r="CRY69" s="401"/>
      <c r="CRZ69" s="401"/>
      <c r="CSA69" s="401"/>
      <c r="CSB69" s="401"/>
      <c r="CSC69" s="401"/>
      <c r="CSD69" s="401"/>
      <c r="CSE69" s="401"/>
      <c r="CSF69" s="401"/>
      <c r="CSG69" s="401"/>
      <c r="CSH69" s="401"/>
      <c r="CSI69" s="401"/>
      <c r="CSJ69" s="401"/>
      <c r="CSK69" s="401"/>
      <c r="CSL69" s="401"/>
      <c r="CSM69" s="401"/>
      <c r="CSN69" s="401"/>
      <c r="CSO69" s="401"/>
      <c r="CSP69" s="401"/>
      <c r="CSQ69" s="401"/>
      <c r="CSR69" s="401"/>
      <c r="CSS69" s="401"/>
      <c r="CST69" s="401"/>
      <c r="CSU69" s="401"/>
      <c r="CSV69" s="401"/>
      <c r="CSW69" s="401"/>
      <c r="CSX69" s="401"/>
      <c r="CSY69" s="401"/>
      <c r="CSZ69" s="401"/>
      <c r="CTA69" s="401"/>
      <c r="CTB69" s="401"/>
      <c r="CTC69" s="401"/>
      <c r="CTD69" s="401"/>
      <c r="CTE69" s="401"/>
      <c r="CTF69" s="401"/>
      <c r="CTG69" s="401"/>
      <c r="CTH69" s="401"/>
      <c r="CTI69" s="401"/>
      <c r="CTJ69" s="401"/>
      <c r="CTK69" s="401"/>
      <c r="CTL69" s="401"/>
      <c r="CTM69" s="401"/>
      <c r="CTN69" s="401"/>
      <c r="CTO69" s="401"/>
      <c r="CTP69" s="401"/>
      <c r="CTQ69" s="401"/>
      <c r="CTR69" s="401"/>
      <c r="CTS69" s="401"/>
      <c r="CTT69" s="401"/>
      <c r="CTU69" s="401"/>
      <c r="CTV69" s="401"/>
      <c r="CTW69" s="401"/>
      <c r="CTX69" s="401"/>
      <c r="CTY69" s="401"/>
      <c r="CTZ69" s="401"/>
      <c r="CUA69" s="401"/>
      <c r="CUB69" s="401"/>
      <c r="CUC69" s="401"/>
      <c r="CUD69" s="401"/>
      <c r="CUE69" s="401"/>
      <c r="CUF69" s="401"/>
      <c r="CUG69" s="401"/>
      <c r="CUH69" s="401"/>
      <c r="CUI69" s="401"/>
      <c r="CUJ69" s="401"/>
      <c r="CUK69" s="401"/>
      <c r="CUL69" s="401"/>
      <c r="CUM69" s="401"/>
      <c r="CUN69" s="401"/>
      <c r="CUO69" s="401"/>
      <c r="CUP69" s="401"/>
      <c r="CUQ69" s="401"/>
      <c r="CUR69" s="401"/>
      <c r="CUS69" s="401"/>
      <c r="CUT69" s="401"/>
      <c r="CUU69" s="401"/>
      <c r="CUV69" s="401"/>
      <c r="CUW69" s="401"/>
      <c r="CUX69" s="401"/>
      <c r="CUY69" s="401"/>
      <c r="CUZ69" s="401"/>
      <c r="CVA69" s="401"/>
      <c r="CVB69" s="401"/>
      <c r="CVC69" s="401"/>
      <c r="CVD69" s="401"/>
      <c r="CVE69" s="401"/>
      <c r="CVF69" s="401"/>
      <c r="CVG69" s="401"/>
      <c r="CVH69" s="401"/>
      <c r="CVI69" s="401"/>
      <c r="CVJ69" s="401"/>
      <c r="CVK69" s="401"/>
      <c r="CVL69" s="401"/>
      <c r="CVM69" s="401"/>
      <c r="CVN69" s="401"/>
      <c r="CVO69" s="401"/>
      <c r="CVP69" s="401"/>
      <c r="CVQ69" s="401"/>
      <c r="CVR69" s="401"/>
      <c r="CVS69" s="401"/>
      <c r="CVT69" s="401"/>
      <c r="CVU69" s="401"/>
      <c r="CVV69" s="401"/>
      <c r="CVW69" s="401"/>
      <c r="CVX69" s="401"/>
      <c r="CVY69" s="401"/>
      <c r="CVZ69" s="401"/>
      <c r="CWA69" s="401"/>
      <c r="CWB69" s="401"/>
      <c r="CWC69" s="401"/>
      <c r="CWD69" s="401"/>
      <c r="CWE69" s="401"/>
      <c r="CWF69" s="401"/>
      <c r="CWG69" s="401"/>
      <c r="CWH69" s="401"/>
      <c r="CWI69" s="401"/>
      <c r="CWJ69" s="401"/>
      <c r="CWK69" s="401"/>
      <c r="CWL69" s="401"/>
      <c r="CWM69" s="401"/>
      <c r="CWN69" s="401"/>
      <c r="CWO69" s="401"/>
      <c r="CWP69" s="401"/>
      <c r="CWQ69" s="401"/>
      <c r="CWR69" s="401"/>
      <c r="CWS69" s="401"/>
      <c r="CWT69" s="401"/>
      <c r="CWU69" s="401"/>
      <c r="CWV69" s="401"/>
      <c r="CWW69" s="401"/>
      <c r="CWX69" s="401"/>
      <c r="CWY69" s="401"/>
      <c r="CWZ69" s="401"/>
      <c r="CXA69" s="401"/>
      <c r="CXB69" s="401"/>
      <c r="CXC69" s="401"/>
      <c r="CXD69" s="401"/>
      <c r="CXE69" s="401"/>
      <c r="CXF69" s="401"/>
      <c r="CXG69" s="401"/>
      <c r="CXH69" s="401"/>
      <c r="CXI69" s="401"/>
      <c r="CXJ69" s="401"/>
      <c r="CXK69" s="401"/>
      <c r="CXL69" s="401"/>
      <c r="CXM69" s="401"/>
      <c r="CXN69" s="401"/>
      <c r="CXO69" s="401"/>
      <c r="CXP69" s="401"/>
      <c r="CXQ69" s="401"/>
      <c r="CXR69" s="401"/>
      <c r="CXS69" s="401"/>
      <c r="CXT69" s="401"/>
      <c r="CXU69" s="401"/>
      <c r="CXV69" s="401"/>
      <c r="CXW69" s="401"/>
      <c r="CXX69" s="401"/>
      <c r="CXY69" s="401"/>
      <c r="CXZ69" s="401"/>
      <c r="CYA69" s="401"/>
      <c r="CYB69" s="401"/>
      <c r="CYC69" s="401"/>
      <c r="CYD69" s="401"/>
      <c r="CYE69" s="401"/>
      <c r="CYF69" s="401"/>
      <c r="CYG69" s="401"/>
      <c r="CYH69" s="401"/>
      <c r="CYI69" s="401"/>
      <c r="CYJ69" s="401"/>
      <c r="CYK69" s="401"/>
      <c r="CYL69" s="401"/>
      <c r="CYM69" s="401"/>
      <c r="CYN69" s="401"/>
      <c r="CYO69" s="401"/>
      <c r="CYP69" s="401"/>
      <c r="CYQ69" s="401"/>
      <c r="CYR69" s="401"/>
      <c r="CYS69" s="401"/>
      <c r="CYT69" s="401"/>
      <c r="CYU69" s="401"/>
      <c r="CYV69" s="401"/>
      <c r="CYW69" s="401"/>
      <c r="CYX69" s="401"/>
      <c r="CYY69" s="401"/>
      <c r="CYZ69" s="401"/>
      <c r="CZA69" s="401"/>
      <c r="CZB69" s="401"/>
      <c r="CZC69" s="401"/>
      <c r="CZD69" s="401"/>
      <c r="CZE69" s="401"/>
      <c r="CZF69" s="401"/>
      <c r="CZG69" s="401"/>
      <c r="CZH69" s="401"/>
      <c r="CZI69" s="401"/>
      <c r="CZJ69" s="401"/>
      <c r="CZK69" s="401"/>
      <c r="CZL69" s="401"/>
      <c r="CZM69" s="401"/>
      <c r="CZN69" s="401"/>
      <c r="CZO69" s="401"/>
      <c r="CZP69" s="401"/>
      <c r="CZQ69" s="401"/>
      <c r="CZR69" s="401"/>
      <c r="CZS69" s="401"/>
      <c r="CZT69" s="401"/>
      <c r="CZU69" s="401"/>
      <c r="CZV69" s="401"/>
      <c r="CZW69" s="401"/>
      <c r="CZX69" s="401"/>
      <c r="CZY69" s="401"/>
      <c r="CZZ69" s="401"/>
      <c r="DAA69" s="401"/>
      <c r="DAB69" s="401"/>
      <c r="DAC69" s="401"/>
      <c r="DAD69" s="401"/>
      <c r="DAE69" s="401"/>
      <c r="DAF69" s="401"/>
      <c r="DAG69" s="401"/>
      <c r="DAH69" s="401"/>
      <c r="DAI69" s="401"/>
      <c r="DAJ69" s="401"/>
      <c r="DAK69" s="401"/>
      <c r="DAL69" s="401"/>
      <c r="DAM69" s="401"/>
      <c r="DAN69" s="401"/>
      <c r="DAO69" s="401"/>
      <c r="DAP69" s="401"/>
      <c r="DAQ69" s="401"/>
      <c r="DAR69" s="401"/>
      <c r="DAS69" s="401"/>
      <c r="DAT69" s="401"/>
      <c r="DAU69" s="401"/>
      <c r="DAV69" s="401"/>
      <c r="DAW69" s="401"/>
      <c r="DAX69" s="401"/>
      <c r="DAY69" s="401"/>
      <c r="DAZ69" s="401"/>
      <c r="DBA69" s="401"/>
      <c r="DBB69" s="401"/>
      <c r="DBC69" s="401"/>
      <c r="DBD69" s="401"/>
      <c r="DBE69" s="401"/>
      <c r="DBF69" s="401"/>
      <c r="DBG69" s="401"/>
      <c r="DBH69" s="401"/>
      <c r="DBI69" s="401"/>
      <c r="DBJ69" s="401"/>
      <c r="DBK69" s="401"/>
      <c r="DBL69" s="401"/>
      <c r="DBM69" s="401"/>
      <c r="DBN69" s="401"/>
      <c r="DBO69" s="401"/>
      <c r="DBP69" s="401"/>
      <c r="DBQ69" s="401"/>
      <c r="DBR69" s="401"/>
      <c r="DBS69" s="401"/>
      <c r="DBT69" s="401"/>
      <c r="DBU69" s="401"/>
      <c r="DBV69" s="401"/>
      <c r="DBW69" s="401"/>
      <c r="DBX69" s="401"/>
      <c r="DBY69" s="401"/>
      <c r="DBZ69" s="401"/>
      <c r="DCA69" s="401"/>
      <c r="DCB69" s="401"/>
      <c r="DCC69" s="401"/>
      <c r="DCD69" s="401"/>
      <c r="DCE69" s="401"/>
      <c r="DCF69" s="401"/>
      <c r="DCG69" s="401"/>
      <c r="DCH69" s="401"/>
      <c r="DCI69" s="401"/>
      <c r="DCJ69" s="401"/>
      <c r="DCK69" s="401"/>
      <c r="DCL69" s="401"/>
      <c r="DCM69" s="401"/>
      <c r="DCN69" s="401"/>
      <c r="DCO69" s="401"/>
      <c r="DCP69" s="401"/>
      <c r="DCQ69" s="401"/>
      <c r="DCR69" s="401"/>
      <c r="DCS69" s="401"/>
      <c r="DCT69" s="401"/>
      <c r="DCU69" s="401"/>
      <c r="DCV69" s="401"/>
      <c r="DCW69" s="401"/>
      <c r="DCX69" s="401"/>
      <c r="DCY69" s="401"/>
      <c r="DCZ69" s="401"/>
      <c r="DDA69" s="401"/>
      <c r="DDB69" s="401"/>
      <c r="DDC69" s="401"/>
      <c r="DDD69" s="401"/>
      <c r="DDE69" s="401"/>
      <c r="DDF69" s="401"/>
      <c r="DDG69" s="401"/>
      <c r="DDH69" s="401"/>
      <c r="DDI69" s="401"/>
      <c r="DDJ69" s="401"/>
      <c r="DDK69" s="401"/>
      <c r="DDL69" s="401"/>
      <c r="DDM69" s="401"/>
      <c r="DDN69" s="401"/>
      <c r="DDO69" s="401"/>
      <c r="DDP69" s="401"/>
      <c r="DDQ69" s="401"/>
      <c r="DDR69" s="401"/>
      <c r="DDS69" s="401"/>
      <c r="DDT69" s="401"/>
      <c r="DDU69" s="401"/>
      <c r="DDV69" s="401"/>
      <c r="DDW69" s="401"/>
      <c r="DDX69" s="401"/>
      <c r="DDY69" s="401"/>
      <c r="DDZ69" s="401"/>
      <c r="DEA69" s="401"/>
      <c r="DEB69" s="401"/>
      <c r="DEC69" s="401"/>
      <c r="DED69" s="401"/>
      <c r="DEE69" s="401"/>
      <c r="DEF69" s="401"/>
      <c r="DEG69" s="401"/>
      <c r="DEH69" s="401"/>
      <c r="DEI69" s="401"/>
      <c r="DEJ69" s="401"/>
      <c r="DEK69" s="401"/>
      <c r="DEL69" s="401"/>
      <c r="DEM69" s="401"/>
      <c r="DEN69" s="401"/>
      <c r="DEO69" s="401"/>
      <c r="DEP69" s="401"/>
      <c r="DEQ69" s="401"/>
      <c r="DER69" s="401"/>
      <c r="DES69" s="401"/>
      <c r="DET69" s="401"/>
      <c r="DEU69" s="401"/>
      <c r="DEV69" s="401"/>
      <c r="DEW69" s="401"/>
      <c r="DEX69" s="401"/>
      <c r="DEY69" s="401"/>
      <c r="DEZ69" s="401"/>
      <c r="DFA69" s="401"/>
      <c r="DFB69" s="401"/>
      <c r="DFC69" s="401"/>
      <c r="DFD69" s="401"/>
      <c r="DFE69" s="401"/>
      <c r="DFF69" s="401"/>
      <c r="DFG69" s="401"/>
      <c r="DFH69" s="401"/>
      <c r="DFI69" s="401"/>
      <c r="DFJ69" s="401"/>
      <c r="DFK69" s="401"/>
      <c r="DFL69" s="401"/>
      <c r="DFM69" s="401"/>
      <c r="DFN69" s="401"/>
      <c r="DFO69" s="401"/>
      <c r="DFP69" s="401"/>
      <c r="DFQ69" s="401"/>
      <c r="DFR69" s="401"/>
      <c r="DFS69" s="401"/>
      <c r="DFT69" s="401"/>
      <c r="DFU69" s="401"/>
      <c r="DFV69" s="401"/>
      <c r="DFW69" s="401"/>
      <c r="DFX69" s="401"/>
      <c r="DFY69" s="401"/>
      <c r="DFZ69" s="401"/>
      <c r="DGA69" s="401"/>
      <c r="DGB69" s="401"/>
      <c r="DGC69" s="401"/>
      <c r="DGD69" s="401"/>
      <c r="DGE69" s="401"/>
      <c r="DGF69" s="401"/>
      <c r="DGG69" s="401"/>
      <c r="DGH69" s="401"/>
      <c r="DGI69" s="401"/>
      <c r="DGJ69" s="401"/>
      <c r="DGK69" s="401"/>
      <c r="DGL69" s="401"/>
      <c r="DGM69" s="401"/>
      <c r="DGN69" s="401"/>
      <c r="DGO69" s="401"/>
      <c r="DGP69" s="401"/>
      <c r="DGQ69" s="401"/>
      <c r="DGR69" s="401"/>
      <c r="DGS69" s="401"/>
      <c r="DGT69" s="401"/>
      <c r="DGU69" s="401"/>
      <c r="DGV69" s="401"/>
      <c r="DGW69" s="401"/>
      <c r="DGX69" s="401"/>
      <c r="DGY69" s="401"/>
      <c r="DGZ69" s="401"/>
      <c r="DHA69" s="401"/>
      <c r="DHB69" s="401"/>
      <c r="DHC69" s="401"/>
      <c r="DHD69" s="401"/>
      <c r="DHE69" s="401"/>
      <c r="DHF69" s="401"/>
      <c r="DHG69" s="401"/>
      <c r="DHH69" s="401"/>
      <c r="DHI69" s="401"/>
      <c r="DHJ69" s="401"/>
      <c r="DHK69" s="401"/>
      <c r="DHL69" s="401"/>
      <c r="DHM69" s="401"/>
      <c r="DHN69" s="401"/>
      <c r="DHO69" s="401"/>
      <c r="DHP69" s="401"/>
      <c r="DHQ69" s="401"/>
      <c r="DHR69" s="401"/>
      <c r="DHS69" s="401"/>
      <c r="DHT69" s="401"/>
      <c r="DHU69" s="401"/>
      <c r="DHV69" s="401"/>
      <c r="DHW69" s="401"/>
      <c r="DHX69" s="401"/>
      <c r="DHY69" s="401"/>
      <c r="DHZ69" s="401"/>
      <c r="DIA69" s="401"/>
      <c r="DIB69" s="401"/>
      <c r="DIC69" s="401"/>
      <c r="DID69" s="401"/>
      <c r="DIE69" s="401"/>
      <c r="DIF69" s="401"/>
      <c r="DIG69" s="401"/>
      <c r="DIH69" s="401"/>
      <c r="DII69" s="401"/>
      <c r="DIJ69" s="401"/>
      <c r="DIK69" s="401"/>
      <c r="DIL69" s="401"/>
      <c r="DIM69" s="401"/>
      <c r="DIN69" s="401"/>
      <c r="DIO69" s="401"/>
      <c r="DIP69" s="401"/>
      <c r="DIQ69" s="401"/>
      <c r="DIR69" s="401"/>
      <c r="DIS69" s="401"/>
      <c r="DIT69" s="401"/>
      <c r="DIU69" s="401"/>
      <c r="DIV69" s="401"/>
      <c r="DIW69" s="401"/>
      <c r="DIX69" s="401"/>
      <c r="DIY69" s="401"/>
      <c r="DIZ69" s="401"/>
      <c r="DJA69" s="401"/>
      <c r="DJB69" s="401"/>
      <c r="DJC69" s="401"/>
      <c r="DJD69" s="401"/>
      <c r="DJE69" s="401"/>
      <c r="DJF69" s="401"/>
      <c r="DJG69" s="401"/>
      <c r="DJH69" s="401"/>
      <c r="DJI69" s="401"/>
      <c r="DJJ69" s="401"/>
      <c r="DJK69" s="401"/>
      <c r="DJL69" s="401"/>
      <c r="DJM69" s="401"/>
      <c r="DJN69" s="401"/>
      <c r="DJO69" s="401"/>
      <c r="DJP69" s="401"/>
      <c r="DJQ69" s="401"/>
      <c r="DJR69" s="401"/>
      <c r="DJS69" s="401"/>
      <c r="DJT69" s="401"/>
      <c r="DJU69" s="401"/>
      <c r="DJV69" s="401"/>
      <c r="DJW69" s="401"/>
      <c r="DJX69" s="401"/>
      <c r="DJY69" s="401"/>
      <c r="DJZ69" s="401"/>
      <c r="DKA69" s="401"/>
      <c r="DKB69" s="401"/>
      <c r="DKC69" s="401"/>
      <c r="DKD69" s="401"/>
      <c r="DKE69" s="401"/>
      <c r="DKF69" s="401"/>
      <c r="DKG69" s="401"/>
      <c r="DKH69" s="401"/>
      <c r="DKI69" s="401"/>
      <c r="DKJ69" s="401"/>
      <c r="DKK69" s="401"/>
      <c r="DKL69" s="401"/>
      <c r="DKM69" s="401"/>
      <c r="DKN69" s="401"/>
      <c r="DKO69" s="401"/>
      <c r="DKP69" s="401"/>
      <c r="DKQ69" s="401"/>
      <c r="DKR69" s="401"/>
      <c r="DKS69" s="401"/>
      <c r="DKT69" s="401"/>
      <c r="DKU69" s="401"/>
      <c r="DKV69" s="401"/>
      <c r="DKW69" s="401"/>
      <c r="DKX69" s="401"/>
      <c r="DKY69" s="401"/>
      <c r="DKZ69" s="401"/>
      <c r="DLA69" s="401"/>
      <c r="DLB69" s="401"/>
      <c r="DLC69" s="401"/>
      <c r="DLD69" s="401"/>
      <c r="DLE69" s="401"/>
      <c r="DLF69" s="401"/>
      <c r="DLG69" s="401"/>
      <c r="DLH69" s="401"/>
      <c r="DLI69" s="401"/>
      <c r="DLJ69" s="401"/>
      <c r="DLK69" s="401"/>
      <c r="DLL69" s="401"/>
      <c r="DLM69" s="401"/>
      <c r="DLN69" s="401"/>
      <c r="DLO69" s="401"/>
      <c r="DLP69" s="401"/>
      <c r="DLQ69" s="401"/>
      <c r="DLR69" s="401"/>
      <c r="DLS69" s="401"/>
      <c r="DLT69" s="401"/>
      <c r="DLU69" s="401"/>
      <c r="DLV69" s="401"/>
      <c r="DLW69" s="401"/>
      <c r="DLX69" s="401"/>
      <c r="DLY69" s="401"/>
      <c r="DLZ69" s="401"/>
      <c r="DMA69" s="401"/>
      <c r="DMB69" s="401"/>
      <c r="DMC69" s="401"/>
      <c r="DMD69" s="401"/>
      <c r="DME69" s="401"/>
      <c r="DMF69" s="401"/>
      <c r="DMG69" s="401"/>
      <c r="DMH69" s="401"/>
      <c r="DMI69" s="401"/>
      <c r="DMJ69" s="401"/>
      <c r="DMK69" s="401"/>
      <c r="DML69" s="401"/>
      <c r="DMM69" s="401"/>
      <c r="DMN69" s="401"/>
      <c r="DMO69" s="401"/>
      <c r="DMP69" s="401"/>
      <c r="DMQ69" s="401"/>
      <c r="DMR69" s="401"/>
      <c r="DMS69" s="401"/>
      <c r="DMT69" s="401"/>
      <c r="DMU69" s="401"/>
      <c r="DMV69" s="401"/>
      <c r="DMW69" s="401"/>
      <c r="DMX69" s="401"/>
      <c r="DMY69" s="401"/>
      <c r="DMZ69" s="401"/>
      <c r="DNA69" s="401"/>
      <c r="DNB69" s="401"/>
      <c r="DNC69" s="401"/>
      <c r="DND69" s="401"/>
      <c r="DNE69" s="401"/>
      <c r="DNF69" s="401"/>
      <c r="DNG69" s="401"/>
      <c r="DNH69" s="401"/>
      <c r="DNI69" s="401"/>
      <c r="DNJ69" s="401"/>
      <c r="DNK69" s="401"/>
      <c r="DNL69" s="401"/>
      <c r="DNM69" s="401"/>
      <c r="DNN69" s="401"/>
      <c r="DNO69" s="401"/>
      <c r="DNP69" s="401"/>
      <c r="DNQ69" s="401"/>
      <c r="DNR69" s="401"/>
      <c r="DNS69" s="401"/>
      <c r="DNT69" s="401"/>
      <c r="DNU69" s="401"/>
      <c r="DNV69" s="401"/>
      <c r="DNW69" s="401"/>
      <c r="DNX69" s="401"/>
      <c r="DNY69" s="401"/>
      <c r="DNZ69" s="401"/>
      <c r="DOA69" s="401"/>
      <c r="DOB69" s="401"/>
      <c r="DOC69" s="401"/>
      <c r="DOD69" s="401"/>
      <c r="DOE69" s="401"/>
      <c r="DOF69" s="401"/>
      <c r="DOG69" s="401"/>
      <c r="DOH69" s="401"/>
      <c r="DOI69" s="401"/>
      <c r="DOJ69" s="401"/>
      <c r="DOK69" s="401"/>
      <c r="DOL69" s="401"/>
      <c r="DOM69" s="401"/>
      <c r="DON69" s="401"/>
      <c r="DOO69" s="401"/>
      <c r="DOP69" s="401"/>
      <c r="DOQ69" s="401"/>
      <c r="DOR69" s="401"/>
      <c r="DOS69" s="401"/>
      <c r="DOT69" s="401"/>
      <c r="DOU69" s="401"/>
      <c r="DOV69" s="401"/>
      <c r="DOW69" s="401"/>
      <c r="DOX69" s="401"/>
      <c r="DOY69" s="401"/>
      <c r="DOZ69" s="401"/>
      <c r="DPA69" s="401"/>
      <c r="DPB69" s="401"/>
      <c r="DPC69" s="401"/>
      <c r="DPD69" s="401"/>
      <c r="DPE69" s="401"/>
      <c r="DPF69" s="401"/>
      <c r="DPG69" s="401"/>
      <c r="DPH69" s="401"/>
      <c r="DPI69" s="401"/>
      <c r="DPJ69" s="401"/>
      <c r="DPK69" s="401"/>
      <c r="DPL69" s="401"/>
      <c r="DPM69" s="401"/>
      <c r="DPN69" s="401"/>
      <c r="DPO69" s="401"/>
      <c r="DPP69" s="401"/>
      <c r="DPQ69" s="401"/>
      <c r="DPR69" s="401"/>
      <c r="DPS69" s="401"/>
      <c r="DPT69" s="401"/>
      <c r="DPU69" s="401"/>
      <c r="DPV69" s="401"/>
      <c r="DPW69" s="401"/>
      <c r="DPX69" s="401"/>
      <c r="DPY69" s="401"/>
      <c r="DPZ69" s="401"/>
      <c r="DQA69" s="401"/>
      <c r="DQB69" s="401"/>
      <c r="DQC69" s="401"/>
      <c r="DQD69" s="401"/>
      <c r="DQE69" s="401"/>
      <c r="DQF69" s="401"/>
      <c r="DQG69" s="401"/>
      <c r="DQH69" s="401"/>
      <c r="DQI69" s="401"/>
      <c r="DQJ69" s="401"/>
      <c r="DQK69" s="401"/>
      <c r="DQL69" s="401"/>
      <c r="DQM69" s="401"/>
      <c r="DQN69" s="401"/>
      <c r="DQO69" s="401"/>
      <c r="DQP69" s="401"/>
      <c r="DQQ69" s="401"/>
      <c r="DQR69" s="401"/>
      <c r="DQS69" s="401"/>
      <c r="DQT69" s="401"/>
      <c r="DQU69" s="401"/>
      <c r="DQV69" s="401"/>
      <c r="DQW69" s="401"/>
      <c r="DQX69" s="401"/>
      <c r="DQY69" s="401"/>
      <c r="DQZ69" s="401"/>
      <c r="DRA69" s="401"/>
      <c r="DRB69" s="401"/>
      <c r="DRC69" s="401"/>
      <c r="DRD69" s="401"/>
      <c r="DRE69" s="401"/>
      <c r="DRF69" s="401"/>
      <c r="DRG69" s="401"/>
      <c r="DRH69" s="401"/>
      <c r="DRI69" s="401"/>
      <c r="DRJ69" s="401"/>
      <c r="DRK69" s="401"/>
      <c r="DRL69" s="401"/>
      <c r="DRM69" s="401"/>
      <c r="DRN69" s="401"/>
      <c r="DRO69" s="401"/>
      <c r="DRP69" s="401"/>
      <c r="DRQ69" s="401"/>
      <c r="DRR69" s="401"/>
      <c r="DRS69" s="401"/>
      <c r="DRT69" s="401"/>
      <c r="DRU69" s="401"/>
      <c r="DRV69" s="401"/>
      <c r="DRW69" s="401"/>
      <c r="DRX69" s="401"/>
      <c r="DRY69" s="401"/>
      <c r="DRZ69" s="401"/>
      <c r="DSA69" s="401"/>
      <c r="DSB69" s="401"/>
      <c r="DSC69" s="401"/>
      <c r="DSD69" s="401"/>
      <c r="DSE69" s="401"/>
      <c r="DSF69" s="401"/>
      <c r="DSG69" s="401"/>
      <c r="DSH69" s="401"/>
      <c r="DSI69" s="401"/>
      <c r="DSJ69" s="401"/>
      <c r="DSK69" s="401"/>
      <c r="DSL69" s="401"/>
      <c r="DSM69" s="401"/>
      <c r="DSN69" s="401"/>
      <c r="DSO69" s="401"/>
      <c r="DSP69" s="401"/>
      <c r="DSQ69" s="401"/>
      <c r="DSR69" s="401"/>
      <c r="DSS69" s="401"/>
      <c r="DST69" s="401"/>
      <c r="DSU69" s="401"/>
      <c r="DSV69" s="401"/>
      <c r="DSW69" s="401"/>
      <c r="DSX69" s="401"/>
      <c r="DSY69" s="401"/>
      <c r="DSZ69" s="401"/>
      <c r="DTA69" s="401"/>
      <c r="DTB69" s="401"/>
      <c r="DTC69" s="401"/>
      <c r="DTD69" s="401"/>
      <c r="DTE69" s="401"/>
      <c r="DTF69" s="401"/>
      <c r="DTG69" s="401"/>
      <c r="DTH69" s="401"/>
      <c r="DTI69" s="401"/>
      <c r="DTJ69" s="401"/>
      <c r="DTK69" s="401"/>
      <c r="DTL69" s="401"/>
      <c r="DTM69" s="401"/>
      <c r="DTN69" s="401"/>
      <c r="DTO69" s="401"/>
      <c r="DTP69" s="401"/>
      <c r="DTQ69" s="401"/>
      <c r="DTR69" s="401"/>
      <c r="DTS69" s="401"/>
      <c r="DTT69" s="401"/>
      <c r="DTU69" s="401"/>
      <c r="DTV69" s="401"/>
      <c r="DTW69" s="401"/>
      <c r="DTX69" s="401"/>
      <c r="DTY69" s="401"/>
      <c r="DTZ69" s="401"/>
      <c r="DUA69" s="401"/>
      <c r="DUB69" s="401"/>
      <c r="DUC69" s="401"/>
      <c r="DUD69" s="401"/>
      <c r="DUE69" s="401"/>
      <c r="DUF69" s="401"/>
      <c r="DUG69" s="401"/>
      <c r="DUH69" s="401"/>
      <c r="DUI69" s="401"/>
      <c r="DUJ69" s="401"/>
      <c r="DUK69" s="401"/>
      <c r="DUL69" s="401"/>
      <c r="DUM69" s="401"/>
      <c r="DUN69" s="401"/>
      <c r="DUO69" s="401"/>
      <c r="DUP69" s="401"/>
      <c r="DUQ69" s="401"/>
      <c r="DUR69" s="401"/>
      <c r="DUS69" s="401"/>
      <c r="DUT69" s="401"/>
      <c r="DUU69" s="401"/>
      <c r="DUV69" s="401"/>
      <c r="DUW69" s="401"/>
      <c r="DUX69" s="401"/>
      <c r="DUY69" s="401"/>
      <c r="DUZ69" s="401"/>
      <c r="DVA69" s="401"/>
      <c r="DVB69" s="401"/>
      <c r="DVC69" s="401"/>
      <c r="DVD69" s="401"/>
      <c r="DVE69" s="401"/>
      <c r="DVF69" s="401"/>
      <c r="DVG69" s="401"/>
      <c r="DVH69" s="401"/>
      <c r="DVI69" s="401"/>
      <c r="DVJ69" s="401"/>
      <c r="DVK69" s="401"/>
      <c r="DVL69" s="401"/>
      <c r="DVM69" s="401"/>
      <c r="DVN69" s="401"/>
      <c r="DVO69" s="401"/>
      <c r="DVP69" s="401"/>
      <c r="DVQ69" s="401"/>
      <c r="DVR69" s="401"/>
      <c r="DVS69" s="401"/>
      <c r="DVT69" s="401"/>
      <c r="DVU69" s="401"/>
      <c r="DVV69" s="401"/>
      <c r="DVW69" s="401"/>
      <c r="DVX69" s="401"/>
      <c r="DVY69" s="401"/>
      <c r="DVZ69" s="401"/>
      <c r="DWA69" s="401"/>
      <c r="DWB69" s="401"/>
      <c r="DWC69" s="401"/>
      <c r="DWD69" s="401"/>
      <c r="DWE69" s="401"/>
      <c r="DWF69" s="401"/>
      <c r="DWG69" s="401"/>
      <c r="DWH69" s="401"/>
      <c r="DWI69" s="401"/>
      <c r="DWJ69" s="401"/>
      <c r="DWK69" s="401"/>
      <c r="DWL69" s="401"/>
      <c r="DWM69" s="401"/>
      <c r="DWN69" s="401"/>
      <c r="DWO69" s="401"/>
      <c r="DWP69" s="401"/>
      <c r="DWQ69" s="401"/>
      <c r="DWR69" s="401"/>
      <c r="DWS69" s="401"/>
      <c r="DWT69" s="401"/>
      <c r="DWU69" s="401"/>
      <c r="DWV69" s="401"/>
      <c r="DWW69" s="401"/>
      <c r="DWX69" s="401"/>
      <c r="DWY69" s="401"/>
      <c r="DWZ69" s="401"/>
      <c r="DXA69" s="401"/>
      <c r="DXB69" s="401"/>
      <c r="DXC69" s="401"/>
      <c r="DXD69" s="401"/>
      <c r="DXE69" s="401"/>
      <c r="DXF69" s="401"/>
      <c r="DXG69" s="401"/>
      <c r="DXH69" s="401"/>
      <c r="DXI69" s="401"/>
      <c r="DXJ69" s="401"/>
      <c r="DXK69" s="401"/>
      <c r="DXL69" s="401"/>
      <c r="DXM69" s="401"/>
      <c r="DXN69" s="401"/>
      <c r="DXO69" s="401"/>
      <c r="DXP69" s="401"/>
      <c r="DXQ69" s="401"/>
      <c r="DXR69" s="401"/>
      <c r="DXS69" s="401"/>
      <c r="DXT69" s="401"/>
      <c r="DXU69" s="401"/>
      <c r="DXV69" s="401"/>
      <c r="DXW69" s="401"/>
      <c r="DXX69" s="401"/>
      <c r="DXY69" s="401"/>
      <c r="DXZ69" s="401"/>
      <c r="DYA69" s="401"/>
      <c r="DYB69" s="401"/>
      <c r="DYC69" s="401"/>
      <c r="DYD69" s="401"/>
      <c r="DYE69" s="401"/>
      <c r="DYF69" s="401"/>
      <c r="DYG69" s="401"/>
      <c r="DYH69" s="401"/>
      <c r="DYI69" s="401"/>
      <c r="DYJ69" s="401"/>
      <c r="DYK69" s="401"/>
      <c r="DYL69" s="401"/>
      <c r="DYM69" s="401"/>
      <c r="DYN69" s="401"/>
      <c r="DYO69" s="401"/>
      <c r="DYP69" s="401"/>
      <c r="DYQ69" s="401"/>
      <c r="DYR69" s="401"/>
      <c r="DYS69" s="401"/>
      <c r="DYT69" s="401"/>
      <c r="DYU69" s="401"/>
      <c r="DYV69" s="401"/>
      <c r="DYW69" s="401"/>
      <c r="DYX69" s="401"/>
      <c r="DYY69" s="401"/>
      <c r="DYZ69" s="401"/>
      <c r="DZA69" s="401"/>
      <c r="DZB69" s="401"/>
      <c r="DZC69" s="401"/>
      <c r="DZD69" s="401"/>
      <c r="DZE69" s="401"/>
      <c r="DZF69" s="401"/>
      <c r="DZG69" s="401"/>
      <c r="DZH69" s="401"/>
      <c r="DZI69" s="401"/>
      <c r="DZJ69" s="401"/>
      <c r="DZK69" s="401"/>
      <c r="DZL69" s="401"/>
      <c r="DZM69" s="401"/>
      <c r="DZN69" s="401"/>
      <c r="DZO69" s="401"/>
      <c r="DZP69" s="401"/>
      <c r="DZQ69" s="401"/>
      <c r="DZR69" s="401"/>
      <c r="DZS69" s="401"/>
      <c r="DZT69" s="401"/>
      <c r="DZU69" s="401"/>
      <c r="DZV69" s="401"/>
      <c r="DZW69" s="401"/>
      <c r="DZX69" s="401"/>
      <c r="DZY69" s="401"/>
      <c r="DZZ69" s="401"/>
      <c r="EAA69" s="401"/>
      <c r="EAB69" s="401"/>
      <c r="EAC69" s="401"/>
      <c r="EAD69" s="401"/>
      <c r="EAE69" s="401"/>
      <c r="EAF69" s="401"/>
      <c r="EAG69" s="401"/>
      <c r="EAH69" s="401"/>
      <c r="EAI69" s="401"/>
      <c r="EAJ69" s="401"/>
      <c r="EAK69" s="401"/>
      <c r="EAL69" s="401"/>
      <c r="EAM69" s="401"/>
      <c r="EAN69" s="401"/>
      <c r="EAO69" s="401"/>
      <c r="EAP69" s="401"/>
      <c r="EAQ69" s="401"/>
      <c r="EAR69" s="401"/>
      <c r="EAS69" s="401"/>
      <c r="EAT69" s="401"/>
      <c r="EAU69" s="401"/>
      <c r="EAV69" s="401"/>
      <c r="EAW69" s="401"/>
      <c r="EAX69" s="401"/>
      <c r="EAY69" s="401"/>
      <c r="EAZ69" s="401"/>
      <c r="EBA69" s="401"/>
      <c r="EBB69" s="401"/>
      <c r="EBC69" s="401"/>
      <c r="EBD69" s="401"/>
      <c r="EBE69" s="401"/>
      <c r="EBF69" s="401"/>
      <c r="EBG69" s="401"/>
      <c r="EBH69" s="401"/>
      <c r="EBI69" s="401"/>
      <c r="EBJ69" s="401"/>
      <c r="EBK69" s="401"/>
      <c r="EBL69" s="401"/>
      <c r="EBM69" s="401"/>
      <c r="EBN69" s="401"/>
      <c r="EBO69" s="401"/>
      <c r="EBP69" s="401"/>
      <c r="EBQ69" s="401"/>
      <c r="EBR69" s="401"/>
      <c r="EBS69" s="401"/>
      <c r="EBT69" s="401"/>
      <c r="EBU69" s="401"/>
      <c r="EBV69" s="401"/>
      <c r="EBW69" s="401"/>
      <c r="EBX69" s="401"/>
      <c r="EBY69" s="401"/>
      <c r="EBZ69" s="401"/>
      <c r="ECA69" s="401"/>
      <c r="ECB69" s="401"/>
      <c r="ECC69" s="401"/>
      <c r="ECD69" s="401"/>
      <c r="ECE69" s="401"/>
      <c r="ECF69" s="401"/>
      <c r="ECG69" s="401"/>
      <c r="ECH69" s="401"/>
      <c r="ECI69" s="401"/>
      <c r="ECJ69" s="401"/>
      <c r="ECK69" s="401"/>
      <c r="ECL69" s="401"/>
      <c r="ECM69" s="401"/>
      <c r="ECN69" s="401"/>
      <c r="ECO69" s="401"/>
      <c r="ECP69" s="401"/>
      <c r="ECQ69" s="401"/>
      <c r="ECR69" s="401"/>
      <c r="ECS69" s="401"/>
      <c r="ECT69" s="401"/>
      <c r="ECU69" s="401"/>
      <c r="ECV69" s="401"/>
      <c r="ECW69" s="401"/>
      <c r="ECX69" s="401"/>
      <c r="ECY69" s="401"/>
      <c r="ECZ69" s="401"/>
      <c r="EDA69" s="401"/>
      <c r="EDB69" s="401"/>
      <c r="EDC69" s="401"/>
      <c r="EDD69" s="401"/>
      <c r="EDE69" s="401"/>
      <c r="EDF69" s="401"/>
      <c r="EDG69" s="401"/>
      <c r="EDH69" s="401"/>
      <c r="EDI69" s="401"/>
      <c r="EDJ69" s="401"/>
      <c r="EDK69" s="401"/>
      <c r="EDL69" s="401"/>
      <c r="EDM69" s="401"/>
      <c r="EDN69" s="401"/>
      <c r="EDO69" s="401"/>
      <c r="EDP69" s="401"/>
      <c r="EDQ69" s="401"/>
      <c r="EDR69" s="401"/>
      <c r="EDS69" s="401"/>
      <c r="EDT69" s="401"/>
      <c r="EDU69" s="401"/>
      <c r="EDV69" s="401"/>
      <c r="EDW69" s="401"/>
      <c r="EDX69" s="401"/>
      <c r="EDY69" s="401"/>
      <c r="EDZ69" s="401"/>
      <c r="EEA69" s="401"/>
      <c r="EEB69" s="401"/>
      <c r="EEC69" s="401"/>
      <c r="EED69" s="401"/>
      <c r="EEE69" s="401"/>
      <c r="EEF69" s="401"/>
      <c r="EEG69" s="401"/>
      <c r="EEH69" s="401"/>
      <c r="EEI69" s="401"/>
      <c r="EEJ69" s="401"/>
      <c r="EEK69" s="401"/>
      <c r="EEL69" s="401"/>
      <c r="EEM69" s="401"/>
      <c r="EEN69" s="401"/>
      <c r="EEO69" s="401"/>
      <c r="EEP69" s="401"/>
      <c r="EEQ69" s="401"/>
      <c r="EER69" s="401"/>
      <c r="EES69" s="401"/>
      <c r="EET69" s="401"/>
      <c r="EEU69" s="401"/>
      <c r="EEV69" s="401"/>
      <c r="EEW69" s="401"/>
      <c r="EEX69" s="401"/>
      <c r="EEY69" s="401"/>
      <c r="EEZ69" s="401"/>
      <c r="EFA69" s="401"/>
      <c r="EFB69" s="401"/>
      <c r="EFC69" s="401"/>
      <c r="EFD69" s="401"/>
      <c r="EFE69" s="401"/>
      <c r="EFF69" s="401"/>
      <c r="EFG69" s="401"/>
      <c r="EFH69" s="401"/>
      <c r="EFI69" s="401"/>
      <c r="EFJ69" s="401"/>
      <c r="EFK69" s="401"/>
      <c r="EFL69" s="401"/>
      <c r="EFM69" s="401"/>
      <c r="EFN69" s="401"/>
      <c r="EFO69" s="401"/>
      <c r="EFP69" s="401"/>
      <c r="EFQ69" s="401"/>
      <c r="EFR69" s="401"/>
      <c r="EFS69" s="401"/>
      <c r="EFT69" s="401"/>
      <c r="EFU69" s="401"/>
      <c r="EFV69" s="401"/>
      <c r="EFW69" s="401"/>
      <c r="EFX69" s="401"/>
      <c r="EFY69" s="401"/>
      <c r="EFZ69" s="401"/>
      <c r="EGA69" s="401"/>
      <c r="EGB69" s="401"/>
      <c r="EGC69" s="401"/>
      <c r="EGD69" s="401"/>
      <c r="EGE69" s="401"/>
      <c r="EGF69" s="401"/>
      <c r="EGG69" s="401"/>
      <c r="EGH69" s="401"/>
      <c r="EGI69" s="401"/>
      <c r="EGJ69" s="401"/>
      <c r="EGK69" s="401"/>
      <c r="EGL69" s="401"/>
      <c r="EGM69" s="401"/>
      <c r="EGN69" s="401"/>
      <c r="EGO69" s="401"/>
      <c r="EGP69" s="401"/>
      <c r="EGQ69" s="401"/>
      <c r="EGR69" s="401"/>
      <c r="EGS69" s="401"/>
      <c r="EGT69" s="401"/>
      <c r="EGU69" s="401"/>
      <c r="EGV69" s="401"/>
      <c r="EGW69" s="401"/>
      <c r="EGX69" s="401"/>
      <c r="EGY69" s="401"/>
      <c r="EGZ69" s="401"/>
      <c r="EHA69" s="401"/>
      <c r="EHB69" s="401"/>
      <c r="EHC69" s="401"/>
      <c r="EHD69" s="401"/>
      <c r="EHE69" s="401"/>
      <c r="EHF69" s="401"/>
      <c r="EHG69" s="401"/>
      <c r="EHH69" s="401"/>
      <c r="EHI69" s="401"/>
      <c r="EHJ69" s="401"/>
      <c r="EHK69" s="401"/>
      <c r="EHL69" s="401"/>
      <c r="EHM69" s="401"/>
      <c r="EHN69" s="401"/>
      <c r="EHO69" s="401"/>
      <c r="EHP69" s="401"/>
      <c r="EHQ69" s="401"/>
      <c r="EHR69" s="401"/>
      <c r="EHS69" s="401"/>
      <c r="EHT69" s="401"/>
      <c r="EHU69" s="401"/>
      <c r="EHV69" s="401"/>
      <c r="EHW69" s="401"/>
      <c r="EHX69" s="401"/>
      <c r="EHY69" s="401"/>
      <c r="EHZ69" s="401"/>
      <c r="EIA69" s="401"/>
      <c r="EIB69" s="401"/>
      <c r="EIC69" s="401"/>
      <c r="EID69" s="401"/>
      <c r="EIE69" s="401"/>
      <c r="EIF69" s="401"/>
      <c r="EIG69" s="401"/>
      <c r="EIH69" s="401"/>
      <c r="EII69" s="401"/>
      <c r="EIJ69" s="401"/>
      <c r="EIK69" s="401"/>
      <c r="EIL69" s="401"/>
      <c r="EIM69" s="401"/>
      <c r="EIN69" s="401"/>
      <c r="EIO69" s="401"/>
      <c r="EIP69" s="401"/>
      <c r="EIQ69" s="401"/>
      <c r="EIR69" s="401"/>
      <c r="EIS69" s="401"/>
      <c r="EIT69" s="401"/>
      <c r="EIU69" s="401"/>
      <c r="EIV69" s="401"/>
      <c r="EIW69" s="401"/>
      <c r="EIX69" s="401"/>
      <c r="EIY69" s="401"/>
      <c r="EIZ69" s="401"/>
      <c r="EJA69" s="401"/>
      <c r="EJB69" s="401"/>
      <c r="EJC69" s="401"/>
      <c r="EJD69" s="401"/>
      <c r="EJE69" s="401"/>
      <c r="EJF69" s="401"/>
      <c r="EJG69" s="401"/>
      <c r="EJH69" s="401"/>
      <c r="EJI69" s="401"/>
      <c r="EJJ69" s="401"/>
      <c r="EJK69" s="401"/>
      <c r="EJL69" s="401"/>
      <c r="EJM69" s="401"/>
      <c r="EJN69" s="401"/>
      <c r="EJO69" s="401"/>
      <c r="EJP69" s="401"/>
      <c r="EJQ69" s="401"/>
      <c r="EJR69" s="401"/>
      <c r="EJS69" s="401"/>
      <c r="EJT69" s="401"/>
      <c r="EJU69" s="401"/>
      <c r="EJV69" s="401"/>
      <c r="EJW69" s="401"/>
      <c r="EJX69" s="401"/>
      <c r="EJY69" s="401"/>
      <c r="EJZ69" s="401"/>
      <c r="EKA69" s="401"/>
      <c r="EKB69" s="401"/>
      <c r="EKC69" s="401"/>
      <c r="EKD69" s="401"/>
      <c r="EKE69" s="401"/>
      <c r="EKF69" s="401"/>
      <c r="EKG69" s="401"/>
      <c r="EKH69" s="401"/>
      <c r="EKI69" s="401"/>
      <c r="EKJ69" s="401"/>
      <c r="EKK69" s="401"/>
      <c r="EKL69" s="401"/>
      <c r="EKM69" s="401"/>
      <c r="EKN69" s="401"/>
      <c r="EKO69" s="401"/>
      <c r="EKP69" s="401"/>
      <c r="EKQ69" s="401"/>
      <c r="EKR69" s="401"/>
      <c r="EKS69" s="401"/>
      <c r="EKT69" s="401"/>
      <c r="EKU69" s="401"/>
      <c r="EKV69" s="401"/>
      <c r="EKW69" s="401"/>
      <c r="EKX69" s="401"/>
      <c r="EKY69" s="401"/>
      <c r="EKZ69" s="401"/>
      <c r="ELA69" s="401"/>
      <c r="ELB69" s="401"/>
      <c r="ELC69" s="401"/>
      <c r="ELD69" s="401"/>
      <c r="ELE69" s="401"/>
      <c r="ELF69" s="401"/>
      <c r="ELG69" s="401"/>
      <c r="ELH69" s="401"/>
      <c r="ELI69" s="401"/>
      <c r="ELJ69" s="401"/>
      <c r="ELK69" s="401"/>
      <c r="ELL69" s="401"/>
      <c r="ELM69" s="401"/>
      <c r="ELN69" s="401"/>
      <c r="ELO69" s="401"/>
      <c r="ELP69" s="401"/>
      <c r="ELQ69" s="401"/>
      <c r="ELR69" s="401"/>
      <c r="ELS69" s="401"/>
      <c r="ELT69" s="401"/>
      <c r="ELU69" s="401"/>
      <c r="ELV69" s="401"/>
      <c r="ELW69" s="401"/>
      <c r="ELX69" s="401"/>
      <c r="ELY69" s="401"/>
      <c r="ELZ69" s="401"/>
      <c r="EMA69" s="401"/>
      <c r="EMB69" s="401"/>
      <c r="EMC69" s="401"/>
      <c r="EMD69" s="401"/>
      <c r="EME69" s="401"/>
      <c r="EMF69" s="401"/>
      <c r="EMG69" s="401"/>
      <c r="EMH69" s="401"/>
      <c r="EMI69" s="401"/>
      <c r="EMJ69" s="401"/>
      <c r="EMK69" s="401"/>
      <c r="EML69" s="401"/>
      <c r="EMM69" s="401"/>
      <c r="EMN69" s="401"/>
      <c r="EMO69" s="401"/>
      <c r="EMP69" s="401"/>
      <c r="EMQ69" s="401"/>
      <c r="EMR69" s="401"/>
      <c r="EMS69" s="401"/>
      <c r="EMT69" s="401"/>
      <c r="EMU69" s="401"/>
      <c r="EMV69" s="401"/>
      <c r="EMW69" s="401"/>
      <c r="EMX69" s="401"/>
      <c r="EMY69" s="401"/>
      <c r="EMZ69" s="401"/>
      <c r="ENA69" s="401"/>
      <c r="ENB69" s="401"/>
      <c r="ENC69" s="401"/>
      <c r="END69" s="401"/>
      <c r="ENE69" s="401"/>
      <c r="ENF69" s="401"/>
      <c r="ENG69" s="401"/>
      <c r="ENH69" s="401"/>
      <c r="ENI69" s="401"/>
      <c r="ENJ69" s="401"/>
      <c r="ENK69" s="401"/>
      <c r="ENL69" s="401"/>
      <c r="ENM69" s="401"/>
      <c r="ENN69" s="401"/>
      <c r="ENO69" s="401"/>
      <c r="ENP69" s="401"/>
      <c r="ENQ69" s="401"/>
      <c r="ENR69" s="401"/>
      <c r="ENS69" s="401"/>
      <c r="ENT69" s="401"/>
      <c r="ENU69" s="401"/>
      <c r="ENV69" s="401"/>
      <c r="ENW69" s="401"/>
      <c r="ENX69" s="401"/>
      <c r="ENY69" s="401"/>
      <c r="ENZ69" s="401"/>
      <c r="EOA69" s="401"/>
      <c r="EOB69" s="401"/>
      <c r="EOC69" s="401"/>
      <c r="EOD69" s="401"/>
      <c r="EOE69" s="401"/>
      <c r="EOF69" s="401"/>
      <c r="EOG69" s="401"/>
      <c r="EOH69" s="401"/>
      <c r="EOI69" s="401"/>
      <c r="EOJ69" s="401"/>
      <c r="EOK69" s="401"/>
      <c r="EOL69" s="401"/>
      <c r="EOM69" s="401"/>
      <c r="EON69" s="401"/>
      <c r="EOO69" s="401"/>
      <c r="EOP69" s="401"/>
      <c r="EOQ69" s="401"/>
      <c r="EOR69" s="401"/>
      <c r="EOS69" s="401"/>
      <c r="EOT69" s="401"/>
      <c r="EOU69" s="401"/>
      <c r="EOV69" s="401"/>
      <c r="EOW69" s="401"/>
      <c r="EOX69" s="401"/>
      <c r="EOY69" s="401"/>
      <c r="EOZ69" s="401"/>
      <c r="EPA69" s="401"/>
      <c r="EPB69" s="401"/>
      <c r="EPC69" s="401"/>
      <c r="EPD69" s="401"/>
      <c r="EPE69" s="401"/>
      <c r="EPF69" s="401"/>
      <c r="EPG69" s="401"/>
      <c r="EPH69" s="401"/>
      <c r="EPI69" s="401"/>
      <c r="EPJ69" s="401"/>
      <c r="EPK69" s="401"/>
      <c r="EPL69" s="401"/>
      <c r="EPM69" s="401"/>
      <c r="EPN69" s="401"/>
      <c r="EPO69" s="401"/>
      <c r="EPP69" s="401"/>
      <c r="EPQ69" s="401"/>
      <c r="EPR69" s="401"/>
      <c r="EPS69" s="401"/>
      <c r="EPT69" s="401"/>
      <c r="EPU69" s="401"/>
      <c r="EPV69" s="401"/>
      <c r="EPW69" s="401"/>
      <c r="EPX69" s="401"/>
      <c r="EPY69" s="401"/>
      <c r="EPZ69" s="401"/>
      <c r="EQA69" s="401"/>
      <c r="EQB69" s="401"/>
      <c r="EQC69" s="401"/>
      <c r="EQD69" s="401"/>
      <c r="EQE69" s="401"/>
      <c r="EQF69" s="401"/>
      <c r="EQG69" s="401"/>
      <c r="EQH69" s="401"/>
      <c r="EQI69" s="401"/>
      <c r="EQJ69" s="401"/>
      <c r="EQK69" s="401"/>
      <c r="EQL69" s="401"/>
      <c r="EQM69" s="401"/>
      <c r="EQN69" s="401"/>
      <c r="EQO69" s="401"/>
      <c r="EQP69" s="401"/>
      <c r="EQQ69" s="401"/>
      <c r="EQR69" s="401"/>
      <c r="EQS69" s="401"/>
      <c r="EQT69" s="401"/>
      <c r="EQU69" s="401"/>
      <c r="EQV69" s="401"/>
      <c r="EQW69" s="401"/>
      <c r="EQX69" s="401"/>
      <c r="EQY69" s="401"/>
      <c r="EQZ69" s="401"/>
      <c r="ERA69" s="401"/>
      <c r="ERB69" s="401"/>
      <c r="ERC69" s="401"/>
      <c r="ERD69" s="401"/>
      <c r="ERE69" s="401"/>
      <c r="ERF69" s="401"/>
      <c r="ERG69" s="401"/>
      <c r="ERH69" s="401"/>
      <c r="ERI69" s="401"/>
      <c r="ERJ69" s="401"/>
      <c r="ERK69" s="401"/>
      <c r="ERL69" s="401"/>
      <c r="ERM69" s="401"/>
      <c r="ERN69" s="401"/>
      <c r="ERO69" s="401"/>
      <c r="ERP69" s="401"/>
      <c r="ERQ69" s="401"/>
      <c r="ERR69" s="401"/>
      <c r="ERS69" s="401"/>
      <c r="ERT69" s="401"/>
      <c r="ERU69" s="401"/>
      <c r="ERV69" s="401"/>
      <c r="ERW69" s="401"/>
      <c r="ERX69" s="401"/>
      <c r="ERY69" s="401"/>
      <c r="ERZ69" s="401"/>
      <c r="ESA69" s="401"/>
      <c r="ESB69" s="401"/>
      <c r="ESC69" s="401"/>
      <c r="ESD69" s="401"/>
      <c r="ESE69" s="401"/>
      <c r="ESF69" s="401"/>
      <c r="ESG69" s="401"/>
      <c r="ESH69" s="401"/>
      <c r="ESI69" s="401"/>
      <c r="ESJ69" s="401"/>
      <c r="ESK69" s="401"/>
      <c r="ESL69" s="401"/>
      <c r="ESM69" s="401"/>
      <c r="ESN69" s="401"/>
      <c r="ESO69" s="401"/>
      <c r="ESP69" s="401"/>
      <c r="ESQ69" s="401"/>
      <c r="ESR69" s="401"/>
      <c r="ESS69" s="401"/>
      <c r="EST69" s="401"/>
      <c r="ESU69" s="401"/>
      <c r="ESV69" s="401"/>
      <c r="ESW69" s="401"/>
      <c r="ESX69" s="401"/>
      <c r="ESY69" s="401"/>
      <c r="ESZ69" s="401"/>
      <c r="ETA69" s="401"/>
      <c r="ETB69" s="401"/>
      <c r="ETC69" s="401"/>
      <c r="ETD69" s="401"/>
      <c r="ETE69" s="401"/>
      <c r="ETF69" s="401"/>
      <c r="ETG69" s="401"/>
      <c r="ETH69" s="401"/>
      <c r="ETI69" s="401"/>
      <c r="ETJ69" s="401"/>
      <c r="ETK69" s="401"/>
      <c r="ETL69" s="401"/>
      <c r="ETM69" s="401"/>
      <c r="ETN69" s="401"/>
      <c r="ETO69" s="401"/>
      <c r="ETP69" s="401"/>
      <c r="ETQ69" s="401"/>
      <c r="ETR69" s="401"/>
      <c r="ETS69" s="401"/>
      <c r="ETT69" s="401"/>
      <c r="ETU69" s="401"/>
      <c r="ETV69" s="401"/>
      <c r="ETW69" s="401"/>
      <c r="ETX69" s="401"/>
      <c r="ETY69" s="401"/>
      <c r="ETZ69" s="401"/>
      <c r="EUA69" s="401"/>
      <c r="EUB69" s="401"/>
      <c r="EUC69" s="401"/>
      <c r="EUD69" s="401"/>
      <c r="EUE69" s="401"/>
      <c r="EUF69" s="401"/>
      <c r="EUG69" s="401"/>
      <c r="EUH69" s="401"/>
      <c r="EUI69" s="401"/>
      <c r="EUJ69" s="401"/>
      <c r="EUK69" s="401"/>
      <c r="EUL69" s="401"/>
      <c r="EUM69" s="401"/>
      <c r="EUN69" s="401"/>
      <c r="EUO69" s="401"/>
      <c r="EUP69" s="401"/>
      <c r="EUQ69" s="401"/>
      <c r="EUR69" s="401"/>
      <c r="EUS69" s="401"/>
      <c r="EUT69" s="401"/>
      <c r="EUU69" s="401"/>
      <c r="EUV69" s="401"/>
      <c r="EUW69" s="401"/>
      <c r="EUX69" s="401"/>
      <c r="EUY69" s="401"/>
      <c r="EUZ69" s="401"/>
      <c r="EVA69" s="401"/>
      <c r="EVB69" s="401"/>
      <c r="EVC69" s="401"/>
      <c r="EVD69" s="401"/>
      <c r="EVE69" s="401"/>
      <c r="EVF69" s="401"/>
      <c r="EVG69" s="401"/>
      <c r="EVH69" s="401"/>
      <c r="EVI69" s="401"/>
      <c r="EVJ69" s="401"/>
      <c r="EVK69" s="401"/>
      <c r="EVL69" s="401"/>
      <c r="EVM69" s="401"/>
      <c r="EVN69" s="401"/>
      <c r="EVO69" s="401"/>
      <c r="EVP69" s="401"/>
      <c r="EVQ69" s="401"/>
      <c r="EVR69" s="401"/>
      <c r="EVS69" s="401"/>
      <c r="EVT69" s="401"/>
      <c r="EVU69" s="401"/>
      <c r="EVV69" s="401"/>
      <c r="EVW69" s="401"/>
      <c r="EVX69" s="401"/>
      <c r="EVY69" s="401"/>
      <c r="EVZ69" s="401"/>
      <c r="EWA69" s="401"/>
      <c r="EWB69" s="401"/>
      <c r="EWC69" s="401"/>
      <c r="EWD69" s="401"/>
      <c r="EWE69" s="401"/>
      <c r="EWF69" s="401"/>
      <c r="EWG69" s="401"/>
      <c r="EWH69" s="401"/>
      <c r="EWI69" s="401"/>
      <c r="EWJ69" s="401"/>
      <c r="EWK69" s="401"/>
      <c r="EWL69" s="401"/>
      <c r="EWM69" s="401"/>
      <c r="EWN69" s="401"/>
      <c r="EWO69" s="401"/>
      <c r="EWP69" s="401"/>
      <c r="EWQ69" s="401"/>
      <c r="EWR69" s="401"/>
      <c r="EWS69" s="401"/>
      <c r="EWT69" s="401"/>
      <c r="EWU69" s="401"/>
      <c r="EWV69" s="401"/>
      <c r="EWW69" s="401"/>
      <c r="EWX69" s="401"/>
      <c r="EWY69" s="401"/>
      <c r="EWZ69" s="401"/>
      <c r="EXA69" s="401"/>
      <c r="EXB69" s="401"/>
      <c r="EXC69" s="401"/>
      <c r="EXD69" s="401"/>
      <c r="EXE69" s="401"/>
      <c r="EXF69" s="401"/>
      <c r="EXG69" s="401"/>
      <c r="EXH69" s="401"/>
      <c r="EXI69" s="401"/>
      <c r="EXJ69" s="401"/>
      <c r="EXK69" s="401"/>
      <c r="EXL69" s="401"/>
      <c r="EXM69" s="401"/>
      <c r="EXN69" s="401"/>
      <c r="EXO69" s="401"/>
      <c r="EXP69" s="401"/>
      <c r="EXQ69" s="401"/>
      <c r="EXR69" s="401"/>
      <c r="EXS69" s="401"/>
      <c r="EXT69" s="401"/>
      <c r="EXU69" s="401"/>
      <c r="EXV69" s="401"/>
      <c r="EXW69" s="401"/>
      <c r="EXX69" s="401"/>
      <c r="EXY69" s="401"/>
      <c r="EXZ69" s="401"/>
      <c r="EYA69" s="401"/>
      <c r="EYB69" s="401"/>
      <c r="EYC69" s="401"/>
      <c r="EYD69" s="401"/>
      <c r="EYE69" s="401"/>
      <c r="EYF69" s="401"/>
      <c r="EYG69" s="401"/>
      <c r="EYH69" s="401"/>
      <c r="EYI69" s="401"/>
      <c r="EYJ69" s="401"/>
      <c r="EYK69" s="401"/>
      <c r="EYL69" s="401"/>
      <c r="EYM69" s="401"/>
      <c r="EYN69" s="401"/>
      <c r="EYO69" s="401"/>
      <c r="EYP69" s="401"/>
      <c r="EYQ69" s="401"/>
      <c r="EYR69" s="401"/>
      <c r="EYS69" s="401"/>
      <c r="EYT69" s="401"/>
      <c r="EYU69" s="401"/>
      <c r="EYV69" s="401"/>
      <c r="EYW69" s="401"/>
      <c r="EYX69" s="401"/>
      <c r="EYY69" s="401"/>
      <c r="EYZ69" s="401"/>
      <c r="EZA69" s="401"/>
      <c r="EZB69" s="401"/>
      <c r="EZC69" s="401"/>
      <c r="EZD69" s="401"/>
      <c r="EZE69" s="401"/>
      <c r="EZF69" s="401"/>
      <c r="EZG69" s="401"/>
      <c r="EZH69" s="401"/>
      <c r="EZI69" s="401"/>
      <c r="EZJ69" s="401"/>
      <c r="EZK69" s="401"/>
      <c r="EZL69" s="401"/>
      <c r="EZM69" s="401"/>
      <c r="EZN69" s="401"/>
      <c r="EZO69" s="401"/>
      <c r="EZP69" s="401"/>
      <c r="EZQ69" s="401"/>
      <c r="EZR69" s="401"/>
      <c r="EZS69" s="401"/>
      <c r="EZT69" s="401"/>
      <c r="EZU69" s="401"/>
      <c r="EZV69" s="401"/>
      <c r="EZW69" s="401"/>
      <c r="EZX69" s="401"/>
      <c r="EZY69" s="401"/>
      <c r="EZZ69" s="401"/>
      <c r="FAA69" s="401"/>
      <c r="FAB69" s="401"/>
      <c r="FAC69" s="401"/>
      <c r="FAD69" s="401"/>
      <c r="FAE69" s="401"/>
      <c r="FAF69" s="401"/>
      <c r="FAG69" s="401"/>
      <c r="FAH69" s="401"/>
      <c r="FAI69" s="401"/>
      <c r="FAJ69" s="401"/>
      <c r="FAK69" s="401"/>
      <c r="FAL69" s="401"/>
      <c r="FAM69" s="401"/>
      <c r="FAN69" s="401"/>
      <c r="FAO69" s="401"/>
      <c r="FAP69" s="401"/>
      <c r="FAQ69" s="401"/>
      <c r="FAR69" s="401"/>
      <c r="FAS69" s="401"/>
      <c r="FAT69" s="401"/>
      <c r="FAU69" s="401"/>
      <c r="FAV69" s="401"/>
      <c r="FAW69" s="401"/>
      <c r="FAX69" s="401"/>
      <c r="FAY69" s="401"/>
      <c r="FAZ69" s="401"/>
      <c r="FBA69" s="401"/>
      <c r="FBB69" s="401"/>
      <c r="FBC69" s="401"/>
      <c r="FBD69" s="401"/>
      <c r="FBE69" s="401"/>
      <c r="FBF69" s="401"/>
      <c r="FBG69" s="401"/>
      <c r="FBH69" s="401"/>
      <c r="FBI69" s="401"/>
      <c r="FBJ69" s="401"/>
      <c r="FBK69" s="401"/>
      <c r="FBL69" s="401"/>
      <c r="FBM69" s="401"/>
      <c r="FBN69" s="401"/>
      <c r="FBO69" s="401"/>
      <c r="FBP69" s="401"/>
      <c r="FBQ69" s="401"/>
      <c r="FBR69" s="401"/>
      <c r="FBS69" s="401"/>
      <c r="FBT69" s="401"/>
      <c r="FBU69" s="401"/>
      <c r="FBV69" s="401"/>
      <c r="FBW69" s="401"/>
      <c r="FBX69" s="401"/>
      <c r="FBY69" s="401"/>
      <c r="FBZ69" s="401"/>
      <c r="FCA69" s="401"/>
      <c r="FCB69" s="401"/>
      <c r="FCC69" s="401"/>
      <c r="FCD69" s="401"/>
      <c r="FCE69" s="401"/>
      <c r="FCF69" s="401"/>
      <c r="FCG69" s="401"/>
      <c r="FCH69" s="401"/>
      <c r="FCI69" s="401"/>
      <c r="FCJ69" s="401"/>
      <c r="FCK69" s="401"/>
      <c r="FCL69" s="401"/>
      <c r="FCM69" s="401"/>
      <c r="FCN69" s="401"/>
      <c r="FCO69" s="401"/>
      <c r="FCP69" s="401"/>
      <c r="FCQ69" s="401"/>
      <c r="FCR69" s="401"/>
      <c r="FCS69" s="401"/>
      <c r="FCT69" s="401"/>
      <c r="FCU69" s="401"/>
      <c r="FCV69" s="401"/>
      <c r="FCW69" s="401"/>
      <c r="FCX69" s="401"/>
      <c r="FCY69" s="401"/>
      <c r="FCZ69" s="401"/>
      <c r="FDA69" s="401"/>
      <c r="FDB69" s="401"/>
      <c r="FDC69" s="401"/>
      <c r="FDD69" s="401"/>
      <c r="FDE69" s="401"/>
      <c r="FDF69" s="401"/>
      <c r="FDG69" s="401"/>
      <c r="FDH69" s="401"/>
      <c r="FDI69" s="401"/>
      <c r="FDJ69" s="401"/>
      <c r="FDK69" s="401"/>
      <c r="FDL69" s="401"/>
      <c r="FDM69" s="401"/>
      <c r="FDN69" s="401"/>
      <c r="FDO69" s="401"/>
      <c r="FDP69" s="401"/>
      <c r="FDQ69" s="401"/>
      <c r="FDR69" s="401"/>
      <c r="FDS69" s="401"/>
      <c r="FDT69" s="401"/>
      <c r="FDU69" s="401"/>
      <c r="FDV69" s="401"/>
      <c r="FDW69" s="401"/>
      <c r="FDX69" s="401"/>
      <c r="FDY69" s="401"/>
      <c r="FDZ69" s="401"/>
      <c r="FEA69" s="401"/>
      <c r="FEB69" s="401"/>
      <c r="FEC69" s="401"/>
      <c r="FED69" s="401"/>
      <c r="FEE69" s="401"/>
      <c r="FEF69" s="401"/>
      <c r="FEG69" s="401"/>
      <c r="FEH69" s="401"/>
      <c r="FEI69" s="401"/>
      <c r="FEJ69" s="401"/>
      <c r="FEK69" s="401"/>
      <c r="FEL69" s="401"/>
      <c r="FEM69" s="401"/>
      <c r="FEN69" s="401"/>
      <c r="FEO69" s="401"/>
      <c r="FEP69" s="401"/>
      <c r="FEQ69" s="401"/>
      <c r="FER69" s="401"/>
      <c r="FES69" s="401"/>
      <c r="FET69" s="401"/>
      <c r="FEU69" s="401"/>
      <c r="FEV69" s="401"/>
      <c r="FEW69" s="401"/>
      <c r="FEX69" s="401"/>
      <c r="FEY69" s="401"/>
      <c r="FEZ69" s="401"/>
      <c r="FFA69" s="401"/>
      <c r="FFB69" s="401"/>
      <c r="FFC69" s="401"/>
      <c r="FFD69" s="401"/>
      <c r="FFE69" s="401"/>
      <c r="FFF69" s="401"/>
      <c r="FFG69" s="401"/>
      <c r="FFH69" s="401"/>
      <c r="FFI69" s="401"/>
      <c r="FFJ69" s="401"/>
      <c r="FFK69" s="401"/>
      <c r="FFL69" s="401"/>
      <c r="FFM69" s="401"/>
      <c r="FFN69" s="401"/>
      <c r="FFO69" s="401"/>
      <c r="FFP69" s="401"/>
      <c r="FFQ69" s="401"/>
      <c r="FFR69" s="401"/>
      <c r="FFS69" s="401"/>
      <c r="FFT69" s="401"/>
      <c r="FFU69" s="401"/>
      <c r="FFV69" s="401"/>
      <c r="FFW69" s="401"/>
      <c r="FFX69" s="401"/>
      <c r="FFY69" s="401"/>
      <c r="FFZ69" s="401"/>
      <c r="FGA69" s="401"/>
      <c r="FGB69" s="401"/>
      <c r="FGC69" s="401"/>
      <c r="FGD69" s="401"/>
      <c r="FGE69" s="401"/>
      <c r="FGF69" s="401"/>
      <c r="FGG69" s="401"/>
      <c r="FGH69" s="401"/>
      <c r="FGI69" s="401"/>
      <c r="FGJ69" s="401"/>
      <c r="FGK69" s="401"/>
      <c r="FGL69" s="401"/>
      <c r="FGM69" s="401"/>
      <c r="FGN69" s="401"/>
      <c r="FGO69" s="401"/>
      <c r="FGP69" s="401"/>
      <c r="FGQ69" s="401"/>
      <c r="FGR69" s="401"/>
      <c r="FGS69" s="401"/>
      <c r="FGT69" s="401"/>
      <c r="FGU69" s="401"/>
      <c r="FGV69" s="401"/>
      <c r="FGW69" s="401"/>
      <c r="FGX69" s="401"/>
      <c r="FGY69" s="401"/>
      <c r="FGZ69" s="401"/>
      <c r="FHA69" s="401"/>
      <c r="FHB69" s="401"/>
      <c r="FHC69" s="401"/>
      <c r="FHD69" s="401"/>
      <c r="FHE69" s="401"/>
      <c r="FHF69" s="401"/>
      <c r="FHG69" s="401"/>
      <c r="FHH69" s="401"/>
      <c r="FHI69" s="401"/>
      <c r="FHJ69" s="401"/>
      <c r="FHK69" s="401"/>
      <c r="FHL69" s="401"/>
      <c r="FHM69" s="401"/>
      <c r="FHN69" s="401"/>
      <c r="FHO69" s="401"/>
      <c r="FHP69" s="401"/>
      <c r="FHQ69" s="401"/>
      <c r="FHR69" s="401"/>
      <c r="FHS69" s="401"/>
      <c r="FHT69" s="401"/>
      <c r="FHU69" s="401"/>
      <c r="FHV69" s="401"/>
      <c r="FHW69" s="401"/>
      <c r="FHX69" s="401"/>
      <c r="FHY69" s="401"/>
      <c r="FHZ69" s="401"/>
      <c r="FIA69" s="401"/>
      <c r="FIB69" s="401"/>
      <c r="FIC69" s="401"/>
      <c r="FID69" s="401"/>
      <c r="FIE69" s="401"/>
      <c r="FIF69" s="401"/>
      <c r="FIG69" s="401"/>
      <c r="FIH69" s="401"/>
      <c r="FII69" s="401"/>
      <c r="FIJ69" s="401"/>
      <c r="FIK69" s="401"/>
      <c r="FIL69" s="401"/>
      <c r="FIM69" s="401"/>
      <c r="FIN69" s="401"/>
      <c r="FIO69" s="401"/>
      <c r="FIP69" s="401"/>
      <c r="FIQ69" s="401"/>
      <c r="FIR69" s="401"/>
      <c r="FIS69" s="401"/>
      <c r="FIT69" s="401"/>
      <c r="FIU69" s="401"/>
      <c r="FIV69" s="401"/>
      <c r="FIW69" s="401"/>
      <c r="FIX69" s="401"/>
      <c r="FIY69" s="401"/>
      <c r="FIZ69" s="401"/>
      <c r="FJA69" s="401"/>
      <c r="FJB69" s="401"/>
      <c r="FJC69" s="401"/>
      <c r="FJD69" s="401"/>
      <c r="FJE69" s="401"/>
      <c r="FJF69" s="401"/>
      <c r="FJG69" s="401"/>
      <c r="FJH69" s="401"/>
      <c r="FJI69" s="401"/>
      <c r="FJJ69" s="401"/>
      <c r="FJK69" s="401"/>
      <c r="FJL69" s="401"/>
      <c r="FJM69" s="401"/>
      <c r="FJN69" s="401"/>
      <c r="FJO69" s="401"/>
      <c r="FJP69" s="401"/>
      <c r="FJQ69" s="401"/>
      <c r="FJR69" s="401"/>
      <c r="FJS69" s="401"/>
      <c r="FJT69" s="401"/>
      <c r="FJU69" s="401"/>
      <c r="FJV69" s="401"/>
      <c r="FJW69" s="401"/>
      <c r="FJX69" s="401"/>
      <c r="FJY69" s="401"/>
      <c r="FJZ69" s="401"/>
      <c r="FKA69" s="401"/>
      <c r="FKB69" s="401"/>
      <c r="FKC69" s="401"/>
      <c r="FKD69" s="401"/>
      <c r="FKE69" s="401"/>
      <c r="FKF69" s="401"/>
      <c r="FKG69" s="401"/>
      <c r="FKH69" s="401"/>
      <c r="FKI69" s="401"/>
      <c r="FKJ69" s="401"/>
      <c r="FKK69" s="401"/>
      <c r="FKL69" s="401"/>
      <c r="FKM69" s="401"/>
      <c r="FKN69" s="401"/>
      <c r="FKO69" s="401"/>
      <c r="FKP69" s="401"/>
      <c r="FKQ69" s="401"/>
      <c r="FKR69" s="401"/>
      <c r="FKS69" s="401"/>
      <c r="FKT69" s="401"/>
      <c r="FKU69" s="401"/>
      <c r="FKV69" s="401"/>
      <c r="FKW69" s="401"/>
      <c r="FKX69" s="401"/>
      <c r="FKY69" s="401"/>
      <c r="FKZ69" s="401"/>
      <c r="FLA69" s="401"/>
      <c r="FLB69" s="401"/>
      <c r="FLC69" s="401"/>
      <c r="FLD69" s="401"/>
      <c r="FLE69" s="401"/>
      <c r="FLF69" s="401"/>
      <c r="FLG69" s="401"/>
      <c r="FLH69" s="401"/>
      <c r="FLI69" s="401"/>
      <c r="FLJ69" s="401"/>
      <c r="FLK69" s="401"/>
      <c r="FLL69" s="401"/>
      <c r="FLM69" s="401"/>
      <c r="FLN69" s="401"/>
      <c r="FLO69" s="401"/>
      <c r="FLP69" s="401"/>
      <c r="FLQ69" s="401"/>
      <c r="FLR69" s="401"/>
      <c r="FLS69" s="401"/>
      <c r="FLT69" s="401"/>
      <c r="FLU69" s="401"/>
      <c r="FLV69" s="401"/>
      <c r="FLW69" s="401"/>
      <c r="FLX69" s="401"/>
      <c r="FLY69" s="401"/>
      <c r="FLZ69" s="401"/>
      <c r="FMA69" s="401"/>
      <c r="FMB69" s="401"/>
      <c r="FMC69" s="401"/>
      <c r="FMD69" s="401"/>
      <c r="FME69" s="401"/>
      <c r="FMF69" s="401"/>
      <c r="FMG69" s="401"/>
      <c r="FMH69" s="401"/>
      <c r="FMI69" s="401"/>
      <c r="FMJ69" s="401"/>
      <c r="FMK69" s="401"/>
      <c r="FML69" s="401"/>
      <c r="FMM69" s="401"/>
      <c r="FMN69" s="401"/>
      <c r="FMO69" s="401"/>
      <c r="FMP69" s="401"/>
      <c r="FMQ69" s="401"/>
      <c r="FMR69" s="401"/>
      <c r="FMS69" s="401"/>
      <c r="FMT69" s="401"/>
      <c r="FMU69" s="401"/>
      <c r="FMV69" s="401"/>
      <c r="FMW69" s="401"/>
      <c r="FMX69" s="401"/>
      <c r="FMY69" s="401"/>
      <c r="FMZ69" s="401"/>
      <c r="FNA69" s="401"/>
      <c r="FNB69" s="401"/>
      <c r="FNC69" s="401"/>
      <c r="FND69" s="401"/>
      <c r="FNE69" s="401"/>
      <c r="FNF69" s="401"/>
      <c r="FNG69" s="401"/>
      <c r="FNH69" s="401"/>
      <c r="FNI69" s="401"/>
      <c r="FNJ69" s="401"/>
      <c r="FNK69" s="401"/>
      <c r="FNL69" s="401"/>
      <c r="FNM69" s="401"/>
      <c r="FNN69" s="401"/>
      <c r="FNO69" s="401"/>
      <c r="FNP69" s="401"/>
      <c r="FNQ69" s="401"/>
      <c r="FNR69" s="401"/>
      <c r="FNS69" s="401"/>
      <c r="FNT69" s="401"/>
      <c r="FNU69" s="401"/>
      <c r="FNV69" s="401"/>
      <c r="FNW69" s="401"/>
      <c r="FNX69" s="401"/>
      <c r="FNY69" s="401"/>
      <c r="FNZ69" s="401"/>
      <c r="FOA69" s="401"/>
      <c r="FOB69" s="401"/>
      <c r="FOC69" s="401"/>
      <c r="FOD69" s="401"/>
      <c r="FOE69" s="401"/>
      <c r="FOF69" s="401"/>
      <c r="FOG69" s="401"/>
      <c r="FOH69" s="401"/>
      <c r="FOI69" s="401"/>
      <c r="FOJ69" s="401"/>
      <c r="FOK69" s="401"/>
      <c r="FOL69" s="401"/>
      <c r="FOM69" s="401"/>
      <c r="FON69" s="401"/>
      <c r="FOO69" s="401"/>
      <c r="FOP69" s="401"/>
      <c r="FOQ69" s="401"/>
      <c r="FOR69" s="401"/>
      <c r="FOS69" s="401"/>
      <c r="FOT69" s="401"/>
      <c r="FOU69" s="401"/>
      <c r="FOV69" s="401"/>
      <c r="FOW69" s="401"/>
      <c r="FOX69" s="401"/>
      <c r="FOY69" s="401"/>
      <c r="FOZ69" s="401"/>
      <c r="FPA69" s="401"/>
      <c r="FPB69" s="401"/>
      <c r="FPC69" s="401"/>
      <c r="FPD69" s="401"/>
      <c r="FPE69" s="401"/>
      <c r="FPF69" s="401"/>
      <c r="FPG69" s="401"/>
      <c r="FPH69" s="401"/>
      <c r="FPI69" s="401"/>
      <c r="FPJ69" s="401"/>
      <c r="FPK69" s="401"/>
      <c r="FPL69" s="401"/>
      <c r="FPM69" s="401"/>
      <c r="FPN69" s="401"/>
      <c r="FPO69" s="401"/>
      <c r="FPP69" s="401"/>
      <c r="FPQ69" s="401"/>
      <c r="FPR69" s="401"/>
      <c r="FPS69" s="401"/>
      <c r="FPT69" s="401"/>
      <c r="FPU69" s="401"/>
      <c r="FPV69" s="401"/>
      <c r="FPW69" s="401"/>
      <c r="FPX69" s="401"/>
      <c r="FPY69" s="401"/>
      <c r="FPZ69" s="401"/>
      <c r="FQA69" s="401"/>
      <c r="FQB69" s="401"/>
      <c r="FQC69" s="401"/>
      <c r="FQD69" s="401"/>
      <c r="FQE69" s="401"/>
      <c r="FQF69" s="401"/>
      <c r="FQG69" s="401"/>
      <c r="FQH69" s="401"/>
      <c r="FQI69" s="401"/>
      <c r="FQJ69" s="401"/>
      <c r="FQK69" s="401"/>
      <c r="FQL69" s="401"/>
      <c r="FQM69" s="401"/>
      <c r="FQN69" s="401"/>
      <c r="FQO69" s="401"/>
      <c r="FQP69" s="401"/>
      <c r="FQQ69" s="401"/>
      <c r="FQR69" s="401"/>
      <c r="FQS69" s="401"/>
      <c r="FQT69" s="401"/>
      <c r="FQU69" s="401"/>
      <c r="FQV69" s="401"/>
      <c r="FQW69" s="401"/>
      <c r="FQX69" s="401"/>
      <c r="FQY69" s="401"/>
      <c r="FQZ69" s="401"/>
      <c r="FRA69" s="401"/>
      <c r="FRB69" s="401"/>
      <c r="FRC69" s="401"/>
      <c r="FRD69" s="401"/>
      <c r="FRE69" s="401"/>
      <c r="FRF69" s="401"/>
      <c r="FRG69" s="401"/>
      <c r="FRH69" s="401"/>
      <c r="FRI69" s="401"/>
      <c r="FRJ69" s="401"/>
      <c r="FRK69" s="401"/>
      <c r="FRL69" s="401"/>
      <c r="FRM69" s="401"/>
      <c r="FRN69" s="401"/>
      <c r="FRO69" s="401"/>
      <c r="FRP69" s="401"/>
      <c r="FRQ69" s="401"/>
      <c r="FRR69" s="401"/>
      <c r="FRS69" s="401"/>
      <c r="FRT69" s="401"/>
      <c r="FRU69" s="401"/>
      <c r="FRV69" s="401"/>
      <c r="FRW69" s="401"/>
      <c r="FRX69" s="401"/>
      <c r="FRY69" s="401"/>
      <c r="FRZ69" s="401"/>
      <c r="FSA69" s="401"/>
      <c r="FSB69" s="401"/>
      <c r="FSC69" s="401"/>
      <c r="FSD69" s="401"/>
      <c r="FSE69" s="401"/>
      <c r="FSF69" s="401"/>
      <c r="FSG69" s="401"/>
      <c r="FSH69" s="401"/>
      <c r="FSI69" s="401"/>
      <c r="FSJ69" s="401"/>
      <c r="FSK69" s="401"/>
      <c r="FSL69" s="401"/>
      <c r="FSM69" s="401"/>
      <c r="FSN69" s="401"/>
      <c r="FSO69" s="401"/>
      <c r="FSP69" s="401"/>
      <c r="FSQ69" s="401"/>
      <c r="FSR69" s="401"/>
      <c r="FSS69" s="401"/>
      <c r="FST69" s="401"/>
      <c r="FSU69" s="401"/>
      <c r="FSV69" s="401"/>
      <c r="FSW69" s="401"/>
      <c r="FSX69" s="401"/>
      <c r="FSY69" s="401"/>
      <c r="FSZ69" s="401"/>
      <c r="FTA69" s="401"/>
      <c r="FTB69" s="401"/>
      <c r="FTC69" s="401"/>
      <c r="FTD69" s="401"/>
      <c r="FTE69" s="401"/>
      <c r="FTF69" s="401"/>
      <c r="FTG69" s="401"/>
      <c r="FTH69" s="401"/>
      <c r="FTI69" s="401"/>
      <c r="FTJ69" s="401"/>
      <c r="FTK69" s="401"/>
      <c r="FTL69" s="401"/>
      <c r="FTM69" s="401"/>
      <c r="FTN69" s="401"/>
      <c r="FTO69" s="401"/>
      <c r="FTP69" s="401"/>
      <c r="FTQ69" s="401"/>
      <c r="FTR69" s="401"/>
      <c r="FTS69" s="401"/>
      <c r="FTT69" s="401"/>
      <c r="FTU69" s="401"/>
      <c r="FTV69" s="401"/>
      <c r="FTW69" s="401"/>
      <c r="FTX69" s="401"/>
      <c r="FTY69" s="401"/>
      <c r="FTZ69" s="401"/>
      <c r="FUA69" s="401"/>
      <c r="FUB69" s="401"/>
      <c r="FUC69" s="401"/>
      <c r="FUD69" s="401"/>
      <c r="FUE69" s="401"/>
      <c r="FUF69" s="401"/>
      <c r="FUG69" s="401"/>
      <c r="FUH69" s="401"/>
      <c r="FUI69" s="401"/>
      <c r="FUJ69" s="401"/>
      <c r="FUK69" s="401"/>
      <c r="FUL69" s="401"/>
      <c r="FUM69" s="401"/>
      <c r="FUN69" s="401"/>
      <c r="FUO69" s="401"/>
      <c r="FUP69" s="401"/>
      <c r="FUQ69" s="401"/>
      <c r="FUR69" s="401"/>
      <c r="FUS69" s="401"/>
      <c r="FUT69" s="401"/>
      <c r="FUU69" s="401"/>
      <c r="FUV69" s="401"/>
      <c r="FUW69" s="401"/>
      <c r="FUX69" s="401"/>
      <c r="FUY69" s="401"/>
      <c r="FUZ69" s="401"/>
      <c r="FVA69" s="401"/>
      <c r="FVB69" s="401"/>
      <c r="FVC69" s="401"/>
      <c r="FVD69" s="401"/>
      <c r="FVE69" s="401"/>
      <c r="FVF69" s="401"/>
      <c r="FVG69" s="401"/>
      <c r="FVH69" s="401"/>
      <c r="FVI69" s="401"/>
      <c r="FVJ69" s="401"/>
      <c r="FVK69" s="401"/>
      <c r="FVL69" s="401"/>
      <c r="FVM69" s="401"/>
      <c r="FVN69" s="401"/>
      <c r="FVO69" s="401"/>
      <c r="FVP69" s="401"/>
      <c r="FVQ69" s="401"/>
      <c r="FVR69" s="401"/>
      <c r="FVS69" s="401"/>
      <c r="FVT69" s="401"/>
      <c r="FVU69" s="401"/>
      <c r="FVV69" s="401"/>
      <c r="FVW69" s="401"/>
      <c r="FVX69" s="401"/>
      <c r="FVY69" s="401"/>
      <c r="FVZ69" s="401"/>
      <c r="FWA69" s="401"/>
      <c r="FWB69" s="401"/>
      <c r="FWC69" s="401"/>
      <c r="FWD69" s="401"/>
      <c r="FWE69" s="401"/>
      <c r="FWF69" s="401"/>
      <c r="FWG69" s="401"/>
      <c r="FWH69" s="401"/>
      <c r="FWI69" s="401"/>
      <c r="FWJ69" s="401"/>
      <c r="FWK69" s="401"/>
      <c r="FWL69" s="401"/>
      <c r="FWM69" s="401"/>
      <c r="FWN69" s="401"/>
      <c r="FWO69" s="401"/>
      <c r="FWP69" s="401"/>
      <c r="FWQ69" s="401"/>
      <c r="FWR69" s="401"/>
      <c r="FWS69" s="401"/>
      <c r="FWT69" s="401"/>
      <c r="FWU69" s="401"/>
      <c r="FWV69" s="401"/>
      <c r="FWW69" s="401"/>
      <c r="FWX69" s="401"/>
      <c r="FWY69" s="401"/>
      <c r="FWZ69" s="401"/>
      <c r="FXA69" s="401"/>
      <c r="FXB69" s="401"/>
      <c r="FXC69" s="401"/>
      <c r="FXD69" s="401"/>
      <c r="FXE69" s="401"/>
      <c r="FXF69" s="401"/>
      <c r="FXG69" s="401"/>
      <c r="FXH69" s="401"/>
      <c r="FXI69" s="401"/>
      <c r="FXJ69" s="401"/>
      <c r="FXK69" s="401"/>
      <c r="FXL69" s="401"/>
      <c r="FXM69" s="401"/>
      <c r="FXN69" s="401"/>
      <c r="FXO69" s="401"/>
      <c r="FXP69" s="401"/>
      <c r="FXQ69" s="401"/>
      <c r="FXR69" s="401"/>
      <c r="FXS69" s="401"/>
      <c r="FXT69" s="401"/>
      <c r="FXU69" s="401"/>
      <c r="FXV69" s="401"/>
      <c r="FXW69" s="401"/>
      <c r="FXX69" s="401"/>
      <c r="FXY69" s="401"/>
      <c r="FXZ69" s="401"/>
      <c r="FYA69" s="401"/>
      <c r="FYB69" s="401"/>
      <c r="FYC69" s="401"/>
      <c r="FYD69" s="401"/>
      <c r="FYE69" s="401"/>
      <c r="FYF69" s="401"/>
      <c r="FYG69" s="401"/>
      <c r="FYH69" s="401"/>
      <c r="FYI69" s="401"/>
      <c r="FYJ69" s="401"/>
      <c r="FYK69" s="401"/>
      <c r="FYL69" s="401"/>
      <c r="FYM69" s="401"/>
      <c r="FYN69" s="401"/>
      <c r="FYO69" s="401"/>
      <c r="FYP69" s="401"/>
      <c r="FYQ69" s="401"/>
      <c r="FYR69" s="401"/>
      <c r="FYS69" s="401"/>
      <c r="FYT69" s="401"/>
      <c r="FYU69" s="401"/>
      <c r="FYV69" s="401"/>
      <c r="FYW69" s="401"/>
      <c r="FYX69" s="401"/>
      <c r="FYY69" s="401"/>
      <c r="FYZ69" s="401"/>
      <c r="FZA69" s="401"/>
      <c r="FZB69" s="401"/>
      <c r="FZC69" s="401"/>
      <c r="FZD69" s="401"/>
      <c r="FZE69" s="401"/>
      <c r="FZF69" s="401"/>
      <c r="FZG69" s="401"/>
      <c r="FZH69" s="401"/>
      <c r="FZI69" s="401"/>
      <c r="FZJ69" s="401"/>
      <c r="FZK69" s="401"/>
      <c r="FZL69" s="401"/>
      <c r="FZM69" s="401"/>
      <c r="FZN69" s="401"/>
      <c r="FZO69" s="401"/>
      <c r="FZP69" s="401"/>
      <c r="FZQ69" s="401"/>
      <c r="FZR69" s="401"/>
      <c r="FZS69" s="401"/>
      <c r="FZT69" s="401"/>
      <c r="FZU69" s="401"/>
      <c r="FZV69" s="401"/>
      <c r="FZW69" s="401"/>
      <c r="FZX69" s="401"/>
      <c r="FZY69" s="401"/>
      <c r="FZZ69" s="401"/>
      <c r="GAA69" s="401"/>
      <c r="GAB69" s="401"/>
      <c r="GAC69" s="401"/>
      <c r="GAD69" s="401"/>
      <c r="GAE69" s="401"/>
      <c r="GAF69" s="401"/>
      <c r="GAG69" s="401"/>
      <c r="GAH69" s="401"/>
      <c r="GAI69" s="401"/>
      <c r="GAJ69" s="401"/>
      <c r="GAK69" s="401"/>
      <c r="GAL69" s="401"/>
      <c r="GAM69" s="401"/>
      <c r="GAN69" s="401"/>
      <c r="GAO69" s="401"/>
      <c r="GAP69" s="401"/>
      <c r="GAQ69" s="401"/>
      <c r="GAR69" s="401"/>
      <c r="GAS69" s="401"/>
      <c r="GAT69" s="401"/>
      <c r="GAU69" s="401"/>
      <c r="GAV69" s="401"/>
      <c r="GAW69" s="401"/>
      <c r="GAX69" s="401"/>
      <c r="GAY69" s="401"/>
      <c r="GAZ69" s="401"/>
      <c r="GBA69" s="401"/>
      <c r="GBB69" s="401"/>
      <c r="GBC69" s="401"/>
      <c r="GBD69" s="401"/>
      <c r="GBE69" s="401"/>
      <c r="GBF69" s="401"/>
      <c r="GBG69" s="401"/>
      <c r="GBH69" s="401"/>
      <c r="GBI69" s="401"/>
      <c r="GBJ69" s="401"/>
      <c r="GBK69" s="401"/>
      <c r="GBL69" s="401"/>
      <c r="GBM69" s="401"/>
      <c r="GBN69" s="401"/>
      <c r="GBO69" s="401"/>
      <c r="GBP69" s="401"/>
      <c r="GBQ69" s="401"/>
      <c r="GBR69" s="401"/>
      <c r="GBS69" s="401"/>
      <c r="GBT69" s="401"/>
      <c r="GBU69" s="401"/>
      <c r="GBV69" s="401"/>
      <c r="GBW69" s="401"/>
      <c r="GBX69" s="401"/>
      <c r="GBY69" s="401"/>
      <c r="GBZ69" s="401"/>
      <c r="GCA69" s="401"/>
      <c r="GCB69" s="401"/>
      <c r="GCC69" s="401"/>
      <c r="GCD69" s="401"/>
      <c r="GCE69" s="401"/>
      <c r="GCF69" s="401"/>
      <c r="GCG69" s="401"/>
      <c r="GCH69" s="401"/>
      <c r="GCI69" s="401"/>
      <c r="GCJ69" s="401"/>
      <c r="GCK69" s="401"/>
      <c r="GCL69" s="401"/>
      <c r="GCM69" s="401"/>
      <c r="GCN69" s="401"/>
      <c r="GCO69" s="401"/>
      <c r="GCP69" s="401"/>
      <c r="GCQ69" s="401"/>
      <c r="GCR69" s="401"/>
      <c r="GCS69" s="401"/>
      <c r="GCT69" s="401"/>
      <c r="GCU69" s="401"/>
      <c r="GCV69" s="401"/>
      <c r="GCW69" s="401"/>
      <c r="GCX69" s="401"/>
      <c r="GCY69" s="401"/>
      <c r="GCZ69" s="401"/>
      <c r="GDA69" s="401"/>
      <c r="GDB69" s="401"/>
      <c r="GDC69" s="401"/>
      <c r="GDD69" s="401"/>
      <c r="GDE69" s="401"/>
      <c r="GDF69" s="401"/>
      <c r="GDG69" s="401"/>
      <c r="GDH69" s="401"/>
      <c r="GDI69" s="401"/>
      <c r="GDJ69" s="401"/>
      <c r="GDK69" s="401"/>
      <c r="GDL69" s="401"/>
      <c r="GDM69" s="401"/>
      <c r="GDN69" s="401"/>
      <c r="GDO69" s="401"/>
      <c r="GDP69" s="401"/>
      <c r="GDQ69" s="401"/>
      <c r="GDR69" s="401"/>
      <c r="GDS69" s="401"/>
      <c r="GDT69" s="401"/>
      <c r="GDU69" s="401"/>
      <c r="GDV69" s="401"/>
      <c r="GDW69" s="401"/>
      <c r="GDX69" s="401"/>
      <c r="GDY69" s="401"/>
      <c r="GDZ69" s="401"/>
      <c r="GEA69" s="401"/>
      <c r="GEB69" s="401"/>
      <c r="GEC69" s="401"/>
      <c r="GED69" s="401"/>
      <c r="GEE69" s="401"/>
      <c r="GEF69" s="401"/>
      <c r="GEG69" s="401"/>
      <c r="GEH69" s="401"/>
      <c r="GEI69" s="401"/>
      <c r="GEJ69" s="401"/>
      <c r="GEK69" s="401"/>
      <c r="GEL69" s="401"/>
      <c r="GEM69" s="401"/>
      <c r="GEN69" s="401"/>
      <c r="GEO69" s="401"/>
      <c r="GEP69" s="401"/>
      <c r="GEQ69" s="401"/>
      <c r="GER69" s="401"/>
      <c r="GES69" s="401"/>
      <c r="GET69" s="401"/>
      <c r="GEU69" s="401"/>
      <c r="GEV69" s="401"/>
      <c r="GEW69" s="401"/>
      <c r="GEX69" s="401"/>
      <c r="GEY69" s="401"/>
      <c r="GEZ69" s="401"/>
      <c r="GFA69" s="401"/>
      <c r="GFB69" s="401"/>
      <c r="GFC69" s="401"/>
      <c r="GFD69" s="401"/>
      <c r="GFE69" s="401"/>
      <c r="GFF69" s="401"/>
      <c r="GFG69" s="401"/>
      <c r="GFH69" s="401"/>
      <c r="GFI69" s="401"/>
      <c r="GFJ69" s="401"/>
      <c r="GFK69" s="401"/>
      <c r="GFL69" s="401"/>
      <c r="GFM69" s="401"/>
      <c r="GFN69" s="401"/>
      <c r="GFO69" s="401"/>
      <c r="GFP69" s="401"/>
      <c r="GFQ69" s="401"/>
      <c r="GFR69" s="401"/>
      <c r="GFS69" s="401"/>
      <c r="GFT69" s="401"/>
      <c r="GFU69" s="401"/>
      <c r="GFV69" s="401"/>
      <c r="GFW69" s="401"/>
      <c r="GFX69" s="401"/>
      <c r="GFY69" s="401"/>
      <c r="GFZ69" s="401"/>
      <c r="GGA69" s="401"/>
      <c r="GGB69" s="401"/>
      <c r="GGC69" s="401"/>
      <c r="GGD69" s="401"/>
      <c r="GGE69" s="401"/>
      <c r="GGF69" s="401"/>
      <c r="GGG69" s="401"/>
      <c r="GGH69" s="401"/>
      <c r="GGI69" s="401"/>
      <c r="GGJ69" s="401"/>
      <c r="GGK69" s="401"/>
      <c r="GGL69" s="401"/>
      <c r="GGM69" s="401"/>
      <c r="GGN69" s="401"/>
      <c r="GGO69" s="401"/>
      <c r="GGP69" s="401"/>
      <c r="GGQ69" s="401"/>
      <c r="GGR69" s="401"/>
      <c r="GGS69" s="401"/>
      <c r="GGT69" s="401"/>
      <c r="GGU69" s="401"/>
      <c r="GGV69" s="401"/>
      <c r="GGW69" s="401"/>
      <c r="GGX69" s="401"/>
      <c r="GGY69" s="401"/>
      <c r="GGZ69" s="401"/>
      <c r="GHA69" s="401"/>
      <c r="GHB69" s="401"/>
      <c r="GHC69" s="401"/>
      <c r="GHD69" s="401"/>
      <c r="GHE69" s="401"/>
      <c r="GHF69" s="401"/>
      <c r="GHG69" s="401"/>
      <c r="GHH69" s="401"/>
      <c r="GHI69" s="401"/>
      <c r="GHJ69" s="401"/>
      <c r="GHK69" s="401"/>
      <c r="GHL69" s="401"/>
      <c r="GHM69" s="401"/>
      <c r="GHN69" s="401"/>
      <c r="GHO69" s="401"/>
      <c r="GHP69" s="401"/>
      <c r="GHQ69" s="401"/>
      <c r="GHR69" s="401"/>
      <c r="GHS69" s="401"/>
      <c r="GHT69" s="401"/>
      <c r="GHU69" s="401"/>
      <c r="GHV69" s="401"/>
      <c r="GHW69" s="401"/>
      <c r="GHX69" s="401"/>
      <c r="GHY69" s="401"/>
      <c r="GHZ69" s="401"/>
      <c r="GIA69" s="401"/>
      <c r="GIB69" s="401"/>
      <c r="GIC69" s="401"/>
      <c r="GID69" s="401"/>
      <c r="GIE69" s="401"/>
      <c r="GIF69" s="401"/>
      <c r="GIG69" s="401"/>
      <c r="GIH69" s="401"/>
      <c r="GII69" s="401"/>
      <c r="GIJ69" s="401"/>
      <c r="GIK69" s="401"/>
      <c r="GIL69" s="401"/>
      <c r="GIM69" s="401"/>
      <c r="GIN69" s="401"/>
      <c r="GIO69" s="401"/>
      <c r="GIP69" s="401"/>
      <c r="GIQ69" s="401"/>
      <c r="GIR69" s="401"/>
      <c r="GIS69" s="401"/>
      <c r="GIT69" s="401"/>
      <c r="GIU69" s="401"/>
      <c r="GIV69" s="401"/>
      <c r="GIW69" s="401"/>
      <c r="GIX69" s="401"/>
      <c r="GIY69" s="401"/>
      <c r="GIZ69" s="401"/>
      <c r="GJA69" s="401"/>
      <c r="GJB69" s="401"/>
      <c r="GJC69" s="401"/>
      <c r="GJD69" s="401"/>
      <c r="GJE69" s="401"/>
      <c r="GJF69" s="401"/>
      <c r="GJG69" s="401"/>
      <c r="GJH69" s="401"/>
      <c r="GJI69" s="401"/>
      <c r="GJJ69" s="401"/>
      <c r="GJK69" s="401"/>
      <c r="GJL69" s="401"/>
      <c r="GJM69" s="401"/>
      <c r="GJN69" s="401"/>
      <c r="GJO69" s="401"/>
      <c r="GJP69" s="401"/>
      <c r="GJQ69" s="401"/>
      <c r="GJR69" s="401"/>
      <c r="GJS69" s="401"/>
      <c r="GJT69" s="401"/>
      <c r="GJU69" s="401"/>
      <c r="GJV69" s="401"/>
      <c r="GJW69" s="401"/>
      <c r="GJX69" s="401"/>
      <c r="GJY69" s="401"/>
      <c r="GJZ69" s="401"/>
      <c r="GKA69" s="401"/>
      <c r="GKB69" s="401"/>
      <c r="GKC69" s="401"/>
      <c r="GKD69" s="401"/>
      <c r="GKE69" s="401"/>
      <c r="GKF69" s="401"/>
      <c r="GKG69" s="401"/>
      <c r="GKH69" s="401"/>
      <c r="GKI69" s="401"/>
      <c r="GKJ69" s="401"/>
      <c r="GKK69" s="401"/>
      <c r="GKL69" s="401"/>
      <c r="GKM69" s="401"/>
      <c r="GKN69" s="401"/>
      <c r="GKO69" s="401"/>
      <c r="GKP69" s="401"/>
      <c r="GKQ69" s="401"/>
      <c r="GKR69" s="401"/>
      <c r="GKS69" s="401"/>
      <c r="GKT69" s="401"/>
      <c r="GKU69" s="401"/>
      <c r="GKV69" s="401"/>
      <c r="GKW69" s="401"/>
      <c r="GKX69" s="401"/>
      <c r="GKY69" s="401"/>
      <c r="GKZ69" s="401"/>
      <c r="GLA69" s="401"/>
      <c r="GLB69" s="401"/>
      <c r="GLC69" s="401"/>
      <c r="GLD69" s="401"/>
      <c r="GLE69" s="401"/>
      <c r="GLF69" s="401"/>
      <c r="GLG69" s="401"/>
      <c r="GLH69" s="401"/>
      <c r="GLI69" s="401"/>
      <c r="GLJ69" s="401"/>
      <c r="GLK69" s="401"/>
      <c r="GLL69" s="401"/>
      <c r="GLM69" s="401"/>
      <c r="GLN69" s="401"/>
      <c r="GLO69" s="401"/>
      <c r="GLP69" s="401"/>
      <c r="GLQ69" s="401"/>
      <c r="GLR69" s="401"/>
      <c r="GLS69" s="401"/>
      <c r="GLT69" s="401"/>
      <c r="GLU69" s="401"/>
      <c r="GLV69" s="401"/>
      <c r="GLW69" s="401"/>
      <c r="GLX69" s="401"/>
      <c r="GLY69" s="401"/>
      <c r="GLZ69" s="401"/>
      <c r="GMA69" s="401"/>
      <c r="GMB69" s="401"/>
      <c r="GMC69" s="401"/>
      <c r="GMD69" s="401"/>
      <c r="GME69" s="401"/>
      <c r="GMF69" s="401"/>
      <c r="GMG69" s="401"/>
      <c r="GMH69" s="401"/>
      <c r="GMI69" s="401"/>
      <c r="GMJ69" s="401"/>
      <c r="GMK69" s="401"/>
      <c r="GML69" s="401"/>
      <c r="GMM69" s="401"/>
      <c r="GMN69" s="401"/>
      <c r="GMO69" s="401"/>
      <c r="GMP69" s="401"/>
      <c r="GMQ69" s="401"/>
      <c r="GMR69" s="401"/>
      <c r="GMS69" s="401"/>
      <c r="GMT69" s="401"/>
      <c r="GMU69" s="401"/>
      <c r="GMV69" s="401"/>
      <c r="GMW69" s="401"/>
      <c r="GMX69" s="401"/>
      <c r="GMY69" s="401"/>
      <c r="GMZ69" s="401"/>
      <c r="GNA69" s="401"/>
      <c r="GNB69" s="401"/>
      <c r="GNC69" s="401"/>
      <c r="GND69" s="401"/>
      <c r="GNE69" s="401"/>
      <c r="GNF69" s="401"/>
      <c r="GNG69" s="401"/>
      <c r="GNH69" s="401"/>
      <c r="GNI69" s="401"/>
      <c r="GNJ69" s="401"/>
      <c r="GNK69" s="401"/>
      <c r="GNL69" s="401"/>
      <c r="GNM69" s="401"/>
      <c r="GNN69" s="401"/>
      <c r="GNO69" s="401"/>
      <c r="GNP69" s="401"/>
      <c r="GNQ69" s="401"/>
      <c r="GNR69" s="401"/>
      <c r="GNS69" s="401"/>
      <c r="GNT69" s="401"/>
      <c r="GNU69" s="401"/>
      <c r="GNV69" s="401"/>
      <c r="GNW69" s="401"/>
      <c r="GNX69" s="401"/>
      <c r="GNY69" s="401"/>
      <c r="GNZ69" s="401"/>
      <c r="GOA69" s="401"/>
      <c r="GOB69" s="401"/>
      <c r="GOC69" s="401"/>
      <c r="GOD69" s="401"/>
      <c r="GOE69" s="401"/>
      <c r="GOF69" s="401"/>
      <c r="GOG69" s="401"/>
      <c r="GOH69" s="401"/>
      <c r="GOI69" s="401"/>
      <c r="GOJ69" s="401"/>
      <c r="GOK69" s="401"/>
      <c r="GOL69" s="401"/>
      <c r="GOM69" s="401"/>
      <c r="GON69" s="401"/>
      <c r="GOO69" s="401"/>
      <c r="GOP69" s="401"/>
      <c r="GOQ69" s="401"/>
      <c r="GOR69" s="401"/>
      <c r="GOS69" s="401"/>
      <c r="GOT69" s="401"/>
      <c r="GOU69" s="401"/>
      <c r="GOV69" s="401"/>
      <c r="GOW69" s="401"/>
      <c r="GOX69" s="401"/>
      <c r="GOY69" s="401"/>
      <c r="GOZ69" s="401"/>
      <c r="GPA69" s="401"/>
      <c r="GPB69" s="401"/>
      <c r="GPC69" s="401"/>
      <c r="GPD69" s="401"/>
      <c r="GPE69" s="401"/>
      <c r="GPF69" s="401"/>
      <c r="GPG69" s="401"/>
      <c r="GPH69" s="401"/>
      <c r="GPI69" s="401"/>
      <c r="GPJ69" s="401"/>
      <c r="GPK69" s="401"/>
      <c r="GPL69" s="401"/>
      <c r="GPM69" s="401"/>
      <c r="GPN69" s="401"/>
      <c r="GPO69" s="401"/>
      <c r="GPP69" s="401"/>
      <c r="GPQ69" s="401"/>
      <c r="GPR69" s="401"/>
      <c r="GPS69" s="401"/>
      <c r="GPT69" s="401"/>
      <c r="GPU69" s="401"/>
      <c r="GPV69" s="401"/>
      <c r="GPW69" s="401"/>
      <c r="GPX69" s="401"/>
      <c r="GPY69" s="401"/>
      <c r="GPZ69" s="401"/>
      <c r="GQA69" s="401"/>
      <c r="GQB69" s="401"/>
      <c r="GQC69" s="401"/>
      <c r="GQD69" s="401"/>
      <c r="GQE69" s="401"/>
      <c r="GQF69" s="401"/>
      <c r="GQG69" s="401"/>
      <c r="GQH69" s="401"/>
      <c r="GQI69" s="401"/>
      <c r="GQJ69" s="401"/>
      <c r="GQK69" s="401"/>
      <c r="GQL69" s="401"/>
      <c r="GQM69" s="401"/>
      <c r="GQN69" s="401"/>
      <c r="GQO69" s="401"/>
      <c r="GQP69" s="401"/>
      <c r="GQQ69" s="401"/>
      <c r="GQR69" s="401"/>
      <c r="GQS69" s="401"/>
      <c r="GQT69" s="401"/>
      <c r="GQU69" s="401"/>
      <c r="GQV69" s="401"/>
      <c r="GQW69" s="401"/>
      <c r="GQX69" s="401"/>
      <c r="GQY69" s="401"/>
      <c r="GQZ69" s="401"/>
      <c r="GRA69" s="401"/>
      <c r="GRB69" s="401"/>
      <c r="GRC69" s="401"/>
      <c r="GRD69" s="401"/>
      <c r="GRE69" s="401"/>
      <c r="GRF69" s="401"/>
      <c r="GRG69" s="401"/>
      <c r="GRH69" s="401"/>
      <c r="GRI69" s="401"/>
      <c r="GRJ69" s="401"/>
      <c r="GRK69" s="401"/>
      <c r="GRL69" s="401"/>
      <c r="GRM69" s="401"/>
      <c r="GRN69" s="401"/>
      <c r="GRO69" s="401"/>
      <c r="GRP69" s="401"/>
      <c r="GRQ69" s="401"/>
      <c r="GRR69" s="401"/>
      <c r="GRS69" s="401"/>
      <c r="GRT69" s="401"/>
      <c r="GRU69" s="401"/>
      <c r="GRV69" s="401"/>
      <c r="GRW69" s="401"/>
      <c r="GRX69" s="401"/>
      <c r="GRY69" s="401"/>
      <c r="GRZ69" s="401"/>
      <c r="GSA69" s="401"/>
      <c r="GSB69" s="401"/>
      <c r="GSC69" s="401"/>
      <c r="GSD69" s="401"/>
      <c r="GSE69" s="401"/>
      <c r="GSF69" s="401"/>
      <c r="GSG69" s="401"/>
      <c r="GSH69" s="401"/>
      <c r="GSI69" s="401"/>
      <c r="GSJ69" s="401"/>
      <c r="GSK69" s="401"/>
      <c r="GSL69" s="401"/>
      <c r="GSM69" s="401"/>
      <c r="GSN69" s="401"/>
      <c r="GSO69" s="401"/>
      <c r="GSP69" s="401"/>
      <c r="GSQ69" s="401"/>
      <c r="GSR69" s="401"/>
      <c r="GSS69" s="401"/>
      <c r="GST69" s="401"/>
      <c r="GSU69" s="401"/>
      <c r="GSV69" s="401"/>
      <c r="GSW69" s="401"/>
      <c r="GSX69" s="401"/>
      <c r="GSY69" s="401"/>
      <c r="GSZ69" s="401"/>
      <c r="GTA69" s="401"/>
      <c r="GTB69" s="401"/>
      <c r="GTC69" s="401"/>
      <c r="GTD69" s="401"/>
      <c r="GTE69" s="401"/>
      <c r="GTF69" s="401"/>
      <c r="GTG69" s="401"/>
      <c r="GTH69" s="401"/>
      <c r="GTI69" s="401"/>
      <c r="GTJ69" s="401"/>
      <c r="GTK69" s="401"/>
      <c r="GTL69" s="401"/>
      <c r="GTM69" s="401"/>
      <c r="GTN69" s="401"/>
      <c r="GTO69" s="401"/>
      <c r="GTP69" s="401"/>
      <c r="GTQ69" s="401"/>
      <c r="GTR69" s="401"/>
      <c r="GTS69" s="401"/>
      <c r="GTT69" s="401"/>
      <c r="GTU69" s="401"/>
      <c r="GTV69" s="401"/>
      <c r="GTW69" s="401"/>
      <c r="GTX69" s="401"/>
      <c r="GTY69" s="401"/>
      <c r="GTZ69" s="401"/>
      <c r="GUA69" s="401"/>
      <c r="GUB69" s="401"/>
      <c r="GUC69" s="401"/>
      <c r="GUD69" s="401"/>
      <c r="GUE69" s="401"/>
      <c r="GUF69" s="401"/>
      <c r="GUG69" s="401"/>
      <c r="GUH69" s="401"/>
      <c r="GUI69" s="401"/>
      <c r="GUJ69" s="401"/>
      <c r="GUK69" s="401"/>
      <c r="GUL69" s="401"/>
      <c r="GUM69" s="401"/>
      <c r="GUN69" s="401"/>
      <c r="GUO69" s="401"/>
      <c r="GUP69" s="401"/>
      <c r="GUQ69" s="401"/>
      <c r="GUR69" s="401"/>
      <c r="GUS69" s="401"/>
      <c r="GUT69" s="401"/>
      <c r="GUU69" s="401"/>
      <c r="GUV69" s="401"/>
      <c r="GUW69" s="401"/>
      <c r="GUX69" s="401"/>
      <c r="GUY69" s="401"/>
      <c r="GUZ69" s="401"/>
      <c r="GVA69" s="401"/>
      <c r="GVB69" s="401"/>
      <c r="GVC69" s="401"/>
      <c r="GVD69" s="401"/>
      <c r="GVE69" s="401"/>
      <c r="GVF69" s="401"/>
      <c r="GVG69" s="401"/>
      <c r="GVH69" s="401"/>
      <c r="GVI69" s="401"/>
      <c r="GVJ69" s="401"/>
      <c r="GVK69" s="401"/>
      <c r="GVL69" s="401"/>
      <c r="GVM69" s="401"/>
      <c r="GVN69" s="401"/>
      <c r="GVO69" s="401"/>
      <c r="GVP69" s="401"/>
      <c r="GVQ69" s="401"/>
      <c r="GVR69" s="401"/>
      <c r="GVS69" s="401"/>
      <c r="GVT69" s="401"/>
      <c r="GVU69" s="401"/>
      <c r="GVV69" s="401"/>
      <c r="GVW69" s="401"/>
      <c r="GVX69" s="401"/>
      <c r="GVY69" s="401"/>
      <c r="GVZ69" s="401"/>
      <c r="GWA69" s="401"/>
      <c r="GWB69" s="401"/>
      <c r="GWC69" s="401"/>
      <c r="GWD69" s="401"/>
      <c r="GWE69" s="401"/>
      <c r="GWF69" s="401"/>
      <c r="GWG69" s="401"/>
      <c r="GWH69" s="401"/>
      <c r="GWI69" s="401"/>
      <c r="GWJ69" s="401"/>
      <c r="GWK69" s="401"/>
      <c r="GWL69" s="401"/>
      <c r="GWM69" s="401"/>
      <c r="GWN69" s="401"/>
      <c r="GWO69" s="401"/>
      <c r="GWP69" s="401"/>
      <c r="GWQ69" s="401"/>
      <c r="GWR69" s="401"/>
      <c r="GWS69" s="401"/>
      <c r="GWT69" s="401"/>
      <c r="GWU69" s="401"/>
      <c r="GWV69" s="401"/>
      <c r="GWW69" s="401"/>
      <c r="GWX69" s="401"/>
      <c r="GWY69" s="401"/>
      <c r="GWZ69" s="401"/>
      <c r="GXA69" s="401"/>
      <c r="GXB69" s="401"/>
      <c r="GXC69" s="401"/>
      <c r="GXD69" s="401"/>
      <c r="GXE69" s="401"/>
      <c r="GXF69" s="401"/>
      <c r="GXG69" s="401"/>
      <c r="GXH69" s="401"/>
      <c r="GXI69" s="401"/>
      <c r="GXJ69" s="401"/>
      <c r="GXK69" s="401"/>
      <c r="GXL69" s="401"/>
      <c r="GXM69" s="401"/>
      <c r="GXN69" s="401"/>
      <c r="GXO69" s="401"/>
      <c r="GXP69" s="401"/>
      <c r="GXQ69" s="401"/>
      <c r="GXR69" s="401"/>
      <c r="GXS69" s="401"/>
      <c r="GXT69" s="401"/>
      <c r="GXU69" s="401"/>
      <c r="GXV69" s="401"/>
      <c r="GXW69" s="401"/>
      <c r="GXX69" s="401"/>
      <c r="GXY69" s="401"/>
      <c r="GXZ69" s="401"/>
      <c r="GYA69" s="401"/>
      <c r="GYB69" s="401"/>
      <c r="GYC69" s="401"/>
      <c r="GYD69" s="401"/>
      <c r="GYE69" s="401"/>
      <c r="GYF69" s="401"/>
      <c r="GYG69" s="401"/>
      <c r="GYH69" s="401"/>
      <c r="GYI69" s="401"/>
      <c r="GYJ69" s="401"/>
      <c r="GYK69" s="401"/>
      <c r="GYL69" s="401"/>
      <c r="GYM69" s="401"/>
      <c r="GYN69" s="401"/>
      <c r="GYO69" s="401"/>
      <c r="GYP69" s="401"/>
      <c r="GYQ69" s="401"/>
      <c r="GYR69" s="401"/>
      <c r="GYS69" s="401"/>
      <c r="GYT69" s="401"/>
      <c r="GYU69" s="401"/>
      <c r="GYV69" s="401"/>
      <c r="GYW69" s="401"/>
      <c r="GYX69" s="401"/>
      <c r="GYY69" s="401"/>
      <c r="GYZ69" s="401"/>
      <c r="GZA69" s="401"/>
      <c r="GZB69" s="401"/>
      <c r="GZC69" s="401"/>
      <c r="GZD69" s="401"/>
      <c r="GZE69" s="401"/>
      <c r="GZF69" s="401"/>
      <c r="GZG69" s="401"/>
      <c r="GZH69" s="401"/>
      <c r="GZI69" s="401"/>
      <c r="GZJ69" s="401"/>
      <c r="GZK69" s="401"/>
      <c r="GZL69" s="401"/>
      <c r="GZM69" s="401"/>
      <c r="GZN69" s="401"/>
      <c r="GZO69" s="401"/>
      <c r="GZP69" s="401"/>
      <c r="GZQ69" s="401"/>
      <c r="GZR69" s="401"/>
      <c r="GZS69" s="401"/>
      <c r="GZT69" s="401"/>
      <c r="GZU69" s="401"/>
      <c r="GZV69" s="401"/>
      <c r="GZW69" s="401"/>
      <c r="GZX69" s="401"/>
      <c r="GZY69" s="401"/>
      <c r="GZZ69" s="401"/>
      <c r="HAA69" s="401"/>
      <c r="HAB69" s="401"/>
      <c r="HAC69" s="401"/>
      <c r="HAD69" s="401"/>
      <c r="HAE69" s="401"/>
      <c r="HAF69" s="401"/>
      <c r="HAG69" s="401"/>
      <c r="HAH69" s="401"/>
      <c r="HAI69" s="401"/>
      <c r="HAJ69" s="401"/>
      <c r="HAK69" s="401"/>
      <c r="HAL69" s="401"/>
      <c r="HAM69" s="401"/>
      <c r="HAN69" s="401"/>
      <c r="HAO69" s="401"/>
      <c r="HAP69" s="401"/>
      <c r="HAQ69" s="401"/>
      <c r="HAR69" s="401"/>
      <c r="HAS69" s="401"/>
      <c r="HAT69" s="401"/>
      <c r="HAU69" s="401"/>
      <c r="HAV69" s="401"/>
      <c r="HAW69" s="401"/>
      <c r="HAX69" s="401"/>
      <c r="HAY69" s="401"/>
      <c r="HAZ69" s="401"/>
      <c r="HBA69" s="401"/>
      <c r="HBB69" s="401"/>
      <c r="HBC69" s="401"/>
      <c r="HBD69" s="401"/>
      <c r="HBE69" s="401"/>
      <c r="HBF69" s="401"/>
      <c r="HBG69" s="401"/>
      <c r="HBH69" s="401"/>
      <c r="HBI69" s="401"/>
      <c r="HBJ69" s="401"/>
      <c r="HBK69" s="401"/>
      <c r="HBL69" s="401"/>
      <c r="HBM69" s="401"/>
      <c r="HBN69" s="401"/>
      <c r="HBO69" s="401"/>
      <c r="HBP69" s="401"/>
      <c r="HBQ69" s="401"/>
      <c r="HBR69" s="401"/>
      <c r="HBS69" s="401"/>
      <c r="HBT69" s="401"/>
      <c r="HBU69" s="401"/>
      <c r="HBV69" s="401"/>
      <c r="HBW69" s="401"/>
      <c r="HBX69" s="401"/>
      <c r="HBY69" s="401"/>
      <c r="HBZ69" s="401"/>
      <c r="HCA69" s="401"/>
      <c r="HCB69" s="401"/>
      <c r="HCC69" s="401"/>
      <c r="HCD69" s="401"/>
      <c r="HCE69" s="401"/>
      <c r="HCF69" s="401"/>
      <c r="HCG69" s="401"/>
      <c r="HCH69" s="401"/>
      <c r="HCI69" s="401"/>
      <c r="HCJ69" s="401"/>
      <c r="HCK69" s="401"/>
      <c r="HCL69" s="401"/>
      <c r="HCM69" s="401"/>
      <c r="HCN69" s="401"/>
      <c r="HCO69" s="401"/>
      <c r="HCP69" s="401"/>
      <c r="HCQ69" s="401"/>
      <c r="HCR69" s="401"/>
      <c r="HCS69" s="401"/>
      <c r="HCT69" s="401"/>
      <c r="HCU69" s="401"/>
      <c r="HCV69" s="401"/>
      <c r="HCW69" s="401"/>
      <c r="HCX69" s="401"/>
      <c r="HCY69" s="401"/>
      <c r="HCZ69" s="401"/>
      <c r="HDA69" s="401"/>
      <c r="HDB69" s="401"/>
      <c r="HDC69" s="401"/>
      <c r="HDD69" s="401"/>
      <c r="HDE69" s="401"/>
      <c r="HDF69" s="401"/>
      <c r="HDG69" s="401"/>
      <c r="HDH69" s="401"/>
      <c r="HDI69" s="401"/>
      <c r="HDJ69" s="401"/>
      <c r="HDK69" s="401"/>
      <c r="HDL69" s="401"/>
      <c r="HDM69" s="401"/>
      <c r="HDN69" s="401"/>
      <c r="HDO69" s="401"/>
      <c r="HDP69" s="401"/>
      <c r="HDQ69" s="401"/>
      <c r="HDR69" s="401"/>
      <c r="HDS69" s="401"/>
      <c r="HDT69" s="401"/>
      <c r="HDU69" s="401"/>
      <c r="HDV69" s="401"/>
      <c r="HDW69" s="401"/>
      <c r="HDX69" s="401"/>
      <c r="HDY69" s="401"/>
      <c r="HDZ69" s="401"/>
      <c r="HEA69" s="401"/>
      <c r="HEB69" s="401"/>
      <c r="HEC69" s="401"/>
      <c r="HED69" s="401"/>
      <c r="HEE69" s="401"/>
      <c r="HEF69" s="401"/>
      <c r="HEG69" s="401"/>
      <c r="HEH69" s="401"/>
      <c r="HEI69" s="401"/>
      <c r="HEJ69" s="401"/>
      <c r="HEK69" s="401"/>
      <c r="HEL69" s="401"/>
      <c r="HEM69" s="401"/>
      <c r="HEN69" s="401"/>
      <c r="HEO69" s="401"/>
      <c r="HEP69" s="401"/>
      <c r="HEQ69" s="401"/>
      <c r="HER69" s="401"/>
      <c r="HES69" s="401"/>
      <c r="HET69" s="401"/>
      <c r="HEU69" s="401"/>
      <c r="HEV69" s="401"/>
      <c r="HEW69" s="401"/>
      <c r="HEX69" s="401"/>
      <c r="HEY69" s="401"/>
      <c r="HEZ69" s="401"/>
      <c r="HFA69" s="401"/>
      <c r="HFB69" s="401"/>
      <c r="HFC69" s="401"/>
      <c r="HFD69" s="401"/>
      <c r="HFE69" s="401"/>
      <c r="HFF69" s="401"/>
      <c r="HFG69" s="401"/>
      <c r="HFH69" s="401"/>
      <c r="HFI69" s="401"/>
      <c r="HFJ69" s="401"/>
      <c r="HFK69" s="401"/>
      <c r="HFL69" s="401"/>
      <c r="HFM69" s="401"/>
      <c r="HFN69" s="401"/>
      <c r="HFO69" s="401"/>
      <c r="HFP69" s="401"/>
      <c r="HFQ69" s="401"/>
      <c r="HFR69" s="401"/>
      <c r="HFS69" s="401"/>
      <c r="HFT69" s="401"/>
      <c r="HFU69" s="401"/>
      <c r="HFV69" s="401"/>
      <c r="HFW69" s="401"/>
      <c r="HFX69" s="401"/>
      <c r="HFY69" s="401"/>
      <c r="HFZ69" s="401"/>
      <c r="HGA69" s="401"/>
      <c r="HGB69" s="401"/>
      <c r="HGC69" s="401"/>
      <c r="HGD69" s="401"/>
      <c r="HGE69" s="401"/>
      <c r="HGF69" s="401"/>
      <c r="HGG69" s="401"/>
      <c r="HGH69" s="401"/>
      <c r="HGI69" s="401"/>
      <c r="HGJ69" s="401"/>
      <c r="HGK69" s="401"/>
      <c r="HGL69" s="401"/>
      <c r="HGM69" s="401"/>
      <c r="HGN69" s="401"/>
      <c r="HGO69" s="401"/>
      <c r="HGP69" s="401"/>
      <c r="HGQ69" s="401"/>
      <c r="HGR69" s="401"/>
      <c r="HGS69" s="401"/>
      <c r="HGT69" s="401"/>
      <c r="HGU69" s="401"/>
      <c r="HGV69" s="401"/>
      <c r="HGW69" s="401"/>
      <c r="HGX69" s="401"/>
      <c r="HGY69" s="401"/>
      <c r="HGZ69" s="401"/>
      <c r="HHA69" s="401"/>
      <c r="HHB69" s="401"/>
      <c r="HHC69" s="401"/>
      <c r="HHD69" s="401"/>
      <c r="HHE69" s="401"/>
      <c r="HHF69" s="401"/>
      <c r="HHG69" s="401"/>
      <c r="HHH69" s="401"/>
      <c r="HHI69" s="401"/>
      <c r="HHJ69" s="401"/>
      <c r="HHK69" s="401"/>
      <c r="HHL69" s="401"/>
      <c r="HHM69" s="401"/>
      <c r="HHN69" s="401"/>
      <c r="HHO69" s="401"/>
      <c r="HHP69" s="401"/>
      <c r="HHQ69" s="401"/>
      <c r="HHR69" s="401"/>
      <c r="HHS69" s="401"/>
      <c r="HHT69" s="401"/>
      <c r="HHU69" s="401"/>
      <c r="HHV69" s="401"/>
      <c r="HHW69" s="401"/>
      <c r="HHX69" s="401"/>
      <c r="HHY69" s="401"/>
      <c r="HHZ69" s="401"/>
      <c r="HIA69" s="401"/>
      <c r="HIB69" s="401"/>
      <c r="HIC69" s="401"/>
      <c r="HID69" s="401"/>
      <c r="HIE69" s="401"/>
      <c r="HIF69" s="401"/>
      <c r="HIG69" s="401"/>
      <c r="HIH69" s="401"/>
      <c r="HII69" s="401"/>
      <c r="HIJ69" s="401"/>
      <c r="HIK69" s="401"/>
      <c r="HIL69" s="401"/>
      <c r="HIM69" s="401"/>
      <c r="HIN69" s="401"/>
      <c r="HIO69" s="401"/>
      <c r="HIP69" s="401"/>
      <c r="HIQ69" s="401"/>
      <c r="HIR69" s="401"/>
      <c r="HIS69" s="401"/>
      <c r="HIT69" s="401"/>
      <c r="HIU69" s="401"/>
      <c r="HIV69" s="401"/>
      <c r="HIW69" s="401"/>
      <c r="HIX69" s="401"/>
      <c r="HIY69" s="401"/>
      <c r="HIZ69" s="401"/>
      <c r="HJA69" s="401"/>
      <c r="HJB69" s="401"/>
      <c r="HJC69" s="401"/>
      <c r="HJD69" s="401"/>
      <c r="HJE69" s="401"/>
      <c r="HJF69" s="401"/>
      <c r="HJG69" s="401"/>
      <c r="HJH69" s="401"/>
      <c r="HJI69" s="401"/>
      <c r="HJJ69" s="401"/>
      <c r="HJK69" s="401"/>
      <c r="HJL69" s="401"/>
      <c r="HJM69" s="401"/>
      <c r="HJN69" s="401"/>
      <c r="HJO69" s="401"/>
      <c r="HJP69" s="401"/>
      <c r="HJQ69" s="401"/>
      <c r="HJR69" s="401"/>
      <c r="HJS69" s="401"/>
      <c r="HJT69" s="401"/>
      <c r="HJU69" s="401"/>
      <c r="HJV69" s="401"/>
      <c r="HJW69" s="401"/>
      <c r="HJX69" s="401"/>
      <c r="HJY69" s="401"/>
      <c r="HJZ69" s="401"/>
      <c r="HKA69" s="401"/>
      <c r="HKB69" s="401"/>
      <c r="HKC69" s="401"/>
      <c r="HKD69" s="401"/>
      <c r="HKE69" s="401"/>
      <c r="HKF69" s="401"/>
      <c r="HKG69" s="401"/>
      <c r="HKH69" s="401"/>
      <c r="HKI69" s="401"/>
      <c r="HKJ69" s="401"/>
      <c r="HKK69" s="401"/>
      <c r="HKL69" s="401"/>
      <c r="HKM69" s="401"/>
      <c r="HKN69" s="401"/>
      <c r="HKO69" s="401"/>
      <c r="HKP69" s="401"/>
      <c r="HKQ69" s="401"/>
      <c r="HKR69" s="401"/>
      <c r="HKS69" s="401"/>
      <c r="HKT69" s="401"/>
      <c r="HKU69" s="401"/>
      <c r="HKV69" s="401"/>
      <c r="HKW69" s="401"/>
      <c r="HKX69" s="401"/>
      <c r="HKY69" s="401"/>
      <c r="HKZ69" s="401"/>
      <c r="HLA69" s="401"/>
      <c r="HLB69" s="401"/>
      <c r="HLC69" s="401"/>
      <c r="HLD69" s="401"/>
      <c r="HLE69" s="401"/>
      <c r="HLF69" s="401"/>
      <c r="HLG69" s="401"/>
      <c r="HLH69" s="401"/>
      <c r="HLI69" s="401"/>
      <c r="HLJ69" s="401"/>
      <c r="HLK69" s="401"/>
      <c r="HLL69" s="401"/>
      <c r="HLM69" s="401"/>
      <c r="HLN69" s="401"/>
      <c r="HLO69" s="401"/>
      <c r="HLP69" s="401"/>
      <c r="HLQ69" s="401"/>
      <c r="HLR69" s="401"/>
      <c r="HLS69" s="401"/>
      <c r="HLT69" s="401"/>
      <c r="HLU69" s="401"/>
      <c r="HLV69" s="401"/>
      <c r="HLW69" s="401"/>
      <c r="HLX69" s="401"/>
      <c r="HLY69" s="401"/>
      <c r="HLZ69" s="401"/>
      <c r="HMA69" s="401"/>
      <c r="HMB69" s="401"/>
      <c r="HMC69" s="401"/>
      <c r="HMD69" s="401"/>
      <c r="HME69" s="401"/>
      <c r="HMF69" s="401"/>
      <c r="HMG69" s="401"/>
      <c r="HMH69" s="401"/>
      <c r="HMI69" s="401"/>
      <c r="HMJ69" s="401"/>
      <c r="HMK69" s="401"/>
      <c r="HML69" s="401"/>
      <c r="HMM69" s="401"/>
      <c r="HMN69" s="401"/>
      <c r="HMO69" s="401"/>
      <c r="HMP69" s="401"/>
      <c r="HMQ69" s="401"/>
      <c r="HMR69" s="401"/>
      <c r="HMS69" s="401"/>
      <c r="HMT69" s="401"/>
      <c r="HMU69" s="401"/>
      <c r="HMV69" s="401"/>
      <c r="HMW69" s="401"/>
      <c r="HMX69" s="401"/>
      <c r="HMY69" s="401"/>
      <c r="HMZ69" s="401"/>
      <c r="HNA69" s="401"/>
      <c r="HNB69" s="401"/>
      <c r="HNC69" s="401"/>
      <c r="HND69" s="401"/>
      <c r="HNE69" s="401"/>
      <c r="HNF69" s="401"/>
      <c r="HNG69" s="401"/>
      <c r="HNH69" s="401"/>
      <c r="HNI69" s="401"/>
      <c r="HNJ69" s="401"/>
      <c r="HNK69" s="401"/>
      <c r="HNL69" s="401"/>
      <c r="HNM69" s="401"/>
      <c r="HNN69" s="401"/>
      <c r="HNO69" s="401"/>
      <c r="HNP69" s="401"/>
      <c r="HNQ69" s="401"/>
      <c r="HNR69" s="401"/>
      <c r="HNS69" s="401"/>
      <c r="HNT69" s="401"/>
      <c r="HNU69" s="401"/>
      <c r="HNV69" s="401"/>
      <c r="HNW69" s="401"/>
      <c r="HNX69" s="401"/>
      <c r="HNY69" s="401"/>
      <c r="HNZ69" s="401"/>
      <c r="HOA69" s="401"/>
      <c r="HOB69" s="401"/>
      <c r="HOC69" s="401"/>
      <c r="HOD69" s="401"/>
      <c r="HOE69" s="401"/>
      <c r="HOF69" s="401"/>
      <c r="HOG69" s="401"/>
      <c r="HOH69" s="401"/>
      <c r="HOI69" s="401"/>
      <c r="HOJ69" s="401"/>
      <c r="HOK69" s="401"/>
      <c r="HOL69" s="401"/>
      <c r="HOM69" s="401"/>
      <c r="HON69" s="401"/>
      <c r="HOO69" s="401"/>
      <c r="HOP69" s="401"/>
      <c r="HOQ69" s="401"/>
      <c r="HOR69" s="401"/>
      <c r="HOS69" s="401"/>
      <c r="HOT69" s="401"/>
      <c r="HOU69" s="401"/>
      <c r="HOV69" s="401"/>
      <c r="HOW69" s="401"/>
      <c r="HOX69" s="401"/>
      <c r="HOY69" s="401"/>
      <c r="HOZ69" s="401"/>
      <c r="HPA69" s="401"/>
      <c r="HPB69" s="401"/>
      <c r="HPC69" s="401"/>
      <c r="HPD69" s="401"/>
      <c r="HPE69" s="401"/>
      <c r="HPF69" s="401"/>
      <c r="HPG69" s="401"/>
      <c r="HPH69" s="401"/>
      <c r="HPI69" s="401"/>
      <c r="HPJ69" s="401"/>
      <c r="HPK69" s="401"/>
      <c r="HPL69" s="401"/>
      <c r="HPM69" s="401"/>
      <c r="HPN69" s="401"/>
      <c r="HPO69" s="401"/>
      <c r="HPP69" s="401"/>
      <c r="HPQ69" s="401"/>
      <c r="HPR69" s="401"/>
      <c r="HPS69" s="401"/>
      <c r="HPT69" s="401"/>
      <c r="HPU69" s="401"/>
      <c r="HPV69" s="401"/>
      <c r="HPW69" s="401"/>
      <c r="HPX69" s="401"/>
      <c r="HPY69" s="401"/>
      <c r="HPZ69" s="401"/>
      <c r="HQA69" s="401"/>
      <c r="HQB69" s="401"/>
      <c r="HQC69" s="401"/>
      <c r="HQD69" s="401"/>
      <c r="HQE69" s="401"/>
      <c r="HQF69" s="401"/>
      <c r="HQG69" s="401"/>
      <c r="HQH69" s="401"/>
      <c r="HQI69" s="401"/>
      <c r="HQJ69" s="401"/>
      <c r="HQK69" s="401"/>
      <c r="HQL69" s="401"/>
      <c r="HQM69" s="401"/>
      <c r="HQN69" s="401"/>
      <c r="HQO69" s="401"/>
      <c r="HQP69" s="401"/>
      <c r="HQQ69" s="401"/>
      <c r="HQR69" s="401"/>
      <c r="HQS69" s="401"/>
      <c r="HQT69" s="401"/>
      <c r="HQU69" s="401"/>
      <c r="HQV69" s="401"/>
      <c r="HQW69" s="401"/>
      <c r="HQX69" s="401"/>
      <c r="HQY69" s="401"/>
      <c r="HQZ69" s="401"/>
      <c r="HRA69" s="401"/>
      <c r="HRB69" s="401"/>
      <c r="HRC69" s="401"/>
      <c r="HRD69" s="401"/>
      <c r="HRE69" s="401"/>
      <c r="HRF69" s="401"/>
      <c r="HRG69" s="401"/>
      <c r="HRH69" s="401"/>
      <c r="HRI69" s="401"/>
      <c r="HRJ69" s="401"/>
      <c r="HRK69" s="401"/>
      <c r="HRL69" s="401"/>
      <c r="HRM69" s="401"/>
      <c r="HRN69" s="401"/>
      <c r="HRO69" s="401"/>
      <c r="HRP69" s="401"/>
      <c r="HRQ69" s="401"/>
      <c r="HRR69" s="401"/>
      <c r="HRS69" s="401"/>
      <c r="HRT69" s="401"/>
      <c r="HRU69" s="401"/>
      <c r="HRV69" s="401"/>
      <c r="HRW69" s="401"/>
      <c r="HRX69" s="401"/>
      <c r="HRY69" s="401"/>
      <c r="HRZ69" s="401"/>
      <c r="HSA69" s="401"/>
      <c r="HSB69" s="401"/>
      <c r="HSC69" s="401"/>
      <c r="HSD69" s="401"/>
      <c r="HSE69" s="401"/>
      <c r="HSF69" s="401"/>
      <c r="HSG69" s="401"/>
      <c r="HSH69" s="401"/>
      <c r="HSI69" s="401"/>
      <c r="HSJ69" s="401"/>
      <c r="HSK69" s="401"/>
      <c r="HSL69" s="401"/>
      <c r="HSM69" s="401"/>
      <c r="HSN69" s="401"/>
      <c r="HSO69" s="401"/>
      <c r="HSP69" s="401"/>
      <c r="HSQ69" s="401"/>
      <c r="HSR69" s="401"/>
      <c r="HSS69" s="401"/>
      <c r="HST69" s="401"/>
      <c r="HSU69" s="401"/>
      <c r="HSV69" s="401"/>
      <c r="HSW69" s="401"/>
      <c r="HSX69" s="401"/>
      <c r="HSY69" s="401"/>
      <c r="HSZ69" s="401"/>
      <c r="HTA69" s="401"/>
      <c r="HTB69" s="401"/>
      <c r="HTC69" s="401"/>
      <c r="HTD69" s="401"/>
      <c r="HTE69" s="401"/>
      <c r="HTF69" s="401"/>
      <c r="HTG69" s="401"/>
      <c r="HTH69" s="401"/>
      <c r="HTI69" s="401"/>
      <c r="HTJ69" s="401"/>
      <c r="HTK69" s="401"/>
      <c r="HTL69" s="401"/>
      <c r="HTM69" s="401"/>
      <c r="HTN69" s="401"/>
      <c r="HTO69" s="401"/>
      <c r="HTP69" s="401"/>
      <c r="HTQ69" s="401"/>
      <c r="HTR69" s="401"/>
      <c r="HTS69" s="401"/>
      <c r="HTT69" s="401"/>
      <c r="HTU69" s="401"/>
      <c r="HTV69" s="401"/>
      <c r="HTW69" s="401"/>
      <c r="HTX69" s="401"/>
      <c r="HTY69" s="401"/>
      <c r="HTZ69" s="401"/>
      <c r="HUA69" s="401"/>
      <c r="HUB69" s="401"/>
      <c r="HUC69" s="401"/>
      <c r="HUD69" s="401"/>
      <c r="HUE69" s="401"/>
      <c r="HUF69" s="401"/>
      <c r="HUG69" s="401"/>
      <c r="HUH69" s="401"/>
      <c r="HUI69" s="401"/>
      <c r="HUJ69" s="401"/>
      <c r="HUK69" s="401"/>
      <c r="HUL69" s="401"/>
      <c r="HUM69" s="401"/>
      <c r="HUN69" s="401"/>
      <c r="HUO69" s="401"/>
      <c r="HUP69" s="401"/>
      <c r="HUQ69" s="401"/>
      <c r="HUR69" s="401"/>
      <c r="HUS69" s="401"/>
      <c r="HUT69" s="401"/>
      <c r="HUU69" s="401"/>
      <c r="HUV69" s="401"/>
      <c r="HUW69" s="401"/>
      <c r="HUX69" s="401"/>
      <c r="HUY69" s="401"/>
      <c r="HUZ69" s="401"/>
      <c r="HVA69" s="401"/>
      <c r="HVB69" s="401"/>
      <c r="HVC69" s="401"/>
      <c r="HVD69" s="401"/>
      <c r="HVE69" s="401"/>
      <c r="HVF69" s="401"/>
      <c r="HVG69" s="401"/>
      <c r="HVH69" s="401"/>
      <c r="HVI69" s="401"/>
      <c r="HVJ69" s="401"/>
      <c r="HVK69" s="401"/>
      <c r="HVL69" s="401"/>
      <c r="HVM69" s="401"/>
      <c r="HVN69" s="401"/>
      <c r="HVO69" s="401"/>
      <c r="HVP69" s="401"/>
      <c r="HVQ69" s="401"/>
      <c r="HVR69" s="401"/>
      <c r="HVS69" s="401"/>
      <c r="HVT69" s="401"/>
      <c r="HVU69" s="401"/>
      <c r="HVV69" s="401"/>
      <c r="HVW69" s="401"/>
      <c r="HVX69" s="401"/>
      <c r="HVY69" s="401"/>
      <c r="HVZ69" s="401"/>
      <c r="HWA69" s="401"/>
      <c r="HWB69" s="401"/>
      <c r="HWC69" s="401"/>
      <c r="HWD69" s="401"/>
      <c r="HWE69" s="401"/>
      <c r="HWF69" s="401"/>
      <c r="HWG69" s="401"/>
      <c r="HWH69" s="401"/>
      <c r="HWI69" s="401"/>
      <c r="HWJ69" s="401"/>
      <c r="HWK69" s="401"/>
      <c r="HWL69" s="401"/>
      <c r="HWM69" s="401"/>
      <c r="HWN69" s="401"/>
      <c r="HWO69" s="401"/>
      <c r="HWP69" s="401"/>
      <c r="HWQ69" s="401"/>
      <c r="HWR69" s="401"/>
      <c r="HWS69" s="401"/>
      <c r="HWT69" s="401"/>
      <c r="HWU69" s="401"/>
      <c r="HWV69" s="401"/>
      <c r="HWW69" s="401"/>
      <c r="HWX69" s="401"/>
      <c r="HWY69" s="401"/>
      <c r="HWZ69" s="401"/>
      <c r="HXA69" s="401"/>
      <c r="HXB69" s="401"/>
      <c r="HXC69" s="401"/>
      <c r="HXD69" s="401"/>
      <c r="HXE69" s="401"/>
      <c r="HXF69" s="401"/>
      <c r="HXG69" s="401"/>
      <c r="HXH69" s="401"/>
      <c r="HXI69" s="401"/>
      <c r="HXJ69" s="401"/>
      <c r="HXK69" s="401"/>
      <c r="HXL69" s="401"/>
      <c r="HXM69" s="401"/>
      <c r="HXN69" s="401"/>
      <c r="HXO69" s="401"/>
      <c r="HXP69" s="401"/>
      <c r="HXQ69" s="401"/>
      <c r="HXR69" s="401"/>
      <c r="HXS69" s="401"/>
      <c r="HXT69" s="401"/>
      <c r="HXU69" s="401"/>
      <c r="HXV69" s="401"/>
      <c r="HXW69" s="401"/>
      <c r="HXX69" s="401"/>
      <c r="HXY69" s="401"/>
      <c r="HXZ69" s="401"/>
      <c r="HYA69" s="401"/>
      <c r="HYB69" s="401"/>
      <c r="HYC69" s="401"/>
      <c r="HYD69" s="401"/>
      <c r="HYE69" s="401"/>
      <c r="HYF69" s="401"/>
      <c r="HYG69" s="401"/>
      <c r="HYH69" s="401"/>
      <c r="HYI69" s="401"/>
      <c r="HYJ69" s="401"/>
      <c r="HYK69" s="401"/>
      <c r="HYL69" s="401"/>
      <c r="HYM69" s="401"/>
      <c r="HYN69" s="401"/>
      <c r="HYO69" s="401"/>
      <c r="HYP69" s="401"/>
      <c r="HYQ69" s="401"/>
      <c r="HYR69" s="401"/>
      <c r="HYS69" s="401"/>
      <c r="HYT69" s="401"/>
      <c r="HYU69" s="401"/>
      <c r="HYV69" s="401"/>
      <c r="HYW69" s="401"/>
      <c r="HYX69" s="401"/>
      <c r="HYY69" s="401"/>
      <c r="HYZ69" s="401"/>
      <c r="HZA69" s="401"/>
      <c r="HZB69" s="401"/>
      <c r="HZC69" s="401"/>
      <c r="HZD69" s="401"/>
      <c r="HZE69" s="401"/>
      <c r="HZF69" s="401"/>
      <c r="HZG69" s="401"/>
      <c r="HZH69" s="401"/>
      <c r="HZI69" s="401"/>
      <c r="HZJ69" s="401"/>
      <c r="HZK69" s="401"/>
      <c r="HZL69" s="401"/>
      <c r="HZM69" s="401"/>
      <c r="HZN69" s="401"/>
      <c r="HZO69" s="401"/>
      <c r="HZP69" s="401"/>
      <c r="HZQ69" s="401"/>
      <c r="HZR69" s="401"/>
      <c r="HZS69" s="401"/>
      <c r="HZT69" s="401"/>
      <c r="HZU69" s="401"/>
      <c r="HZV69" s="401"/>
      <c r="HZW69" s="401"/>
      <c r="HZX69" s="401"/>
      <c r="HZY69" s="401"/>
      <c r="HZZ69" s="401"/>
      <c r="IAA69" s="401"/>
      <c r="IAB69" s="401"/>
      <c r="IAC69" s="401"/>
      <c r="IAD69" s="401"/>
      <c r="IAE69" s="401"/>
      <c r="IAF69" s="401"/>
      <c r="IAG69" s="401"/>
      <c r="IAH69" s="401"/>
      <c r="IAI69" s="401"/>
      <c r="IAJ69" s="401"/>
      <c r="IAK69" s="401"/>
      <c r="IAL69" s="401"/>
      <c r="IAM69" s="401"/>
      <c r="IAN69" s="401"/>
      <c r="IAO69" s="401"/>
      <c r="IAP69" s="401"/>
      <c r="IAQ69" s="401"/>
      <c r="IAR69" s="401"/>
      <c r="IAS69" s="401"/>
      <c r="IAT69" s="401"/>
      <c r="IAU69" s="401"/>
      <c r="IAV69" s="401"/>
      <c r="IAW69" s="401"/>
      <c r="IAX69" s="401"/>
      <c r="IAY69" s="401"/>
      <c r="IAZ69" s="401"/>
      <c r="IBA69" s="401"/>
      <c r="IBB69" s="401"/>
      <c r="IBC69" s="401"/>
      <c r="IBD69" s="401"/>
      <c r="IBE69" s="401"/>
      <c r="IBF69" s="401"/>
      <c r="IBG69" s="401"/>
      <c r="IBH69" s="401"/>
      <c r="IBI69" s="401"/>
      <c r="IBJ69" s="401"/>
      <c r="IBK69" s="401"/>
      <c r="IBL69" s="401"/>
      <c r="IBM69" s="401"/>
      <c r="IBN69" s="401"/>
      <c r="IBO69" s="401"/>
      <c r="IBP69" s="401"/>
      <c r="IBQ69" s="401"/>
      <c r="IBR69" s="401"/>
      <c r="IBS69" s="401"/>
      <c r="IBT69" s="401"/>
      <c r="IBU69" s="401"/>
      <c r="IBV69" s="401"/>
      <c r="IBW69" s="401"/>
      <c r="IBX69" s="401"/>
      <c r="IBY69" s="401"/>
      <c r="IBZ69" s="401"/>
      <c r="ICA69" s="401"/>
      <c r="ICB69" s="401"/>
      <c r="ICC69" s="401"/>
      <c r="ICD69" s="401"/>
      <c r="ICE69" s="401"/>
      <c r="ICF69" s="401"/>
      <c r="ICG69" s="401"/>
      <c r="ICH69" s="401"/>
      <c r="ICI69" s="401"/>
      <c r="ICJ69" s="401"/>
      <c r="ICK69" s="401"/>
      <c r="ICL69" s="401"/>
      <c r="ICM69" s="401"/>
      <c r="ICN69" s="401"/>
      <c r="ICO69" s="401"/>
      <c r="ICP69" s="401"/>
      <c r="ICQ69" s="401"/>
      <c r="ICR69" s="401"/>
      <c r="ICS69" s="401"/>
      <c r="ICT69" s="401"/>
      <c r="ICU69" s="401"/>
      <c r="ICV69" s="401"/>
      <c r="ICW69" s="401"/>
      <c r="ICX69" s="401"/>
      <c r="ICY69" s="401"/>
      <c r="ICZ69" s="401"/>
      <c r="IDA69" s="401"/>
      <c r="IDB69" s="401"/>
      <c r="IDC69" s="401"/>
      <c r="IDD69" s="401"/>
      <c r="IDE69" s="401"/>
      <c r="IDF69" s="401"/>
      <c r="IDG69" s="401"/>
      <c r="IDH69" s="401"/>
      <c r="IDI69" s="401"/>
      <c r="IDJ69" s="401"/>
      <c r="IDK69" s="401"/>
      <c r="IDL69" s="401"/>
      <c r="IDM69" s="401"/>
      <c r="IDN69" s="401"/>
      <c r="IDO69" s="401"/>
      <c r="IDP69" s="401"/>
      <c r="IDQ69" s="401"/>
      <c r="IDR69" s="401"/>
      <c r="IDS69" s="401"/>
      <c r="IDT69" s="401"/>
      <c r="IDU69" s="401"/>
      <c r="IDV69" s="401"/>
      <c r="IDW69" s="401"/>
      <c r="IDX69" s="401"/>
      <c r="IDY69" s="401"/>
      <c r="IDZ69" s="401"/>
      <c r="IEA69" s="401"/>
      <c r="IEB69" s="401"/>
      <c r="IEC69" s="401"/>
      <c r="IED69" s="401"/>
      <c r="IEE69" s="401"/>
      <c r="IEF69" s="401"/>
      <c r="IEG69" s="401"/>
      <c r="IEH69" s="401"/>
      <c r="IEI69" s="401"/>
      <c r="IEJ69" s="401"/>
      <c r="IEK69" s="401"/>
      <c r="IEL69" s="401"/>
      <c r="IEM69" s="401"/>
      <c r="IEN69" s="401"/>
      <c r="IEO69" s="401"/>
      <c r="IEP69" s="401"/>
      <c r="IEQ69" s="401"/>
      <c r="IER69" s="401"/>
      <c r="IES69" s="401"/>
      <c r="IET69" s="401"/>
      <c r="IEU69" s="401"/>
      <c r="IEV69" s="401"/>
      <c r="IEW69" s="401"/>
      <c r="IEX69" s="401"/>
      <c r="IEY69" s="401"/>
      <c r="IEZ69" s="401"/>
      <c r="IFA69" s="401"/>
      <c r="IFB69" s="401"/>
      <c r="IFC69" s="401"/>
      <c r="IFD69" s="401"/>
      <c r="IFE69" s="401"/>
      <c r="IFF69" s="401"/>
      <c r="IFG69" s="401"/>
      <c r="IFH69" s="401"/>
      <c r="IFI69" s="401"/>
      <c r="IFJ69" s="401"/>
      <c r="IFK69" s="401"/>
      <c r="IFL69" s="401"/>
      <c r="IFM69" s="401"/>
      <c r="IFN69" s="401"/>
      <c r="IFO69" s="401"/>
      <c r="IFP69" s="401"/>
      <c r="IFQ69" s="401"/>
      <c r="IFR69" s="401"/>
      <c r="IFS69" s="401"/>
      <c r="IFT69" s="401"/>
      <c r="IFU69" s="401"/>
      <c r="IFV69" s="401"/>
      <c r="IFW69" s="401"/>
      <c r="IFX69" s="401"/>
      <c r="IFY69" s="401"/>
      <c r="IFZ69" s="401"/>
      <c r="IGA69" s="401"/>
      <c r="IGB69" s="401"/>
      <c r="IGC69" s="401"/>
      <c r="IGD69" s="401"/>
      <c r="IGE69" s="401"/>
      <c r="IGF69" s="401"/>
      <c r="IGG69" s="401"/>
      <c r="IGH69" s="401"/>
      <c r="IGI69" s="401"/>
      <c r="IGJ69" s="401"/>
      <c r="IGK69" s="401"/>
      <c r="IGL69" s="401"/>
      <c r="IGM69" s="401"/>
      <c r="IGN69" s="401"/>
      <c r="IGO69" s="401"/>
      <c r="IGP69" s="401"/>
      <c r="IGQ69" s="401"/>
      <c r="IGR69" s="401"/>
      <c r="IGS69" s="401"/>
      <c r="IGT69" s="401"/>
      <c r="IGU69" s="401"/>
      <c r="IGV69" s="401"/>
      <c r="IGW69" s="401"/>
      <c r="IGX69" s="401"/>
      <c r="IGY69" s="401"/>
      <c r="IGZ69" s="401"/>
      <c r="IHA69" s="401"/>
      <c r="IHB69" s="401"/>
      <c r="IHC69" s="401"/>
      <c r="IHD69" s="401"/>
      <c r="IHE69" s="401"/>
      <c r="IHF69" s="401"/>
      <c r="IHG69" s="401"/>
      <c r="IHH69" s="401"/>
      <c r="IHI69" s="401"/>
      <c r="IHJ69" s="401"/>
      <c r="IHK69" s="401"/>
      <c r="IHL69" s="401"/>
      <c r="IHM69" s="401"/>
      <c r="IHN69" s="401"/>
      <c r="IHO69" s="401"/>
      <c r="IHP69" s="401"/>
      <c r="IHQ69" s="401"/>
      <c r="IHR69" s="401"/>
      <c r="IHS69" s="401"/>
      <c r="IHT69" s="401"/>
      <c r="IHU69" s="401"/>
      <c r="IHV69" s="401"/>
      <c r="IHW69" s="401"/>
      <c r="IHX69" s="401"/>
      <c r="IHY69" s="401"/>
      <c r="IHZ69" s="401"/>
      <c r="IIA69" s="401"/>
      <c r="IIB69" s="401"/>
      <c r="IIC69" s="401"/>
      <c r="IID69" s="401"/>
      <c r="IIE69" s="401"/>
      <c r="IIF69" s="401"/>
      <c r="IIG69" s="401"/>
      <c r="IIH69" s="401"/>
      <c r="III69" s="401"/>
      <c r="IIJ69" s="401"/>
      <c r="IIK69" s="401"/>
      <c r="IIL69" s="401"/>
      <c r="IIM69" s="401"/>
      <c r="IIN69" s="401"/>
      <c r="IIO69" s="401"/>
      <c r="IIP69" s="401"/>
      <c r="IIQ69" s="401"/>
      <c r="IIR69" s="401"/>
      <c r="IIS69" s="401"/>
      <c r="IIT69" s="401"/>
      <c r="IIU69" s="401"/>
      <c r="IIV69" s="401"/>
      <c r="IIW69" s="401"/>
      <c r="IIX69" s="401"/>
      <c r="IIY69" s="401"/>
      <c r="IIZ69" s="401"/>
      <c r="IJA69" s="401"/>
      <c r="IJB69" s="401"/>
      <c r="IJC69" s="401"/>
      <c r="IJD69" s="401"/>
      <c r="IJE69" s="401"/>
      <c r="IJF69" s="401"/>
      <c r="IJG69" s="401"/>
      <c r="IJH69" s="401"/>
      <c r="IJI69" s="401"/>
      <c r="IJJ69" s="401"/>
      <c r="IJK69" s="401"/>
      <c r="IJL69" s="401"/>
      <c r="IJM69" s="401"/>
      <c r="IJN69" s="401"/>
      <c r="IJO69" s="401"/>
      <c r="IJP69" s="401"/>
      <c r="IJQ69" s="401"/>
      <c r="IJR69" s="401"/>
      <c r="IJS69" s="401"/>
      <c r="IJT69" s="401"/>
      <c r="IJU69" s="401"/>
      <c r="IJV69" s="401"/>
      <c r="IJW69" s="401"/>
      <c r="IJX69" s="401"/>
      <c r="IJY69" s="401"/>
      <c r="IJZ69" s="401"/>
      <c r="IKA69" s="401"/>
      <c r="IKB69" s="401"/>
      <c r="IKC69" s="401"/>
      <c r="IKD69" s="401"/>
      <c r="IKE69" s="401"/>
      <c r="IKF69" s="401"/>
      <c r="IKG69" s="401"/>
      <c r="IKH69" s="401"/>
      <c r="IKI69" s="401"/>
      <c r="IKJ69" s="401"/>
      <c r="IKK69" s="401"/>
      <c r="IKL69" s="401"/>
      <c r="IKM69" s="401"/>
      <c r="IKN69" s="401"/>
      <c r="IKO69" s="401"/>
      <c r="IKP69" s="401"/>
      <c r="IKQ69" s="401"/>
      <c r="IKR69" s="401"/>
      <c r="IKS69" s="401"/>
      <c r="IKT69" s="401"/>
      <c r="IKU69" s="401"/>
      <c r="IKV69" s="401"/>
      <c r="IKW69" s="401"/>
      <c r="IKX69" s="401"/>
      <c r="IKY69" s="401"/>
      <c r="IKZ69" s="401"/>
      <c r="ILA69" s="401"/>
      <c r="ILB69" s="401"/>
      <c r="ILC69" s="401"/>
      <c r="ILD69" s="401"/>
      <c r="ILE69" s="401"/>
      <c r="ILF69" s="401"/>
      <c r="ILG69" s="401"/>
      <c r="ILH69" s="401"/>
      <c r="ILI69" s="401"/>
      <c r="ILJ69" s="401"/>
      <c r="ILK69" s="401"/>
      <c r="ILL69" s="401"/>
      <c r="ILM69" s="401"/>
      <c r="ILN69" s="401"/>
      <c r="ILO69" s="401"/>
      <c r="ILP69" s="401"/>
      <c r="ILQ69" s="401"/>
      <c r="ILR69" s="401"/>
      <c r="ILS69" s="401"/>
      <c r="ILT69" s="401"/>
      <c r="ILU69" s="401"/>
      <c r="ILV69" s="401"/>
      <c r="ILW69" s="401"/>
      <c r="ILX69" s="401"/>
      <c r="ILY69" s="401"/>
      <c r="ILZ69" s="401"/>
      <c r="IMA69" s="401"/>
      <c r="IMB69" s="401"/>
      <c r="IMC69" s="401"/>
      <c r="IMD69" s="401"/>
      <c r="IME69" s="401"/>
      <c r="IMF69" s="401"/>
      <c r="IMG69" s="401"/>
      <c r="IMH69" s="401"/>
      <c r="IMI69" s="401"/>
      <c r="IMJ69" s="401"/>
      <c r="IMK69" s="401"/>
      <c r="IML69" s="401"/>
      <c r="IMM69" s="401"/>
      <c r="IMN69" s="401"/>
      <c r="IMO69" s="401"/>
      <c r="IMP69" s="401"/>
      <c r="IMQ69" s="401"/>
      <c r="IMR69" s="401"/>
      <c r="IMS69" s="401"/>
      <c r="IMT69" s="401"/>
      <c r="IMU69" s="401"/>
      <c r="IMV69" s="401"/>
      <c r="IMW69" s="401"/>
      <c r="IMX69" s="401"/>
      <c r="IMY69" s="401"/>
      <c r="IMZ69" s="401"/>
      <c r="INA69" s="401"/>
      <c r="INB69" s="401"/>
      <c r="INC69" s="401"/>
      <c r="IND69" s="401"/>
      <c r="INE69" s="401"/>
      <c r="INF69" s="401"/>
      <c r="ING69" s="401"/>
      <c r="INH69" s="401"/>
      <c r="INI69" s="401"/>
      <c r="INJ69" s="401"/>
      <c r="INK69" s="401"/>
      <c r="INL69" s="401"/>
      <c r="INM69" s="401"/>
      <c r="INN69" s="401"/>
      <c r="INO69" s="401"/>
      <c r="INP69" s="401"/>
      <c r="INQ69" s="401"/>
      <c r="INR69" s="401"/>
      <c r="INS69" s="401"/>
      <c r="INT69" s="401"/>
      <c r="INU69" s="401"/>
      <c r="INV69" s="401"/>
      <c r="INW69" s="401"/>
      <c r="INX69" s="401"/>
      <c r="INY69" s="401"/>
      <c r="INZ69" s="401"/>
      <c r="IOA69" s="401"/>
      <c r="IOB69" s="401"/>
      <c r="IOC69" s="401"/>
      <c r="IOD69" s="401"/>
      <c r="IOE69" s="401"/>
      <c r="IOF69" s="401"/>
      <c r="IOG69" s="401"/>
      <c r="IOH69" s="401"/>
      <c r="IOI69" s="401"/>
      <c r="IOJ69" s="401"/>
      <c r="IOK69" s="401"/>
      <c r="IOL69" s="401"/>
      <c r="IOM69" s="401"/>
      <c r="ION69" s="401"/>
      <c r="IOO69" s="401"/>
      <c r="IOP69" s="401"/>
      <c r="IOQ69" s="401"/>
      <c r="IOR69" s="401"/>
      <c r="IOS69" s="401"/>
      <c r="IOT69" s="401"/>
      <c r="IOU69" s="401"/>
      <c r="IOV69" s="401"/>
      <c r="IOW69" s="401"/>
      <c r="IOX69" s="401"/>
      <c r="IOY69" s="401"/>
      <c r="IOZ69" s="401"/>
      <c r="IPA69" s="401"/>
      <c r="IPB69" s="401"/>
      <c r="IPC69" s="401"/>
      <c r="IPD69" s="401"/>
      <c r="IPE69" s="401"/>
      <c r="IPF69" s="401"/>
      <c r="IPG69" s="401"/>
      <c r="IPH69" s="401"/>
      <c r="IPI69" s="401"/>
      <c r="IPJ69" s="401"/>
      <c r="IPK69" s="401"/>
      <c r="IPL69" s="401"/>
      <c r="IPM69" s="401"/>
      <c r="IPN69" s="401"/>
      <c r="IPO69" s="401"/>
      <c r="IPP69" s="401"/>
      <c r="IPQ69" s="401"/>
      <c r="IPR69" s="401"/>
      <c r="IPS69" s="401"/>
      <c r="IPT69" s="401"/>
      <c r="IPU69" s="401"/>
      <c r="IPV69" s="401"/>
      <c r="IPW69" s="401"/>
      <c r="IPX69" s="401"/>
      <c r="IPY69" s="401"/>
      <c r="IPZ69" s="401"/>
      <c r="IQA69" s="401"/>
      <c r="IQB69" s="401"/>
      <c r="IQC69" s="401"/>
      <c r="IQD69" s="401"/>
      <c r="IQE69" s="401"/>
      <c r="IQF69" s="401"/>
      <c r="IQG69" s="401"/>
      <c r="IQH69" s="401"/>
      <c r="IQI69" s="401"/>
      <c r="IQJ69" s="401"/>
      <c r="IQK69" s="401"/>
      <c r="IQL69" s="401"/>
      <c r="IQM69" s="401"/>
      <c r="IQN69" s="401"/>
      <c r="IQO69" s="401"/>
      <c r="IQP69" s="401"/>
      <c r="IQQ69" s="401"/>
      <c r="IQR69" s="401"/>
      <c r="IQS69" s="401"/>
      <c r="IQT69" s="401"/>
      <c r="IQU69" s="401"/>
      <c r="IQV69" s="401"/>
      <c r="IQW69" s="401"/>
      <c r="IQX69" s="401"/>
      <c r="IQY69" s="401"/>
      <c r="IQZ69" s="401"/>
      <c r="IRA69" s="401"/>
      <c r="IRB69" s="401"/>
      <c r="IRC69" s="401"/>
      <c r="IRD69" s="401"/>
      <c r="IRE69" s="401"/>
      <c r="IRF69" s="401"/>
      <c r="IRG69" s="401"/>
      <c r="IRH69" s="401"/>
      <c r="IRI69" s="401"/>
      <c r="IRJ69" s="401"/>
      <c r="IRK69" s="401"/>
      <c r="IRL69" s="401"/>
      <c r="IRM69" s="401"/>
      <c r="IRN69" s="401"/>
      <c r="IRO69" s="401"/>
      <c r="IRP69" s="401"/>
      <c r="IRQ69" s="401"/>
      <c r="IRR69" s="401"/>
      <c r="IRS69" s="401"/>
      <c r="IRT69" s="401"/>
      <c r="IRU69" s="401"/>
      <c r="IRV69" s="401"/>
      <c r="IRW69" s="401"/>
      <c r="IRX69" s="401"/>
      <c r="IRY69" s="401"/>
      <c r="IRZ69" s="401"/>
      <c r="ISA69" s="401"/>
      <c r="ISB69" s="401"/>
      <c r="ISC69" s="401"/>
      <c r="ISD69" s="401"/>
      <c r="ISE69" s="401"/>
      <c r="ISF69" s="401"/>
      <c r="ISG69" s="401"/>
      <c r="ISH69" s="401"/>
      <c r="ISI69" s="401"/>
      <c r="ISJ69" s="401"/>
      <c r="ISK69" s="401"/>
      <c r="ISL69" s="401"/>
      <c r="ISM69" s="401"/>
      <c r="ISN69" s="401"/>
      <c r="ISO69" s="401"/>
      <c r="ISP69" s="401"/>
      <c r="ISQ69" s="401"/>
      <c r="ISR69" s="401"/>
      <c r="ISS69" s="401"/>
      <c r="IST69" s="401"/>
      <c r="ISU69" s="401"/>
      <c r="ISV69" s="401"/>
      <c r="ISW69" s="401"/>
      <c r="ISX69" s="401"/>
      <c r="ISY69" s="401"/>
      <c r="ISZ69" s="401"/>
      <c r="ITA69" s="401"/>
      <c r="ITB69" s="401"/>
      <c r="ITC69" s="401"/>
      <c r="ITD69" s="401"/>
      <c r="ITE69" s="401"/>
      <c r="ITF69" s="401"/>
      <c r="ITG69" s="401"/>
      <c r="ITH69" s="401"/>
      <c r="ITI69" s="401"/>
      <c r="ITJ69" s="401"/>
      <c r="ITK69" s="401"/>
      <c r="ITL69" s="401"/>
      <c r="ITM69" s="401"/>
      <c r="ITN69" s="401"/>
      <c r="ITO69" s="401"/>
      <c r="ITP69" s="401"/>
      <c r="ITQ69" s="401"/>
      <c r="ITR69" s="401"/>
      <c r="ITS69" s="401"/>
      <c r="ITT69" s="401"/>
      <c r="ITU69" s="401"/>
      <c r="ITV69" s="401"/>
      <c r="ITW69" s="401"/>
      <c r="ITX69" s="401"/>
      <c r="ITY69" s="401"/>
      <c r="ITZ69" s="401"/>
      <c r="IUA69" s="401"/>
      <c r="IUB69" s="401"/>
      <c r="IUC69" s="401"/>
      <c r="IUD69" s="401"/>
      <c r="IUE69" s="401"/>
      <c r="IUF69" s="401"/>
      <c r="IUG69" s="401"/>
      <c r="IUH69" s="401"/>
      <c r="IUI69" s="401"/>
      <c r="IUJ69" s="401"/>
      <c r="IUK69" s="401"/>
      <c r="IUL69" s="401"/>
      <c r="IUM69" s="401"/>
      <c r="IUN69" s="401"/>
      <c r="IUO69" s="401"/>
      <c r="IUP69" s="401"/>
      <c r="IUQ69" s="401"/>
      <c r="IUR69" s="401"/>
      <c r="IUS69" s="401"/>
      <c r="IUT69" s="401"/>
      <c r="IUU69" s="401"/>
      <c r="IUV69" s="401"/>
      <c r="IUW69" s="401"/>
      <c r="IUX69" s="401"/>
      <c r="IUY69" s="401"/>
      <c r="IUZ69" s="401"/>
      <c r="IVA69" s="401"/>
      <c r="IVB69" s="401"/>
      <c r="IVC69" s="401"/>
      <c r="IVD69" s="401"/>
      <c r="IVE69" s="401"/>
      <c r="IVF69" s="401"/>
      <c r="IVG69" s="401"/>
      <c r="IVH69" s="401"/>
      <c r="IVI69" s="401"/>
      <c r="IVJ69" s="401"/>
      <c r="IVK69" s="401"/>
      <c r="IVL69" s="401"/>
      <c r="IVM69" s="401"/>
      <c r="IVN69" s="401"/>
      <c r="IVO69" s="401"/>
      <c r="IVP69" s="401"/>
      <c r="IVQ69" s="401"/>
      <c r="IVR69" s="401"/>
      <c r="IVS69" s="401"/>
      <c r="IVT69" s="401"/>
      <c r="IVU69" s="401"/>
      <c r="IVV69" s="401"/>
      <c r="IVW69" s="401"/>
      <c r="IVX69" s="401"/>
      <c r="IVY69" s="401"/>
      <c r="IVZ69" s="401"/>
      <c r="IWA69" s="401"/>
      <c r="IWB69" s="401"/>
      <c r="IWC69" s="401"/>
      <c r="IWD69" s="401"/>
      <c r="IWE69" s="401"/>
      <c r="IWF69" s="401"/>
      <c r="IWG69" s="401"/>
      <c r="IWH69" s="401"/>
      <c r="IWI69" s="401"/>
      <c r="IWJ69" s="401"/>
      <c r="IWK69" s="401"/>
      <c r="IWL69" s="401"/>
      <c r="IWM69" s="401"/>
      <c r="IWN69" s="401"/>
      <c r="IWO69" s="401"/>
      <c r="IWP69" s="401"/>
      <c r="IWQ69" s="401"/>
      <c r="IWR69" s="401"/>
      <c r="IWS69" s="401"/>
      <c r="IWT69" s="401"/>
      <c r="IWU69" s="401"/>
      <c r="IWV69" s="401"/>
      <c r="IWW69" s="401"/>
      <c r="IWX69" s="401"/>
      <c r="IWY69" s="401"/>
      <c r="IWZ69" s="401"/>
      <c r="IXA69" s="401"/>
      <c r="IXB69" s="401"/>
      <c r="IXC69" s="401"/>
      <c r="IXD69" s="401"/>
      <c r="IXE69" s="401"/>
      <c r="IXF69" s="401"/>
      <c r="IXG69" s="401"/>
      <c r="IXH69" s="401"/>
      <c r="IXI69" s="401"/>
      <c r="IXJ69" s="401"/>
      <c r="IXK69" s="401"/>
      <c r="IXL69" s="401"/>
      <c r="IXM69" s="401"/>
      <c r="IXN69" s="401"/>
      <c r="IXO69" s="401"/>
      <c r="IXP69" s="401"/>
      <c r="IXQ69" s="401"/>
      <c r="IXR69" s="401"/>
      <c r="IXS69" s="401"/>
      <c r="IXT69" s="401"/>
      <c r="IXU69" s="401"/>
      <c r="IXV69" s="401"/>
      <c r="IXW69" s="401"/>
      <c r="IXX69" s="401"/>
      <c r="IXY69" s="401"/>
      <c r="IXZ69" s="401"/>
      <c r="IYA69" s="401"/>
      <c r="IYB69" s="401"/>
      <c r="IYC69" s="401"/>
      <c r="IYD69" s="401"/>
      <c r="IYE69" s="401"/>
      <c r="IYF69" s="401"/>
      <c r="IYG69" s="401"/>
      <c r="IYH69" s="401"/>
      <c r="IYI69" s="401"/>
      <c r="IYJ69" s="401"/>
      <c r="IYK69" s="401"/>
      <c r="IYL69" s="401"/>
      <c r="IYM69" s="401"/>
      <c r="IYN69" s="401"/>
      <c r="IYO69" s="401"/>
      <c r="IYP69" s="401"/>
      <c r="IYQ69" s="401"/>
      <c r="IYR69" s="401"/>
      <c r="IYS69" s="401"/>
      <c r="IYT69" s="401"/>
      <c r="IYU69" s="401"/>
      <c r="IYV69" s="401"/>
      <c r="IYW69" s="401"/>
      <c r="IYX69" s="401"/>
      <c r="IYY69" s="401"/>
      <c r="IYZ69" s="401"/>
      <c r="IZA69" s="401"/>
      <c r="IZB69" s="401"/>
      <c r="IZC69" s="401"/>
      <c r="IZD69" s="401"/>
      <c r="IZE69" s="401"/>
      <c r="IZF69" s="401"/>
      <c r="IZG69" s="401"/>
      <c r="IZH69" s="401"/>
      <c r="IZI69" s="401"/>
      <c r="IZJ69" s="401"/>
      <c r="IZK69" s="401"/>
      <c r="IZL69" s="401"/>
      <c r="IZM69" s="401"/>
      <c r="IZN69" s="401"/>
      <c r="IZO69" s="401"/>
      <c r="IZP69" s="401"/>
      <c r="IZQ69" s="401"/>
      <c r="IZR69" s="401"/>
      <c r="IZS69" s="401"/>
      <c r="IZT69" s="401"/>
      <c r="IZU69" s="401"/>
      <c r="IZV69" s="401"/>
      <c r="IZW69" s="401"/>
      <c r="IZX69" s="401"/>
      <c r="IZY69" s="401"/>
      <c r="IZZ69" s="401"/>
      <c r="JAA69" s="401"/>
      <c r="JAB69" s="401"/>
      <c r="JAC69" s="401"/>
      <c r="JAD69" s="401"/>
      <c r="JAE69" s="401"/>
      <c r="JAF69" s="401"/>
      <c r="JAG69" s="401"/>
      <c r="JAH69" s="401"/>
      <c r="JAI69" s="401"/>
      <c r="JAJ69" s="401"/>
      <c r="JAK69" s="401"/>
      <c r="JAL69" s="401"/>
      <c r="JAM69" s="401"/>
      <c r="JAN69" s="401"/>
      <c r="JAO69" s="401"/>
      <c r="JAP69" s="401"/>
      <c r="JAQ69" s="401"/>
      <c r="JAR69" s="401"/>
      <c r="JAS69" s="401"/>
      <c r="JAT69" s="401"/>
      <c r="JAU69" s="401"/>
      <c r="JAV69" s="401"/>
      <c r="JAW69" s="401"/>
      <c r="JAX69" s="401"/>
      <c r="JAY69" s="401"/>
      <c r="JAZ69" s="401"/>
      <c r="JBA69" s="401"/>
      <c r="JBB69" s="401"/>
      <c r="JBC69" s="401"/>
      <c r="JBD69" s="401"/>
      <c r="JBE69" s="401"/>
      <c r="JBF69" s="401"/>
      <c r="JBG69" s="401"/>
      <c r="JBH69" s="401"/>
      <c r="JBI69" s="401"/>
      <c r="JBJ69" s="401"/>
      <c r="JBK69" s="401"/>
      <c r="JBL69" s="401"/>
      <c r="JBM69" s="401"/>
      <c r="JBN69" s="401"/>
      <c r="JBO69" s="401"/>
      <c r="JBP69" s="401"/>
      <c r="JBQ69" s="401"/>
      <c r="JBR69" s="401"/>
      <c r="JBS69" s="401"/>
      <c r="JBT69" s="401"/>
      <c r="JBU69" s="401"/>
      <c r="JBV69" s="401"/>
      <c r="JBW69" s="401"/>
      <c r="JBX69" s="401"/>
      <c r="JBY69" s="401"/>
      <c r="JBZ69" s="401"/>
      <c r="JCA69" s="401"/>
      <c r="JCB69" s="401"/>
      <c r="JCC69" s="401"/>
      <c r="JCD69" s="401"/>
      <c r="JCE69" s="401"/>
      <c r="JCF69" s="401"/>
      <c r="JCG69" s="401"/>
      <c r="JCH69" s="401"/>
      <c r="JCI69" s="401"/>
      <c r="JCJ69" s="401"/>
      <c r="JCK69" s="401"/>
      <c r="JCL69" s="401"/>
      <c r="JCM69" s="401"/>
      <c r="JCN69" s="401"/>
      <c r="JCO69" s="401"/>
      <c r="JCP69" s="401"/>
      <c r="JCQ69" s="401"/>
      <c r="JCR69" s="401"/>
      <c r="JCS69" s="401"/>
      <c r="JCT69" s="401"/>
      <c r="JCU69" s="401"/>
      <c r="JCV69" s="401"/>
      <c r="JCW69" s="401"/>
      <c r="JCX69" s="401"/>
      <c r="JCY69" s="401"/>
      <c r="JCZ69" s="401"/>
      <c r="JDA69" s="401"/>
      <c r="JDB69" s="401"/>
      <c r="JDC69" s="401"/>
      <c r="JDD69" s="401"/>
      <c r="JDE69" s="401"/>
      <c r="JDF69" s="401"/>
      <c r="JDG69" s="401"/>
      <c r="JDH69" s="401"/>
      <c r="JDI69" s="401"/>
      <c r="JDJ69" s="401"/>
      <c r="JDK69" s="401"/>
      <c r="JDL69" s="401"/>
      <c r="JDM69" s="401"/>
      <c r="JDN69" s="401"/>
      <c r="JDO69" s="401"/>
      <c r="JDP69" s="401"/>
      <c r="JDQ69" s="401"/>
      <c r="JDR69" s="401"/>
      <c r="JDS69" s="401"/>
      <c r="JDT69" s="401"/>
      <c r="JDU69" s="401"/>
      <c r="JDV69" s="401"/>
      <c r="JDW69" s="401"/>
      <c r="JDX69" s="401"/>
      <c r="JDY69" s="401"/>
      <c r="JDZ69" s="401"/>
      <c r="JEA69" s="401"/>
      <c r="JEB69" s="401"/>
      <c r="JEC69" s="401"/>
      <c r="JED69" s="401"/>
      <c r="JEE69" s="401"/>
      <c r="JEF69" s="401"/>
      <c r="JEG69" s="401"/>
      <c r="JEH69" s="401"/>
      <c r="JEI69" s="401"/>
      <c r="JEJ69" s="401"/>
      <c r="JEK69" s="401"/>
      <c r="JEL69" s="401"/>
      <c r="JEM69" s="401"/>
      <c r="JEN69" s="401"/>
      <c r="JEO69" s="401"/>
      <c r="JEP69" s="401"/>
      <c r="JEQ69" s="401"/>
      <c r="JER69" s="401"/>
      <c r="JES69" s="401"/>
      <c r="JET69" s="401"/>
      <c r="JEU69" s="401"/>
      <c r="JEV69" s="401"/>
      <c r="JEW69" s="401"/>
      <c r="JEX69" s="401"/>
      <c r="JEY69" s="401"/>
      <c r="JEZ69" s="401"/>
      <c r="JFA69" s="401"/>
      <c r="JFB69" s="401"/>
      <c r="JFC69" s="401"/>
      <c r="JFD69" s="401"/>
      <c r="JFE69" s="401"/>
      <c r="JFF69" s="401"/>
      <c r="JFG69" s="401"/>
      <c r="JFH69" s="401"/>
      <c r="JFI69" s="401"/>
      <c r="JFJ69" s="401"/>
      <c r="JFK69" s="401"/>
      <c r="JFL69" s="401"/>
      <c r="JFM69" s="401"/>
      <c r="JFN69" s="401"/>
      <c r="JFO69" s="401"/>
      <c r="JFP69" s="401"/>
      <c r="JFQ69" s="401"/>
      <c r="JFR69" s="401"/>
      <c r="JFS69" s="401"/>
      <c r="JFT69" s="401"/>
      <c r="JFU69" s="401"/>
      <c r="JFV69" s="401"/>
      <c r="JFW69" s="401"/>
      <c r="JFX69" s="401"/>
      <c r="JFY69" s="401"/>
      <c r="JFZ69" s="401"/>
      <c r="JGA69" s="401"/>
      <c r="JGB69" s="401"/>
      <c r="JGC69" s="401"/>
      <c r="JGD69" s="401"/>
      <c r="JGE69" s="401"/>
      <c r="JGF69" s="401"/>
      <c r="JGG69" s="401"/>
      <c r="JGH69" s="401"/>
      <c r="JGI69" s="401"/>
      <c r="JGJ69" s="401"/>
      <c r="JGK69" s="401"/>
      <c r="JGL69" s="401"/>
      <c r="JGM69" s="401"/>
      <c r="JGN69" s="401"/>
      <c r="JGO69" s="401"/>
      <c r="JGP69" s="401"/>
      <c r="JGQ69" s="401"/>
      <c r="JGR69" s="401"/>
      <c r="JGS69" s="401"/>
      <c r="JGT69" s="401"/>
      <c r="JGU69" s="401"/>
      <c r="JGV69" s="401"/>
      <c r="JGW69" s="401"/>
      <c r="JGX69" s="401"/>
      <c r="JGY69" s="401"/>
      <c r="JGZ69" s="401"/>
      <c r="JHA69" s="401"/>
      <c r="JHB69" s="401"/>
      <c r="JHC69" s="401"/>
      <c r="JHD69" s="401"/>
      <c r="JHE69" s="401"/>
      <c r="JHF69" s="401"/>
      <c r="JHG69" s="401"/>
      <c r="JHH69" s="401"/>
      <c r="JHI69" s="401"/>
      <c r="JHJ69" s="401"/>
      <c r="JHK69" s="401"/>
      <c r="JHL69" s="401"/>
      <c r="JHM69" s="401"/>
      <c r="JHN69" s="401"/>
      <c r="JHO69" s="401"/>
      <c r="JHP69" s="401"/>
      <c r="JHQ69" s="401"/>
      <c r="JHR69" s="401"/>
      <c r="JHS69" s="401"/>
      <c r="JHT69" s="401"/>
      <c r="JHU69" s="401"/>
      <c r="JHV69" s="401"/>
      <c r="JHW69" s="401"/>
      <c r="JHX69" s="401"/>
      <c r="JHY69" s="401"/>
      <c r="JHZ69" s="401"/>
      <c r="JIA69" s="401"/>
      <c r="JIB69" s="401"/>
      <c r="JIC69" s="401"/>
      <c r="JID69" s="401"/>
      <c r="JIE69" s="401"/>
      <c r="JIF69" s="401"/>
      <c r="JIG69" s="401"/>
      <c r="JIH69" s="401"/>
      <c r="JII69" s="401"/>
      <c r="JIJ69" s="401"/>
      <c r="JIK69" s="401"/>
      <c r="JIL69" s="401"/>
      <c r="JIM69" s="401"/>
      <c r="JIN69" s="401"/>
      <c r="JIO69" s="401"/>
      <c r="JIP69" s="401"/>
      <c r="JIQ69" s="401"/>
      <c r="JIR69" s="401"/>
      <c r="JIS69" s="401"/>
      <c r="JIT69" s="401"/>
      <c r="JIU69" s="401"/>
      <c r="JIV69" s="401"/>
      <c r="JIW69" s="401"/>
      <c r="JIX69" s="401"/>
      <c r="JIY69" s="401"/>
      <c r="JIZ69" s="401"/>
      <c r="JJA69" s="401"/>
      <c r="JJB69" s="401"/>
      <c r="JJC69" s="401"/>
      <c r="JJD69" s="401"/>
      <c r="JJE69" s="401"/>
      <c r="JJF69" s="401"/>
      <c r="JJG69" s="401"/>
      <c r="JJH69" s="401"/>
      <c r="JJI69" s="401"/>
      <c r="JJJ69" s="401"/>
      <c r="JJK69" s="401"/>
      <c r="JJL69" s="401"/>
      <c r="JJM69" s="401"/>
      <c r="JJN69" s="401"/>
      <c r="JJO69" s="401"/>
      <c r="JJP69" s="401"/>
      <c r="JJQ69" s="401"/>
      <c r="JJR69" s="401"/>
      <c r="JJS69" s="401"/>
      <c r="JJT69" s="401"/>
      <c r="JJU69" s="401"/>
      <c r="JJV69" s="401"/>
      <c r="JJW69" s="401"/>
      <c r="JJX69" s="401"/>
      <c r="JJY69" s="401"/>
      <c r="JJZ69" s="401"/>
      <c r="JKA69" s="401"/>
      <c r="JKB69" s="401"/>
      <c r="JKC69" s="401"/>
      <c r="JKD69" s="401"/>
      <c r="JKE69" s="401"/>
      <c r="JKF69" s="401"/>
      <c r="JKG69" s="401"/>
      <c r="JKH69" s="401"/>
      <c r="JKI69" s="401"/>
      <c r="JKJ69" s="401"/>
      <c r="JKK69" s="401"/>
      <c r="JKL69" s="401"/>
      <c r="JKM69" s="401"/>
      <c r="JKN69" s="401"/>
      <c r="JKO69" s="401"/>
      <c r="JKP69" s="401"/>
      <c r="JKQ69" s="401"/>
      <c r="JKR69" s="401"/>
      <c r="JKS69" s="401"/>
      <c r="JKT69" s="401"/>
      <c r="JKU69" s="401"/>
      <c r="JKV69" s="401"/>
      <c r="JKW69" s="401"/>
      <c r="JKX69" s="401"/>
      <c r="JKY69" s="401"/>
      <c r="JKZ69" s="401"/>
      <c r="JLA69" s="401"/>
      <c r="JLB69" s="401"/>
      <c r="JLC69" s="401"/>
      <c r="JLD69" s="401"/>
      <c r="JLE69" s="401"/>
      <c r="JLF69" s="401"/>
      <c r="JLG69" s="401"/>
      <c r="JLH69" s="401"/>
      <c r="JLI69" s="401"/>
      <c r="JLJ69" s="401"/>
      <c r="JLK69" s="401"/>
      <c r="JLL69" s="401"/>
      <c r="JLM69" s="401"/>
      <c r="JLN69" s="401"/>
      <c r="JLO69" s="401"/>
      <c r="JLP69" s="401"/>
      <c r="JLQ69" s="401"/>
      <c r="JLR69" s="401"/>
      <c r="JLS69" s="401"/>
      <c r="JLT69" s="401"/>
      <c r="JLU69" s="401"/>
      <c r="JLV69" s="401"/>
      <c r="JLW69" s="401"/>
      <c r="JLX69" s="401"/>
      <c r="JLY69" s="401"/>
      <c r="JLZ69" s="401"/>
      <c r="JMA69" s="401"/>
      <c r="JMB69" s="401"/>
      <c r="JMC69" s="401"/>
      <c r="JMD69" s="401"/>
      <c r="JME69" s="401"/>
      <c r="JMF69" s="401"/>
      <c r="JMG69" s="401"/>
      <c r="JMH69" s="401"/>
      <c r="JMI69" s="401"/>
      <c r="JMJ69" s="401"/>
      <c r="JMK69" s="401"/>
      <c r="JML69" s="401"/>
      <c r="JMM69" s="401"/>
      <c r="JMN69" s="401"/>
      <c r="JMO69" s="401"/>
      <c r="JMP69" s="401"/>
      <c r="JMQ69" s="401"/>
      <c r="JMR69" s="401"/>
      <c r="JMS69" s="401"/>
      <c r="JMT69" s="401"/>
      <c r="JMU69" s="401"/>
      <c r="JMV69" s="401"/>
      <c r="JMW69" s="401"/>
      <c r="JMX69" s="401"/>
      <c r="JMY69" s="401"/>
      <c r="JMZ69" s="401"/>
      <c r="JNA69" s="401"/>
      <c r="JNB69" s="401"/>
      <c r="JNC69" s="401"/>
      <c r="JND69" s="401"/>
      <c r="JNE69" s="401"/>
      <c r="JNF69" s="401"/>
      <c r="JNG69" s="401"/>
      <c r="JNH69" s="401"/>
      <c r="JNI69" s="401"/>
      <c r="JNJ69" s="401"/>
      <c r="JNK69" s="401"/>
      <c r="JNL69" s="401"/>
      <c r="JNM69" s="401"/>
      <c r="JNN69" s="401"/>
      <c r="JNO69" s="401"/>
      <c r="JNP69" s="401"/>
      <c r="JNQ69" s="401"/>
      <c r="JNR69" s="401"/>
      <c r="JNS69" s="401"/>
      <c r="JNT69" s="401"/>
      <c r="JNU69" s="401"/>
      <c r="JNV69" s="401"/>
      <c r="JNW69" s="401"/>
      <c r="JNX69" s="401"/>
      <c r="JNY69" s="401"/>
      <c r="JNZ69" s="401"/>
      <c r="JOA69" s="401"/>
      <c r="JOB69" s="401"/>
      <c r="JOC69" s="401"/>
      <c r="JOD69" s="401"/>
      <c r="JOE69" s="401"/>
      <c r="JOF69" s="401"/>
      <c r="JOG69" s="401"/>
      <c r="JOH69" s="401"/>
      <c r="JOI69" s="401"/>
      <c r="JOJ69" s="401"/>
      <c r="JOK69" s="401"/>
      <c r="JOL69" s="401"/>
      <c r="JOM69" s="401"/>
      <c r="JON69" s="401"/>
      <c r="JOO69" s="401"/>
      <c r="JOP69" s="401"/>
      <c r="JOQ69" s="401"/>
      <c r="JOR69" s="401"/>
      <c r="JOS69" s="401"/>
      <c r="JOT69" s="401"/>
      <c r="JOU69" s="401"/>
      <c r="JOV69" s="401"/>
      <c r="JOW69" s="401"/>
      <c r="JOX69" s="401"/>
      <c r="JOY69" s="401"/>
      <c r="JOZ69" s="401"/>
      <c r="JPA69" s="401"/>
      <c r="JPB69" s="401"/>
      <c r="JPC69" s="401"/>
      <c r="JPD69" s="401"/>
      <c r="JPE69" s="401"/>
      <c r="JPF69" s="401"/>
      <c r="JPG69" s="401"/>
      <c r="JPH69" s="401"/>
      <c r="JPI69" s="401"/>
      <c r="JPJ69" s="401"/>
      <c r="JPK69" s="401"/>
      <c r="JPL69" s="401"/>
      <c r="JPM69" s="401"/>
      <c r="JPN69" s="401"/>
      <c r="JPO69" s="401"/>
      <c r="JPP69" s="401"/>
      <c r="JPQ69" s="401"/>
      <c r="JPR69" s="401"/>
      <c r="JPS69" s="401"/>
      <c r="JPT69" s="401"/>
      <c r="JPU69" s="401"/>
      <c r="JPV69" s="401"/>
      <c r="JPW69" s="401"/>
      <c r="JPX69" s="401"/>
      <c r="JPY69" s="401"/>
      <c r="JPZ69" s="401"/>
      <c r="JQA69" s="401"/>
      <c r="JQB69" s="401"/>
      <c r="JQC69" s="401"/>
      <c r="JQD69" s="401"/>
      <c r="JQE69" s="401"/>
      <c r="JQF69" s="401"/>
      <c r="JQG69" s="401"/>
      <c r="JQH69" s="401"/>
      <c r="JQI69" s="401"/>
      <c r="JQJ69" s="401"/>
      <c r="JQK69" s="401"/>
      <c r="JQL69" s="401"/>
      <c r="JQM69" s="401"/>
      <c r="JQN69" s="401"/>
      <c r="JQO69" s="401"/>
      <c r="JQP69" s="401"/>
      <c r="JQQ69" s="401"/>
      <c r="JQR69" s="401"/>
      <c r="JQS69" s="401"/>
      <c r="JQT69" s="401"/>
      <c r="JQU69" s="401"/>
      <c r="JQV69" s="401"/>
      <c r="JQW69" s="401"/>
      <c r="JQX69" s="401"/>
      <c r="JQY69" s="401"/>
      <c r="JQZ69" s="401"/>
      <c r="JRA69" s="401"/>
      <c r="JRB69" s="401"/>
      <c r="JRC69" s="401"/>
      <c r="JRD69" s="401"/>
      <c r="JRE69" s="401"/>
      <c r="JRF69" s="401"/>
      <c r="JRG69" s="401"/>
      <c r="JRH69" s="401"/>
      <c r="JRI69" s="401"/>
      <c r="JRJ69" s="401"/>
      <c r="JRK69" s="401"/>
      <c r="JRL69" s="401"/>
      <c r="JRM69" s="401"/>
      <c r="JRN69" s="401"/>
      <c r="JRO69" s="401"/>
      <c r="JRP69" s="401"/>
      <c r="JRQ69" s="401"/>
      <c r="JRR69" s="401"/>
      <c r="JRS69" s="401"/>
      <c r="JRT69" s="401"/>
      <c r="JRU69" s="401"/>
      <c r="JRV69" s="401"/>
      <c r="JRW69" s="401"/>
      <c r="JRX69" s="401"/>
      <c r="JRY69" s="401"/>
      <c r="JRZ69" s="401"/>
      <c r="JSA69" s="401"/>
      <c r="JSB69" s="401"/>
      <c r="JSC69" s="401"/>
      <c r="JSD69" s="401"/>
      <c r="JSE69" s="401"/>
      <c r="JSF69" s="401"/>
      <c r="JSG69" s="401"/>
      <c r="JSH69" s="401"/>
      <c r="JSI69" s="401"/>
      <c r="JSJ69" s="401"/>
      <c r="JSK69" s="401"/>
      <c r="JSL69" s="401"/>
      <c r="JSM69" s="401"/>
      <c r="JSN69" s="401"/>
      <c r="JSO69" s="401"/>
      <c r="JSP69" s="401"/>
      <c r="JSQ69" s="401"/>
      <c r="JSR69" s="401"/>
      <c r="JSS69" s="401"/>
      <c r="JST69" s="401"/>
      <c r="JSU69" s="401"/>
      <c r="JSV69" s="401"/>
      <c r="JSW69" s="401"/>
      <c r="JSX69" s="401"/>
      <c r="JSY69" s="401"/>
      <c r="JSZ69" s="401"/>
      <c r="JTA69" s="401"/>
      <c r="JTB69" s="401"/>
      <c r="JTC69" s="401"/>
      <c r="JTD69" s="401"/>
      <c r="JTE69" s="401"/>
      <c r="JTF69" s="401"/>
      <c r="JTG69" s="401"/>
      <c r="JTH69" s="401"/>
      <c r="JTI69" s="401"/>
      <c r="JTJ69" s="401"/>
      <c r="JTK69" s="401"/>
      <c r="JTL69" s="401"/>
      <c r="JTM69" s="401"/>
      <c r="JTN69" s="401"/>
      <c r="JTO69" s="401"/>
      <c r="JTP69" s="401"/>
      <c r="JTQ69" s="401"/>
      <c r="JTR69" s="401"/>
      <c r="JTS69" s="401"/>
      <c r="JTT69" s="401"/>
      <c r="JTU69" s="401"/>
      <c r="JTV69" s="401"/>
      <c r="JTW69" s="401"/>
      <c r="JTX69" s="401"/>
      <c r="JTY69" s="401"/>
      <c r="JTZ69" s="401"/>
      <c r="JUA69" s="401"/>
      <c r="JUB69" s="401"/>
      <c r="JUC69" s="401"/>
      <c r="JUD69" s="401"/>
      <c r="JUE69" s="401"/>
      <c r="JUF69" s="401"/>
      <c r="JUG69" s="401"/>
      <c r="JUH69" s="401"/>
      <c r="JUI69" s="401"/>
      <c r="JUJ69" s="401"/>
      <c r="JUK69" s="401"/>
      <c r="JUL69" s="401"/>
      <c r="JUM69" s="401"/>
      <c r="JUN69" s="401"/>
      <c r="JUO69" s="401"/>
      <c r="JUP69" s="401"/>
      <c r="JUQ69" s="401"/>
      <c r="JUR69" s="401"/>
      <c r="JUS69" s="401"/>
      <c r="JUT69" s="401"/>
      <c r="JUU69" s="401"/>
      <c r="JUV69" s="401"/>
      <c r="JUW69" s="401"/>
      <c r="JUX69" s="401"/>
      <c r="JUY69" s="401"/>
      <c r="JUZ69" s="401"/>
      <c r="JVA69" s="401"/>
      <c r="JVB69" s="401"/>
      <c r="JVC69" s="401"/>
      <c r="JVD69" s="401"/>
      <c r="JVE69" s="401"/>
      <c r="JVF69" s="401"/>
      <c r="JVG69" s="401"/>
      <c r="JVH69" s="401"/>
      <c r="JVI69" s="401"/>
      <c r="JVJ69" s="401"/>
      <c r="JVK69" s="401"/>
      <c r="JVL69" s="401"/>
      <c r="JVM69" s="401"/>
      <c r="JVN69" s="401"/>
      <c r="JVO69" s="401"/>
      <c r="JVP69" s="401"/>
      <c r="JVQ69" s="401"/>
      <c r="JVR69" s="401"/>
      <c r="JVS69" s="401"/>
      <c r="JVT69" s="401"/>
      <c r="JVU69" s="401"/>
      <c r="JVV69" s="401"/>
      <c r="JVW69" s="401"/>
      <c r="JVX69" s="401"/>
      <c r="JVY69" s="401"/>
      <c r="JVZ69" s="401"/>
      <c r="JWA69" s="401"/>
      <c r="JWB69" s="401"/>
      <c r="JWC69" s="401"/>
      <c r="JWD69" s="401"/>
      <c r="JWE69" s="401"/>
      <c r="JWF69" s="401"/>
      <c r="JWG69" s="401"/>
      <c r="JWH69" s="401"/>
      <c r="JWI69" s="401"/>
      <c r="JWJ69" s="401"/>
      <c r="JWK69" s="401"/>
      <c r="JWL69" s="401"/>
      <c r="JWM69" s="401"/>
      <c r="JWN69" s="401"/>
      <c r="JWO69" s="401"/>
      <c r="JWP69" s="401"/>
      <c r="JWQ69" s="401"/>
      <c r="JWR69" s="401"/>
      <c r="JWS69" s="401"/>
      <c r="JWT69" s="401"/>
      <c r="JWU69" s="401"/>
      <c r="JWV69" s="401"/>
      <c r="JWW69" s="401"/>
      <c r="JWX69" s="401"/>
      <c r="JWY69" s="401"/>
      <c r="JWZ69" s="401"/>
      <c r="JXA69" s="401"/>
      <c r="JXB69" s="401"/>
      <c r="JXC69" s="401"/>
      <c r="JXD69" s="401"/>
      <c r="JXE69" s="401"/>
      <c r="JXF69" s="401"/>
      <c r="JXG69" s="401"/>
      <c r="JXH69" s="401"/>
      <c r="JXI69" s="401"/>
      <c r="JXJ69" s="401"/>
      <c r="JXK69" s="401"/>
      <c r="JXL69" s="401"/>
      <c r="JXM69" s="401"/>
      <c r="JXN69" s="401"/>
      <c r="JXO69" s="401"/>
      <c r="JXP69" s="401"/>
      <c r="JXQ69" s="401"/>
      <c r="JXR69" s="401"/>
      <c r="JXS69" s="401"/>
      <c r="JXT69" s="401"/>
      <c r="JXU69" s="401"/>
      <c r="JXV69" s="401"/>
      <c r="JXW69" s="401"/>
      <c r="JXX69" s="401"/>
      <c r="JXY69" s="401"/>
      <c r="JXZ69" s="401"/>
      <c r="JYA69" s="401"/>
      <c r="JYB69" s="401"/>
      <c r="JYC69" s="401"/>
      <c r="JYD69" s="401"/>
      <c r="JYE69" s="401"/>
      <c r="JYF69" s="401"/>
      <c r="JYG69" s="401"/>
      <c r="JYH69" s="401"/>
      <c r="JYI69" s="401"/>
      <c r="JYJ69" s="401"/>
      <c r="JYK69" s="401"/>
      <c r="JYL69" s="401"/>
      <c r="JYM69" s="401"/>
      <c r="JYN69" s="401"/>
      <c r="JYO69" s="401"/>
      <c r="JYP69" s="401"/>
      <c r="JYQ69" s="401"/>
      <c r="JYR69" s="401"/>
      <c r="JYS69" s="401"/>
      <c r="JYT69" s="401"/>
      <c r="JYU69" s="401"/>
      <c r="JYV69" s="401"/>
      <c r="JYW69" s="401"/>
      <c r="JYX69" s="401"/>
      <c r="JYY69" s="401"/>
      <c r="JYZ69" s="401"/>
      <c r="JZA69" s="401"/>
      <c r="JZB69" s="401"/>
      <c r="JZC69" s="401"/>
      <c r="JZD69" s="401"/>
      <c r="JZE69" s="401"/>
      <c r="JZF69" s="401"/>
      <c r="JZG69" s="401"/>
      <c r="JZH69" s="401"/>
      <c r="JZI69" s="401"/>
      <c r="JZJ69" s="401"/>
      <c r="JZK69" s="401"/>
      <c r="JZL69" s="401"/>
      <c r="JZM69" s="401"/>
      <c r="JZN69" s="401"/>
      <c r="JZO69" s="401"/>
      <c r="JZP69" s="401"/>
      <c r="JZQ69" s="401"/>
      <c r="JZR69" s="401"/>
      <c r="JZS69" s="401"/>
      <c r="JZT69" s="401"/>
      <c r="JZU69" s="401"/>
      <c r="JZV69" s="401"/>
      <c r="JZW69" s="401"/>
      <c r="JZX69" s="401"/>
      <c r="JZY69" s="401"/>
      <c r="JZZ69" s="401"/>
      <c r="KAA69" s="401"/>
      <c r="KAB69" s="401"/>
      <c r="KAC69" s="401"/>
      <c r="KAD69" s="401"/>
      <c r="KAE69" s="401"/>
      <c r="KAF69" s="401"/>
      <c r="KAG69" s="401"/>
      <c r="KAH69" s="401"/>
      <c r="KAI69" s="401"/>
      <c r="KAJ69" s="401"/>
      <c r="KAK69" s="401"/>
      <c r="KAL69" s="401"/>
      <c r="KAM69" s="401"/>
      <c r="KAN69" s="401"/>
      <c r="KAO69" s="401"/>
      <c r="KAP69" s="401"/>
      <c r="KAQ69" s="401"/>
      <c r="KAR69" s="401"/>
      <c r="KAS69" s="401"/>
      <c r="KAT69" s="401"/>
      <c r="KAU69" s="401"/>
      <c r="KAV69" s="401"/>
      <c r="KAW69" s="401"/>
      <c r="KAX69" s="401"/>
      <c r="KAY69" s="401"/>
      <c r="KAZ69" s="401"/>
      <c r="KBA69" s="401"/>
      <c r="KBB69" s="401"/>
      <c r="KBC69" s="401"/>
      <c r="KBD69" s="401"/>
      <c r="KBE69" s="401"/>
      <c r="KBF69" s="401"/>
      <c r="KBG69" s="401"/>
      <c r="KBH69" s="401"/>
      <c r="KBI69" s="401"/>
      <c r="KBJ69" s="401"/>
      <c r="KBK69" s="401"/>
      <c r="KBL69" s="401"/>
      <c r="KBM69" s="401"/>
      <c r="KBN69" s="401"/>
      <c r="KBO69" s="401"/>
      <c r="KBP69" s="401"/>
      <c r="KBQ69" s="401"/>
      <c r="KBR69" s="401"/>
      <c r="KBS69" s="401"/>
      <c r="KBT69" s="401"/>
      <c r="KBU69" s="401"/>
      <c r="KBV69" s="401"/>
      <c r="KBW69" s="401"/>
      <c r="KBX69" s="401"/>
      <c r="KBY69" s="401"/>
      <c r="KBZ69" s="401"/>
      <c r="KCA69" s="401"/>
      <c r="KCB69" s="401"/>
      <c r="KCC69" s="401"/>
      <c r="KCD69" s="401"/>
      <c r="KCE69" s="401"/>
      <c r="KCF69" s="401"/>
      <c r="KCG69" s="401"/>
      <c r="KCH69" s="401"/>
      <c r="KCI69" s="401"/>
      <c r="KCJ69" s="401"/>
      <c r="KCK69" s="401"/>
      <c r="KCL69" s="401"/>
      <c r="KCM69" s="401"/>
      <c r="KCN69" s="401"/>
      <c r="KCO69" s="401"/>
      <c r="KCP69" s="401"/>
      <c r="KCQ69" s="401"/>
      <c r="KCR69" s="401"/>
      <c r="KCS69" s="401"/>
      <c r="KCT69" s="401"/>
      <c r="KCU69" s="401"/>
      <c r="KCV69" s="401"/>
      <c r="KCW69" s="401"/>
      <c r="KCX69" s="401"/>
      <c r="KCY69" s="401"/>
      <c r="KCZ69" s="401"/>
      <c r="KDA69" s="401"/>
      <c r="KDB69" s="401"/>
      <c r="KDC69" s="401"/>
      <c r="KDD69" s="401"/>
      <c r="KDE69" s="401"/>
      <c r="KDF69" s="401"/>
      <c r="KDG69" s="401"/>
      <c r="KDH69" s="401"/>
      <c r="KDI69" s="401"/>
      <c r="KDJ69" s="401"/>
      <c r="KDK69" s="401"/>
      <c r="KDL69" s="401"/>
      <c r="KDM69" s="401"/>
      <c r="KDN69" s="401"/>
      <c r="KDO69" s="401"/>
      <c r="KDP69" s="401"/>
      <c r="KDQ69" s="401"/>
      <c r="KDR69" s="401"/>
      <c r="KDS69" s="401"/>
      <c r="KDT69" s="401"/>
      <c r="KDU69" s="401"/>
      <c r="KDV69" s="401"/>
      <c r="KDW69" s="401"/>
      <c r="KDX69" s="401"/>
      <c r="KDY69" s="401"/>
      <c r="KDZ69" s="401"/>
      <c r="KEA69" s="401"/>
      <c r="KEB69" s="401"/>
      <c r="KEC69" s="401"/>
      <c r="KED69" s="401"/>
      <c r="KEE69" s="401"/>
      <c r="KEF69" s="401"/>
      <c r="KEG69" s="401"/>
      <c r="KEH69" s="401"/>
      <c r="KEI69" s="401"/>
      <c r="KEJ69" s="401"/>
      <c r="KEK69" s="401"/>
      <c r="KEL69" s="401"/>
      <c r="KEM69" s="401"/>
      <c r="KEN69" s="401"/>
      <c r="KEO69" s="401"/>
      <c r="KEP69" s="401"/>
      <c r="KEQ69" s="401"/>
      <c r="KER69" s="401"/>
      <c r="KES69" s="401"/>
      <c r="KET69" s="401"/>
      <c r="KEU69" s="401"/>
      <c r="KEV69" s="401"/>
      <c r="KEW69" s="401"/>
      <c r="KEX69" s="401"/>
      <c r="KEY69" s="401"/>
      <c r="KEZ69" s="401"/>
      <c r="KFA69" s="401"/>
      <c r="KFB69" s="401"/>
      <c r="KFC69" s="401"/>
      <c r="KFD69" s="401"/>
      <c r="KFE69" s="401"/>
      <c r="KFF69" s="401"/>
      <c r="KFG69" s="401"/>
      <c r="KFH69" s="401"/>
      <c r="KFI69" s="401"/>
      <c r="KFJ69" s="401"/>
      <c r="KFK69" s="401"/>
      <c r="KFL69" s="401"/>
      <c r="KFM69" s="401"/>
      <c r="KFN69" s="401"/>
      <c r="KFO69" s="401"/>
      <c r="KFP69" s="401"/>
      <c r="KFQ69" s="401"/>
      <c r="KFR69" s="401"/>
      <c r="KFS69" s="401"/>
      <c r="KFT69" s="401"/>
      <c r="KFU69" s="401"/>
      <c r="KFV69" s="401"/>
      <c r="KFW69" s="401"/>
      <c r="KFX69" s="401"/>
      <c r="KFY69" s="401"/>
      <c r="KFZ69" s="401"/>
      <c r="KGA69" s="401"/>
      <c r="KGB69" s="401"/>
      <c r="KGC69" s="401"/>
      <c r="KGD69" s="401"/>
      <c r="KGE69" s="401"/>
      <c r="KGF69" s="401"/>
      <c r="KGG69" s="401"/>
      <c r="KGH69" s="401"/>
      <c r="KGI69" s="401"/>
      <c r="KGJ69" s="401"/>
      <c r="KGK69" s="401"/>
      <c r="KGL69" s="401"/>
      <c r="KGM69" s="401"/>
      <c r="KGN69" s="401"/>
      <c r="KGO69" s="401"/>
      <c r="KGP69" s="401"/>
      <c r="KGQ69" s="401"/>
      <c r="KGR69" s="401"/>
      <c r="KGS69" s="401"/>
      <c r="KGT69" s="401"/>
      <c r="KGU69" s="401"/>
      <c r="KGV69" s="401"/>
      <c r="KGW69" s="401"/>
      <c r="KGX69" s="401"/>
      <c r="KGY69" s="401"/>
      <c r="KGZ69" s="401"/>
      <c r="KHA69" s="401"/>
      <c r="KHB69" s="401"/>
      <c r="KHC69" s="401"/>
      <c r="KHD69" s="401"/>
      <c r="KHE69" s="401"/>
      <c r="KHF69" s="401"/>
      <c r="KHG69" s="401"/>
      <c r="KHH69" s="401"/>
      <c r="KHI69" s="401"/>
      <c r="KHJ69" s="401"/>
      <c r="KHK69" s="401"/>
      <c r="KHL69" s="401"/>
      <c r="KHM69" s="401"/>
      <c r="KHN69" s="401"/>
      <c r="KHO69" s="401"/>
      <c r="KHP69" s="401"/>
      <c r="KHQ69" s="401"/>
      <c r="KHR69" s="401"/>
      <c r="KHS69" s="401"/>
      <c r="KHT69" s="401"/>
      <c r="KHU69" s="401"/>
      <c r="KHV69" s="401"/>
      <c r="KHW69" s="401"/>
      <c r="KHX69" s="401"/>
      <c r="KHY69" s="401"/>
      <c r="KHZ69" s="401"/>
      <c r="KIA69" s="401"/>
      <c r="KIB69" s="401"/>
      <c r="KIC69" s="401"/>
      <c r="KID69" s="401"/>
      <c r="KIE69" s="401"/>
      <c r="KIF69" s="401"/>
      <c r="KIG69" s="401"/>
      <c r="KIH69" s="401"/>
      <c r="KII69" s="401"/>
      <c r="KIJ69" s="401"/>
      <c r="KIK69" s="401"/>
      <c r="KIL69" s="401"/>
      <c r="KIM69" s="401"/>
      <c r="KIN69" s="401"/>
      <c r="KIO69" s="401"/>
      <c r="KIP69" s="401"/>
      <c r="KIQ69" s="401"/>
      <c r="KIR69" s="401"/>
      <c r="KIS69" s="401"/>
      <c r="KIT69" s="401"/>
      <c r="KIU69" s="401"/>
      <c r="KIV69" s="401"/>
      <c r="KIW69" s="401"/>
      <c r="KIX69" s="401"/>
      <c r="KIY69" s="401"/>
      <c r="KIZ69" s="401"/>
      <c r="KJA69" s="401"/>
      <c r="KJB69" s="401"/>
      <c r="KJC69" s="401"/>
      <c r="KJD69" s="401"/>
      <c r="KJE69" s="401"/>
      <c r="KJF69" s="401"/>
      <c r="KJG69" s="401"/>
      <c r="KJH69" s="401"/>
      <c r="KJI69" s="401"/>
      <c r="KJJ69" s="401"/>
      <c r="KJK69" s="401"/>
      <c r="KJL69" s="401"/>
      <c r="KJM69" s="401"/>
      <c r="KJN69" s="401"/>
      <c r="KJO69" s="401"/>
      <c r="KJP69" s="401"/>
      <c r="KJQ69" s="401"/>
      <c r="KJR69" s="401"/>
      <c r="KJS69" s="401"/>
      <c r="KJT69" s="401"/>
      <c r="KJU69" s="401"/>
      <c r="KJV69" s="401"/>
      <c r="KJW69" s="401"/>
      <c r="KJX69" s="401"/>
      <c r="KJY69" s="401"/>
      <c r="KJZ69" s="401"/>
      <c r="KKA69" s="401"/>
      <c r="KKB69" s="401"/>
      <c r="KKC69" s="401"/>
      <c r="KKD69" s="401"/>
      <c r="KKE69" s="401"/>
      <c r="KKF69" s="401"/>
      <c r="KKG69" s="401"/>
      <c r="KKH69" s="401"/>
      <c r="KKI69" s="401"/>
      <c r="KKJ69" s="401"/>
      <c r="KKK69" s="401"/>
      <c r="KKL69" s="401"/>
      <c r="KKM69" s="401"/>
      <c r="KKN69" s="401"/>
      <c r="KKO69" s="401"/>
      <c r="KKP69" s="401"/>
      <c r="KKQ69" s="401"/>
      <c r="KKR69" s="401"/>
      <c r="KKS69" s="401"/>
      <c r="KKT69" s="401"/>
      <c r="KKU69" s="401"/>
      <c r="KKV69" s="401"/>
      <c r="KKW69" s="401"/>
      <c r="KKX69" s="401"/>
      <c r="KKY69" s="401"/>
      <c r="KKZ69" s="401"/>
      <c r="KLA69" s="401"/>
      <c r="KLB69" s="401"/>
      <c r="KLC69" s="401"/>
      <c r="KLD69" s="401"/>
      <c r="KLE69" s="401"/>
      <c r="KLF69" s="401"/>
      <c r="KLG69" s="401"/>
      <c r="KLH69" s="401"/>
      <c r="KLI69" s="401"/>
      <c r="KLJ69" s="401"/>
      <c r="KLK69" s="401"/>
      <c r="KLL69" s="401"/>
      <c r="KLM69" s="401"/>
      <c r="KLN69" s="401"/>
      <c r="KLO69" s="401"/>
      <c r="KLP69" s="401"/>
      <c r="KLQ69" s="401"/>
      <c r="KLR69" s="401"/>
      <c r="KLS69" s="401"/>
      <c r="KLT69" s="401"/>
      <c r="KLU69" s="401"/>
      <c r="KLV69" s="401"/>
      <c r="KLW69" s="401"/>
      <c r="KLX69" s="401"/>
      <c r="KLY69" s="401"/>
      <c r="KLZ69" s="401"/>
      <c r="KMA69" s="401"/>
      <c r="KMB69" s="401"/>
      <c r="KMC69" s="401"/>
      <c r="KMD69" s="401"/>
      <c r="KME69" s="401"/>
      <c r="KMF69" s="401"/>
      <c r="KMG69" s="401"/>
      <c r="KMH69" s="401"/>
      <c r="KMI69" s="401"/>
      <c r="KMJ69" s="401"/>
      <c r="KMK69" s="401"/>
      <c r="KML69" s="401"/>
      <c r="KMM69" s="401"/>
      <c r="KMN69" s="401"/>
      <c r="KMO69" s="401"/>
      <c r="KMP69" s="401"/>
      <c r="KMQ69" s="401"/>
      <c r="KMR69" s="401"/>
      <c r="KMS69" s="401"/>
      <c r="KMT69" s="401"/>
      <c r="KMU69" s="401"/>
      <c r="KMV69" s="401"/>
      <c r="KMW69" s="401"/>
      <c r="KMX69" s="401"/>
      <c r="KMY69" s="401"/>
      <c r="KMZ69" s="401"/>
      <c r="KNA69" s="401"/>
      <c r="KNB69" s="401"/>
      <c r="KNC69" s="401"/>
      <c r="KND69" s="401"/>
      <c r="KNE69" s="401"/>
      <c r="KNF69" s="401"/>
      <c r="KNG69" s="401"/>
      <c r="KNH69" s="401"/>
      <c r="KNI69" s="401"/>
      <c r="KNJ69" s="401"/>
      <c r="KNK69" s="401"/>
      <c r="KNL69" s="401"/>
      <c r="KNM69" s="401"/>
      <c r="KNN69" s="401"/>
      <c r="KNO69" s="401"/>
      <c r="KNP69" s="401"/>
      <c r="KNQ69" s="401"/>
      <c r="KNR69" s="401"/>
      <c r="KNS69" s="401"/>
      <c r="KNT69" s="401"/>
      <c r="KNU69" s="401"/>
      <c r="KNV69" s="401"/>
      <c r="KNW69" s="401"/>
      <c r="KNX69" s="401"/>
      <c r="KNY69" s="401"/>
      <c r="KNZ69" s="401"/>
      <c r="KOA69" s="401"/>
      <c r="KOB69" s="401"/>
      <c r="KOC69" s="401"/>
      <c r="KOD69" s="401"/>
      <c r="KOE69" s="401"/>
      <c r="KOF69" s="401"/>
      <c r="KOG69" s="401"/>
      <c r="KOH69" s="401"/>
      <c r="KOI69" s="401"/>
      <c r="KOJ69" s="401"/>
      <c r="KOK69" s="401"/>
      <c r="KOL69" s="401"/>
      <c r="KOM69" s="401"/>
      <c r="KON69" s="401"/>
      <c r="KOO69" s="401"/>
      <c r="KOP69" s="401"/>
      <c r="KOQ69" s="401"/>
      <c r="KOR69" s="401"/>
      <c r="KOS69" s="401"/>
      <c r="KOT69" s="401"/>
      <c r="KOU69" s="401"/>
      <c r="KOV69" s="401"/>
      <c r="KOW69" s="401"/>
      <c r="KOX69" s="401"/>
      <c r="KOY69" s="401"/>
      <c r="KOZ69" s="401"/>
      <c r="KPA69" s="401"/>
      <c r="KPB69" s="401"/>
      <c r="KPC69" s="401"/>
      <c r="KPD69" s="401"/>
      <c r="KPE69" s="401"/>
      <c r="KPF69" s="401"/>
      <c r="KPG69" s="401"/>
      <c r="KPH69" s="401"/>
      <c r="KPI69" s="401"/>
      <c r="KPJ69" s="401"/>
      <c r="KPK69" s="401"/>
      <c r="KPL69" s="401"/>
      <c r="KPM69" s="401"/>
      <c r="KPN69" s="401"/>
      <c r="KPO69" s="401"/>
      <c r="KPP69" s="401"/>
      <c r="KPQ69" s="401"/>
      <c r="KPR69" s="401"/>
      <c r="KPS69" s="401"/>
      <c r="KPT69" s="401"/>
      <c r="KPU69" s="401"/>
      <c r="KPV69" s="401"/>
      <c r="KPW69" s="401"/>
      <c r="KPX69" s="401"/>
      <c r="KPY69" s="401"/>
      <c r="KPZ69" s="401"/>
      <c r="KQA69" s="401"/>
      <c r="KQB69" s="401"/>
      <c r="KQC69" s="401"/>
      <c r="KQD69" s="401"/>
      <c r="KQE69" s="401"/>
      <c r="KQF69" s="401"/>
      <c r="KQG69" s="401"/>
      <c r="KQH69" s="401"/>
      <c r="KQI69" s="401"/>
      <c r="KQJ69" s="401"/>
      <c r="KQK69" s="401"/>
      <c r="KQL69" s="401"/>
      <c r="KQM69" s="401"/>
      <c r="KQN69" s="401"/>
      <c r="KQO69" s="401"/>
      <c r="KQP69" s="401"/>
      <c r="KQQ69" s="401"/>
      <c r="KQR69" s="401"/>
      <c r="KQS69" s="401"/>
      <c r="KQT69" s="401"/>
      <c r="KQU69" s="401"/>
      <c r="KQV69" s="401"/>
      <c r="KQW69" s="401"/>
      <c r="KQX69" s="401"/>
      <c r="KQY69" s="401"/>
      <c r="KQZ69" s="401"/>
      <c r="KRA69" s="401"/>
      <c r="KRB69" s="401"/>
      <c r="KRC69" s="401"/>
      <c r="KRD69" s="401"/>
      <c r="KRE69" s="401"/>
      <c r="KRF69" s="401"/>
      <c r="KRG69" s="401"/>
      <c r="KRH69" s="401"/>
      <c r="KRI69" s="401"/>
      <c r="KRJ69" s="401"/>
      <c r="KRK69" s="401"/>
      <c r="KRL69" s="401"/>
      <c r="KRM69" s="401"/>
      <c r="KRN69" s="401"/>
      <c r="KRO69" s="401"/>
      <c r="KRP69" s="401"/>
      <c r="KRQ69" s="401"/>
      <c r="KRR69" s="401"/>
      <c r="KRS69" s="401"/>
      <c r="KRT69" s="401"/>
      <c r="KRU69" s="401"/>
      <c r="KRV69" s="401"/>
      <c r="KRW69" s="401"/>
      <c r="KRX69" s="401"/>
      <c r="KRY69" s="401"/>
      <c r="KRZ69" s="401"/>
      <c r="KSA69" s="401"/>
      <c r="KSB69" s="401"/>
      <c r="KSC69" s="401"/>
      <c r="KSD69" s="401"/>
      <c r="KSE69" s="401"/>
      <c r="KSF69" s="401"/>
      <c r="KSG69" s="401"/>
      <c r="KSH69" s="401"/>
      <c r="KSI69" s="401"/>
      <c r="KSJ69" s="401"/>
      <c r="KSK69" s="401"/>
      <c r="KSL69" s="401"/>
      <c r="KSM69" s="401"/>
      <c r="KSN69" s="401"/>
      <c r="KSO69" s="401"/>
      <c r="KSP69" s="401"/>
      <c r="KSQ69" s="401"/>
      <c r="KSR69" s="401"/>
      <c r="KSS69" s="401"/>
      <c r="KST69" s="401"/>
      <c r="KSU69" s="401"/>
      <c r="KSV69" s="401"/>
      <c r="KSW69" s="401"/>
      <c r="KSX69" s="401"/>
      <c r="KSY69" s="401"/>
      <c r="KSZ69" s="401"/>
      <c r="KTA69" s="401"/>
      <c r="KTB69" s="401"/>
      <c r="KTC69" s="401"/>
      <c r="KTD69" s="401"/>
      <c r="KTE69" s="401"/>
      <c r="KTF69" s="401"/>
      <c r="KTG69" s="401"/>
      <c r="KTH69" s="401"/>
      <c r="KTI69" s="401"/>
      <c r="KTJ69" s="401"/>
      <c r="KTK69" s="401"/>
      <c r="KTL69" s="401"/>
      <c r="KTM69" s="401"/>
      <c r="KTN69" s="401"/>
      <c r="KTO69" s="401"/>
      <c r="KTP69" s="401"/>
      <c r="KTQ69" s="401"/>
      <c r="KTR69" s="401"/>
      <c r="KTS69" s="401"/>
      <c r="KTT69" s="401"/>
      <c r="KTU69" s="401"/>
      <c r="KTV69" s="401"/>
      <c r="KTW69" s="401"/>
      <c r="KTX69" s="401"/>
      <c r="KTY69" s="401"/>
      <c r="KTZ69" s="401"/>
      <c r="KUA69" s="401"/>
      <c r="KUB69" s="401"/>
      <c r="KUC69" s="401"/>
      <c r="KUD69" s="401"/>
      <c r="KUE69" s="401"/>
      <c r="KUF69" s="401"/>
      <c r="KUG69" s="401"/>
      <c r="KUH69" s="401"/>
      <c r="KUI69" s="401"/>
      <c r="KUJ69" s="401"/>
      <c r="KUK69" s="401"/>
      <c r="KUL69" s="401"/>
      <c r="KUM69" s="401"/>
      <c r="KUN69" s="401"/>
      <c r="KUO69" s="401"/>
      <c r="KUP69" s="401"/>
      <c r="KUQ69" s="401"/>
      <c r="KUR69" s="401"/>
      <c r="KUS69" s="401"/>
      <c r="KUT69" s="401"/>
      <c r="KUU69" s="401"/>
      <c r="KUV69" s="401"/>
      <c r="KUW69" s="401"/>
      <c r="KUX69" s="401"/>
      <c r="KUY69" s="401"/>
      <c r="KUZ69" s="401"/>
      <c r="KVA69" s="401"/>
      <c r="KVB69" s="401"/>
      <c r="KVC69" s="401"/>
      <c r="KVD69" s="401"/>
      <c r="KVE69" s="401"/>
      <c r="KVF69" s="401"/>
      <c r="KVG69" s="401"/>
      <c r="KVH69" s="401"/>
      <c r="KVI69" s="401"/>
      <c r="KVJ69" s="401"/>
      <c r="KVK69" s="401"/>
      <c r="KVL69" s="401"/>
      <c r="KVM69" s="401"/>
      <c r="KVN69" s="401"/>
      <c r="KVO69" s="401"/>
      <c r="KVP69" s="401"/>
      <c r="KVQ69" s="401"/>
      <c r="KVR69" s="401"/>
      <c r="KVS69" s="401"/>
      <c r="KVT69" s="401"/>
      <c r="KVU69" s="401"/>
      <c r="KVV69" s="401"/>
      <c r="KVW69" s="401"/>
      <c r="KVX69" s="401"/>
      <c r="KVY69" s="401"/>
      <c r="KVZ69" s="401"/>
      <c r="KWA69" s="401"/>
      <c r="KWB69" s="401"/>
      <c r="KWC69" s="401"/>
      <c r="KWD69" s="401"/>
      <c r="KWE69" s="401"/>
      <c r="KWF69" s="401"/>
      <c r="KWG69" s="401"/>
      <c r="KWH69" s="401"/>
      <c r="KWI69" s="401"/>
      <c r="KWJ69" s="401"/>
      <c r="KWK69" s="401"/>
      <c r="KWL69" s="401"/>
      <c r="KWM69" s="401"/>
      <c r="KWN69" s="401"/>
      <c r="KWO69" s="401"/>
      <c r="KWP69" s="401"/>
      <c r="KWQ69" s="401"/>
      <c r="KWR69" s="401"/>
      <c r="KWS69" s="401"/>
      <c r="KWT69" s="401"/>
      <c r="KWU69" s="401"/>
      <c r="KWV69" s="401"/>
      <c r="KWW69" s="401"/>
      <c r="KWX69" s="401"/>
      <c r="KWY69" s="401"/>
      <c r="KWZ69" s="401"/>
      <c r="KXA69" s="401"/>
      <c r="KXB69" s="401"/>
      <c r="KXC69" s="401"/>
      <c r="KXD69" s="401"/>
      <c r="KXE69" s="401"/>
      <c r="KXF69" s="401"/>
      <c r="KXG69" s="401"/>
      <c r="KXH69" s="401"/>
      <c r="KXI69" s="401"/>
      <c r="KXJ69" s="401"/>
      <c r="KXK69" s="401"/>
      <c r="KXL69" s="401"/>
      <c r="KXM69" s="401"/>
      <c r="KXN69" s="401"/>
      <c r="KXO69" s="401"/>
      <c r="KXP69" s="401"/>
      <c r="KXQ69" s="401"/>
      <c r="KXR69" s="401"/>
      <c r="KXS69" s="401"/>
      <c r="KXT69" s="401"/>
      <c r="KXU69" s="401"/>
      <c r="KXV69" s="401"/>
      <c r="KXW69" s="401"/>
      <c r="KXX69" s="401"/>
      <c r="KXY69" s="401"/>
      <c r="KXZ69" s="401"/>
      <c r="KYA69" s="401"/>
      <c r="KYB69" s="401"/>
      <c r="KYC69" s="401"/>
      <c r="KYD69" s="401"/>
      <c r="KYE69" s="401"/>
      <c r="KYF69" s="401"/>
      <c r="KYG69" s="401"/>
      <c r="KYH69" s="401"/>
      <c r="KYI69" s="401"/>
      <c r="KYJ69" s="401"/>
      <c r="KYK69" s="401"/>
      <c r="KYL69" s="401"/>
      <c r="KYM69" s="401"/>
      <c r="KYN69" s="401"/>
      <c r="KYO69" s="401"/>
      <c r="KYP69" s="401"/>
      <c r="KYQ69" s="401"/>
      <c r="KYR69" s="401"/>
      <c r="KYS69" s="401"/>
      <c r="KYT69" s="401"/>
      <c r="KYU69" s="401"/>
      <c r="KYV69" s="401"/>
      <c r="KYW69" s="401"/>
      <c r="KYX69" s="401"/>
      <c r="KYY69" s="401"/>
      <c r="KYZ69" s="401"/>
      <c r="KZA69" s="401"/>
      <c r="KZB69" s="401"/>
      <c r="KZC69" s="401"/>
      <c r="KZD69" s="401"/>
      <c r="KZE69" s="401"/>
      <c r="KZF69" s="401"/>
      <c r="KZG69" s="401"/>
      <c r="KZH69" s="401"/>
      <c r="KZI69" s="401"/>
      <c r="KZJ69" s="401"/>
      <c r="KZK69" s="401"/>
      <c r="KZL69" s="401"/>
      <c r="KZM69" s="401"/>
      <c r="KZN69" s="401"/>
      <c r="KZO69" s="401"/>
      <c r="KZP69" s="401"/>
      <c r="KZQ69" s="401"/>
      <c r="KZR69" s="401"/>
      <c r="KZS69" s="401"/>
      <c r="KZT69" s="401"/>
      <c r="KZU69" s="401"/>
      <c r="KZV69" s="401"/>
      <c r="KZW69" s="401"/>
      <c r="KZX69" s="401"/>
      <c r="KZY69" s="401"/>
      <c r="KZZ69" s="401"/>
      <c r="LAA69" s="401"/>
      <c r="LAB69" s="401"/>
      <c r="LAC69" s="401"/>
      <c r="LAD69" s="401"/>
      <c r="LAE69" s="401"/>
      <c r="LAF69" s="401"/>
      <c r="LAG69" s="401"/>
      <c r="LAH69" s="401"/>
      <c r="LAI69" s="401"/>
      <c r="LAJ69" s="401"/>
      <c r="LAK69" s="401"/>
      <c r="LAL69" s="401"/>
      <c r="LAM69" s="401"/>
      <c r="LAN69" s="401"/>
      <c r="LAO69" s="401"/>
      <c r="LAP69" s="401"/>
      <c r="LAQ69" s="401"/>
      <c r="LAR69" s="401"/>
      <c r="LAS69" s="401"/>
      <c r="LAT69" s="401"/>
      <c r="LAU69" s="401"/>
      <c r="LAV69" s="401"/>
      <c r="LAW69" s="401"/>
      <c r="LAX69" s="401"/>
      <c r="LAY69" s="401"/>
      <c r="LAZ69" s="401"/>
      <c r="LBA69" s="401"/>
      <c r="LBB69" s="401"/>
      <c r="LBC69" s="401"/>
      <c r="LBD69" s="401"/>
      <c r="LBE69" s="401"/>
      <c r="LBF69" s="401"/>
      <c r="LBG69" s="401"/>
      <c r="LBH69" s="401"/>
      <c r="LBI69" s="401"/>
      <c r="LBJ69" s="401"/>
      <c r="LBK69" s="401"/>
      <c r="LBL69" s="401"/>
      <c r="LBM69" s="401"/>
      <c r="LBN69" s="401"/>
      <c r="LBO69" s="401"/>
      <c r="LBP69" s="401"/>
      <c r="LBQ69" s="401"/>
      <c r="LBR69" s="401"/>
      <c r="LBS69" s="401"/>
      <c r="LBT69" s="401"/>
      <c r="LBU69" s="401"/>
      <c r="LBV69" s="401"/>
      <c r="LBW69" s="401"/>
      <c r="LBX69" s="401"/>
      <c r="LBY69" s="401"/>
      <c r="LBZ69" s="401"/>
      <c r="LCA69" s="401"/>
      <c r="LCB69" s="401"/>
      <c r="LCC69" s="401"/>
      <c r="LCD69" s="401"/>
      <c r="LCE69" s="401"/>
      <c r="LCF69" s="401"/>
      <c r="LCG69" s="401"/>
      <c r="LCH69" s="401"/>
      <c r="LCI69" s="401"/>
      <c r="LCJ69" s="401"/>
      <c r="LCK69" s="401"/>
      <c r="LCL69" s="401"/>
      <c r="LCM69" s="401"/>
      <c r="LCN69" s="401"/>
      <c r="LCO69" s="401"/>
      <c r="LCP69" s="401"/>
      <c r="LCQ69" s="401"/>
      <c r="LCR69" s="401"/>
      <c r="LCS69" s="401"/>
      <c r="LCT69" s="401"/>
      <c r="LCU69" s="401"/>
      <c r="LCV69" s="401"/>
      <c r="LCW69" s="401"/>
      <c r="LCX69" s="401"/>
      <c r="LCY69" s="401"/>
      <c r="LCZ69" s="401"/>
      <c r="LDA69" s="401"/>
      <c r="LDB69" s="401"/>
      <c r="LDC69" s="401"/>
      <c r="LDD69" s="401"/>
      <c r="LDE69" s="401"/>
      <c r="LDF69" s="401"/>
      <c r="LDG69" s="401"/>
      <c r="LDH69" s="401"/>
      <c r="LDI69" s="401"/>
      <c r="LDJ69" s="401"/>
      <c r="LDK69" s="401"/>
      <c r="LDL69" s="401"/>
      <c r="LDM69" s="401"/>
      <c r="LDN69" s="401"/>
      <c r="LDO69" s="401"/>
      <c r="LDP69" s="401"/>
      <c r="LDQ69" s="401"/>
      <c r="LDR69" s="401"/>
      <c r="LDS69" s="401"/>
      <c r="LDT69" s="401"/>
      <c r="LDU69" s="401"/>
      <c r="LDV69" s="401"/>
      <c r="LDW69" s="401"/>
      <c r="LDX69" s="401"/>
      <c r="LDY69" s="401"/>
      <c r="LDZ69" s="401"/>
      <c r="LEA69" s="401"/>
      <c r="LEB69" s="401"/>
      <c r="LEC69" s="401"/>
      <c r="LED69" s="401"/>
      <c r="LEE69" s="401"/>
      <c r="LEF69" s="401"/>
      <c r="LEG69" s="401"/>
      <c r="LEH69" s="401"/>
      <c r="LEI69" s="401"/>
      <c r="LEJ69" s="401"/>
      <c r="LEK69" s="401"/>
      <c r="LEL69" s="401"/>
      <c r="LEM69" s="401"/>
      <c r="LEN69" s="401"/>
      <c r="LEO69" s="401"/>
      <c r="LEP69" s="401"/>
      <c r="LEQ69" s="401"/>
      <c r="LER69" s="401"/>
      <c r="LES69" s="401"/>
      <c r="LET69" s="401"/>
      <c r="LEU69" s="401"/>
      <c r="LEV69" s="401"/>
      <c r="LEW69" s="401"/>
      <c r="LEX69" s="401"/>
      <c r="LEY69" s="401"/>
      <c r="LEZ69" s="401"/>
      <c r="LFA69" s="401"/>
      <c r="LFB69" s="401"/>
      <c r="LFC69" s="401"/>
      <c r="LFD69" s="401"/>
      <c r="LFE69" s="401"/>
      <c r="LFF69" s="401"/>
      <c r="LFG69" s="401"/>
      <c r="LFH69" s="401"/>
      <c r="LFI69" s="401"/>
      <c r="LFJ69" s="401"/>
      <c r="LFK69" s="401"/>
      <c r="LFL69" s="401"/>
      <c r="LFM69" s="401"/>
      <c r="LFN69" s="401"/>
      <c r="LFO69" s="401"/>
      <c r="LFP69" s="401"/>
      <c r="LFQ69" s="401"/>
      <c r="LFR69" s="401"/>
      <c r="LFS69" s="401"/>
      <c r="LFT69" s="401"/>
      <c r="LFU69" s="401"/>
      <c r="LFV69" s="401"/>
      <c r="LFW69" s="401"/>
      <c r="LFX69" s="401"/>
      <c r="LFY69" s="401"/>
      <c r="LFZ69" s="401"/>
      <c r="LGA69" s="401"/>
      <c r="LGB69" s="401"/>
      <c r="LGC69" s="401"/>
      <c r="LGD69" s="401"/>
      <c r="LGE69" s="401"/>
      <c r="LGF69" s="401"/>
      <c r="LGG69" s="401"/>
      <c r="LGH69" s="401"/>
      <c r="LGI69" s="401"/>
      <c r="LGJ69" s="401"/>
      <c r="LGK69" s="401"/>
      <c r="LGL69" s="401"/>
      <c r="LGM69" s="401"/>
      <c r="LGN69" s="401"/>
      <c r="LGO69" s="401"/>
      <c r="LGP69" s="401"/>
      <c r="LGQ69" s="401"/>
      <c r="LGR69" s="401"/>
      <c r="LGS69" s="401"/>
      <c r="LGT69" s="401"/>
      <c r="LGU69" s="401"/>
      <c r="LGV69" s="401"/>
      <c r="LGW69" s="401"/>
      <c r="LGX69" s="401"/>
      <c r="LGY69" s="401"/>
      <c r="LGZ69" s="401"/>
      <c r="LHA69" s="401"/>
      <c r="LHB69" s="401"/>
      <c r="LHC69" s="401"/>
      <c r="LHD69" s="401"/>
      <c r="LHE69" s="401"/>
      <c r="LHF69" s="401"/>
      <c r="LHG69" s="401"/>
      <c r="LHH69" s="401"/>
      <c r="LHI69" s="401"/>
      <c r="LHJ69" s="401"/>
      <c r="LHK69" s="401"/>
      <c r="LHL69" s="401"/>
      <c r="LHM69" s="401"/>
      <c r="LHN69" s="401"/>
      <c r="LHO69" s="401"/>
      <c r="LHP69" s="401"/>
      <c r="LHQ69" s="401"/>
      <c r="LHR69" s="401"/>
      <c r="LHS69" s="401"/>
      <c r="LHT69" s="401"/>
      <c r="LHU69" s="401"/>
      <c r="LHV69" s="401"/>
      <c r="LHW69" s="401"/>
      <c r="LHX69" s="401"/>
      <c r="LHY69" s="401"/>
      <c r="LHZ69" s="401"/>
      <c r="LIA69" s="401"/>
      <c r="LIB69" s="401"/>
      <c r="LIC69" s="401"/>
      <c r="LID69" s="401"/>
      <c r="LIE69" s="401"/>
      <c r="LIF69" s="401"/>
      <c r="LIG69" s="401"/>
      <c r="LIH69" s="401"/>
      <c r="LII69" s="401"/>
      <c r="LIJ69" s="401"/>
      <c r="LIK69" s="401"/>
      <c r="LIL69" s="401"/>
      <c r="LIM69" s="401"/>
      <c r="LIN69" s="401"/>
      <c r="LIO69" s="401"/>
      <c r="LIP69" s="401"/>
      <c r="LIQ69" s="401"/>
      <c r="LIR69" s="401"/>
      <c r="LIS69" s="401"/>
      <c r="LIT69" s="401"/>
      <c r="LIU69" s="401"/>
      <c r="LIV69" s="401"/>
      <c r="LIW69" s="401"/>
      <c r="LIX69" s="401"/>
      <c r="LIY69" s="401"/>
      <c r="LIZ69" s="401"/>
      <c r="LJA69" s="401"/>
      <c r="LJB69" s="401"/>
      <c r="LJC69" s="401"/>
      <c r="LJD69" s="401"/>
      <c r="LJE69" s="401"/>
      <c r="LJF69" s="401"/>
      <c r="LJG69" s="401"/>
      <c r="LJH69" s="401"/>
      <c r="LJI69" s="401"/>
      <c r="LJJ69" s="401"/>
      <c r="LJK69" s="401"/>
      <c r="LJL69" s="401"/>
      <c r="LJM69" s="401"/>
      <c r="LJN69" s="401"/>
      <c r="LJO69" s="401"/>
      <c r="LJP69" s="401"/>
      <c r="LJQ69" s="401"/>
      <c r="LJR69" s="401"/>
      <c r="LJS69" s="401"/>
      <c r="LJT69" s="401"/>
      <c r="LJU69" s="401"/>
      <c r="LJV69" s="401"/>
      <c r="LJW69" s="401"/>
      <c r="LJX69" s="401"/>
      <c r="LJY69" s="401"/>
      <c r="LJZ69" s="401"/>
      <c r="LKA69" s="401"/>
      <c r="LKB69" s="401"/>
      <c r="LKC69" s="401"/>
      <c r="LKD69" s="401"/>
      <c r="LKE69" s="401"/>
      <c r="LKF69" s="401"/>
      <c r="LKG69" s="401"/>
      <c r="LKH69" s="401"/>
      <c r="LKI69" s="401"/>
      <c r="LKJ69" s="401"/>
      <c r="LKK69" s="401"/>
      <c r="LKL69" s="401"/>
      <c r="LKM69" s="401"/>
      <c r="LKN69" s="401"/>
      <c r="LKO69" s="401"/>
      <c r="LKP69" s="401"/>
      <c r="LKQ69" s="401"/>
      <c r="LKR69" s="401"/>
      <c r="LKS69" s="401"/>
      <c r="LKT69" s="401"/>
      <c r="LKU69" s="401"/>
      <c r="LKV69" s="401"/>
      <c r="LKW69" s="401"/>
      <c r="LKX69" s="401"/>
      <c r="LKY69" s="401"/>
      <c r="LKZ69" s="401"/>
      <c r="LLA69" s="401"/>
      <c r="LLB69" s="401"/>
      <c r="LLC69" s="401"/>
      <c r="LLD69" s="401"/>
      <c r="LLE69" s="401"/>
      <c r="LLF69" s="401"/>
      <c r="LLG69" s="401"/>
      <c r="LLH69" s="401"/>
      <c r="LLI69" s="401"/>
      <c r="LLJ69" s="401"/>
      <c r="LLK69" s="401"/>
      <c r="LLL69" s="401"/>
      <c r="LLM69" s="401"/>
      <c r="LLN69" s="401"/>
      <c r="LLO69" s="401"/>
      <c r="LLP69" s="401"/>
      <c r="LLQ69" s="401"/>
      <c r="LLR69" s="401"/>
      <c r="LLS69" s="401"/>
      <c r="LLT69" s="401"/>
      <c r="LLU69" s="401"/>
      <c r="LLV69" s="401"/>
      <c r="LLW69" s="401"/>
      <c r="LLX69" s="401"/>
      <c r="LLY69" s="401"/>
      <c r="LLZ69" s="401"/>
      <c r="LMA69" s="401"/>
      <c r="LMB69" s="401"/>
      <c r="LMC69" s="401"/>
      <c r="LMD69" s="401"/>
      <c r="LME69" s="401"/>
      <c r="LMF69" s="401"/>
      <c r="LMG69" s="401"/>
      <c r="LMH69" s="401"/>
      <c r="LMI69" s="401"/>
      <c r="LMJ69" s="401"/>
      <c r="LMK69" s="401"/>
      <c r="LML69" s="401"/>
      <c r="LMM69" s="401"/>
      <c r="LMN69" s="401"/>
      <c r="LMO69" s="401"/>
      <c r="LMP69" s="401"/>
      <c r="LMQ69" s="401"/>
      <c r="LMR69" s="401"/>
      <c r="LMS69" s="401"/>
      <c r="LMT69" s="401"/>
      <c r="LMU69" s="401"/>
      <c r="LMV69" s="401"/>
      <c r="LMW69" s="401"/>
      <c r="LMX69" s="401"/>
      <c r="LMY69" s="401"/>
      <c r="LMZ69" s="401"/>
      <c r="LNA69" s="401"/>
      <c r="LNB69" s="401"/>
      <c r="LNC69" s="401"/>
      <c r="LND69" s="401"/>
      <c r="LNE69" s="401"/>
      <c r="LNF69" s="401"/>
      <c r="LNG69" s="401"/>
      <c r="LNH69" s="401"/>
      <c r="LNI69" s="401"/>
      <c r="LNJ69" s="401"/>
      <c r="LNK69" s="401"/>
      <c r="LNL69" s="401"/>
      <c r="LNM69" s="401"/>
      <c r="LNN69" s="401"/>
      <c r="LNO69" s="401"/>
      <c r="LNP69" s="401"/>
      <c r="LNQ69" s="401"/>
      <c r="LNR69" s="401"/>
      <c r="LNS69" s="401"/>
      <c r="LNT69" s="401"/>
      <c r="LNU69" s="401"/>
      <c r="LNV69" s="401"/>
      <c r="LNW69" s="401"/>
      <c r="LNX69" s="401"/>
      <c r="LNY69" s="401"/>
      <c r="LNZ69" s="401"/>
      <c r="LOA69" s="401"/>
      <c r="LOB69" s="401"/>
      <c r="LOC69" s="401"/>
      <c r="LOD69" s="401"/>
      <c r="LOE69" s="401"/>
      <c r="LOF69" s="401"/>
      <c r="LOG69" s="401"/>
      <c r="LOH69" s="401"/>
      <c r="LOI69" s="401"/>
      <c r="LOJ69" s="401"/>
      <c r="LOK69" s="401"/>
      <c r="LOL69" s="401"/>
      <c r="LOM69" s="401"/>
      <c r="LON69" s="401"/>
      <c r="LOO69" s="401"/>
      <c r="LOP69" s="401"/>
      <c r="LOQ69" s="401"/>
      <c r="LOR69" s="401"/>
      <c r="LOS69" s="401"/>
      <c r="LOT69" s="401"/>
      <c r="LOU69" s="401"/>
      <c r="LOV69" s="401"/>
      <c r="LOW69" s="401"/>
      <c r="LOX69" s="401"/>
      <c r="LOY69" s="401"/>
      <c r="LOZ69" s="401"/>
      <c r="LPA69" s="401"/>
      <c r="LPB69" s="401"/>
      <c r="LPC69" s="401"/>
      <c r="LPD69" s="401"/>
      <c r="LPE69" s="401"/>
      <c r="LPF69" s="401"/>
      <c r="LPG69" s="401"/>
      <c r="LPH69" s="401"/>
      <c r="LPI69" s="401"/>
      <c r="LPJ69" s="401"/>
      <c r="LPK69" s="401"/>
      <c r="LPL69" s="401"/>
      <c r="LPM69" s="401"/>
      <c r="LPN69" s="401"/>
      <c r="LPO69" s="401"/>
      <c r="LPP69" s="401"/>
      <c r="LPQ69" s="401"/>
      <c r="LPR69" s="401"/>
      <c r="LPS69" s="401"/>
      <c r="LPT69" s="401"/>
      <c r="LPU69" s="401"/>
      <c r="LPV69" s="401"/>
      <c r="LPW69" s="401"/>
      <c r="LPX69" s="401"/>
      <c r="LPY69" s="401"/>
      <c r="LPZ69" s="401"/>
      <c r="LQA69" s="401"/>
      <c r="LQB69" s="401"/>
      <c r="LQC69" s="401"/>
      <c r="LQD69" s="401"/>
      <c r="LQE69" s="401"/>
      <c r="LQF69" s="401"/>
      <c r="LQG69" s="401"/>
      <c r="LQH69" s="401"/>
      <c r="LQI69" s="401"/>
      <c r="LQJ69" s="401"/>
      <c r="LQK69" s="401"/>
      <c r="LQL69" s="401"/>
      <c r="LQM69" s="401"/>
      <c r="LQN69" s="401"/>
      <c r="LQO69" s="401"/>
      <c r="LQP69" s="401"/>
      <c r="LQQ69" s="401"/>
      <c r="LQR69" s="401"/>
      <c r="LQS69" s="401"/>
      <c r="LQT69" s="401"/>
      <c r="LQU69" s="401"/>
      <c r="LQV69" s="401"/>
      <c r="LQW69" s="401"/>
      <c r="LQX69" s="401"/>
      <c r="LQY69" s="401"/>
      <c r="LQZ69" s="401"/>
      <c r="LRA69" s="401"/>
      <c r="LRB69" s="401"/>
      <c r="LRC69" s="401"/>
      <c r="LRD69" s="401"/>
      <c r="LRE69" s="401"/>
      <c r="LRF69" s="401"/>
      <c r="LRG69" s="401"/>
      <c r="LRH69" s="401"/>
      <c r="LRI69" s="401"/>
      <c r="LRJ69" s="401"/>
      <c r="LRK69" s="401"/>
      <c r="LRL69" s="401"/>
      <c r="LRM69" s="401"/>
      <c r="LRN69" s="401"/>
      <c r="LRO69" s="401"/>
      <c r="LRP69" s="401"/>
      <c r="LRQ69" s="401"/>
      <c r="LRR69" s="401"/>
      <c r="LRS69" s="401"/>
      <c r="LRT69" s="401"/>
      <c r="LRU69" s="401"/>
      <c r="LRV69" s="401"/>
      <c r="LRW69" s="401"/>
      <c r="LRX69" s="401"/>
      <c r="LRY69" s="401"/>
      <c r="LRZ69" s="401"/>
      <c r="LSA69" s="401"/>
      <c r="LSB69" s="401"/>
      <c r="LSC69" s="401"/>
      <c r="LSD69" s="401"/>
      <c r="LSE69" s="401"/>
      <c r="LSF69" s="401"/>
      <c r="LSG69" s="401"/>
      <c r="LSH69" s="401"/>
      <c r="LSI69" s="401"/>
      <c r="LSJ69" s="401"/>
      <c r="LSK69" s="401"/>
      <c r="LSL69" s="401"/>
      <c r="LSM69" s="401"/>
      <c r="LSN69" s="401"/>
      <c r="LSO69" s="401"/>
      <c r="LSP69" s="401"/>
      <c r="LSQ69" s="401"/>
      <c r="LSR69" s="401"/>
      <c r="LSS69" s="401"/>
      <c r="LST69" s="401"/>
      <c r="LSU69" s="401"/>
      <c r="LSV69" s="401"/>
      <c r="LSW69" s="401"/>
      <c r="LSX69" s="401"/>
      <c r="LSY69" s="401"/>
      <c r="LSZ69" s="401"/>
      <c r="LTA69" s="401"/>
      <c r="LTB69" s="401"/>
      <c r="LTC69" s="401"/>
      <c r="LTD69" s="401"/>
      <c r="LTE69" s="401"/>
      <c r="LTF69" s="401"/>
      <c r="LTG69" s="401"/>
      <c r="LTH69" s="401"/>
      <c r="LTI69" s="401"/>
      <c r="LTJ69" s="401"/>
      <c r="LTK69" s="401"/>
      <c r="LTL69" s="401"/>
      <c r="LTM69" s="401"/>
      <c r="LTN69" s="401"/>
      <c r="LTO69" s="401"/>
      <c r="LTP69" s="401"/>
      <c r="LTQ69" s="401"/>
      <c r="LTR69" s="401"/>
      <c r="LTS69" s="401"/>
      <c r="LTT69" s="401"/>
      <c r="LTU69" s="401"/>
      <c r="LTV69" s="401"/>
      <c r="LTW69" s="401"/>
      <c r="LTX69" s="401"/>
      <c r="LTY69" s="401"/>
      <c r="LTZ69" s="401"/>
      <c r="LUA69" s="401"/>
      <c r="LUB69" s="401"/>
      <c r="LUC69" s="401"/>
      <c r="LUD69" s="401"/>
      <c r="LUE69" s="401"/>
      <c r="LUF69" s="401"/>
      <c r="LUG69" s="401"/>
      <c r="LUH69" s="401"/>
      <c r="LUI69" s="401"/>
      <c r="LUJ69" s="401"/>
      <c r="LUK69" s="401"/>
      <c r="LUL69" s="401"/>
      <c r="LUM69" s="401"/>
      <c r="LUN69" s="401"/>
      <c r="LUO69" s="401"/>
      <c r="LUP69" s="401"/>
      <c r="LUQ69" s="401"/>
      <c r="LUR69" s="401"/>
      <c r="LUS69" s="401"/>
      <c r="LUT69" s="401"/>
      <c r="LUU69" s="401"/>
      <c r="LUV69" s="401"/>
      <c r="LUW69" s="401"/>
      <c r="LUX69" s="401"/>
      <c r="LUY69" s="401"/>
      <c r="LUZ69" s="401"/>
      <c r="LVA69" s="401"/>
      <c r="LVB69" s="401"/>
      <c r="LVC69" s="401"/>
      <c r="LVD69" s="401"/>
      <c r="LVE69" s="401"/>
      <c r="LVF69" s="401"/>
      <c r="LVG69" s="401"/>
      <c r="LVH69" s="401"/>
      <c r="LVI69" s="401"/>
      <c r="LVJ69" s="401"/>
      <c r="LVK69" s="401"/>
      <c r="LVL69" s="401"/>
      <c r="LVM69" s="401"/>
      <c r="LVN69" s="401"/>
      <c r="LVO69" s="401"/>
      <c r="LVP69" s="401"/>
      <c r="LVQ69" s="401"/>
      <c r="LVR69" s="401"/>
      <c r="LVS69" s="401"/>
      <c r="LVT69" s="401"/>
      <c r="LVU69" s="401"/>
      <c r="LVV69" s="401"/>
      <c r="LVW69" s="401"/>
      <c r="LVX69" s="401"/>
      <c r="LVY69" s="401"/>
      <c r="LVZ69" s="401"/>
      <c r="LWA69" s="401"/>
      <c r="LWB69" s="401"/>
      <c r="LWC69" s="401"/>
      <c r="LWD69" s="401"/>
      <c r="LWE69" s="401"/>
      <c r="LWF69" s="401"/>
      <c r="LWG69" s="401"/>
      <c r="LWH69" s="401"/>
      <c r="LWI69" s="401"/>
      <c r="LWJ69" s="401"/>
      <c r="LWK69" s="401"/>
      <c r="LWL69" s="401"/>
      <c r="LWM69" s="401"/>
      <c r="LWN69" s="401"/>
      <c r="LWO69" s="401"/>
      <c r="LWP69" s="401"/>
      <c r="LWQ69" s="401"/>
      <c r="LWR69" s="401"/>
      <c r="LWS69" s="401"/>
      <c r="LWT69" s="401"/>
      <c r="LWU69" s="401"/>
      <c r="LWV69" s="401"/>
      <c r="LWW69" s="401"/>
      <c r="LWX69" s="401"/>
      <c r="LWY69" s="401"/>
      <c r="LWZ69" s="401"/>
      <c r="LXA69" s="401"/>
      <c r="LXB69" s="401"/>
      <c r="LXC69" s="401"/>
      <c r="LXD69" s="401"/>
      <c r="LXE69" s="401"/>
      <c r="LXF69" s="401"/>
      <c r="LXG69" s="401"/>
      <c r="LXH69" s="401"/>
      <c r="LXI69" s="401"/>
      <c r="LXJ69" s="401"/>
      <c r="LXK69" s="401"/>
      <c r="LXL69" s="401"/>
      <c r="LXM69" s="401"/>
      <c r="LXN69" s="401"/>
      <c r="LXO69" s="401"/>
      <c r="LXP69" s="401"/>
      <c r="LXQ69" s="401"/>
      <c r="LXR69" s="401"/>
      <c r="LXS69" s="401"/>
      <c r="LXT69" s="401"/>
      <c r="LXU69" s="401"/>
      <c r="LXV69" s="401"/>
      <c r="LXW69" s="401"/>
      <c r="LXX69" s="401"/>
      <c r="LXY69" s="401"/>
      <c r="LXZ69" s="401"/>
      <c r="LYA69" s="401"/>
      <c r="LYB69" s="401"/>
      <c r="LYC69" s="401"/>
      <c r="LYD69" s="401"/>
      <c r="LYE69" s="401"/>
      <c r="LYF69" s="401"/>
      <c r="LYG69" s="401"/>
      <c r="LYH69" s="401"/>
      <c r="LYI69" s="401"/>
      <c r="LYJ69" s="401"/>
      <c r="LYK69" s="401"/>
      <c r="LYL69" s="401"/>
      <c r="LYM69" s="401"/>
      <c r="LYN69" s="401"/>
      <c r="LYO69" s="401"/>
      <c r="LYP69" s="401"/>
      <c r="LYQ69" s="401"/>
      <c r="LYR69" s="401"/>
      <c r="LYS69" s="401"/>
      <c r="LYT69" s="401"/>
      <c r="LYU69" s="401"/>
      <c r="LYV69" s="401"/>
      <c r="LYW69" s="401"/>
      <c r="LYX69" s="401"/>
      <c r="LYY69" s="401"/>
      <c r="LYZ69" s="401"/>
      <c r="LZA69" s="401"/>
      <c r="LZB69" s="401"/>
      <c r="LZC69" s="401"/>
      <c r="LZD69" s="401"/>
      <c r="LZE69" s="401"/>
      <c r="LZF69" s="401"/>
      <c r="LZG69" s="401"/>
      <c r="LZH69" s="401"/>
      <c r="LZI69" s="401"/>
      <c r="LZJ69" s="401"/>
      <c r="LZK69" s="401"/>
      <c r="LZL69" s="401"/>
      <c r="LZM69" s="401"/>
      <c r="LZN69" s="401"/>
      <c r="LZO69" s="401"/>
      <c r="LZP69" s="401"/>
      <c r="LZQ69" s="401"/>
      <c r="LZR69" s="401"/>
      <c r="LZS69" s="401"/>
      <c r="LZT69" s="401"/>
      <c r="LZU69" s="401"/>
      <c r="LZV69" s="401"/>
      <c r="LZW69" s="401"/>
      <c r="LZX69" s="401"/>
      <c r="LZY69" s="401"/>
      <c r="LZZ69" s="401"/>
      <c r="MAA69" s="401"/>
      <c r="MAB69" s="401"/>
      <c r="MAC69" s="401"/>
      <c r="MAD69" s="401"/>
      <c r="MAE69" s="401"/>
      <c r="MAF69" s="401"/>
      <c r="MAG69" s="401"/>
      <c r="MAH69" s="401"/>
      <c r="MAI69" s="401"/>
      <c r="MAJ69" s="401"/>
      <c r="MAK69" s="401"/>
      <c r="MAL69" s="401"/>
      <c r="MAM69" s="401"/>
      <c r="MAN69" s="401"/>
      <c r="MAO69" s="401"/>
      <c r="MAP69" s="401"/>
      <c r="MAQ69" s="401"/>
      <c r="MAR69" s="401"/>
      <c r="MAS69" s="401"/>
      <c r="MAT69" s="401"/>
      <c r="MAU69" s="401"/>
      <c r="MAV69" s="401"/>
      <c r="MAW69" s="401"/>
      <c r="MAX69" s="401"/>
      <c r="MAY69" s="401"/>
      <c r="MAZ69" s="401"/>
      <c r="MBA69" s="401"/>
      <c r="MBB69" s="401"/>
      <c r="MBC69" s="401"/>
      <c r="MBD69" s="401"/>
      <c r="MBE69" s="401"/>
      <c r="MBF69" s="401"/>
      <c r="MBG69" s="401"/>
      <c r="MBH69" s="401"/>
      <c r="MBI69" s="401"/>
      <c r="MBJ69" s="401"/>
      <c r="MBK69" s="401"/>
      <c r="MBL69" s="401"/>
      <c r="MBM69" s="401"/>
      <c r="MBN69" s="401"/>
      <c r="MBO69" s="401"/>
      <c r="MBP69" s="401"/>
      <c r="MBQ69" s="401"/>
      <c r="MBR69" s="401"/>
      <c r="MBS69" s="401"/>
      <c r="MBT69" s="401"/>
      <c r="MBU69" s="401"/>
      <c r="MBV69" s="401"/>
      <c r="MBW69" s="401"/>
      <c r="MBX69" s="401"/>
      <c r="MBY69" s="401"/>
      <c r="MBZ69" s="401"/>
      <c r="MCA69" s="401"/>
      <c r="MCB69" s="401"/>
      <c r="MCC69" s="401"/>
      <c r="MCD69" s="401"/>
      <c r="MCE69" s="401"/>
      <c r="MCF69" s="401"/>
      <c r="MCG69" s="401"/>
      <c r="MCH69" s="401"/>
      <c r="MCI69" s="401"/>
      <c r="MCJ69" s="401"/>
      <c r="MCK69" s="401"/>
      <c r="MCL69" s="401"/>
      <c r="MCM69" s="401"/>
      <c r="MCN69" s="401"/>
      <c r="MCO69" s="401"/>
      <c r="MCP69" s="401"/>
      <c r="MCQ69" s="401"/>
      <c r="MCR69" s="401"/>
      <c r="MCS69" s="401"/>
      <c r="MCT69" s="401"/>
      <c r="MCU69" s="401"/>
      <c r="MCV69" s="401"/>
      <c r="MCW69" s="401"/>
      <c r="MCX69" s="401"/>
      <c r="MCY69" s="401"/>
      <c r="MCZ69" s="401"/>
      <c r="MDA69" s="401"/>
      <c r="MDB69" s="401"/>
      <c r="MDC69" s="401"/>
      <c r="MDD69" s="401"/>
      <c r="MDE69" s="401"/>
      <c r="MDF69" s="401"/>
      <c r="MDG69" s="401"/>
      <c r="MDH69" s="401"/>
      <c r="MDI69" s="401"/>
      <c r="MDJ69" s="401"/>
      <c r="MDK69" s="401"/>
      <c r="MDL69" s="401"/>
      <c r="MDM69" s="401"/>
      <c r="MDN69" s="401"/>
      <c r="MDO69" s="401"/>
      <c r="MDP69" s="401"/>
      <c r="MDQ69" s="401"/>
      <c r="MDR69" s="401"/>
      <c r="MDS69" s="401"/>
      <c r="MDT69" s="401"/>
      <c r="MDU69" s="401"/>
      <c r="MDV69" s="401"/>
      <c r="MDW69" s="401"/>
      <c r="MDX69" s="401"/>
      <c r="MDY69" s="401"/>
      <c r="MDZ69" s="401"/>
      <c r="MEA69" s="401"/>
      <c r="MEB69" s="401"/>
      <c r="MEC69" s="401"/>
      <c r="MED69" s="401"/>
      <c r="MEE69" s="401"/>
      <c r="MEF69" s="401"/>
      <c r="MEG69" s="401"/>
      <c r="MEH69" s="401"/>
      <c r="MEI69" s="401"/>
      <c r="MEJ69" s="401"/>
      <c r="MEK69" s="401"/>
      <c r="MEL69" s="401"/>
      <c r="MEM69" s="401"/>
      <c r="MEN69" s="401"/>
      <c r="MEO69" s="401"/>
      <c r="MEP69" s="401"/>
      <c r="MEQ69" s="401"/>
      <c r="MER69" s="401"/>
      <c r="MES69" s="401"/>
      <c r="MET69" s="401"/>
      <c r="MEU69" s="401"/>
      <c r="MEV69" s="401"/>
      <c r="MEW69" s="401"/>
      <c r="MEX69" s="401"/>
      <c r="MEY69" s="401"/>
      <c r="MEZ69" s="401"/>
      <c r="MFA69" s="401"/>
      <c r="MFB69" s="401"/>
      <c r="MFC69" s="401"/>
      <c r="MFD69" s="401"/>
      <c r="MFE69" s="401"/>
      <c r="MFF69" s="401"/>
      <c r="MFG69" s="401"/>
      <c r="MFH69" s="401"/>
      <c r="MFI69" s="401"/>
      <c r="MFJ69" s="401"/>
      <c r="MFK69" s="401"/>
      <c r="MFL69" s="401"/>
      <c r="MFM69" s="401"/>
      <c r="MFN69" s="401"/>
      <c r="MFO69" s="401"/>
      <c r="MFP69" s="401"/>
      <c r="MFQ69" s="401"/>
      <c r="MFR69" s="401"/>
      <c r="MFS69" s="401"/>
      <c r="MFT69" s="401"/>
      <c r="MFU69" s="401"/>
      <c r="MFV69" s="401"/>
      <c r="MFW69" s="401"/>
      <c r="MFX69" s="401"/>
      <c r="MFY69" s="401"/>
      <c r="MFZ69" s="401"/>
      <c r="MGA69" s="401"/>
      <c r="MGB69" s="401"/>
      <c r="MGC69" s="401"/>
      <c r="MGD69" s="401"/>
      <c r="MGE69" s="401"/>
      <c r="MGF69" s="401"/>
      <c r="MGG69" s="401"/>
      <c r="MGH69" s="401"/>
      <c r="MGI69" s="401"/>
      <c r="MGJ69" s="401"/>
      <c r="MGK69" s="401"/>
      <c r="MGL69" s="401"/>
      <c r="MGM69" s="401"/>
      <c r="MGN69" s="401"/>
      <c r="MGO69" s="401"/>
      <c r="MGP69" s="401"/>
      <c r="MGQ69" s="401"/>
      <c r="MGR69" s="401"/>
      <c r="MGS69" s="401"/>
      <c r="MGT69" s="401"/>
      <c r="MGU69" s="401"/>
      <c r="MGV69" s="401"/>
      <c r="MGW69" s="401"/>
      <c r="MGX69" s="401"/>
      <c r="MGY69" s="401"/>
      <c r="MGZ69" s="401"/>
      <c r="MHA69" s="401"/>
      <c r="MHB69" s="401"/>
      <c r="MHC69" s="401"/>
      <c r="MHD69" s="401"/>
      <c r="MHE69" s="401"/>
      <c r="MHF69" s="401"/>
      <c r="MHG69" s="401"/>
      <c r="MHH69" s="401"/>
      <c r="MHI69" s="401"/>
      <c r="MHJ69" s="401"/>
      <c r="MHK69" s="401"/>
      <c r="MHL69" s="401"/>
      <c r="MHM69" s="401"/>
      <c r="MHN69" s="401"/>
      <c r="MHO69" s="401"/>
      <c r="MHP69" s="401"/>
      <c r="MHQ69" s="401"/>
      <c r="MHR69" s="401"/>
      <c r="MHS69" s="401"/>
      <c r="MHT69" s="401"/>
      <c r="MHU69" s="401"/>
      <c r="MHV69" s="401"/>
      <c r="MHW69" s="401"/>
      <c r="MHX69" s="401"/>
      <c r="MHY69" s="401"/>
      <c r="MHZ69" s="401"/>
      <c r="MIA69" s="401"/>
      <c r="MIB69" s="401"/>
      <c r="MIC69" s="401"/>
      <c r="MID69" s="401"/>
      <c r="MIE69" s="401"/>
      <c r="MIF69" s="401"/>
      <c r="MIG69" s="401"/>
      <c r="MIH69" s="401"/>
      <c r="MII69" s="401"/>
      <c r="MIJ69" s="401"/>
      <c r="MIK69" s="401"/>
      <c r="MIL69" s="401"/>
      <c r="MIM69" s="401"/>
      <c r="MIN69" s="401"/>
      <c r="MIO69" s="401"/>
      <c r="MIP69" s="401"/>
      <c r="MIQ69" s="401"/>
      <c r="MIR69" s="401"/>
      <c r="MIS69" s="401"/>
      <c r="MIT69" s="401"/>
      <c r="MIU69" s="401"/>
      <c r="MIV69" s="401"/>
      <c r="MIW69" s="401"/>
      <c r="MIX69" s="401"/>
      <c r="MIY69" s="401"/>
      <c r="MIZ69" s="401"/>
      <c r="MJA69" s="401"/>
      <c r="MJB69" s="401"/>
      <c r="MJC69" s="401"/>
      <c r="MJD69" s="401"/>
      <c r="MJE69" s="401"/>
      <c r="MJF69" s="401"/>
      <c r="MJG69" s="401"/>
      <c r="MJH69" s="401"/>
      <c r="MJI69" s="401"/>
      <c r="MJJ69" s="401"/>
      <c r="MJK69" s="401"/>
      <c r="MJL69" s="401"/>
      <c r="MJM69" s="401"/>
      <c r="MJN69" s="401"/>
      <c r="MJO69" s="401"/>
      <c r="MJP69" s="401"/>
      <c r="MJQ69" s="401"/>
      <c r="MJR69" s="401"/>
      <c r="MJS69" s="401"/>
      <c r="MJT69" s="401"/>
      <c r="MJU69" s="401"/>
      <c r="MJV69" s="401"/>
      <c r="MJW69" s="401"/>
      <c r="MJX69" s="401"/>
      <c r="MJY69" s="401"/>
      <c r="MJZ69" s="401"/>
      <c r="MKA69" s="401"/>
      <c r="MKB69" s="401"/>
      <c r="MKC69" s="401"/>
      <c r="MKD69" s="401"/>
      <c r="MKE69" s="401"/>
      <c r="MKF69" s="401"/>
      <c r="MKG69" s="401"/>
      <c r="MKH69" s="401"/>
      <c r="MKI69" s="401"/>
      <c r="MKJ69" s="401"/>
      <c r="MKK69" s="401"/>
      <c r="MKL69" s="401"/>
      <c r="MKM69" s="401"/>
      <c r="MKN69" s="401"/>
      <c r="MKO69" s="401"/>
      <c r="MKP69" s="401"/>
      <c r="MKQ69" s="401"/>
      <c r="MKR69" s="401"/>
      <c r="MKS69" s="401"/>
      <c r="MKT69" s="401"/>
      <c r="MKU69" s="401"/>
      <c r="MKV69" s="401"/>
      <c r="MKW69" s="401"/>
      <c r="MKX69" s="401"/>
      <c r="MKY69" s="401"/>
      <c r="MKZ69" s="401"/>
      <c r="MLA69" s="401"/>
      <c r="MLB69" s="401"/>
      <c r="MLC69" s="401"/>
      <c r="MLD69" s="401"/>
      <c r="MLE69" s="401"/>
      <c r="MLF69" s="401"/>
      <c r="MLG69" s="401"/>
      <c r="MLH69" s="401"/>
      <c r="MLI69" s="401"/>
      <c r="MLJ69" s="401"/>
      <c r="MLK69" s="401"/>
      <c r="MLL69" s="401"/>
      <c r="MLM69" s="401"/>
      <c r="MLN69" s="401"/>
      <c r="MLO69" s="401"/>
      <c r="MLP69" s="401"/>
      <c r="MLQ69" s="401"/>
      <c r="MLR69" s="401"/>
      <c r="MLS69" s="401"/>
      <c r="MLT69" s="401"/>
      <c r="MLU69" s="401"/>
      <c r="MLV69" s="401"/>
      <c r="MLW69" s="401"/>
      <c r="MLX69" s="401"/>
      <c r="MLY69" s="401"/>
      <c r="MLZ69" s="401"/>
      <c r="MMA69" s="401"/>
      <c r="MMB69" s="401"/>
      <c r="MMC69" s="401"/>
      <c r="MMD69" s="401"/>
      <c r="MME69" s="401"/>
      <c r="MMF69" s="401"/>
      <c r="MMG69" s="401"/>
      <c r="MMH69" s="401"/>
      <c r="MMI69" s="401"/>
      <c r="MMJ69" s="401"/>
      <c r="MMK69" s="401"/>
      <c r="MML69" s="401"/>
      <c r="MMM69" s="401"/>
      <c r="MMN69" s="401"/>
      <c r="MMO69" s="401"/>
      <c r="MMP69" s="401"/>
      <c r="MMQ69" s="401"/>
      <c r="MMR69" s="401"/>
      <c r="MMS69" s="401"/>
      <c r="MMT69" s="401"/>
      <c r="MMU69" s="401"/>
      <c r="MMV69" s="401"/>
      <c r="MMW69" s="401"/>
      <c r="MMX69" s="401"/>
      <c r="MMY69" s="401"/>
      <c r="MMZ69" s="401"/>
      <c r="MNA69" s="401"/>
      <c r="MNB69" s="401"/>
      <c r="MNC69" s="401"/>
      <c r="MND69" s="401"/>
      <c r="MNE69" s="401"/>
      <c r="MNF69" s="401"/>
      <c r="MNG69" s="401"/>
      <c r="MNH69" s="401"/>
      <c r="MNI69" s="401"/>
      <c r="MNJ69" s="401"/>
      <c r="MNK69" s="401"/>
      <c r="MNL69" s="401"/>
      <c r="MNM69" s="401"/>
      <c r="MNN69" s="401"/>
      <c r="MNO69" s="401"/>
      <c r="MNP69" s="401"/>
      <c r="MNQ69" s="401"/>
      <c r="MNR69" s="401"/>
      <c r="MNS69" s="401"/>
      <c r="MNT69" s="401"/>
      <c r="MNU69" s="401"/>
      <c r="MNV69" s="401"/>
      <c r="MNW69" s="401"/>
      <c r="MNX69" s="401"/>
      <c r="MNY69" s="401"/>
      <c r="MNZ69" s="401"/>
      <c r="MOA69" s="401"/>
      <c r="MOB69" s="401"/>
      <c r="MOC69" s="401"/>
      <c r="MOD69" s="401"/>
      <c r="MOE69" s="401"/>
      <c r="MOF69" s="401"/>
      <c r="MOG69" s="401"/>
      <c r="MOH69" s="401"/>
      <c r="MOI69" s="401"/>
      <c r="MOJ69" s="401"/>
      <c r="MOK69" s="401"/>
      <c r="MOL69" s="401"/>
      <c r="MOM69" s="401"/>
      <c r="MON69" s="401"/>
      <c r="MOO69" s="401"/>
      <c r="MOP69" s="401"/>
      <c r="MOQ69" s="401"/>
      <c r="MOR69" s="401"/>
      <c r="MOS69" s="401"/>
      <c r="MOT69" s="401"/>
      <c r="MOU69" s="401"/>
      <c r="MOV69" s="401"/>
      <c r="MOW69" s="401"/>
      <c r="MOX69" s="401"/>
      <c r="MOY69" s="401"/>
      <c r="MOZ69" s="401"/>
      <c r="MPA69" s="401"/>
      <c r="MPB69" s="401"/>
      <c r="MPC69" s="401"/>
      <c r="MPD69" s="401"/>
      <c r="MPE69" s="401"/>
      <c r="MPF69" s="401"/>
      <c r="MPG69" s="401"/>
      <c r="MPH69" s="401"/>
      <c r="MPI69" s="401"/>
      <c r="MPJ69" s="401"/>
      <c r="MPK69" s="401"/>
      <c r="MPL69" s="401"/>
      <c r="MPM69" s="401"/>
      <c r="MPN69" s="401"/>
      <c r="MPO69" s="401"/>
      <c r="MPP69" s="401"/>
      <c r="MPQ69" s="401"/>
      <c r="MPR69" s="401"/>
      <c r="MPS69" s="401"/>
      <c r="MPT69" s="401"/>
      <c r="MPU69" s="401"/>
      <c r="MPV69" s="401"/>
      <c r="MPW69" s="401"/>
      <c r="MPX69" s="401"/>
      <c r="MPY69" s="401"/>
      <c r="MPZ69" s="401"/>
      <c r="MQA69" s="401"/>
      <c r="MQB69" s="401"/>
      <c r="MQC69" s="401"/>
      <c r="MQD69" s="401"/>
      <c r="MQE69" s="401"/>
      <c r="MQF69" s="401"/>
      <c r="MQG69" s="401"/>
      <c r="MQH69" s="401"/>
      <c r="MQI69" s="401"/>
      <c r="MQJ69" s="401"/>
      <c r="MQK69" s="401"/>
      <c r="MQL69" s="401"/>
      <c r="MQM69" s="401"/>
      <c r="MQN69" s="401"/>
      <c r="MQO69" s="401"/>
      <c r="MQP69" s="401"/>
      <c r="MQQ69" s="401"/>
      <c r="MQR69" s="401"/>
      <c r="MQS69" s="401"/>
      <c r="MQT69" s="401"/>
      <c r="MQU69" s="401"/>
      <c r="MQV69" s="401"/>
      <c r="MQW69" s="401"/>
      <c r="MQX69" s="401"/>
      <c r="MQY69" s="401"/>
      <c r="MQZ69" s="401"/>
      <c r="MRA69" s="401"/>
      <c r="MRB69" s="401"/>
      <c r="MRC69" s="401"/>
      <c r="MRD69" s="401"/>
      <c r="MRE69" s="401"/>
      <c r="MRF69" s="401"/>
      <c r="MRG69" s="401"/>
      <c r="MRH69" s="401"/>
      <c r="MRI69" s="401"/>
      <c r="MRJ69" s="401"/>
      <c r="MRK69" s="401"/>
      <c r="MRL69" s="401"/>
      <c r="MRM69" s="401"/>
      <c r="MRN69" s="401"/>
      <c r="MRO69" s="401"/>
      <c r="MRP69" s="401"/>
      <c r="MRQ69" s="401"/>
      <c r="MRR69" s="401"/>
      <c r="MRS69" s="401"/>
      <c r="MRT69" s="401"/>
      <c r="MRU69" s="401"/>
      <c r="MRV69" s="401"/>
      <c r="MRW69" s="401"/>
      <c r="MRX69" s="401"/>
      <c r="MRY69" s="401"/>
      <c r="MRZ69" s="401"/>
      <c r="MSA69" s="401"/>
      <c r="MSB69" s="401"/>
      <c r="MSC69" s="401"/>
      <c r="MSD69" s="401"/>
      <c r="MSE69" s="401"/>
      <c r="MSF69" s="401"/>
      <c r="MSG69" s="401"/>
      <c r="MSH69" s="401"/>
      <c r="MSI69" s="401"/>
      <c r="MSJ69" s="401"/>
      <c r="MSK69" s="401"/>
      <c r="MSL69" s="401"/>
      <c r="MSM69" s="401"/>
      <c r="MSN69" s="401"/>
      <c r="MSO69" s="401"/>
      <c r="MSP69" s="401"/>
      <c r="MSQ69" s="401"/>
      <c r="MSR69" s="401"/>
      <c r="MSS69" s="401"/>
      <c r="MST69" s="401"/>
      <c r="MSU69" s="401"/>
      <c r="MSV69" s="401"/>
      <c r="MSW69" s="401"/>
      <c r="MSX69" s="401"/>
      <c r="MSY69" s="401"/>
      <c r="MSZ69" s="401"/>
      <c r="MTA69" s="401"/>
      <c r="MTB69" s="401"/>
      <c r="MTC69" s="401"/>
      <c r="MTD69" s="401"/>
      <c r="MTE69" s="401"/>
      <c r="MTF69" s="401"/>
      <c r="MTG69" s="401"/>
      <c r="MTH69" s="401"/>
      <c r="MTI69" s="401"/>
      <c r="MTJ69" s="401"/>
      <c r="MTK69" s="401"/>
      <c r="MTL69" s="401"/>
      <c r="MTM69" s="401"/>
      <c r="MTN69" s="401"/>
      <c r="MTO69" s="401"/>
      <c r="MTP69" s="401"/>
      <c r="MTQ69" s="401"/>
      <c r="MTR69" s="401"/>
      <c r="MTS69" s="401"/>
      <c r="MTT69" s="401"/>
      <c r="MTU69" s="401"/>
      <c r="MTV69" s="401"/>
      <c r="MTW69" s="401"/>
      <c r="MTX69" s="401"/>
      <c r="MTY69" s="401"/>
      <c r="MTZ69" s="401"/>
      <c r="MUA69" s="401"/>
      <c r="MUB69" s="401"/>
      <c r="MUC69" s="401"/>
      <c r="MUD69" s="401"/>
      <c r="MUE69" s="401"/>
      <c r="MUF69" s="401"/>
      <c r="MUG69" s="401"/>
      <c r="MUH69" s="401"/>
      <c r="MUI69" s="401"/>
      <c r="MUJ69" s="401"/>
      <c r="MUK69" s="401"/>
      <c r="MUL69" s="401"/>
      <c r="MUM69" s="401"/>
      <c r="MUN69" s="401"/>
      <c r="MUO69" s="401"/>
      <c r="MUP69" s="401"/>
      <c r="MUQ69" s="401"/>
      <c r="MUR69" s="401"/>
      <c r="MUS69" s="401"/>
      <c r="MUT69" s="401"/>
      <c r="MUU69" s="401"/>
      <c r="MUV69" s="401"/>
      <c r="MUW69" s="401"/>
      <c r="MUX69" s="401"/>
      <c r="MUY69" s="401"/>
      <c r="MUZ69" s="401"/>
      <c r="MVA69" s="401"/>
      <c r="MVB69" s="401"/>
      <c r="MVC69" s="401"/>
      <c r="MVD69" s="401"/>
      <c r="MVE69" s="401"/>
      <c r="MVF69" s="401"/>
      <c r="MVG69" s="401"/>
      <c r="MVH69" s="401"/>
      <c r="MVI69" s="401"/>
      <c r="MVJ69" s="401"/>
      <c r="MVK69" s="401"/>
      <c r="MVL69" s="401"/>
      <c r="MVM69" s="401"/>
      <c r="MVN69" s="401"/>
      <c r="MVO69" s="401"/>
      <c r="MVP69" s="401"/>
      <c r="MVQ69" s="401"/>
      <c r="MVR69" s="401"/>
      <c r="MVS69" s="401"/>
      <c r="MVT69" s="401"/>
      <c r="MVU69" s="401"/>
      <c r="MVV69" s="401"/>
      <c r="MVW69" s="401"/>
      <c r="MVX69" s="401"/>
      <c r="MVY69" s="401"/>
      <c r="MVZ69" s="401"/>
      <c r="MWA69" s="401"/>
      <c r="MWB69" s="401"/>
      <c r="MWC69" s="401"/>
      <c r="MWD69" s="401"/>
      <c r="MWE69" s="401"/>
      <c r="MWF69" s="401"/>
      <c r="MWG69" s="401"/>
      <c r="MWH69" s="401"/>
      <c r="MWI69" s="401"/>
      <c r="MWJ69" s="401"/>
      <c r="MWK69" s="401"/>
      <c r="MWL69" s="401"/>
      <c r="MWM69" s="401"/>
      <c r="MWN69" s="401"/>
      <c r="MWO69" s="401"/>
      <c r="MWP69" s="401"/>
      <c r="MWQ69" s="401"/>
      <c r="MWR69" s="401"/>
      <c r="MWS69" s="401"/>
      <c r="MWT69" s="401"/>
      <c r="MWU69" s="401"/>
      <c r="MWV69" s="401"/>
      <c r="MWW69" s="401"/>
      <c r="MWX69" s="401"/>
      <c r="MWY69" s="401"/>
      <c r="MWZ69" s="401"/>
      <c r="MXA69" s="401"/>
      <c r="MXB69" s="401"/>
      <c r="MXC69" s="401"/>
      <c r="MXD69" s="401"/>
      <c r="MXE69" s="401"/>
      <c r="MXF69" s="401"/>
      <c r="MXG69" s="401"/>
      <c r="MXH69" s="401"/>
      <c r="MXI69" s="401"/>
      <c r="MXJ69" s="401"/>
      <c r="MXK69" s="401"/>
      <c r="MXL69" s="401"/>
      <c r="MXM69" s="401"/>
      <c r="MXN69" s="401"/>
      <c r="MXO69" s="401"/>
      <c r="MXP69" s="401"/>
      <c r="MXQ69" s="401"/>
      <c r="MXR69" s="401"/>
      <c r="MXS69" s="401"/>
      <c r="MXT69" s="401"/>
      <c r="MXU69" s="401"/>
      <c r="MXV69" s="401"/>
      <c r="MXW69" s="401"/>
      <c r="MXX69" s="401"/>
      <c r="MXY69" s="401"/>
      <c r="MXZ69" s="401"/>
      <c r="MYA69" s="401"/>
      <c r="MYB69" s="401"/>
      <c r="MYC69" s="401"/>
      <c r="MYD69" s="401"/>
      <c r="MYE69" s="401"/>
      <c r="MYF69" s="401"/>
      <c r="MYG69" s="401"/>
      <c r="MYH69" s="401"/>
      <c r="MYI69" s="401"/>
      <c r="MYJ69" s="401"/>
      <c r="MYK69" s="401"/>
      <c r="MYL69" s="401"/>
      <c r="MYM69" s="401"/>
      <c r="MYN69" s="401"/>
      <c r="MYO69" s="401"/>
      <c r="MYP69" s="401"/>
      <c r="MYQ69" s="401"/>
      <c r="MYR69" s="401"/>
      <c r="MYS69" s="401"/>
      <c r="MYT69" s="401"/>
      <c r="MYU69" s="401"/>
      <c r="MYV69" s="401"/>
      <c r="MYW69" s="401"/>
      <c r="MYX69" s="401"/>
      <c r="MYY69" s="401"/>
      <c r="MYZ69" s="401"/>
      <c r="MZA69" s="401"/>
      <c r="MZB69" s="401"/>
      <c r="MZC69" s="401"/>
      <c r="MZD69" s="401"/>
      <c r="MZE69" s="401"/>
      <c r="MZF69" s="401"/>
      <c r="MZG69" s="401"/>
      <c r="MZH69" s="401"/>
      <c r="MZI69" s="401"/>
      <c r="MZJ69" s="401"/>
      <c r="MZK69" s="401"/>
      <c r="MZL69" s="401"/>
      <c r="MZM69" s="401"/>
      <c r="MZN69" s="401"/>
      <c r="MZO69" s="401"/>
      <c r="MZP69" s="401"/>
      <c r="MZQ69" s="401"/>
      <c r="MZR69" s="401"/>
      <c r="MZS69" s="401"/>
      <c r="MZT69" s="401"/>
      <c r="MZU69" s="401"/>
      <c r="MZV69" s="401"/>
      <c r="MZW69" s="401"/>
      <c r="MZX69" s="401"/>
      <c r="MZY69" s="401"/>
      <c r="MZZ69" s="401"/>
      <c r="NAA69" s="401"/>
      <c r="NAB69" s="401"/>
      <c r="NAC69" s="401"/>
      <c r="NAD69" s="401"/>
      <c r="NAE69" s="401"/>
      <c r="NAF69" s="401"/>
      <c r="NAG69" s="401"/>
      <c r="NAH69" s="401"/>
      <c r="NAI69" s="401"/>
      <c r="NAJ69" s="401"/>
      <c r="NAK69" s="401"/>
      <c r="NAL69" s="401"/>
      <c r="NAM69" s="401"/>
      <c r="NAN69" s="401"/>
      <c r="NAO69" s="401"/>
      <c r="NAP69" s="401"/>
      <c r="NAQ69" s="401"/>
      <c r="NAR69" s="401"/>
      <c r="NAS69" s="401"/>
      <c r="NAT69" s="401"/>
      <c r="NAU69" s="401"/>
      <c r="NAV69" s="401"/>
      <c r="NAW69" s="401"/>
      <c r="NAX69" s="401"/>
      <c r="NAY69" s="401"/>
      <c r="NAZ69" s="401"/>
      <c r="NBA69" s="401"/>
      <c r="NBB69" s="401"/>
      <c r="NBC69" s="401"/>
      <c r="NBD69" s="401"/>
      <c r="NBE69" s="401"/>
      <c r="NBF69" s="401"/>
      <c r="NBG69" s="401"/>
      <c r="NBH69" s="401"/>
      <c r="NBI69" s="401"/>
      <c r="NBJ69" s="401"/>
      <c r="NBK69" s="401"/>
      <c r="NBL69" s="401"/>
      <c r="NBM69" s="401"/>
      <c r="NBN69" s="401"/>
      <c r="NBO69" s="401"/>
      <c r="NBP69" s="401"/>
      <c r="NBQ69" s="401"/>
      <c r="NBR69" s="401"/>
      <c r="NBS69" s="401"/>
      <c r="NBT69" s="401"/>
      <c r="NBU69" s="401"/>
      <c r="NBV69" s="401"/>
      <c r="NBW69" s="401"/>
      <c r="NBX69" s="401"/>
      <c r="NBY69" s="401"/>
      <c r="NBZ69" s="401"/>
      <c r="NCA69" s="401"/>
      <c r="NCB69" s="401"/>
      <c r="NCC69" s="401"/>
      <c r="NCD69" s="401"/>
      <c r="NCE69" s="401"/>
      <c r="NCF69" s="401"/>
      <c r="NCG69" s="401"/>
      <c r="NCH69" s="401"/>
      <c r="NCI69" s="401"/>
      <c r="NCJ69" s="401"/>
      <c r="NCK69" s="401"/>
      <c r="NCL69" s="401"/>
      <c r="NCM69" s="401"/>
      <c r="NCN69" s="401"/>
      <c r="NCO69" s="401"/>
      <c r="NCP69" s="401"/>
      <c r="NCQ69" s="401"/>
      <c r="NCR69" s="401"/>
      <c r="NCS69" s="401"/>
      <c r="NCT69" s="401"/>
      <c r="NCU69" s="401"/>
      <c r="NCV69" s="401"/>
      <c r="NCW69" s="401"/>
      <c r="NCX69" s="401"/>
      <c r="NCY69" s="401"/>
      <c r="NCZ69" s="401"/>
      <c r="NDA69" s="401"/>
      <c r="NDB69" s="401"/>
      <c r="NDC69" s="401"/>
      <c r="NDD69" s="401"/>
      <c r="NDE69" s="401"/>
      <c r="NDF69" s="401"/>
      <c r="NDG69" s="401"/>
      <c r="NDH69" s="401"/>
      <c r="NDI69" s="401"/>
      <c r="NDJ69" s="401"/>
      <c r="NDK69" s="401"/>
      <c r="NDL69" s="401"/>
      <c r="NDM69" s="401"/>
      <c r="NDN69" s="401"/>
      <c r="NDO69" s="401"/>
      <c r="NDP69" s="401"/>
      <c r="NDQ69" s="401"/>
      <c r="NDR69" s="401"/>
      <c r="NDS69" s="401"/>
      <c r="NDT69" s="401"/>
      <c r="NDU69" s="401"/>
      <c r="NDV69" s="401"/>
      <c r="NDW69" s="401"/>
      <c r="NDX69" s="401"/>
      <c r="NDY69" s="401"/>
      <c r="NDZ69" s="401"/>
      <c r="NEA69" s="401"/>
      <c r="NEB69" s="401"/>
      <c r="NEC69" s="401"/>
      <c r="NED69" s="401"/>
      <c r="NEE69" s="401"/>
      <c r="NEF69" s="401"/>
      <c r="NEG69" s="401"/>
      <c r="NEH69" s="401"/>
      <c r="NEI69" s="401"/>
      <c r="NEJ69" s="401"/>
      <c r="NEK69" s="401"/>
      <c r="NEL69" s="401"/>
      <c r="NEM69" s="401"/>
      <c r="NEN69" s="401"/>
      <c r="NEO69" s="401"/>
      <c r="NEP69" s="401"/>
      <c r="NEQ69" s="401"/>
      <c r="NER69" s="401"/>
      <c r="NES69" s="401"/>
      <c r="NET69" s="401"/>
      <c r="NEU69" s="401"/>
      <c r="NEV69" s="401"/>
      <c r="NEW69" s="401"/>
      <c r="NEX69" s="401"/>
      <c r="NEY69" s="401"/>
      <c r="NEZ69" s="401"/>
      <c r="NFA69" s="401"/>
      <c r="NFB69" s="401"/>
      <c r="NFC69" s="401"/>
      <c r="NFD69" s="401"/>
      <c r="NFE69" s="401"/>
      <c r="NFF69" s="401"/>
      <c r="NFG69" s="401"/>
      <c r="NFH69" s="401"/>
      <c r="NFI69" s="401"/>
      <c r="NFJ69" s="401"/>
      <c r="NFK69" s="401"/>
      <c r="NFL69" s="401"/>
      <c r="NFM69" s="401"/>
      <c r="NFN69" s="401"/>
      <c r="NFO69" s="401"/>
      <c r="NFP69" s="401"/>
      <c r="NFQ69" s="401"/>
      <c r="NFR69" s="401"/>
      <c r="NFS69" s="401"/>
      <c r="NFT69" s="401"/>
      <c r="NFU69" s="401"/>
      <c r="NFV69" s="401"/>
      <c r="NFW69" s="401"/>
      <c r="NFX69" s="401"/>
      <c r="NFY69" s="401"/>
      <c r="NFZ69" s="401"/>
      <c r="NGA69" s="401"/>
      <c r="NGB69" s="401"/>
      <c r="NGC69" s="401"/>
      <c r="NGD69" s="401"/>
      <c r="NGE69" s="401"/>
      <c r="NGF69" s="401"/>
      <c r="NGG69" s="401"/>
      <c r="NGH69" s="401"/>
      <c r="NGI69" s="401"/>
      <c r="NGJ69" s="401"/>
      <c r="NGK69" s="401"/>
      <c r="NGL69" s="401"/>
      <c r="NGM69" s="401"/>
      <c r="NGN69" s="401"/>
      <c r="NGO69" s="401"/>
      <c r="NGP69" s="401"/>
      <c r="NGQ69" s="401"/>
      <c r="NGR69" s="401"/>
      <c r="NGS69" s="401"/>
      <c r="NGT69" s="401"/>
      <c r="NGU69" s="401"/>
      <c r="NGV69" s="401"/>
      <c r="NGW69" s="401"/>
      <c r="NGX69" s="401"/>
      <c r="NGY69" s="401"/>
      <c r="NGZ69" s="401"/>
      <c r="NHA69" s="401"/>
      <c r="NHB69" s="401"/>
      <c r="NHC69" s="401"/>
      <c r="NHD69" s="401"/>
      <c r="NHE69" s="401"/>
      <c r="NHF69" s="401"/>
      <c r="NHG69" s="401"/>
      <c r="NHH69" s="401"/>
      <c r="NHI69" s="401"/>
      <c r="NHJ69" s="401"/>
      <c r="NHK69" s="401"/>
      <c r="NHL69" s="401"/>
      <c r="NHM69" s="401"/>
      <c r="NHN69" s="401"/>
      <c r="NHO69" s="401"/>
      <c r="NHP69" s="401"/>
      <c r="NHQ69" s="401"/>
      <c r="NHR69" s="401"/>
      <c r="NHS69" s="401"/>
      <c r="NHT69" s="401"/>
      <c r="NHU69" s="401"/>
      <c r="NHV69" s="401"/>
      <c r="NHW69" s="401"/>
      <c r="NHX69" s="401"/>
      <c r="NHY69" s="401"/>
      <c r="NHZ69" s="401"/>
      <c r="NIA69" s="401"/>
      <c r="NIB69" s="401"/>
      <c r="NIC69" s="401"/>
      <c r="NID69" s="401"/>
      <c r="NIE69" s="401"/>
      <c r="NIF69" s="401"/>
      <c r="NIG69" s="401"/>
      <c r="NIH69" s="401"/>
      <c r="NII69" s="401"/>
      <c r="NIJ69" s="401"/>
      <c r="NIK69" s="401"/>
      <c r="NIL69" s="401"/>
      <c r="NIM69" s="401"/>
      <c r="NIN69" s="401"/>
      <c r="NIO69" s="401"/>
      <c r="NIP69" s="401"/>
      <c r="NIQ69" s="401"/>
      <c r="NIR69" s="401"/>
      <c r="NIS69" s="401"/>
      <c r="NIT69" s="401"/>
      <c r="NIU69" s="401"/>
      <c r="NIV69" s="401"/>
      <c r="NIW69" s="401"/>
      <c r="NIX69" s="401"/>
      <c r="NIY69" s="401"/>
      <c r="NIZ69" s="401"/>
      <c r="NJA69" s="401"/>
      <c r="NJB69" s="401"/>
      <c r="NJC69" s="401"/>
      <c r="NJD69" s="401"/>
      <c r="NJE69" s="401"/>
      <c r="NJF69" s="401"/>
      <c r="NJG69" s="401"/>
      <c r="NJH69" s="401"/>
      <c r="NJI69" s="401"/>
      <c r="NJJ69" s="401"/>
      <c r="NJK69" s="401"/>
      <c r="NJL69" s="401"/>
      <c r="NJM69" s="401"/>
      <c r="NJN69" s="401"/>
      <c r="NJO69" s="401"/>
      <c r="NJP69" s="401"/>
      <c r="NJQ69" s="401"/>
      <c r="NJR69" s="401"/>
      <c r="NJS69" s="401"/>
      <c r="NJT69" s="401"/>
      <c r="NJU69" s="401"/>
      <c r="NJV69" s="401"/>
      <c r="NJW69" s="401"/>
      <c r="NJX69" s="401"/>
      <c r="NJY69" s="401"/>
      <c r="NJZ69" s="401"/>
      <c r="NKA69" s="401"/>
      <c r="NKB69" s="401"/>
      <c r="NKC69" s="401"/>
      <c r="NKD69" s="401"/>
      <c r="NKE69" s="401"/>
      <c r="NKF69" s="401"/>
      <c r="NKG69" s="401"/>
      <c r="NKH69" s="401"/>
      <c r="NKI69" s="401"/>
      <c r="NKJ69" s="401"/>
      <c r="NKK69" s="401"/>
      <c r="NKL69" s="401"/>
      <c r="NKM69" s="401"/>
      <c r="NKN69" s="401"/>
      <c r="NKO69" s="401"/>
      <c r="NKP69" s="401"/>
      <c r="NKQ69" s="401"/>
      <c r="NKR69" s="401"/>
      <c r="NKS69" s="401"/>
      <c r="NKT69" s="401"/>
      <c r="NKU69" s="401"/>
      <c r="NKV69" s="401"/>
      <c r="NKW69" s="401"/>
      <c r="NKX69" s="401"/>
      <c r="NKY69" s="401"/>
      <c r="NKZ69" s="401"/>
      <c r="NLA69" s="401"/>
      <c r="NLB69" s="401"/>
      <c r="NLC69" s="401"/>
      <c r="NLD69" s="401"/>
      <c r="NLE69" s="401"/>
      <c r="NLF69" s="401"/>
      <c r="NLG69" s="401"/>
      <c r="NLH69" s="401"/>
      <c r="NLI69" s="401"/>
      <c r="NLJ69" s="401"/>
      <c r="NLK69" s="401"/>
      <c r="NLL69" s="401"/>
      <c r="NLM69" s="401"/>
      <c r="NLN69" s="401"/>
      <c r="NLO69" s="401"/>
      <c r="NLP69" s="401"/>
      <c r="NLQ69" s="401"/>
      <c r="NLR69" s="401"/>
      <c r="NLS69" s="401"/>
      <c r="NLT69" s="401"/>
      <c r="NLU69" s="401"/>
      <c r="NLV69" s="401"/>
      <c r="NLW69" s="401"/>
      <c r="NLX69" s="401"/>
      <c r="NLY69" s="401"/>
      <c r="NLZ69" s="401"/>
      <c r="NMA69" s="401"/>
      <c r="NMB69" s="401"/>
      <c r="NMC69" s="401"/>
      <c r="NMD69" s="401"/>
      <c r="NME69" s="401"/>
      <c r="NMF69" s="401"/>
      <c r="NMG69" s="401"/>
      <c r="NMH69" s="401"/>
      <c r="NMI69" s="401"/>
      <c r="NMJ69" s="401"/>
      <c r="NMK69" s="401"/>
      <c r="NML69" s="401"/>
      <c r="NMM69" s="401"/>
      <c r="NMN69" s="401"/>
      <c r="NMO69" s="401"/>
      <c r="NMP69" s="401"/>
      <c r="NMQ69" s="401"/>
      <c r="NMR69" s="401"/>
      <c r="NMS69" s="401"/>
      <c r="NMT69" s="401"/>
      <c r="NMU69" s="401"/>
      <c r="NMV69" s="401"/>
      <c r="NMW69" s="401"/>
      <c r="NMX69" s="401"/>
      <c r="NMY69" s="401"/>
      <c r="NMZ69" s="401"/>
      <c r="NNA69" s="401"/>
      <c r="NNB69" s="401"/>
      <c r="NNC69" s="401"/>
      <c r="NND69" s="401"/>
      <c r="NNE69" s="401"/>
      <c r="NNF69" s="401"/>
      <c r="NNG69" s="401"/>
      <c r="NNH69" s="401"/>
      <c r="NNI69" s="401"/>
      <c r="NNJ69" s="401"/>
      <c r="NNK69" s="401"/>
      <c r="NNL69" s="401"/>
      <c r="NNM69" s="401"/>
      <c r="NNN69" s="401"/>
      <c r="NNO69" s="401"/>
      <c r="NNP69" s="401"/>
      <c r="NNQ69" s="401"/>
      <c r="NNR69" s="401"/>
      <c r="NNS69" s="401"/>
      <c r="NNT69" s="401"/>
      <c r="NNU69" s="401"/>
      <c r="NNV69" s="401"/>
      <c r="NNW69" s="401"/>
      <c r="NNX69" s="401"/>
      <c r="NNY69" s="401"/>
      <c r="NNZ69" s="401"/>
      <c r="NOA69" s="401"/>
      <c r="NOB69" s="401"/>
      <c r="NOC69" s="401"/>
      <c r="NOD69" s="401"/>
      <c r="NOE69" s="401"/>
      <c r="NOF69" s="401"/>
      <c r="NOG69" s="401"/>
      <c r="NOH69" s="401"/>
      <c r="NOI69" s="401"/>
      <c r="NOJ69" s="401"/>
      <c r="NOK69" s="401"/>
      <c r="NOL69" s="401"/>
      <c r="NOM69" s="401"/>
      <c r="NON69" s="401"/>
      <c r="NOO69" s="401"/>
      <c r="NOP69" s="401"/>
      <c r="NOQ69" s="401"/>
      <c r="NOR69" s="401"/>
      <c r="NOS69" s="401"/>
      <c r="NOT69" s="401"/>
      <c r="NOU69" s="401"/>
      <c r="NOV69" s="401"/>
      <c r="NOW69" s="401"/>
      <c r="NOX69" s="401"/>
      <c r="NOY69" s="401"/>
      <c r="NOZ69" s="401"/>
      <c r="NPA69" s="401"/>
      <c r="NPB69" s="401"/>
      <c r="NPC69" s="401"/>
      <c r="NPD69" s="401"/>
      <c r="NPE69" s="401"/>
      <c r="NPF69" s="401"/>
      <c r="NPG69" s="401"/>
      <c r="NPH69" s="401"/>
      <c r="NPI69" s="401"/>
      <c r="NPJ69" s="401"/>
      <c r="NPK69" s="401"/>
      <c r="NPL69" s="401"/>
      <c r="NPM69" s="401"/>
      <c r="NPN69" s="401"/>
      <c r="NPO69" s="401"/>
      <c r="NPP69" s="401"/>
      <c r="NPQ69" s="401"/>
      <c r="NPR69" s="401"/>
      <c r="NPS69" s="401"/>
      <c r="NPT69" s="401"/>
      <c r="NPU69" s="401"/>
      <c r="NPV69" s="401"/>
      <c r="NPW69" s="401"/>
      <c r="NPX69" s="401"/>
      <c r="NPY69" s="401"/>
      <c r="NPZ69" s="401"/>
      <c r="NQA69" s="401"/>
      <c r="NQB69" s="401"/>
      <c r="NQC69" s="401"/>
      <c r="NQD69" s="401"/>
      <c r="NQE69" s="401"/>
      <c r="NQF69" s="401"/>
      <c r="NQG69" s="401"/>
      <c r="NQH69" s="401"/>
      <c r="NQI69" s="401"/>
      <c r="NQJ69" s="401"/>
      <c r="NQK69" s="401"/>
      <c r="NQL69" s="401"/>
      <c r="NQM69" s="401"/>
      <c r="NQN69" s="401"/>
      <c r="NQO69" s="401"/>
      <c r="NQP69" s="401"/>
      <c r="NQQ69" s="401"/>
      <c r="NQR69" s="401"/>
      <c r="NQS69" s="401"/>
      <c r="NQT69" s="401"/>
      <c r="NQU69" s="401"/>
      <c r="NQV69" s="401"/>
      <c r="NQW69" s="401"/>
      <c r="NQX69" s="401"/>
      <c r="NQY69" s="401"/>
      <c r="NQZ69" s="401"/>
      <c r="NRA69" s="401"/>
      <c r="NRB69" s="401"/>
      <c r="NRC69" s="401"/>
      <c r="NRD69" s="401"/>
      <c r="NRE69" s="401"/>
      <c r="NRF69" s="401"/>
      <c r="NRG69" s="401"/>
      <c r="NRH69" s="401"/>
      <c r="NRI69" s="401"/>
      <c r="NRJ69" s="401"/>
      <c r="NRK69" s="401"/>
      <c r="NRL69" s="401"/>
      <c r="NRM69" s="401"/>
      <c r="NRN69" s="401"/>
      <c r="NRO69" s="401"/>
      <c r="NRP69" s="401"/>
      <c r="NRQ69" s="401"/>
      <c r="NRR69" s="401"/>
      <c r="NRS69" s="401"/>
      <c r="NRT69" s="401"/>
      <c r="NRU69" s="401"/>
      <c r="NRV69" s="401"/>
      <c r="NRW69" s="401"/>
      <c r="NRX69" s="401"/>
      <c r="NRY69" s="401"/>
      <c r="NRZ69" s="401"/>
      <c r="NSA69" s="401"/>
      <c r="NSB69" s="401"/>
      <c r="NSC69" s="401"/>
      <c r="NSD69" s="401"/>
      <c r="NSE69" s="401"/>
      <c r="NSF69" s="401"/>
      <c r="NSG69" s="401"/>
      <c r="NSH69" s="401"/>
      <c r="NSI69" s="401"/>
      <c r="NSJ69" s="401"/>
      <c r="NSK69" s="401"/>
      <c r="NSL69" s="401"/>
      <c r="NSM69" s="401"/>
      <c r="NSN69" s="401"/>
      <c r="NSO69" s="401"/>
      <c r="NSP69" s="401"/>
      <c r="NSQ69" s="401"/>
      <c r="NSR69" s="401"/>
      <c r="NSS69" s="401"/>
      <c r="NST69" s="401"/>
      <c r="NSU69" s="401"/>
      <c r="NSV69" s="401"/>
      <c r="NSW69" s="401"/>
      <c r="NSX69" s="401"/>
      <c r="NSY69" s="401"/>
      <c r="NSZ69" s="401"/>
      <c r="NTA69" s="401"/>
      <c r="NTB69" s="401"/>
      <c r="NTC69" s="401"/>
      <c r="NTD69" s="401"/>
      <c r="NTE69" s="401"/>
      <c r="NTF69" s="401"/>
      <c r="NTG69" s="401"/>
      <c r="NTH69" s="401"/>
      <c r="NTI69" s="401"/>
      <c r="NTJ69" s="401"/>
      <c r="NTK69" s="401"/>
      <c r="NTL69" s="401"/>
      <c r="NTM69" s="401"/>
      <c r="NTN69" s="401"/>
      <c r="NTO69" s="401"/>
      <c r="NTP69" s="401"/>
      <c r="NTQ69" s="401"/>
      <c r="NTR69" s="401"/>
      <c r="NTS69" s="401"/>
      <c r="NTT69" s="401"/>
      <c r="NTU69" s="401"/>
      <c r="NTV69" s="401"/>
      <c r="NTW69" s="401"/>
      <c r="NTX69" s="401"/>
      <c r="NTY69" s="401"/>
      <c r="NTZ69" s="401"/>
      <c r="NUA69" s="401"/>
      <c r="NUB69" s="401"/>
      <c r="NUC69" s="401"/>
      <c r="NUD69" s="401"/>
      <c r="NUE69" s="401"/>
      <c r="NUF69" s="401"/>
      <c r="NUG69" s="401"/>
      <c r="NUH69" s="401"/>
      <c r="NUI69" s="401"/>
      <c r="NUJ69" s="401"/>
      <c r="NUK69" s="401"/>
      <c r="NUL69" s="401"/>
      <c r="NUM69" s="401"/>
      <c r="NUN69" s="401"/>
      <c r="NUO69" s="401"/>
      <c r="NUP69" s="401"/>
      <c r="NUQ69" s="401"/>
      <c r="NUR69" s="401"/>
      <c r="NUS69" s="401"/>
      <c r="NUT69" s="401"/>
      <c r="NUU69" s="401"/>
      <c r="NUV69" s="401"/>
      <c r="NUW69" s="401"/>
      <c r="NUX69" s="401"/>
      <c r="NUY69" s="401"/>
      <c r="NUZ69" s="401"/>
      <c r="NVA69" s="401"/>
      <c r="NVB69" s="401"/>
      <c r="NVC69" s="401"/>
      <c r="NVD69" s="401"/>
      <c r="NVE69" s="401"/>
      <c r="NVF69" s="401"/>
      <c r="NVG69" s="401"/>
      <c r="NVH69" s="401"/>
      <c r="NVI69" s="401"/>
      <c r="NVJ69" s="401"/>
      <c r="NVK69" s="401"/>
      <c r="NVL69" s="401"/>
      <c r="NVM69" s="401"/>
      <c r="NVN69" s="401"/>
      <c r="NVO69" s="401"/>
      <c r="NVP69" s="401"/>
      <c r="NVQ69" s="401"/>
      <c r="NVR69" s="401"/>
      <c r="NVS69" s="401"/>
      <c r="NVT69" s="401"/>
      <c r="NVU69" s="401"/>
      <c r="NVV69" s="401"/>
      <c r="NVW69" s="401"/>
      <c r="NVX69" s="401"/>
      <c r="NVY69" s="401"/>
      <c r="NVZ69" s="401"/>
      <c r="NWA69" s="401"/>
      <c r="NWB69" s="401"/>
      <c r="NWC69" s="401"/>
      <c r="NWD69" s="401"/>
      <c r="NWE69" s="401"/>
      <c r="NWF69" s="401"/>
      <c r="NWG69" s="401"/>
      <c r="NWH69" s="401"/>
      <c r="NWI69" s="401"/>
      <c r="NWJ69" s="401"/>
      <c r="NWK69" s="401"/>
      <c r="NWL69" s="401"/>
      <c r="NWM69" s="401"/>
      <c r="NWN69" s="401"/>
      <c r="NWO69" s="401"/>
      <c r="NWP69" s="401"/>
      <c r="NWQ69" s="401"/>
      <c r="NWR69" s="401"/>
      <c r="NWS69" s="401"/>
      <c r="NWT69" s="401"/>
      <c r="NWU69" s="401"/>
      <c r="NWV69" s="401"/>
      <c r="NWW69" s="401"/>
      <c r="NWX69" s="401"/>
      <c r="NWY69" s="401"/>
      <c r="NWZ69" s="401"/>
      <c r="NXA69" s="401"/>
      <c r="NXB69" s="401"/>
      <c r="NXC69" s="401"/>
      <c r="NXD69" s="401"/>
      <c r="NXE69" s="401"/>
      <c r="NXF69" s="401"/>
      <c r="NXG69" s="401"/>
      <c r="NXH69" s="401"/>
      <c r="NXI69" s="401"/>
      <c r="NXJ69" s="401"/>
      <c r="NXK69" s="401"/>
      <c r="NXL69" s="401"/>
      <c r="NXM69" s="401"/>
      <c r="NXN69" s="401"/>
      <c r="NXO69" s="401"/>
      <c r="NXP69" s="401"/>
      <c r="NXQ69" s="401"/>
      <c r="NXR69" s="401"/>
      <c r="NXS69" s="401"/>
      <c r="NXT69" s="401"/>
      <c r="NXU69" s="401"/>
      <c r="NXV69" s="401"/>
      <c r="NXW69" s="401"/>
      <c r="NXX69" s="401"/>
      <c r="NXY69" s="401"/>
      <c r="NXZ69" s="401"/>
      <c r="NYA69" s="401"/>
      <c r="NYB69" s="401"/>
      <c r="NYC69" s="401"/>
      <c r="NYD69" s="401"/>
      <c r="NYE69" s="401"/>
      <c r="NYF69" s="401"/>
      <c r="NYG69" s="401"/>
      <c r="NYH69" s="401"/>
      <c r="NYI69" s="401"/>
      <c r="NYJ69" s="401"/>
      <c r="NYK69" s="401"/>
      <c r="NYL69" s="401"/>
      <c r="NYM69" s="401"/>
      <c r="NYN69" s="401"/>
      <c r="NYO69" s="401"/>
      <c r="NYP69" s="401"/>
      <c r="NYQ69" s="401"/>
      <c r="NYR69" s="401"/>
      <c r="NYS69" s="401"/>
      <c r="NYT69" s="401"/>
      <c r="NYU69" s="401"/>
      <c r="NYV69" s="401"/>
      <c r="NYW69" s="401"/>
      <c r="NYX69" s="401"/>
      <c r="NYY69" s="401"/>
      <c r="NYZ69" s="401"/>
      <c r="NZA69" s="401"/>
      <c r="NZB69" s="401"/>
      <c r="NZC69" s="401"/>
      <c r="NZD69" s="401"/>
      <c r="NZE69" s="401"/>
      <c r="NZF69" s="401"/>
      <c r="NZG69" s="401"/>
      <c r="NZH69" s="401"/>
      <c r="NZI69" s="401"/>
      <c r="NZJ69" s="401"/>
      <c r="NZK69" s="401"/>
      <c r="NZL69" s="401"/>
      <c r="NZM69" s="401"/>
      <c r="NZN69" s="401"/>
      <c r="NZO69" s="401"/>
      <c r="NZP69" s="401"/>
      <c r="NZQ69" s="401"/>
      <c r="NZR69" s="401"/>
      <c r="NZS69" s="401"/>
      <c r="NZT69" s="401"/>
      <c r="NZU69" s="401"/>
      <c r="NZV69" s="401"/>
      <c r="NZW69" s="401"/>
      <c r="NZX69" s="401"/>
      <c r="NZY69" s="401"/>
      <c r="NZZ69" s="401"/>
      <c r="OAA69" s="401"/>
      <c r="OAB69" s="401"/>
      <c r="OAC69" s="401"/>
      <c r="OAD69" s="401"/>
      <c r="OAE69" s="401"/>
      <c r="OAF69" s="401"/>
      <c r="OAG69" s="401"/>
      <c r="OAH69" s="401"/>
      <c r="OAI69" s="401"/>
      <c r="OAJ69" s="401"/>
      <c r="OAK69" s="401"/>
      <c r="OAL69" s="401"/>
      <c r="OAM69" s="401"/>
      <c r="OAN69" s="401"/>
      <c r="OAO69" s="401"/>
      <c r="OAP69" s="401"/>
      <c r="OAQ69" s="401"/>
      <c r="OAR69" s="401"/>
      <c r="OAS69" s="401"/>
      <c r="OAT69" s="401"/>
      <c r="OAU69" s="401"/>
      <c r="OAV69" s="401"/>
      <c r="OAW69" s="401"/>
      <c r="OAX69" s="401"/>
      <c r="OAY69" s="401"/>
      <c r="OAZ69" s="401"/>
      <c r="OBA69" s="401"/>
      <c r="OBB69" s="401"/>
      <c r="OBC69" s="401"/>
      <c r="OBD69" s="401"/>
      <c r="OBE69" s="401"/>
      <c r="OBF69" s="401"/>
      <c r="OBG69" s="401"/>
      <c r="OBH69" s="401"/>
      <c r="OBI69" s="401"/>
      <c r="OBJ69" s="401"/>
      <c r="OBK69" s="401"/>
      <c r="OBL69" s="401"/>
      <c r="OBM69" s="401"/>
      <c r="OBN69" s="401"/>
      <c r="OBO69" s="401"/>
      <c r="OBP69" s="401"/>
      <c r="OBQ69" s="401"/>
      <c r="OBR69" s="401"/>
      <c r="OBS69" s="401"/>
      <c r="OBT69" s="401"/>
      <c r="OBU69" s="401"/>
      <c r="OBV69" s="401"/>
      <c r="OBW69" s="401"/>
      <c r="OBX69" s="401"/>
      <c r="OBY69" s="401"/>
      <c r="OBZ69" s="401"/>
      <c r="OCA69" s="401"/>
      <c r="OCB69" s="401"/>
      <c r="OCC69" s="401"/>
      <c r="OCD69" s="401"/>
      <c r="OCE69" s="401"/>
      <c r="OCF69" s="401"/>
      <c r="OCG69" s="401"/>
      <c r="OCH69" s="401"/>
      <c r="OCI69" s="401"/>
      <c r="OCJ69" s="401"/>
      <c r="OCK69" s="401"/>
      <c r="OCL69" s="401"/>
      <c r="OCM69" s="401"/>
      <c r="OCN69" s="401"/>
      <c r="OCO69" s="401"/>
      <c r="OCP69" s="401"/>
      <c r="OCQ69" s="401"/>
      <c r="OCR69" s="401"/>
      <c r="OCS69" s="401"/>
      <c r="OCT69" s="401"/>
      <c r="OCU69" s="401"/>
      <c r="OCV69" s="401"/>
      <c r="OCW69" s="401"/>
      <c r="OCX69" s="401"/>
      <c r="OCY69" s="401"/>
      <c r="OCZ69" s="401"/>
      <c r="ODA69" s="401"/>
      <c r="ODB69" s="401"/>
      <c r="ODC69" s="401"/>
      <c r="ODD69" s="401"/>
      <c r="ODE69" s="401"/>
      <c r="ODF69" s="401"/>
      <c r="ODG69" s="401"/>
      <c r="ODH69" s="401"/>
      <c r="ODI69" s="401"/>
      <c r="ODJ69" s="401"/>
      <c r="ODK69" s="401"/>
      <c r="ODL69" s="401"/>
      <c r="ODM69" s="401"/>
      <c r="ODN69" s="401"/>
      <c r="ODO69" s="401"/>
      <c r="ODP69" s="401"/>
      <c r="ODQ69" s="401"/>
      <c r="ODR69" s="401"/>
      <c r="ODS69" s="401"/>
      <c r="ODT69" s="401"/>
      <c r="ODU69" s="401"/>
      <c r="ODV69" s="401"/>
      <c r="ODW69" s="401"/>
      <c r="ODX69" s="401"/>
      <c r="ODY69" s="401"/>
      <c r="ODZ69" s="401"/>
      <c r="OEA69" s="401"/>
      <c r="OEB69" s="401"/>
      <c r="OEC69" s="401"/>
      <c r="OED69" s="401"/>
      <c r="OEE69" s="401"/>
      <c r="OEF69" s="401"/>
      <c r="OEG69" s="401"/>
      <c r="OEH69" s="401"/>
      <c r="OEI69" s="401"/>
      <c r="OEJ69" s="401"/>
      <c r="OEK69" s="401"/>
      <c r="OEL69" s="401"/>
      <c r="OEM69" s="401"/>
      <c r="OEN69" s="401"/>
      <c r="OEO69" s="401"/>
      <c r="OEP69" s="401"/>
      <c r="OEQ69" s="401"/>
      <c r="OER69" s="401"/>
      <c r="OES69" s="401"/>
      <c r="OET69" s="401"/>
      <c r="OEU69" s="401"/>
      <c r="OEV69" s="401"/>
      <c r="OEW69" s="401"/>
      <c r="OEX69" s="401"/>
      <c r="OEY69" s="401"/>
      <c r="OEZ69" s="401"/>
      <c r="OFA69" s="401"/>
      <c r="OFB69" s="401"/>
      <c r="OFC69" s="401"/>
      <c r="OFD69" s="401"/>
      <c r="OFE69" s="401"/>
      <c r="OFF69" s="401"/>
      <c r="OFG69" s="401"/>
      <c r="OFH69" s="401"/>
      <c r="OFI69" s="401"/>
      <c r="OFJ69" s="401"/>
      <c r="OFK69" s="401"/>
      <c r="OFL69" s="401"/>
      <c r="OFM69" s="401"/>
      <c r="OFN69" s="401"/>
      <c r="OFO69" s="401"/>
      <c r="OFP69" s="401"/>
      <c r="OFQ69" s="401"/>
      <c r="OFR69" s="401"/>
      <c r="OFS69" s="401"/>
      <c r="OFT69" s="401"/>
      <c r="OFU69" s="401"/>
      <c r="OFV69" s="401"/>
      <c r="OFW69" s="401"/>
      <c r="OFX69" s="401"/>
      <c r="OFY69" s="401"/>
      <c r="OFZ69" s="401"/>
      <c r="OGA69" s="401"/>
      <c r="OGB69" s="401"/>
      <c r="OGC69" s="401"/>
      <c r="OGD69" s="401"/>
      <c r="OGE69" s="401"/>
      <c r="OGF69" s="401"/>
      <c r="OGG69" s="401"/>
      <c r="OGH69" s="401"/>
      <c r="OGI69" s="401"/>
      <c r="OGJ69" s="401"/>
      <c r="OGK69" s="401"/>
      <c r="OGL69" s="401"/>
      <c r="OGM69" s="401"/>
      <c r="OGN69" s="401"/>
      <c r="OGO69" s="401"/>
      <c r="OGP69" s="401"/>
      <c r="OGQ69" s="401"/>
      <c r="OGR69" s="401"/>
      <c r="OGS69" s="401"/>
      <c r="OGT69" s="401"/>
      <c r="OGU69" s="401"/>
      <c r="OGV69" s="401"/>
      <c r="OGW69" s="401"/>
      <c r="OGX69" s="401"/>
      <c r="OGY69" s="401"/>
      <c r="OGZ69" s="401"/>
      <c r="OHA69" s="401"/>
      <c r="OHB69" s="401"/>
      <c r="OHC69" s="401"/>
      <c r="OHD69" s="401"/>
      <c r="OHE69" s="401"/>
      <c r="OHF69" s="401"/>
      <c r="OHG69" s="401"/>
      <c r="OHH69" s="401"/>
      <c r="OHI69" s="401"/>
      <c r="OHJ69" s="401"/>
      <c r="OHK69" s="401"/>
      <c r="OHL69" s="401"/>
      <c r="OHM69" s="401"/>
      <c r="OHN69" s="401"/>
      <c r="OHO69" s="401"/>
      <c r="OHP69" s="401"/>
      <c r="OHQ69" s="401"/>
      <c r="OHR69" s="401"/>
      <c r="OHS69" s="401"/>
      <c r="OHT69" s="401"/>
      <c r="OHU69" s="401"/>
      <c r="OHV69" s="401"/>
      <c r="OHW69" s="401"/>
      <c r="OHX69" s="401"/>
      <c r="OHY69" s="401"/>
      <c r="OHZ69" s="401"/>
      <c r="OIA69" s="401"/>
      <c r="OIB69" s="401"/>
      <c r="OIC69" s="401"/>
      <c r="OID69" s="401"/>
      <c r="OIE69" s="401"/>
      <c r="OIF69" s="401"/>
      <c r="OIG69" s="401"/>
      <c r="OIH69" s="401"/>
      <c r="OII69" s="401"/>
      <c r="OIJ69" s="401"/>
      <c r="OIK69" s="401"/>
      <c r="OIL69" s="401"/>
      <c r="OIM69" s="401"/>
      <c r="OIN69" s="401"/>
      <c r="OIO69" s="401"/>
      <c r="OIP69" s="401"/>
      <c r="OIQ69" s="401"/>
      <c r="OIR69" s="401"/>
      <c r="OIS69" s="401"/>
      <c r="OIT69" s="401"/>
      <c r="OIU69" s="401"/>
      <c r="OIV69" s="401"/>
      <c r="OIW69" s="401"/>
      <c r="OIX69" s="401"/>
      <c r="OIY69" s="401"/>
      <c r="OIZ69" s="401"/>
      <c r="OJA69" s="401"/>
      <c r="OJB69" s="401"/>
      <c r="OJC69" s="401"/>
      <c r="OJD69" s="401"/>
      <c r="OJE69" s="401"/>
      <c r="OJF69" s="401"/>
      <c r="OJG69" s="401"/>
      <c r="OJH69" s="401"/>
      <c r="OJI69" s="401"/>
      <c r="OJJ69" s="401"/>
      <c r="OJK69" s="401"/>
      <c r="OJL69" s="401"/>
      <c r="OJM69" s="401"/>
      <c r="OJN69" s="401"/>
      <c r="OJO69" s="401"/>
      <c r="OJP69" s="401"/>
      <c r="OJQ69" s="401"/>
      <c r="OJR69" s="401"/>
      <c r="OJS69" s="401"/>
      <c r="OJT69" s="401"/>
      <c r="OJU69" s="401"/>
      <c r="OJV69" s="401"/>
      <c r="OJW69" s="401"/>
      <c r="OJX69" s="401"/>
      <c r="OJY69" s="401"/>
      <c r="OJZ69" s="401"/>
      <c r="OKA69" s="401"/>
      <c r="OKB69" s="401"/>
      <c r="OKC69" s="401"/>
      <c r="OKD69" s="401"/>
      <c r="OKE69" s="401"/>
      <c r="OKF69" s="401"/>
      <c r="OKG69" s="401"/>
      <c r="OKH69" s="401"/>
      <c r="OKI69" s="401"/>
      <c r="OKJ69" s="401"/>
      <c r="OKK69" s="401"/>
      <c r="OKL69" s="401"/>
      <c r="OKM69" s="401"/>
      <c r="OKN69" s="401"/>
      <c r="OKO69" s="401"/>
      <c r="OKP69" s="401"/>
      <c r="OKQ69" s="401"/>
      <c r="OKR69" s="401"/>
      <c r="OKS69" s="401"/>
      <c r="OKT69" s="401"/>
      <c r="OKU69" s="401"/>
      <c r="OKV69" s="401"/>
      <c r="OKW69" s="401"/>
      <c r="OKX69" s="401"/>
      <c r="OKY69" s="401"/>
      <c r="OKZ69" s="401"/>
      <c r="OLA69" s="401"/>
      <c r="OLB69" s="401"/>
      <c r="OLC69" s="401"/>
      <c r="OLD69" s="401"/>
      <c r="OLE69" s="401"/>
      <c r="OLF69" s="401"/>
      <c r="OLG69" s="401"/>
      <c r="OLH69" s="401"/>
      <c r="OLI69" s="401"/>
      <c r="OLJ69" s="401"/>
      <c r="OLK69" s="401"/>
      <c r="OLL69" s="401"/>
      <c r="OLM69" s="401"/>
      <c r="OLN69" s="401"/>
      <c r="OLO69" s="401"/>
      <c r="OLP69" s="401"/>
      <c r="OLQ69" s="401"/>
      <c r="OLR69" s="401"/>
      <c r="OLS69" s="401"/>
      <c r="OLT69" s="401"/>
      <c r="OLU69" s="401"/>
      <c r="OLV69" s="401"/>
      <c r="OLW69" s="401"/>
      <c r="OLX69" s="401"/>
      <c r="OLY69" s="401"/>
      <c r="OLZ69" s="401"/>
      <c r="OMA69" s="401"/>
      <c r="OMB69" s="401"/>
      <c r="OMC69" s="401"/>
      <c r="OMD69" s="401"/>
      <c r="OME69" s="401"/>
      <c r="OMF69" s="401"/>
      <c r="OMG69" s="401"/>
      <c r="OMH69" s="401"/>
      <c r="OMI69" s="401"/>
      <c r="OMJ69" s="401"/>
      <c r="OMK69" s="401"/>
      <c r="OML69" s="401"/>
      <c r="OMM69" s="401"/>
      <c r="OMN69" s="401"/>
      <c r="OMO69" s="401"/>
      <c r="OMP69" s="401"/>
      <c r="OMQ69" s="401"/>
      <c r="OMR69" s="401"/>
      <c r="OMS69" s="401"/>
      <c r="OMT69" s="401"/>
      <c r="OMU69" s="401"/>
      <c r="OMV69" s="401"/>
      <c r="OMW69" s="401"/>
      <c r="OMX69" s="401"/>
      <c r="OMY69" s="401"/>
      <c r="OMZ69" s="401"/>
      <c r="ONA69" s="401"/>
      <c r="ONB69" s="401"/>
      <c r="ONC69" s="401"/>
      <c r="OND69" s="401"/>
      <c r="ONE69" s="401"/>
      <c r="ONF69" s="401"/>
      <c r="ONG69" s="401"/>
      <c r="ONH69" s="401"/>
      <c r="ONI69" s="401"/>
      <c r="ONJ69" s="401"/>
      <c r="ONK69" s="401"/>
      <c r="ONL69" s="401"/>
      <c r="ONM69" s="401"/>
      <c r="ONN69" s="401"/>
      <c r="ONO69" s="401"/>
      <c r="ONP69" s="401"/>
      <c r="ONQ69" s="401"/>
      <c r="ONR69" s="401"/>
      <c r="ONS69" s="401"/>
      <c r="ONT69" s="401"/>
      <c r="ONU69" s="401"/>
      <c r="ONV69" s="401"/>
      <c r="ONW69" s="401"/>
      <c r="ONX69" s="401"/>
      <c r="ONY69" s="401"/>
      <c r="ONZ69" s="401"/>
      <c r="OOA69" s="401"/>
      <c r="OOB69" s="401"/>
      <c r="OOC69" s="401"/>
      <c r="OOD69" s="401"/>
      <c r="OOE69" s="401"/>
      <c r="OOF69" s="401"/>
      <c r="OOG69" s="401"/>
      <c r="OOH69" s="401"/>
      <c r="OOI69" s="401"/>
      <c r="OOJ69" s="401"/>
      <c r="OOK69" s="401"/>
      <c r="OOL69" s="401"/>
      <c r="OOM69" s="401"/>
      <c r="OON69" s="401"/>
      <c r="OOO69" s="401"/>
      <c r="OOP69" s="401"/>
      <c r="OOQ69" s="401"/>
      <c r="OOR69" s="401"/>
      <c r="OOS69" s="401"/>
      <c r="OOT69" s="401"/>
      <c r="OOU69" s="401"/>
      <c r="OOV69" s="401"/>
      <c r="OOW69" s="401"/>
      <c r="OOX69" s="401"/>
      <c r="OOY69" s="401"/>
      <c r="OOZ69" s="401"/>
      <c r="OPA69" s="401"/>
      <c r="OPB69" s="401"/>
      <c r="OPC69" s="401"/>
      <c r="OPD69" s="401"/>
      <c r="OPE69" s="401"/>
      <c r="OPF69" s="401"/>
      <c r="OPG69" s="401"/>
      <c r="OPH69" s="401"/>
      <c r="OPI69" s="401"/>
      <c r="OPJ69" s="401"/>
      <c r="OPK69" s="401"/>
      <c r="OPL69" s="401"/>
      <c r="OPM69" s="401"/>
      <c r="OPN69" s="401"/>
      <c r="OPO69" s="401"/>
      <c r="OPP69" s="401"/>
      <c r="OPQ69" s="401"/>
      <c r="OPR69" s="401"/>
      <c r="OPS69" s="401"/>
      <c r="OPT69" s="401"/>
      <c r="OPU69" s="401"/>
      <c r="OPV69" s="401"/>
      <c r="OPW69" s="401"/>
      <c r="OPX69" s="401"/>
      <c r="OPY69" s="401"/>
      <c r="OPZ69" s="401"/>
      <c r="OQA69" s="401"/>
      <c r="OQB69" s="401"/>
      <c r="OQC69" s="401"/>
      <c r="OQD69" s="401"/>
      <c r="OQE69" s="401"/>
      <c r="OQF69" s="401"/>
      <c r="OQG69" s="401"/>
      <c r="OQH69" s="401"/>
      <c r="OQI69" s="401"/>
      <c r="OQJ69" s="401"/>
      <c r="OQK69" s="401"/>
      <c r="OQL69" s="401"/>
      <c r="OQM69" s="401"/>
      <c r="OQN69" s="401"/>
      <c r="OQO69" s="401"/>
      <c r="OQP69" s="401"/>
      <c r="OQQ69" s="401"/>
      <c r="OQR69" s="401"/>
      <c r="OQS69" s="401"/>
      <c r="OQT69" s="401"/>
      <c r="OQU69" s="401"/>
      <c r="OQV69" s="401"/>
      <c r="OQW69" s="401"/>
      <c r="OQX69" s="401"/>
      <c r="OQY69" s="401"/>
      <c r="OQZ69" s="401"/>
      <c r="ORA69" s="401"/>
      <c r="ORB69" s="401"/>
      <c r="ORC69" s="401"/>
      <c r="ORD69" s="401"/>
      <c r="ORE69" s="401"/>
      <c r="ORF69" s="401"/>
      <c r="ORG69" s="401"/>
      <c r="ORH69" s="401"/>
      <c r="ORI69" s="401"/>
      <c r="ORJ69" s="401"/>
      <c r="ORK69" s="401"/>
      <c r="ORL69" s="401"/>
      <c r="ORM69" s="401"/>
      <c r="ORN69" s="401"/>
      <c r="ORO69" s="401"/>
      <c r="ORP69" s="401"/>
      <c r="ORQ69" s="401"/>
      <c r="ORR69" s="401"/>
      <c r="ORS69" s="401"/>
      <c r="ORT69" s="401"/>
      <c r="ORU69" s="401"/>
      <c r="ORV69" s="401"/>
      <c r="ORW69" s="401"/>
      <c r="ORX69" s="401"/>
      <c r="ORY69" s="401"/>
      <c r="ORZ69" s="401"/>
      <c r="OSA69" s="401"/>
      <c r="OSB69" s="401"/>
      <c r="OSC69" s="401"/>
      <c r="OSD69" s="401"/>
      <c r="OSE69" s="401"/>
      <c r="OSF69" s="401"/>
      <c r="OSG69" s="401"/>
      <c r="OSH69" s="401"/>
      <c r="OSI69" s="401"/>
      <c r="OSJ69" s="401"/>
      <c r="OSK69" s="401"/>
      <c r="OSL69" s="401"/>
      <c r="OSM69" s="401"/>
      <c r="OSN69" s="401"/>
      <c r="OSO69" s="401"/>
      <c r="OSP69" s="401"/>
      <c r="OSQ69" s="401"/>
      <c r="OSR69" s="401"/>
      <c r="OSS69" s="401"/>
      <c r="OST69" s="401"/>
      <c r="OSU69" s="401"/>
      <c r="OSV69" s="401"/>
      <c r="OSW69" s="401"/>
      <c r="OSX69" s="401"/>
      <c r="OSY69" s="401"/>
      <c r="OSZ69" s="401"/>
      <c r="OTA69" s="401"/>
      <c r="OTB69" s="401"/>
      <c r="OTC69" s="401"/>
      <c r="OTD69" s="401"/>
      <c r="OTE69" s="401"/>
      <c r="OTF69" s="401"/>
      <c r="OTG69" s="401"/>
      <c r="OTH69" s="401"/>
      <c r="OTI69" s="401"/>
      <c r="OTJ69" s="401"/>
      <c r="OTK69" s="401"/>
      <c r="OTL69" s="401"/>
      <c r="OTM69" s="401"/>
      <c r="OTN69" s="401"/>
      <c r="OTO69" s="401"/>
      <c r="OTP69" s="401"/>
      <c r="OTQ69" s="401"/>
      <c r="OTR69" s="401"/>
      <c r="OTS69" s="401"/>
      <c r="OTT69" s="401"/>
      <c r="OTU69" s="401"/>
      <c r="OTV69" s="401"/>
      <c r="OTW69" s="401"/>
      <c r="OTX69" s="401"/>
      <c r="OTY69" s="401"/>
      <c r="OTZ69" s="401"/>
      <c r="OUA69" s="401"/>
      <c r="OUB69" s="401"/>
      <c r="OUC69" s="401"/>
      <c r="OUD69" s="401"/>
      <c r="OUE69" s="401"/>
      <c r="OUF69" s="401"/>
      <c r="OUG69" s="401"/>
      <c r="OUH69" s="401"/>
      <c r="OUI69" s="401"/>
      <c r="OUJ69" s="401"/>
      <c r="OUK69" s="401"/>
      <c r="OUL69" s="401"/>
      <c r="OUM69" s="401"/>
      <c r="OUN69" s="401"/>
      <c r="OUO69" s="401"/>
      <c r="OUP69" s="401"/>
      <c r="OUQ69" s="401"/>
      <c r="OUR69" s="401"/>
      <c r="OUS69" s="401"/>
      <c r="OUT69" s="401"/>
      <c r="OUU69" s="401"/>
      <c r="OUV69" s="401"/>
      <c r="OUW69" s="401"/>
      <c r="OUX69" s="401"/>
      <c r="OUY69" s="401"/>
      <c r="OUZ69" s="401"/>
      <c r="OVA69" s="401"/>
      <c r="OVB69" s="401"/>
      <c r="OVC69" s="401"/>
      <c r="OVD69" s="401"/>
      <c r="OVE69" s="401"/>
      <c r="OVF69" s="401"/>
      <c r="OVG69" s="401"/>
      <c r="OVH69" s="401"/>
      <c r="OVI69" s="401"/>
      <c r="OVJ69" s="401"/>
      <c r="OVK69" s="401"/>
      <c r="OVL69" s="401"/>
      <c r="OVM69" s="401"/>
      <c r="OVN69" s="401"/>
      <c r="OVO69" s="401"/>
      <c r="OVP69" s="401"/>
      <c r="OVQ69" s="401"/>
      <c r="OVR69" s="401"/>
      <c r="OVS69" s="401"/>
      <c r="OVT69" s="401"/>
      <c r="OVU69" s="401"/>
      <c r="OVV69" s="401"/>
      <c r="OVW69" s="401"/>
      <c r="OVX69" s="401"/>
      <c r="OVY69" s="401"/>
      <c r="OVZ69" s="401"/>
      <c r="OWA69" s="401"/>
      <c r="OWB69" s="401"/>
      <c r="OWC69" s="401"/>
      <c r="OWD69" s="401"/>
      <c r="OWE69" s="401"/>
      <c r="OWF69" s="401"/>
      <c r="OWG69" s="401"/>
      <c r="OWH69" s="401"/>
      <c r="OWI69" s="401"/>
      <c r="OWJ69" s="401"/>
      <c r="OWK69" s="401"/>
      <c r="OWL69" s="401"/>
      <c r="OWM69" s="401"/>
      <c r="OWN69" s="401"/>
      <c r="OWO69" s="401"/>
      <c r="OWP69" s="401"/>
      <c r="OWQ69" s="401"/>
      <c r="OWR69" s="401"/>
      <c r="OWS69" s="401"/>
      <c r="OWT69" s="401"/>
      <c r="OWU69" s="401"/>
      <c r="OWV69" s="401"/>
      <c r="OWW69" s="401"/>
      <c r="OWX69" s="401"/>
      <c r="OWY69" s="401"/>
      <c r="OWZ69" s="401"/>
      <c r="OXA69" s="401"/>
      <c r="OXB69" s="401"/>
      <c r="OXC69" s="401"/>
      <c r="OXD69" s="401"/>
      <c r="OXE69" s="401"/>
      <c r="OXF69" s="401"/>
      <c r="OXG69" s="401"/>
      <c r="OXH69" s="401"/>
      <c r="OXI69" s="401"/>
      <c r="OXJ69" s="401"/>
      <c r="OXK69" s="401"/>
      <c r="OXL69" s="401"/>
      <c r="OXM69" s="401"/>
      <c r="OXN69" s="401"/>
      <c r="OXO69" s="401"/>
      <c r="OXP69" s="401"/>
      <c r="OXQ69" s="401"/>
      <c r="OXR69" s="401"/>
      <c r="OXS69" s="401"/>
      <c r="OXT69" s="401"/>
      <c r="OXU69" s="401"/>
      <c r="OXV69" s="401"/>
      <c r="OXW69" s="401"/>
      <c r="OXX69" s="401"/>
      <c r="OXY69" s="401"/>
      <c r="OXZ69" s="401"/>
      <c r="OYA69" s="401"/>
      <c r="OYB69" s="401"/>
      <c r="OYC69" s="401"/>
      <c r="OYD69" s="401"/>
      <c r="OYE69" s="401"/>
      <c r="OYF69" s="401"/>
      <c r="OYG69" s="401"/>
      <c r="OYH69" s="401"/>
      <c r="OYI69" s="401"/>
      <c r="OYJ69" s="401"/>
      <c r="OYK69" s="401"/>
      <c r="OYL69" s="401"/>
      <c r="OYM69" s="401"/>
      <c r="OYN69" s="401"/>
      <c r="OYO69" s="401"/>
      <c r="OYP69" s="401"/>
      <c r="OYQ69" s="401"/>
      <c r="OYR69" s="401"/>
      <c r="OYS69" s="401"/>
      <c r="OYT69" s="401"/>
      <c r="OYU69" s="401"/>
      <c r="OYV69" s="401"/>
      <c r="OYW69" s="401"/>
      <c r="OYX69" s="401"/>
      <c r="OYY69" s="401"/>
      <c r="OYZ69" s="401"/>
      <c r="OZA69" s="401"/>
      <c r="OZB69" s="401"/>
      <c r="OZC69" s="401"/>
      <c r="OZD69" s="401"/>
      <c r="OZE69" s="401"/>
      <c r="OZF69" s="401"/>
      <c r="OZG69" s="401"/>
      <c r="OZH69" s="401"/>
      <c r="OZI69" s="401"/>
      <c r="OZJ69" s="401"/>
      <c r="OZK69" s="401"/>
      <c r="OZL69" s="401"/>
      <c r="OZM69" s="401"/>
      <c r="OZN69" s="401"/>
      <c r="OZO69" s="401"/>
      <c r="OZP69" s="401"/>
      <c r="OZQ69" s="401"/>
      <c r="OZR69" s="401"/>
      <c r="OZS69" s="401"/>
      <c r="OZT69" s="401"/>
      <c r="OZU69" s="401"/>
      <c r="OZV69" s="401"/>
      <c r="OZW69" s="401"/>
      <c r="OZX69" s="401"/>
      <c r="OZY69" s="401"/>
      <c r="OZZ69" s="401"/>
      <c r="PAA69" s="401"/>
      <c r="PAB69" s="401"/>
      <c r="PAC69" s="401"/>
      <c r="PAD69" s="401"/>
      <c r="PAE69" s="401"/>
      <c r="PAF69" s="401"/>
      <c r="PAG69" s="401"/>
      <c r="PAH69" s="401"/>
      <c r="PAI69" s="401"/>
      <c r="PAJ69" s="401"/>
      <c r="PAK69" s="401"/>
      <c r="PAL69" s="401"/>
      <c r="PAM69" s="401"/>
      <c r="PAN69" s="401"/>
      <c r="PAO69" s="401"/>
      <c r="PAP69" s="401"/>
      <c r="PAQ69" s="401"/>
      <c r="PAR69" s="401"/>
      <c r="PAS69" s="401"/>
      <c r="PAT69" s="401"/>
      <c r="PAU69" s="401"/>
      <c r="PAV69" s="401"/>
      <c r="PAW69" s="401"/>
      <c r="PAX69" s="401"/>
      <c r="PAY69" s="401"/>
      <c r="PAZ69" s="401"/>
      <c r="PBA69" s="401"/>
      <c r="PBB69" s="401"/>
      <c r="PBC69" s="401"/>
      <c r="PBD69" s="401"/>
      <c r="PBE69" s="401"/>
      <c r="PBF69" s="401"/>
      <c r="PBG69" s="401"/>
      <c r="PBH69" s="401"/>
      <c r="PBI69" s="401"/>
      <c r="PBJ69" s="401"/>
      <c r="PBK69" s="401"/>
      <c r="PBL69" s="401"/>
      <c r="PBM69" s="401"/>
      <c r="PBN69" s="401"/>
      <c r="PBO69" s="401"/>
      <c r="PBP69" s="401"/>
      <c r="PBQ69" s="401"/>
      <c r="PBR69" s="401"/>
      <c r="PBS69" s="401"/>
      <c r="PBT69" s="401"/>
      <c r="PBU69" s="401"/>
      <c r="PBV69" s="401"/>
      <c r="PBW69" s="401"/>
      <c r="PBX69" s="401"/>
      <c r="PBY69" s="401"/>
      <c r="PBZ69" s="401"/>
      <c r="PCA69" s="401"/>
      <c r="PCB69" s="401"/>
      <c r="PCC69" s="401"/>
      <c r="PCD69" s="401"/>
      <c r="PCE69" s="401"/>
      <c r="PCF69" s="401"/>
      <c r="PCG69" s="401"/>
      <c r="PCH69" s="401"/>
      <c r="PCI69" s="401"/>
      <c r="PCJ69" s="401"/>
      <c r="PCK69" s="401"/>
      <c r="PCL69" s="401"/>
      <c r="PCM69" s="401"/>
      <c r="PCN69" s="401"/>
      <c r="PCO69" s="401"/>
      <c r="PCP69" s="401"/>
      <c r="PCQ69" s="401"/>
      <c r="PCR69" s="401"/>
      <c r="PCS69" s="401"/>
      <c r="PCT69" s="401"/>
      <c r="PCU69" s="401"/>
      <c r="PCV69" s="401"/>
      <c r="PCW69" s="401"/>
      <c r="PCX69" s="401"/>
      <c r="PCY69" s="401"/>
      <c r="PCZ69" s="401"/>
      <c r="PDA69" s="401"/>
      <c r="PDB69" s="401"/>
      <c r="PDC69" s="401"/>
      <c r="PDD69" s="401"/>
      <c r="PDE69" s="401"/>
      <c r="PDF69" s="401"/>
      <c r="PDG69" s="401"/>
      <c r="PDH69" s="401"/>
      <c r="PDI69" s="401"/>
      <c r="PDJ69" s="401"/>
      <c r="PDK69" s="401"/>
      <c r="PDL69" s="401"/>
      <c r="PDM69" s="401"/>
      <c r="PDN69" s="401"/>
      <c r="PDO69" s="401"/>
      <c r="PDP69" s="401"/>
      <c r="PDQ69" s="401"/>
      <c r="PDR69" s="401"/>
      <c r="PDS69" s="401"/>
      <c r="PDT69" s="401"/>
      <c r="PDU69" s="401"/>
      <c r="PDV69" s="401"/>
      <c r="PDW69" s="401"/>
      <c r="PDX69" s="401"/>
      <c r="PDY69" s="401"/>
      <c r="PDZ69" s="401"/>
      <c r="PEA69" s="401"/>
      <c r="PEB69" s="401"/>
      <c r="PEC69" s="401"/>
      <c r="PED69" s="401"/>
      <c r="PEE69" s="401"/>
      <c r="PEF69" s="401"/>
      <c r="PEG69" s="401"/>
      <c r="PEH69" s="401"/>
      <c r="PEI69" s="401"/>
      <c r="PEJ69" s="401"/>
      <c r="PEK69" s="401"/>
      <c r="PEL69" s="401"/>
      <c r="PEM69" s="401"/>
      <c r="PEN69" s="401"/>
      <c r="PEO69" s="401"/>
      <c r="PEP69" s="401"/>
      <c r="PEQ69" s="401"/>
      <c r="PER69" s="401"/>
      <c r="PES69" s="401"/>
      <c r="PET69" s="401"/>
      <c r="PEU69" s="401"/>
      <c r="PEV69" s="401"/>
      <c r="PEW69" s="401"/>
      <c r="PEX69" s="401"/>
      <c r="PEY69" s="401"/>
      <c r="PEZ69" s="401"/>
      <c r="PFA69" s="401"/>
      <c r="PFB69" s="401"/>
      <c r="PFC69" s="401"/>
      <c r="PFD69" s="401"/>
      <c r="PFE69" s="401"/>
      <c r="PFF69" s="401"/>
      <c r="PFG69" s="401"/>
      <c r="PFH69" s="401"/>
      <c r="PFI69" s="401"/>
      <c r="PFJ69" s="401"/>
      <c r="PFK69" s="401"/>
      <c r="PFL69" s="401"/>
      <c r="PFM69" s="401"/>
      <c r="PFN69" s="401"/>
      <c r="PFO69" s="401"/>
      <c r="PFP69" s="401"/>
      <c r="PFQ69" s="401"/>
      <c r="PFR69" s="401"/>
      <c r="PFS69" s="401"/>
      <c r="PFT69" s="401"/>
      <c r="PFU69" s="401"/>
      <c r="PFV69" s="401"/>
      <c r="PFW69" s="401"/>
      <c r="PFX69" s="401"/>
      <c r="PFY69" s="401"/>
      <c r="PFZ69" s="401"/>
      <c r="PGA69" s="401"/>
      <c r="PGB69" s="401"/>
      <c r="PGC69" s="401"/>
      <c r="PGD69" s="401"/>
      <c r="PGE69" s="401"/>
      <c r="PGF69" s="401"/>
      <c r="PGG69" s="401"/>
      <c r="PGH69" s="401"/>
      <c r="PGI69" s="401"/>
      <c r="PGJ69" s="401"/>
      <c r="PGK69" s="401"/>
      <c r="PGL69" s="401"/>
      <c r="PGM69" s="401"/>
      <c r="PGN69" s="401"/>
      <c r="PGO69" s="401"/>
      <c r="PGP69" s="401"/>
      <c r="PGQ69" s="401"/>
      <c r="PGR69" s="401"/>
      <c r="PGS69" s="401"/>
      <c r="PGT69" s="401"/>
      <c r="PGU69" s="401"/>
      <c r="PGV69" s="401"/>
      <c r="PGW69" s="401"/>
      <c r="PGX69" s="401"/>
      <c r="PGY69" s="401"/>
      <c r="PGZ69" s="401"/>
      <c r="PHA69" s="401"/>
      <c r="PHB69" s="401"/>
      <c r="PHC69" s="401"/>
      <c r="PHD69" s="401"/>
      <c r="PHE69" s="401"/>
      <c r="PHF69" s="401"/>
      <c r="PHG69" s="401"/>
      <c r="PHH69" s="401"/>
      <c r="PHI69" s="401"/>
      <c r="PHJ69" s="401"/>
      <c r="PHK69" s="401"/>
      <c r="PHL69" s="401"/>
      <c r="PHM69" s="401"/>
      <c r="PHN69" s="401"/>
      <c r="PHO69" s="401"/>
      <c r="PHP69" s="401"/>
      <c r="PHQ69" s="401"/>
      <c r="PHR69" s="401"/>
      <c r="PHS69" s="401"/>
      <c r="PHT69" s="401"/>
      <c r="PHU69" s="401"/>
      <c r="PHV69" s="401"/>
      <c r="PHW69" s="401"/>
      <c r="PHX69" s="401"/>
      <c r="PHY69" s="401"/>
      <c r="PHZ69" s="401"/>
      <c r="PIA69" s="401"/>
      <c r="PIB69" s="401"/>
      <c r="PIC69" s="401"/>
      <c r="PID69" s="401"/>
      <c r="PIE69" s="401"/>
      <c r="PIF69" s="401"/>
      <c r="PIG69" s="401"/>
      <c r="PIH69" s="401"/>
      <c r="PII69" s="401"/>
      <c r="PIJ69" s="401"/>
      <c r="PIK69" s="401"/>
      <c r="PIL69" s="401"/>
      <c r="PIM69" s="401"/>
      <c r="PIN69" s="401"/>
      <c r="PIO69" s="401"/>
      <c r="PIP69" s="401"/>
      <c r="PIQ69" s="401"/>
      <c r="PIR69" s="401"/>
      <c r="PIS69" s="401"/>
      <c r="PIT69" s="401"/>
      <c r="PIU69" s="401"/>
      <c r="PIV69" s="401"/>
      <c r="PIW69" s="401"/>
      <c r="PIX69" s="401"/>
      <c r="PIY69" s="401"/>
      <c r="PIZ69" s="401"/>
      <c r="PJA69" s="401"/>
      <c r="PJB69" s="401"/>
      <c r="PJC69" s="401"/>
      <c r="PJD69" s="401"/>
      <c r="PJE69" s="401"/>
      <c r="PJF69" s="401"/>
      <c r="PJG69" s="401"/>
      <c r="PJH69" s="401"/>
      <c r="PJI69" s="401"/>
      <c r="PJJ69" s="401"/>
      <c r="PJK69" s="401"/>
      <c r="PJL69" s="401"/>
      <c r="PJM69" s="401"/>
      <c r="PJN69" s="401"/>
      <c r="PJO69" s="401"/>
      <c r="PJP69" s="401"/>
      <c r="PJQ69" s="401"/>
      <c r="PJR69" s="401"/>
      <c r="PJS69" s="401"/>
      <c r="PJT69" s="401"/>
      <c r="PJU69" s="401"/>
      <c r="PJV69" s="401"/>
      <c r="PJW69" s="401"/>
      <c r="PJX69" s="401"/>
      <c r="PJY69" s="401"/>
      <c r="PJZ69" s="401"/>
      <c r="PKA69" s="401"/>
      <c r="PKB69" s="401"/>
      <c r="PKC69" s="401"/>
      <c r="PKD69" s="401"/>
      <c r="PKE69" s="401"/>
      <c r="PKF69" s="401"/>
      <c r="PKG69" s="401"/>
      <c r="PKH69" s="401"/>
      <c r="PKI69" s="401"/>
      <c r="PKJ69" s="401"/>
      <c r="PKK69" s="401"/>
      <c r="PKL69" s="401"/>
      <c r="PKM69" s="401"/>
      <c r="PKN69" s="401"/>
      <c r="PKO69" s="401"/>
      <c r="PKP69" s="401"/>
      <c r="PKQ69" s="401"/>
      <c r="PKR69" s="401"/>
      <c r="PKS69" s="401"/>
      <c r="PKT69" s="401"/>
      <c r="PKU69" s="401"/>
      <c r="PKV69" s="401"/>
      <c r="PKW69" s="401"/>
      <c r="PKX69" s="401"/>
      <c r="PKY69" s="401"/>
      <c r="PKZ69" s="401"/>
      <c r="PLA69" s="401"/>
      <c r="PLB69" s="401"/>
      <c r="PLC69" s="401"/>
      <c r="PLD69" s="401"/>
      <c r="PLE69" s="401"/>
      <c r="PLF69" s="401"/>
      <c r="PLG69" s="401"/>
      <c r="PLH69" s="401"/>
      <c r="PLI69" s="401"/>
      <c r="PLJ69" s="401"/>
      <c r="PLK69" s="401"/>
      <c r="PLL69" s="401"/>
      <c r="PLM69" s="401"/>
      <c r="PLN69" s="401"/>
      <c r="PLO69" s="401"/>
      <c r="PLP69" s="401"/>
      <c r="PLQ69" s="401"/>
      <c r="PLR69" s="401"/>
      <c r="PLS69" s="401"/>
      <c r="PLT69" s="401"/>
      <c r="PLU69" s="401"/>
      <c r="PLV69" s="401"/>
      <c r="PLW69" s="401"/>
      <c r="PLX69" s="401"/>
      <c r="PLY69" s="401"/>
      <c r="PLZ69" s="401"/>
      <c r="PMA69" s="401"/>
      <c r="PMB69" s="401"/>
      <c r="PMC69" s="401"/>
      <c r="PMD69" s="401"/>
      <c r="PME69" s="401"/>
      <c r="PMF69" s="401"/>
      <c r="PMG69" s="401"/>
      <c r="PMH69" s="401"/>
      <c r="PMI69" s="401"/>
      <c r="PMJ69" s="401"/>
      <c r="PMK69" s="401"/>
      <c r="PML69" s="401"/>
      <c r="PMM69" s="401"/>
      <c r="PMN69" s="401"/>
      <c r="PMO69" s="401"/>
      <c r="PMP69" s="401"/>
      <c r="PMQ69" s="401"/>
      <c r="PMR69" s="401"/>
      <c r="PMS69" s="401"/>
      <c r="PMT69" s="401"/>
      <c r="PMU69" s="401"/>
      <c r="PMV69" s="401"/>
      <c r="PMW69" s="401"/>
      <c r="PMX69" s="401"/>
      <c r="PMY69" s="401"/>
      <c r="PMZ69" s="401"/>
      <c r="PNA69" s="401"/>
      <c r="PNB69" s="401"/>
      <c r="PNC69" s="401"/>
      <c r="PND69" s="401"/>
      <c r="PNE69" s="401"/>
      <c r="PNF69" s="401"/>
      <c r="PNG69" s="401"/>
      <c r="PNH69" s="401"/>
      <c r="PNI69" s="401"/>
      <c r="PNJ69" s="401"/>
      <c r="PNK69" s="401"/>
      <c r="PNL69" s="401"/>
      <c r="PNM69" s="401"/>
      <c r="PNN69" s="401"/>
      <c r="PNO69" s="401"/>
      <c r="PNP69" s="401"/>
      <c r="PNQ69" s="401"/>
      <c r="PNR69" s="401"/>
      <c r="PNS69" s="401"/>
      <c r="PNT69" s="401"/>
      <c r="PNU69" s="401"/>
      <c r="PNV69" s="401"/>
      <c r="PNW69" s="401"/>
      <c r="PNX69" s="401"/>
      <c r="PNY69" s="401"/>
      <c r="PNZ69" s="401"/>
      <c r="POA69" s="401"/>
      <c r="POB69" s="401"/>
      <c r="POC69" s="401"/>
      <c r="POD69" s="401"/>
      <c r="POE69" s="401"/>
      <c r="POF69" s="401"/>
      <c r="POG69" s="401"/>
      <c r="POH69" s="401"/>
      <c r="POI69" s="401"/>
      <c r="POJ69" s="401"/>
      <c r="POK69" s="401"/>
      <c r="POL69" s="401"/>
      <c r="POM69" s="401"/>
      <c r="PON69" s="401"/>
      <c r="POO69" s="401"/>
      <c r="POP69" s="401"/>
      <c r="POQ69" s="401"/>
      <c r="POR69" s="401"/>
      <c r="POS69" s="401"/>
      <c r="POT69" s="401"/>
      <c r="POU69" s="401"/>
      <c r="POV69" s="401"/>
      <c r="POW69" s="401"/>
      <c r="POX69" s="401"/>
      <c r="POY69" s="401"/>
      <c r="POZ69" s="401"/>
      <c r="PPA69" s="401"/>
      <c r="PPB69" s="401"/>
      <c r="PPC69" s="401"/>
      <c r="PPD69" s="401"/>
      <c r="PPE69" s="401"/>
      <c r="PPF69" s="401"/>
      <c r="PPG69" s="401"/>
      <c r="PPH69" s="401"/>
      <c r="PPI69" s="401"/>
      <c r="PPJ69" s="401"/>
      <c r="PPK69" s="401"/>
      <c r="PPL69" s="401"/>
      <c r="PPM69" s="401"/>
      <c r="PPN69" s="401"/>
      <c r="PPO69" s="401"/>
      <c r="PPP69" s="401"/>
      <c r="PPQ69" s="401"/>
      <c r="PPR69" s="401"/>
      <c r="PPS69" s="401"/>
      <c r="PPT69" s="401"/>
      <c r="PPU69" s="401"/>
      <c r="PPV69" s="401"/>
      <c r="PPW69" s="401"/>
      <c r="PPX69" s="401"/>
      <c r="PPY69" s="401"/>
      <c r="PPZ69" s="401"/>
      <c r="PQA69" s="401"/>
      <c r="PQB69" s="401"/>
      <c r="PQC69" s="401"/>
      <c r="PQD69" s="401"/>
      <c r="PQE69" s="401"/>
      <c r="PQF69" s="401"/>
      <c r="PQG69" s="401"/>
      <c r="PQH69" s="401"/>
      <c r="PQI69" s="401"/>
      <c r="PQJ69" s="401"/>
      <c r="PQK69" s="401"/>
      <c r="PQL69" s="401"/>
      <c r="PQM69" s="401"/>
      <c r="PQN69" s="401"/>
      <c r="PQO69" s="401"/>
      <c r="PQP69" s="401"/>
      <c r="PQQ69" s="401"/>
      <c r="PQR69" s="401"/>
      <c r="PQS69" s="401"/>
      <c r="PQT69" s="401"/>
      <c r="PQU69" s="401"/>
      <c r="PQV69" s="401"/>
      <c r="PQW69" s="401"/>
      <c r="PQX69" s="401"/>
      <c r="PQY69" s="401"/>
      <c r="PQZ69" s="401"/>
      <c r="PRA69" s="401"/>
      <c r="PRB69" s="401"/>
      <c r="PRC69" s="401"/>
      <c r="PRD69" s="401"/>
      <c r="PRE69" s="401"/>
      <c r="PRF69" s="401"/>
      <c r="PRG69" s="401"/>
      <c r="PRH69" s="401"/>
      <c r="PRI69" s="401"/>
      <c r="PRJ69" s="401"/>
      <c r="PRK69" s="401"/>
      <c r="PRL69" s="401"/>
      <c r="PRM69" s="401"/>
      <c r="PRN69" s="401"/>
      <c r="PRO69" s="401"/>
      <c r="PRP69" s="401"/>
      <c r="PRQ69" s="401"/>
      <c r="PRR69" s="401"/>
      <c r="PRS69" s="401"/>
      <c r="PRT69" s="401"/>
      <c r="PRU69" s="401"/>
      <c r="PRV69" s="401"/>
      <c r="PRW69" s="401"/>
      <c r="PRX69" s="401"/>
      <c r="PRY69" s="401"/>
      <c r="PRZ69" s="401"/>
      <c r="PSA69" s="401"/>
      <c r="PSB69" s="401"/>
      <c r="PSC69" s="401"/>
      <c r="PSD69" s="401"/>
      <c r="PSE69" s="401"/>
      <c r="PSF69" s="401"/>
      <c r="PSG69" s="401"/>
      <c r="PSH69" s="401"/>
      <c r="PSI69" s="401"/>
      <c r="PSJ69" s="401"/>
      <c r="PSK69" s="401"/>
      <c r="PSL69" s="401"/>
      <c r="PSM69" s="401"/>
      <c r="PSN69" s="401"/>
      <c r="PSO69" s="401"/>
      <c r="PSP69" s="401"/>
      <c r="PSQ69" s="401"/>
      <c r="PSR69" s="401"/>
      <c r="PSS69" s="401"/>
      <c r="PST69" s="401"/>
      <c r="PSU69" s="401"/>
      <c r="PSV69" s="401"/>
      <c r="PSW69" s="401"/>
      <c r="PSX69" s="401"/>
      <c r="PSY69" s="401"/>
      <c r="PSZ69" s="401"/>
      <c r="PTA69" s="401"/>
      <c r="PTB69" s="401"/>
      <c r="PTC69" s="401"/>
      <c r="PTD69" s="401"/>
      <c r="PTE69" s="401"/>
      <c r="PTF69" s="401"/>
      <c r="PTG69" s="401"/>
      <c r="PTH69" s="401"/>
      <c r="PTI69" s="401"/>
      <c r="PTJ69" s="401"/>
      <c r="PTK69" s="401"/>
      <c r="PTL69" s="401"/>
      <c r="PTM69" s="401"/>
      <c r="PTN69" s="401"/>
      <c r="PTO69" s="401"/>
      <c r="PTP69" s="401"/>
      <c r="PTQ69" s="401"/>
      <c r="PTR69" s="401"/>
      <c r="PTS69" s="401"/>
      <c r="PTT69" s="401"/>
      <c r="PTU69" s="401"/>
      <c r="PTV69" s="401"/>
      <c r="PTW69" s="401"/>
      <c r="PTX69" s="401"/>
      <c r="PTY69" s="401"/>
      <c r="PTZ69" s="401"/>
      <c r="PUA69" s="401"/>
      <c r="PUB69" s="401"/>
      <c r="PUC69" s="401"/>
      <c r="PUD69" s="401"/>
      <c r="PUE69" s="401"/>
      <c r="PUF69" s="401"/>
      <c r="PUG69" s="401"/>
      <c r="PUH69" s="401"/>
      <c r="PUI69" s="401"/>
      <c r="PUJ69" s="401"/>
      <c r="PUK69" s="401"/>
      <c r="PUL69" s="401"/>
      <c r="PUM69" s="401"/>
      <c r="PUN69" s="401"/>
      <c r="PUO69" s="401"/>
      <c r="PUP69" s="401"/>
      <c r="PUQ69" s="401"/>
      <c r="PUR69" s="401"/>
      <c r="PUS69" s="401"/>
      <c r="PUT69" s="401"/>
      <c r="PUU69" s="401"/>
      <c r="PUV69" s="401"/>
      <c r="PUW69" s="401"/>
      <c r="PUX69" s="401"/>
      <c r="PUY69" s="401"/>
      <c r="PUZ69" s="401"/>
      <c r="PVA69" s="401"/>
      <c r="PVB69" s="401"/>
      <c r="PVC69" s="401"/>
      <c r="PVD69" s="401"/>
      <c r="PVE69" s="401"/>
      <c r="PVF69" s="401"/>
      <c r="PVG69" s="401"/>
      <c r="PVH69" s="401"/>
      <c r="PVI69" s="401"/>
      <c r="PVJ69" s="401"/>
      <c r="PVK69" s="401"/>
      <c r="PVL69" s="401"/>
      <c r="PVM69" s="401"/>
      <c r="PVN69" s="401"/>
      <c r="PVO69" s="401"/>
      <c r="PVP69" s="401"/>
      <c r="PVQ69" s="401"/>
      <c r="PVR69" s="401"/>
      <c r="PVS69" s="401"/>
      <c r="PVT69" s="401"/>
      <c r="PVU69" s="401"/>
      <c r="PVV69" s="401"/>
      <c r="PVW69" s="401"/>
      <c r="PVX69" s="401"/>
      <c r="PVY69" s="401"/>
      <c r="PVZ69" s="401"/>
      <c r="PWA69" s="401"/>
      <c r="PWB69" s="401"/>
      <c r="PWC69" s="401"/>
      <c r="PWD69" s="401"/>
      <c r="PWE69" s="401"/>
      <c r="PWF69" s="401"/>
      <c r="PWG69" s="401"/>
      <c r="PWH69" s="401"/>
      <c r="PWI69" s="401"/>
      <c r="PWJ69" s="401"/>
      <c r="PWK69" s="401"/>
      <c r="PWL69" s="401"/>
      <c r="PWM69" s="401"/>
      <c r="PWN69" s="401"/>
      <c r="PWO69" s="401"/>
      <c r="PWP69" s="401"/>
      <c r="PWQ69" s="401"/>
      <c r="PWR69" s="401"/>
      <c r="PWS69" s="401"/>
      <c r="PWT69" s="401"/>
      <c r="PWU69" s="401"/>
      <c r="PWV69" s="401"/>
      <c r="PWW69" s="401"/>
      <c r="PWX69" s="401"/>
      <c r="PWY69" s="401"/>
      <c r="PWZ69" s="401"/>
      <c r="PXA69" s="401"/>
      <c r="PXB69" s="401"/>
      <c r="PXC69" s="401"/>
      <c r="PXD69" s="401"/>
      <c r="PXE69" s="401"/>
      <c r="PXF69" s="401"/>
      <c r="PXG69" s="401"/>
      <c r="PXH69" s="401"/>
      <c r="PXI69" s="401"/>
      <c r="PXJ69" s="401"/>
      <c r="PXK69" s="401"/>
      <c r="PXL69" s="401"/>
      <c r="PXM69" s="401"/>
      <c r="PXN69" s="401"/>
      <c r="PXO69" s="401"/>
      <c r="PXP69" s="401"/>
      <c r="PXQ69" s="401"/>
      <c r="PXR69" s="401"/>
      <c r="PXS69" s="401"/>
      <c r="PXT69" s="401"/>
      <c r="PXU69" s="401"/>
      <c r="PXV69" s="401"/>
      <c r="PXW69" s="401"/>
      <c r="PXX69" s="401"/>
      <c r="PXY69" s="401"/>
      <c r="PXZ69" s="401"/>
      <c r="PYA69" s="401"/>
      <c r="PYB69" s="401"/>
      <c r="PYC69" s="401"/>
      <c r="PYD69" s="401"/>
      <c r="PYE69" s="401"/>
      <c r="PYF69" s="401"/>
      <c r="PYG69" s="401"/>
      <c r="PYH69" s="401"/>
      <c r="PYI69" s="401"/>
      <c r="PYJ69" s="401"/>
      <c r="PYK69" s="401"/>
      <c r="PYL69" s="401"/>
      <c r="PYM69" s="401"/>
      <c r="PYN69" s="401"/>
      <c r="PYO69" s="401"/>
      <c r="PYP69" s="401"/>
      <c r="PYQ69" s="401"/>
      <c r="PYR69" s="401"/>
      <c r="PYS69" s="401"/>
      <c r="PYT69" s="401"/>
      <c r="PYU69" s="401"/>
      <c r="PYV69" s="401"/>
      <c r="PYW69" s="401"/>
      <c r="PYX69" s="401"/>
      <c r="PYY69" s="401"/>
      <c r="PYZ69" s="401"/>
      <c r="PZA69" s="401"/>
      <c r="PZB69" s="401"/>
      <c r="PZC69" s="401"/>
      <c r="PZD69" s="401"/>
      <c r="PZE69" s="401"/>
      <c r="PZF69" s="401"/>
      <c r="PZG69" s="401"/>
      <c r="PZH69" s="401"/>
      <c r="PZI69" s="401"/>
      <c r="PZJ69" s="401"/>
      <c r="PZK69" s="401"/>
      <c r="PZL69" s="401"/>
      <c r="PZM69" s="401"/>
      <c r="PZN69" s="401"/>
      <c r="PZO69" s="401"/>
      <c r="PZP69" s="401"/>
      <c r="PZQ69" s="401"/>
      <c r="PZR69" s="401"/>
      <c r="PZS69" s="401"/>
      <c r="PZT69" s="401"/>
      <c r="PZU69" s="401"/>
      <c r="PZV69" s="401"/>
      <c r="PZW69" s="401"/>
      <c r="PZX69" s="401"/>
      <c r="PZY69" s="401"/>
      <c r="PZZ69" s="401"/>
      <c r="QAA69" s="401"/>
      <c r="QAB69" s="401"/>
      <c r="QAC69" s="401"/>
      <c r="QAD69" s="401"/>
      <c r="QAE69" s="401"/>
      <c r="QAF69" s="401"/>
      <c r="QAG69" s="401"/>
      <c r="QAH69" s="401"/>
      <c r="QAI69" s="401"/>
      <c r="QAJ69" s="401"/>
      <c r="QAK69" s="401"/>
      <c r="QAL69" s="401"/>
      <c r="QAM69" s="401"/>
      <c r="QAN69" s="401"/>
      <c r="QAO69" s="401"/>
      <c r="QAP69" s="401"/>
      <c r="QAQ69" s="401"/>
      <c r="QAR69" s="401"/>
      <c r="QAS69" s="401"/>
      <c r="QAT69" s="401"/>
      <c r="QAU69" s="401"/>
      <c r="QAV69" s="401"/>
      <c r="QAW69" s="401"/>
      <c r="QAX69" s="401"/>
      <c r="QAY69" s="401"/>
      <c r="QAZ69" s="401"/>
      <c r="QBA69" s="401"/>
      <c r="QBB69" s="401"/>
      <c r="QBC69" s="401"/>
      <c r="QBD69" s="401"/>
      <c r="QBE69" s="401"/>
      <c r="QBF69" s="401"/>
      <c r="QBG69" s="401"/>
      <c r="QBH69" s="401"/>
      <c r="QBI69" s="401"/>
      <c r="QBJ69" s="401"/>
      <c r="QBK69" s="401"/>
      <c r="QBL69" s="401"/>
      <c r="QBM69" s="401"/>
      <c r="QBN69" s="401"/>
      <c r="QBO69" s="401"/>
      <c r="QBP69" s="401"/>
      <c r="QBQ69" s="401"/>
      <c r="QBR69" s="401"/>
      <c r="QBS69" s="401"/>
      <c r="QBT69" s="401"/>
      <c r="QBU69" s="401"/>
      <c r="QBV69" s="401"/>
      <c r="QBW69" s="401"/>
      <c r="QBX69" s="401"/>
      <c r="QBY69" s="401"/>
      <c r="QBZ69" s="401"/>
      <c r="QCA69" s="401"/>
      <c r="QCB69" s="401"/>
      <c r="QCC69" s="401"/>
      <c r="QCD69" s="401"/>
      <c r="QCE69" s="401"/>
      <c r="QCF69" s="401"/>
      <c r="QCG69" s="401"/>
      <c r="QCH69" s="401"/>
      <c r="QCI69" s="401"/>
      <c r="QCJ69" s="401"/>
      <c r="QCK69" s="401"/>
      <c r="QCL69" s="401"/>
      <c r="QCM69" s="401"/>
      <c r="QCN69" s="401"/>
      <c r="QCO69" s="401"/>
      <c r="QCP69" s="401"/>
      <c r="QCQ69" s="401"/>
      <c r="QCR69" s="401"/>
      <c r="QCS69" s="401"/>
      <c r="QCT69" s="401"/>
      <c r="QCU69" s="401"/>
      <c r="QCV69" s="401"/>
      <c r="QCW69" s="401"/>
      <c r="QCX69" s="401"/>
      <c r="QCY69" s="401"/>
      <c r="QCZ69" s="401"/>
      <c r="QDA69" s="401"/>
      <c r="QDB69" s="401"/>
      <c r="QDC69" s="401"/>
      <c r="QDD69" s="401"/>
      <c r="QDE69" s="401"/>
      <c r="QDF69" s="401"/>
      <c r="QDG69" s="401"/>
      <c r="QDH69" s="401"/>
      <c r="QDI69" s="401"/>
      <c r="QDJ69" s="401"/>
      <c r="QDK69" s="401"/>
      <c r="QDL69" s="401"/>
      <c r="QDM69" s="401"/>
      <c r="QDN69" s="401"/>
      <c r="QDO69" s="401"/>
      <c r="QDP69" s="401"/>
      <c r="QDQ69" s="401"/>
      <c r="QDR69" s="401"/>
      <c r="QDS69" s="401"/>
      <c r="QDT69" s="401"/>
      <c r="QDU69" s="401"/>
      <c r="QDV69" s="401"/>
      <c r="QDW69" s="401"/>
      <c r="QDX69" s="401"/>
      <c r="QDY69" s="401"/>
      <c r="QDZ69" s="401"/>
      <c r="QEA69" s="401"/>
      <c r="QEB69" s="401"/>
      <c r="QEC69" s="401"/>
      <c r="QED69" s="401"/>
      <c r="QEE69" s="401"/>
      <c r="QEF69" s="401"/>
      <c r="QEG69" s="401"/>
      <c r="QEH69" s="401"/>
      <c r="QEI69" s="401"/>
      <c r="QEJ69" s="401"/>
      <c r="QEK69" s="401"/>
      <c r="QEL69" s="401"/>
      <c r="QEM69" s="401"/>
      <c r="QEN69" s="401"/>
      <c r="QEO69" s="401"/>
      <c r="QEP69" s="401"/>
      <c r="QEQ69" s="401"/>
      <c r="QER69" s="401"/>
      <c r="QES69" s="401"/>
      <c r="QET69" s="401"/>
      <c r="QEU69" s="401"/>
      <c r="QEV69" s="401"/>
      <c r="QEW69" s="401"/>
      <c r="QEX69" s="401"/>
      <c r="QEY69" s="401"/>
      <c r="QEZ69" s="401"/>
      <c r="QFA69" s="401"/>
      <c r="QFB69" s="401"/>
      <c r="QFC69" s="401"/>
      <c r="QFD69" s="401"/>
      <c r="QFE69" s="401"/>
      <c r="QFF69" s="401"/>
      <c r="QFG69" s="401"/>
      <c r="QFH69" s="401"/>
      <c r="QFI69" s="401"/>
      <c r="QFJ69" s="401"/>
      <c r="QFK69" s="401"/>
      <c r="QFL69" s="401"/>
      <c r="QFM69" s="401"/>
      <c r="QFN69" s="401"/>
      <c r="QFO69" s="401"/>
      <c r="QFP69" s="401"/>
      <c r="QFQ69" s="401"/>
      <c r="QFR69" s="401"/>
      <c r="QFS69" s="401"/>
      <c r="QFT69" s="401"/>
      <c r="QFU69" s="401"/>
      <c r="QFV69" s="401"/>
      <c r="QFW69" s="401"/>
      <c r="QFX69" s="401"/>
      <c r="QFY69" s="401"/>
      <c r="QFZ69" s="401"/>
      <c r="QGA69" s="401"/>
      <c r="QGB69" s="401"/>
      <c r="QGC69" s="401"/>
      <c r="QGD69" s="401"/>
      <c r="QGE69" s="401"/>
      <c r="QGF69" s="401"/>
      <c r="QGG69" s="401"/>
      <c r="QGH69" s="401"/>
      <c r="QGI69" s="401"/>
      <c r="QGJ69" s="401"/>
      <c r="QGK69" s="401"/>
      <c r="QGL69" s="401"/>
      <c r="QGM69" s="401"/>
      <c r="QGN69" s="401"/>
      <c r="QGO69" s="401"/>
      <c r="QGP69" s="401"/>
      <c r="QGQ69" s="401"/>
      <c r="QGR69" s="401"/>
      <c r="QGS69" s="401"/>
      <c r="QGT69" s="401"/>
      <c r="QGU69" s="401"/>
      <c r="QGV69" s="401"/>
      <c r="QGW69" s="401"/>
      <c r="QGX69" s="401"/>
      <c r="QGY69" s="401"/>
      <c r="QGZ69" s="401"/>
      <c r="QHA69" s="401"/>
      <c r="QHB69" s="401"/>
      <c r="QHC69" s="401"/>
      <c r="QHD69" s="401"/>
      <c r="QHE69" s="401"/>
      <c r="QHF69" s="401"/>
      <c r="QHG69" s="401"/>
      <c r="QHH69" s="401"/>
      <c r="QHI69" s="401"/>
      <c r="QHJ69" s="401"/>
      <c r="QHK69" s="401"/>
      <c r="QHL69" s="401"/>
      <c r="QHM69" s="401"/>
      <c r="QHN69" s="401"/>
      <c r="QHO69" s="401"/>
      <c r="QHP69" s="401"/>
      <c r="QHQ69" s="401"/>
      <c r="QHR69" s="401"/>
      <c r="QHS69" s="401"/>
      <c r="QHT69" s="401"/>
      <c r="QHU69" s="401"/>
      <c r="QHV69" s="401"/>
      <c r="QHW69" s="401"/>
      <c r="QHX69" s="401"/>
      <c r="QHY69" s="401"/>
      <c r="QHZ69" s="401"/>
      <c r="QIA69" s="401"/>
      <c r="QIB69" s="401"/>
      <c r="QIC69" s="401"/>
      <c r="QID69" s="401"/>
      <c r="QIE69" s="401"/>
      <c r="QIF69" s="401"/>
      <c r="QIG69" s="401"/>
      <c r="QIH69" s="401"/>
      <c r="QII69" s="401"/>
      <c r="QIJ69" s="401"/>
      <c r="QIK69" s="401"/>
      <c r="QIL69" s="401"/>
      <c r="QIM69" s="401"/>
      <c r="QIN69" s="401"/>
      <c r="QIO69" s="401"/>
      <c r="QIP69" s="401"/>
      <c r="QIQ69" s="401"/>
      <c r="QIR69" s="401"/>
      <c r="QIS69" s="401"/>
      <c r="QIT69" s="401"/>
      <c r="QIU69" s="401"/>
      <c r="QIV69" s="401"/>
      <c r="QIW69" s="401"/>
      <c r="QIX69" s="401"/>
      <c r="QIY69" s="401"/>
      <c r="QIZ69" s="401"/>
      <c r="QJA69" s="401"/>
      <c r="QJB69" s="401"/>
      <c r="QJC69" s="401"/>
      <c r="QJD69" s="401"/>
      <c r="QJE69" s="401"/>
      <c r="QJF69" s="401"/>
      <c r="QJG69" s="401"/>
      <c r="QJH69" s="401"/>
      <c r="QJI69" s="401"/>
      <c r="QJJ69" s="401"/>
      <c r="QJK69" s="401"/>
      <c r="QJL69" s="401"/>
      <c r="QJM69" s="401"/>
      <c r="QJN69" s="401"/>
      <c r="QJO69" s="401"/>
      <c r="QJP69" s="401"/>
      <c r="QJQ69" s="401"/>
      <c r="QJR69" s="401"/>
      <c r="QJS69" s="401"/>
      <c r="QJT69" s="401"/>
      <c r="QJU69" s="401"/>
      <c r="QJV69" s="401"/>
      <c r="QJW69" s="401"/>
      <c r="QJX69" s="401"/>
      <c r="QJY69" s="401"/>
      <c r="QJZ69" s="401"/>
      <c r="QKA69" s="401"/>
      <c r="QKB69" s="401"/>
      <c r="QKC69" s="401"/>
      <c r="QKD69" s="401"/>
      <c r="QKE69" s="401"/>
      <c r="QKF69" s="401"/>
      <c r="QKG69" s="401"/>
      <c r="QKH69" s="401"/>
      <c r="QKI69" s="401"/>
      <c r="QKJ69" s="401"/>
      <c r="QKK69" s="401"/>
      <c r="QKL69" s="401"/>
      <c r="QKM69" s="401"/>
      <c r="QKN69" s="401"/>
      <c r="QKO69" s="401"/>
      <c r="QKP69" s="401"/>
      <c r="QKQ69" s="401"/>
      <c r="QKR69" s="401"/>
      <c r="QKS69" s="401"/>
      <c r="QKT69" s="401"/>
      <c r="QKU69" s="401"/>
      <c r="QKV69" s="401"/>
      <c r="QKW69" s="401"/>
      <c r="QKX69" s="401"/>
      <c r="QKY69" s="401"/>
      <c r="QKZ69" s="401"/>
      <c r="QLA69" s="401"/>
      <c r="QLB69" s="401"/>
      <c r="QLC69" s="401"/>
      <c r="QLD69" s="401"/>
      <c r="QLE69" s="401"/>
      <c r="QLF69" s="401"/>
      <c r="QLG69" s="401"/>
      <c r="QLH69" s="401"/>
      <c r="QLI69" s="401"/>
      <c r="QLJ69" s="401"/>
      <c r="QLK69" s="401"/>
      <c r="QLL69" s="401"/>
      <c r="QLM69" s="401"/>
      <c r="QLN69" s="401"/>
      <c r="QLO69" s="401"/>
      <c r="QLP69" s="401"/>
      <c r="QLQ69" s="401"/>
      <c r="QLR69" s="401"/>
      <c r="QLS69" s="401"/>
      <c r="QLT69" s="401"/>
      <c r="QLU69" s="401"/>
      <c r="QLV69" s="401"/>
      <c r="QLW69" s="401"/>
      <c r="QLX69" s="401"/>
      <c r="QLY69" s="401"/>
      <c r="QLZ69" s="401"/>
      <c r="QMA69" s="401"/>
      <c r="QMB69" s="401"/>
      <c r="QMC69" s="401"/>
      <c r="QMD69" s="401"/>
      <c r="QME69" s="401"/>
      <c r="QMF69" s="401"/>
      <c r="QMG69" s="401"/>
      <c r="QMH69" s="401"/>
      <c r="QMI69" s="401"/>
      <c r="QMJ69" s="401"/>
      <c r="QMK69" s="401"/>
      <c r="QML69" s="401"/>
      <c r="QMM69" s="401"/>
      <c r="QMN69" s="401"/>
      <c r="QMO69" s="401"/>
      <c r="QMP69" s="401"/>
      <c r="QMQ69" s="401"/>
      <c r="QMR69" s="401"/>
      <c r="QMS69" s="401"/>
      <c r="QMT69" s="401"/>
      <c r="QMU69" s="401"/>
      <c r="QMV69" s="401"/>
      <c r="QMW69" s="401"/>
      <c r="QMX69" s="401"/>
      <c r="QMY69" s="401"/>
      <c r="QMZ69" s="401"/>
      <c r="QNA69" s="401"/>
      <c r="QNB69" s="401"/>
      <c r="QNC69" s="401"/>
      <c r="QND69" s="401"/>
      <c r="QNE69" s="401"/>
      <c r="QNF69" s="401"/>
      <c r="QNG69" s="401"/>
      <c r="QNH69" s="401"/>
      <c r="QNI69" s="401"/>
      <c r="QNJ69" s="401"/>
      <c r="QNK69" s="401"/>
      <c r="QNL69" s="401"/>
      <c r="QNM69" s="401"/>
      <c r="QNN69" s="401"/>
      <c r="QNO69" s="401"/>
      <c r="QNP69" s="401"/>
      <c r="QNQ69" s="401"/>
      <c r="QNR69" s="401"/>
      <c r="QNS69" s="401"/>
      <c r="QNT69" s="401"/>
      <c r="QNU69" s="401"/>
      <c r="QNV69" s="401"/>
      <c r="QNW69" s="401"/>
      <c r="QNX69" s="401"/>
      <c r="QNY69" s="401"/>
      <c r="QNZ69" s="401"/>
      <c r="QOA69" s="401"/>
      <c r="QOB69" s="401"/>
      <c r="QOC69" s="401"/>
      <c r="QOD69" s="401"/>
      <c r="QOE69" s="401"/>
      <c r="QOF69" s="401"/>
      <c r="QOG69" s="401"/>
      <c r="QOH69" s="401"/>
      <c r="QOI69" s="401"/>
      <c r="QOJ69" s="401"/>
      <c r="QOK69" s="401"/>
      <c r="QOL69" s="401"/>
      <c r="QOM69" s="401"/>
      <c r="QON69" s="401"/>
      <c r="QOO69" s="401"/>
      <c r="QOP69" s="401"/>
      <c r="QOQ69" s="401"/>
      <c r="QOR69" s="401"/>
      <c r="QOS69" s="401"/>
      <c r="QOT69" s="401"/>
      <c r="QOU69" s="401"/>
      <c r="QOV69" s="401"/>
      <c r="QOW69" s="401"/>
      <c r="QOX69" s="401"/>
      <c r="QOY69" s="401"/>
      <c r="QOZ69" s="401"/>
      <c r="QPA69" s="401"/>
      <c r="QPB69" s="401"/>
      <c r="QPC69" s="401"/>
      <c r="QPD69" s="401"/>
      <c r="QPE69" s="401"/>
      <c r="QPF69" s="401"/>
      <c r="QPG69" s="401"/>
      <c r="QPH69" s="401"/>
      <c r="QPI69" s="401"/>
      <c r="QPJ69" s="401"/>
      <c r="QPK69" s="401"/>
      <c r="QPL69" s="401"/>
      <c r="QPM69" s="401"/>
      <c r="QPN69" s="401"/>
      <c r="QPO69" s="401"/>
      <c r="QPP69" s="401"/>
      <c r="QPQ69" s="401"/>
      <c r="QPR69" s="401"/>
      <c r="QPS69" s="401"/>
      <c r="QPT69" s="401"/>
      <c r="QPU69" s="401"/>
      <c r="QPV69" s="401"/>
      <c r="QPW69" s="401"/>
      <c r="QPX69" s="401"/>
      <c r="QPY69" s="401"/>
      <c r="QPZ69" s="401"/>
      <c r="QQA69" s="401"/>
      <c r="QQB69" s="401"/>
      <c r="QQC69" s="401"/>
      <c r="QQD69" s="401"/>
      <c r="QQE69" s="401"/>
      <c r="QQF69" s="401"/>
      <c r="QQG69" s="401"/>
      <c r="QQH69" s="401"/>
      <c r="QQI69" s="401"/>
      <c r="QQJ69" s="401"/>
      <c r="QQK69" s="401"/>
      <c r="QQL69" s="401"/>
      <c r="QQM69" s="401"/>
      <c r="QQN69" s="401"/>
      <c r="QQO69" s="401"/>
      <c r="QQP69" s="401"/>
      <c r="QQQ69" s="401"/>
      <c r="QQR69" s="401"/>
      <c r="QQS69" s="401"/>
      <c r="QQT69" s="401"/>
      <c r="QQU69" s="401"/>
      <c r="QQV69" s="401"/>
      <c r="QQW69" s="401"/>
      <c r="QQX69" s="401"/>
      <c r="QQY69" s="401"/>
      <c r="QQZ69" s="401"/>
      <c r="QRA69" s="401"/>
      <c r="QRB69" s="401"/>
      <c r="QRC69" s="401"/>
      <c r="QRD69" s="401"/>
      <c r="QRE69" s="401"/>
      <c r="QRF69" s="401"/>
      <c r="QRG69" s="401"/>
      <c r="QRH69" s="401"/>
      <c r="QRI69" s="401"/>
      <c r="QRJ69" s="401"/>
      <c r="QRK69" s="401"/>
      <c r="QRL69" s="401"/>
      <c r="QRM69" s="401"/>
      <c r="QRN69" s="401"/>
      <c r="QRO69" s="401"/>
      <c r="QRP69" s="401"/>
      <c r="QRQ69" s="401"/>
      <c r="QRR69" s="401"/>
      <c r="QRS69" s="401"/>
      <c r="QRT69" s="401"/>
      <c r="QRU69" s="401"/>
      <c r="QRV69" s="401"/>
      <c r="QRW69" s="401"/>
      <c r="QRX69" s="401"/>
      <c r="QRY69" s="401"/>
      <c r="QRZ69" s="401"/>
      <c r="QSA69" s="401"/>
      <c r="QSB69" s="401"/>
      <c r="QSC69" s="401"/>
      <c r="QSD69" s="401"/>
      <c r="QSE69" s="401"/>
      <c r="QSF69" s="401"/>
      <c r="QSG69" s="401"/>
      <c r="QSH69" s="401"/>
      <c r="QSI69" s="401"/>
      <c r="QSJ69" s="401"/>
      <c r="QSK69" s="401"/>
      <c r="QSL69" s="401"/>
      <c r="QSM69" s="401"/>
      <c r="QSN69" s="401"/>
      <c r="QSO69" s="401"/>
      <c r="QSP69" s="401"/>
      <c r="QSQ69" s="401"/>
      <c r="QSR69" s="401"/>
      <c r="QSS69" s="401"/>
      <c r="QST69" s="401"/>
      <c r="QSU69" s="401"/>
      <c r="QSV69" s="401"/>
      <c r="QSW69" s="401"/>
      <c r="QSX69" s="401"/>
      <c r="QSY69" s="401"/>
      <c r="QSZ69" s="401"/>
      <c r="QTA69" s="401"/>
      <c r="QTB69" s="401"/>
      <c r="QTC69" s="401"/>
      <c r="QTD69" s="401"/>
      <c r="QTE69" s="401"/>
      <c r="QTF69" s="401"/>
      <c r="QTG69" s="401"/>
      <c r="QTH69" s="401"/>
      <c r="QTI69" s="401"/>
      <c r="QTJ69" s="401"/>
      <c r="QTK69" s="401"/>
      <c r="QTL69" s="401"/>
      <c r="QTM69" s="401"/>
      <c r="QTN69" s="401"/>
      <c r="QTO69" s="401"/>
      <c r="QTP69" s="401"/>
      <c r="QTQ69" s="401"/>
      <c r="QTR69" s="401"/>
      <c r="QTS69" s="401"/>
      <c r="QTT69" s="401"/>
      <c r="QTU69" s="401"/>
      <c r="QTV69" s="401"/>
      <c r="QTW69" s="401"/>
      <c r="QTX69" s="401"/>
      <c r="QTY69" s="401"/>
      <c r="QTZ69" s="401"/>
      <c r="QUA69" s="401"/>
      <c r="QUB69" s="401"/>
      <c r="QUC69" s="401"/>
      <c r="QUD69" s="401"/>
      <c r="QUE69" s="401"/>
      <c r="QUF69" s="401"/>
      <c r="QUG69" s="401"/>
      <c r="QUH69" s="401"/>
      <c r="QUI69" s="401"/>
      <c r="QUJ69" s="401"/>
      <c r="QUK69" s="401"/>
      <c r="QUL69" s="401"/>
      <c r="QUM69" s="401"/>
      <c r="QUN69" s="401"/>
      <c r="QUO69" s="401"/>
      <c r="QUP69" s="401"/>
      <c r="QUQ69" s="401"/>
      <c r="QUR69" s="401"/>
      <c r="QUS69" s="401"/>
      <c r="QUT69" s="401"/>
      <c r="QUU69" s="401"/>
      <c r="QUV69" s="401"/>
      <c r="QUW69" s="401"/>
      <c r="QUX69" s="401"/>
      <c r="QUY69" s="401"/>
      <c r="QUZ69" s="401"/>
      <c r="QVA69" s="401"/>
      <c r="QVB69" s="401"/>
      <c r="QVC69" s="401"/>
      <c r="QVD69" s="401"/>
      <c r="QVE69" s="401"/>
      <c r="QVF69" s="401"/>
      <c r="QVG69" s="401"/>
      <c r="QVH69" s="401"/>
      <c r="QVI69" s="401"/>
      <c r="QVJ69" s="401"/>
      <c r="QVK69" s="401"/>
      <c r="QVL69" s="401"/>
      <c r="QVM69" s="401"/>
      <c r="QVN69" s="401"/>
      <c r="QVO69" s="401"/>
      <c r="QVP69" s="401"/>
      <c r="QVQ69" s="401"/>
      <c r="QVR69" s="401"/>
      <c r="QVS69" s="401"/>
      <c r="QVT69" s="401"/>
      <c r="QVU69" s="401"/>
      <c r="QVV69" s="401"/>
      <c r="QVW69" s="401"/>
      <c r="QVX69" s="401"/>
      <c r="QVY69" s="401"/>
      <c r="QVZ69" s="401"/>
      <c r="QWA69" s="401"/>
      <c r="QWB69" s="401"/>
      <c r="QWC69" s="401"/>
      <c r="QWD69" s="401"/>
      <c r="QWE69" s="401"/>
      <c r="QWF69" s="401"/>
      <c r="QWG69" s="401"/>
      <c r="QWH69" s="401"/>
      <c r="QWI69" s="401"/>
      <c r="QWJ69" s="401"/>
      <c r="QWK69" s="401"/>
      <c r="QWL69" s="401"/>
      <c r="QWM69" s="401"/>
      <c r="QWN69" s="401"/>
      <c r="QWO69" s="401"/>
      <c r="QWP69" s="401"/>
      <c r="QWQ69" s="401"/>
      <c r="QWR69" s="401"/>
      <c r="QWS69" s="401"/>
      <c r="QWT69" s="401"/>
      <c r="QWU69" s="401"/>
      <c r="QWV69" s="401"/>
      <c r="QWW69" s="401"/>
      <c r="QWX69" s="401"/>
      <c r="QWY69" s="401"/>
      <c r="QWZ69" s="401"/>
      <c r="QXA69" s="401"/>
      <c r="QXB69" s="401"/>
      <c r="QXC69" s="401"/>
      <c r="QXD69" s="401"/>
      <c r="QXE69" s="401"/>
      <c r="QXF69" s="401"/>
      <c r="QXG69" s="401"/>
      <c r="QXH69" s="401"/>
      <c r="QXI69" s="401"/>
      <c r="QXJ69" s="401"/>
      <c r="QXK69" s="401"/>
      <c r="QXL69" s="401"/>
      <c r="QXM69" s="401"/>
      <c r="QXN69" s="401"/>
      <c r="QXO69" s="401"/>
      <c r="QXP69" s="401"/>
      <c r="QXQ69" s="401"/>
      <c r="QXR69" s="401"/>
      <c r="QXS69" s="401"/>
      <c r="QXT69" s="401"/>
      <c r="QXU69" s="401"/>
      <c r="QXV69" s="401"/>
      <c r="QXW69" s="401"/>
      <c r="QXX69" s="401"/>
      <c r="QXY69" s="401"/>
      <c r="QXZ69" s="401"/>
      <c r="QYA69" s="401"/>
      <c r="QYB69" s="401"/>
      <c r="QYC69" s="401"/>
      <c r="QYD69" s="401"/>
      <c r="QYE69" s="401"/>
      <c r="QYF69" s="401"/>
      <c r="QYG69" s="401"/>
      <c r="QYH69" s="401"/>
      <c r="QYI69" s="401"/>
      <c r="QYJ69" s="401"/>
      <c r="QYK69" s="401"/>
      <c r="QYL69" s="401"/>
      <c r="QYM69" s="401"/>
      <c r="QYN69" s="401"/>
      <c r="QYO69" s="401"/>
      <c r="QYP69" s="401"/>
      <c r="QYQ69" s="401"/>
      <c r="QYR69" s="401"/>
      <c r="QYS69" s="401"/>
      <c r="QYT69" s="401"/>
      <c r="QYU69" s="401"/>
      <c r="QYV69" s="401"/>
      <c r="QYW69" s="401"/>
      <c r="QYX69" s="401"/>
      <c r="QYY69" s="401"/>
      <c r="QYZ69" s="401"/>
      <c r="QZA69" s="401"/>
      <c r="QZB69" s="401"/>
      <c r="QZC69" s="401"/>
      <c r="QZD69" s="401"/>
      <c r="QZE69" s="401"/>
      <c r="QZF69" s="401"/>
      <c r="QZG69" s="401"/>
      <c r="QZH69" s="401"/>
      <c r="QZI69" s="401"/>
      <c r="QZJ69" s="401"/>
      <c r="QZK69" s="401"/>
      <c r="QZL69" s="401"/>
      <c r="QZM69" s="401"/>
      <c r="QZN69" s="401"/>
      <c r="QZO69" s="401"/>
      <c r="QZP69" s="401"/>
      <c r="QZQ69" s="401"/>
      <c r="QZR69" s="401"/>
      <c r="QZS69" s="401"/>
      <c r="QZT69" s="401"/>
      <c r="QZU69" s="401"/>
      <c r="QZV69" s="401"/>
      <c r="QZW69" s="401"/>
      <c r="QZX69" s="401"/>
      <c r="QZY69" s="401"/>
      <c r="QZZ69" s="401"/>
      <c r="RAA69" s="401"/>
      <c r="RAB69" s="401"/>
      <c r="RAC69" s="401"/>
      <c r="RAD69" s="401"/>
      <c r="RAE69" s="401"/>
      <c r="RAF69" s="401"/>
      <c r="RAG69" s="401"/>
      <c r="RAH69" s="401"/>
      <c r="RAI69" s="401"/>
      <c r="RAJ69" s="401"/>
      <c r="RAK69" s="401"/>
      <c r="RAL69" s="401"/>
      <c r="RAM69" s="401"/>
      <c r="RAN69" s="401"/>
      <c r="RAO69" s="401"/>
      <c r="RAP69" s="401"/>
      <c r="RAQ69" s="401"/>
      <c r="RAR69" s="401"/>
      <c r="RAS69" s="401"/>
      <c r="RAT69" s="401"/>
      <c r="RAU69" s="401"/>
      <c r="RAV69" s="401"/>
      <c r="RAW69" s="401"/>
      <c r="RAX69" s="401"/>
      <c r="RAY69" s="401"/>
      <c r="RAZ69" s="401"/>
      <c r="RBA69" s="401"/>
      <c r="RBB69" s="401"/>
      <c r="RBC69" s="401"/>
      <c r="RBD69" s="401"/>
      <c r="RBE69" s="401"/>
      <c r="RBF69" s="401"/>
      <c r="RBG69" s="401"/>
      <c r="RBH69" s="401"/>
      <c r="RBI69" s="401"/>
      <c r="RBJ69" s="401"/>
      <c r="RBK69" s="401"/>
      <c r="RBL69" s="401"/>
      <c r="RBM69" s="401"/>
      <c r="RBN69" s="401"/>
      <c r="RBO69" s="401"/>
      <c r="RBP69" s="401"/>
      <c r="RBQ69" s="401"/>
      <c r="RBR69" s="401"/>
      <c r="RBS69" s="401"/>
      <c r="RBT69" s="401"/>
      <c r="RBU69" s="401"/>
      <c r="RBV69" s="401"/>
      <c r="RBW69" s="401"/>
      <c r="RBX69" s="401"/>
      <c r="RBY69" s="401"/>
      <c r="RBZ69" s="401"/>
      <c r="RCA69" s="401"/>
      <c r="RCB69" s="401"/>
      <c r="RCC69" s="401"/>
      <c r="RCD69" s="401"/>
      <c r="RCE69" s="401"/>
      <c r="RCF69" s="401"/>
      <c r="RCG69" s="401"/>
      <c r="RCH69" s="401"/>
      <c r="RCI69" s="401"/>
      <c r="RCJ69" s="401"/>
      <c r="RCK69" s="401"/>
      <c r="RCL69" s="401"/>
      <c r="RCM69" s="401"/>
      <c r="RCN69" s="401"/>
      <c r="RCO69" s="401"/>
      <c r="RCP69" s="401"/>
      <c r="RCQ69" s="401"/>
      <c r="RCR69" s="401"/>
      <c r="RCS69" s="401"/>
      <c r="RCT69" s="401"/>
      <c r="RCU69" s="401"/>
      <c r="RCV69" s="401"/>
      <c r="RCW69" s="401"/>
      <c r="RCX69" s="401"/>
      <c r="RCY69" s="401"/>
      <c r="RCZ69" s="401"/>
      <c r="RDA69" s="401"/>
      <c r="RDB69" s="401"/>
      <c r="RDC69" s="401"/>
      <c r="RDD69" s="401"/>
      <c r="RDE69" s="401"/>
      <c r="RDF69" s="401"/>
      <c r="RDG69" s="401"/>
      <c r="RDH69" s="401"/>
      <c r="RDI69" s="401"/>
      <c r="RDJ69" s="401"/>
      <c r="RDK69" s="401"/>
      <c r="RDL69" s="401"/>
      <c r="RDM69" s="401"/>
      <c r="RDN69" s="401"/>
      <c r="RDO69" s="401"/>
      <c r="RDP69" s="401"/>
      <c r="RDQ69" s="401"/>
      <c r="RDR69" s="401"/>
      <c r="RDS69" s="401"/>
      <c r="RDT69" s="401"/>
      <c r="RDU69" s="401"/>
      <c r="RDV69" s="401"/>
      <c r="RDW69" s="401"/>
      <c r="RDX69" s="401"/>
      <c r="RDY69" s="401"/>
      <c r="RDZ69" s="401"/>
      <c r="REA69" s="401"/>
      <c r="REB69" s="401"/>
      <c r="REC69" s="401"/>
      <c r="RED69" s="401"/>
      <c r="REE69" s="401"/>
      <c r="REF69" s="401"/>
      <c r="REG69" s="401"/>
      <c r="REH69" s="401"/>
      <c r="REI69" s="401"/>
      <c r="REJ69" s="401"/>
      <c r="REK69" s="401"/>
      <c r="REL69" s="401"/>
      <c r="REM69" s="401"/>
      <c r="REN69" s="401"/>
      <c r="REO69" s="401"/>
      <c r="REP69" s="401"/>
      <c r="REQ69" s="401"/>
      <c r="RER69" s="401"/>
      <c r="RES69" s="401"/>
      <c r="RET69" s="401"/>
      <c r="REU69" s="401"/>
      <c r="REV69" s="401"/>
      <c r="REW69" s="401"/>
      <c r="REX69" s="401"/>
      <c r="REY69" s="401"/>
      <c r="REZ69" s="401"/>
      <c r="RFA69" s="401"/>
      <c r="RFB69" s="401"/>
      <c r="RFC69" s="401"/>
      <c r="RFD69" s="401"/>
      <c r="RFE69" s="401"/>
      <c r="RFF69" s="401"/>
      <c r="RFG69" s="401"/>
      <c r="RFH69" s="401"/>
      <c r="RFI69" s="401"/>
      <c r="RFJ69" s="401"/>
      <c r="RFK69" s="401"/>
      <c r="RFL69" s="401"/>
      <c r="RFM69" s="401"/>
      <c r="RFN69" s="401"/>
      <c r="RFO69" s="401"/>
      <c r="RFP69" s="401"/>
      <c r="RFQ69" s="401"/>
      <c r="RFR69" s="401"/>
      <c r="RFS69" s="401"/>
      <c r="RFT69" s="401"/>
      <c r="RFU69" s="401"/>
      <c r="RFV69" s="401"/>
      <c r="RFW69" s="401"/>
      <c r="RFX69" s="401"/>
      <c r="RFY69" s="401"/>
      <c r="RFZ69" s="401"/>
      <c r="RGA69" s="401"/>
      <c r="RGB69" s="401"/>
      <c r="RGC69" s="401"/>
      <c r="RGD69" s="401"/>
      <c r="RGE69" s="401"/>
      <c r="RGF69" s="401"/>
      <c r="RGG69" s="401"/>
      <c r="RGH69" s="401"/>
      <c r="RGI69" s="401"/>
      <c r="RGJ69" s="401"/>
      <c r="RGK69" s="401"/>
      <c r="RGL69" s="401"/>
      <c r="RGM69" s="401"/>
      <c r="RGN69" s="401"/>
      <c r="RGO69" s="401"/>
      <c r="RGP69" s="401"/>
      <c r="RGQ69" s="401"/>
      <c r="RGR69" s="401"/>
      <c r="RGS69" s="401"/>
      <c r="RGT69" s="401"/>
      <c r="RGU69" s="401"/>
      <c r="RGV69" s="401"/>
      <c r="RGW69" s="401"/>
      <c r="RGX69" s="401"/>
      <c r="RGY69" s="401"/>
      <c r="RGZ69" s="401"/>
      <c r="RHA69" s="401"/>
      <c r="RHB69" s="401"/>
      <c r="RHC69" s="401"/>
      <c r="RHD69" s="401"/>
      <c r="RHE69" s="401"/>
      <c r="RHF69" s="401"/>
      <c r="RHG69" s="401"/>
      <c r="RHH69" s="401"/>
      <c r="RHI69" s="401"/>
      <c r="RHJ69" s="401"/>
      <c r="RHK69" s="401"/>
      <c r="RHL69" s="401"/>
      <c r="RHM69" s="401"/>
      <c r="RHN69" s="401"/>
      <c r="RHO69" s="401"/>
      <c r="RHP69" s="401"/>
      <c r="RHQ69" s="401"/>
      <c r="RHR69" s="401"/>
      <c r="RHS69" s="401"/>
      <c r="RHT69" s="401"/>
      <c r="RHU69" s="401"/>
      <c r="RHV69" s="401"/>
      <c r="RHW69" s="401"/>
      <c r="RHX69" s="401"/>
      <c r="RHY69" s="401"/>
      <c r="RHZ69" s="401"/>
      <c r="RIA69" s="401"/>
      <c r="RIB69" s="401"/>
      <c r="RIC69" s="401"/>
      <c r="RID69" s="401"/>
      <c r="RIE69" s="401"/>
      <c r="RIF69" s="401"/>
      <c r="RIG69" s="401"/>
      <c r="RIH69" s="401"/>
      <c r="RII69" s="401"/>
      <c r="RIJ69" s="401"/>
      <c r="RIK69" s="401"/>
      <c r="RIL69" s="401"/>
      <c r="RIM69" s="401"/>
      <c r="RIN69" s="401"/>
      <c r="RIO69" s="401"/>
      <c r="RIP69" s="401"/>
      <c r="RIQ69" s="401"/>
      <c r="RIR69" s="401"/>
      <c r="RIS69" s="401"/>
      <c r="RIT69" s="401"/>
      <c r="RIU69" s="401"/>
      <c r="RIV69" s="401"/>
      <c r="RIW69" s="401"/>
      <c r="RIX69" s="401"/>
      <c r="RIY69" s="401"/>
      <c r="RIZ69" s="401"/>
      <c r="RJA69" s="401"/>
      <c r="RJB69" s="401"/>
      <c r="RJC69" s="401"/>
      <c r="RJD69" s="401"/>
      <c r="RJE69" s="401"/>
      <c r="RJF69" s="401"/>
      <c r="RJG69" s="401"/>
      <c r="RJH69" s="401"/>
      <c r="RJI69" s="401"/>
      <c r="RJJ69" s="401"/>
      <c r="RJK69" s="401"/>
      <c r="RJL69" s="401"/>
      <c r="RJM69" s="401"/>
      <c r="RJN69" s="401"/>
      <c r="RJO69" s="401"/>
      <c r="RJP69" s="401"/>
      <c r="RJQ69" s="401"/>
      <c r="RJR69" s="401"/>
      <c r="RJS69" s="401"/>
      <c r="RJT69" s="401"/>
      <c r="RJU69" s="401"/>
      <c r="RJV69" s="401"/>
      <c r="RJW69" s="401"/>
      <c r="RJX69" s="401"/>
      <c r="RJY69" s="401"/>
      <c r="RJZ69" s="401"/>
      <c r="RKA69" s="401"/>
      <c r="RKB69" s="401"/>
      <c r="RKC69" s="401"/>
      <c r="RKD69" s="401"/>
      <c r="RKE69" s="401"/>
      <c r="RKF69" s="401"/>
      <c r="RKG69" s="401"/>
      <c r="RKH69" s="401"/>
      <c r="RKI69" s="401"/>
      <c r="RKJ69" s="401"/>
      <c r="RKK69" s="401"/>
      <c r="RKL69" s="401"/>
      <c r="RKM69" s="401"/>
      <c r="RKN69" s="401"/>
      <c r="RKO69" s="401"/>
      <c r="RKP69" s="401"/>
      <c r="RKQ69" s="401"/>
      <c r="RKR69" s="401"/>
      <c r="RKS69" s="401"/>
      <c r="RKT69" s="401"/>
      <c r="RKU69" s="401"/>
      <c r="RKV69" s="401"/>
      <c r="RKW69" s="401"/>
      <c r="RKX69" s="401"/>
      <c r="RKY69" s="401"/>
      <c r="RKZ69" s="401"/>
      <c r="RLA69" s="401"/>
      <c r="RLB69" s="401"/>
      <c r="RLC69" s="401"/>
      <c r="RLD69" s="401"/>
      <c r="RLE69" s="401"/>
      <c r="RLF69" s="401"/>
      <c r="RLG69" s="401"/>
      <c r="RLH69" s="401"/>
      <c r="RLI69" s="401"/>
      <c r="RLJ69" s="401"/>
      <c r="RLK69" s="401"/>
      <c r="RLL69" s="401"/>
      <c r="RLM69" s="401"/>
      <c r="RLN69" s="401"/>
      <c r="RLO69" s="401"/>
      <c r="RLP69" s="401"/>
      <c r="RLQ69" s="401"/>
      <c r="RLR69" s="401"/>
      <c r="RLS69" s="401"/>
      <c r="RLT69" s="401"/>
      <c r="RLU69" s="401"/>
      <c r="RLV69" s="401"/>
      <c r="RLW69" s="401"/>
      <c r="RLX69" s="401"/>
      <c r="RLY69" s="401"/>
      <c r="RLZ69" s="401"/>
      <c r="RMA69" s="401"/>
      <c r="RMB69" s="401"/>
      <c r="RMC69" s="401"/>
      <c r="RMD69" s="401"/>
      <c r="RME69" s="401"/>
      <c r="RMF69" s="401"/>
      <c r="RMG69" s="401"/>
      <c r="RMH69" s="401"/>
      <c r="RMI69" s="401"/>
      <c r="RMJ69" s="401"/>
      <c r="RMK69" s="401"/>
      <c r="RML69" s="401"/>
      <c r="RMM69" s="401"/>
      <c r="RMN69" s="401"/>
      <c r="RMO69" s="401"/>
      <c r="RMP69" s="401"/>
      <c r="RMQ69" s="401"/>
      <c r="RMR69" s="401"/>
      <c r="RMS69" s="401"/>
      <c r="RMT69" s="401"/>
      <c r="RMU69" s="401"/>
      <c r="RMV69" s="401"/>
      <c r="RMW69" s="401"/>
      <c r="RMX69" s="401"/>
      <c r="RMY69" s="401"/>
      <c r="RMZ69" s="401"/>
      <c r="RNA69" s="401"/>
      <c r="RNB69" s="401"/>
      <c r="RNC69" s="401"/>
      <c r="RND69" s="401"/>
      <c r="RNE69" s="401"/>
      <c r="RNF69" s="401"/>
      <c r="RNG69" s="401"/>
      <c r="RNH69" s="401"/>
      <c r="RNI69" s="401"/>
      <c r="RNJ69" s="401"/>
      <c r="RNK69" s="401"/>
      <c r="RNL69" s="401"/>
      <c r="RNM69" s="401"/>
      <c r="RNN69" s="401"/>
      <c r="RNO69" s="401"/>
      <c r="RNP69" s="401"/>
      <c r="RNQ69" s="401"/>
      <c r="RNR69" s="401"/>
      <c r="RNS69" s="401"/>
      <c r="RNT69" s="401"/>
      <c r="RNU69" s="401"/>
      <c r="RNV69" s="401"/>
      <c r="RNW69" s="401"/>
      <c r="RNX69" s="401"/>
      <c r="RNY69" s="401"/>
      <c r="RNZ69" s="401"/>
      <c r="ROA69" s="401"/>
      <c r="ROB69" s="401"/>
      <c r="ROC69" s="401"/>
      <c r="ROD69" s="401"/>
      <c r="ROE69" s="401"/>
      <c r="ROF69" s="401"/>
      <c r="ROG69" s="401"/>
      <c r="ROH69" s="401"/>
      <c r="ROI69" s="401"/>
      <c r="ROJ69" s="401"/>
      <c r="ROK69" s="401"/>
      <c r="ROL69" s="401"/>
      <c r="ROM69" s="401"/>
      <c r="RON69" s="401"/>
      <c r="ROO69" s="401"/>
      <c r="ROP69" s="401"/>
      <c r="ROQ69" s="401"/>
      <c r="ROR69" s="401"/>
      <c r="ROS69" s="401"/>
      <c r="ROT69" s="401"/>
      <c r="ROU69" s="401"/>
      <c r="ROV69" s="401"/>
      <c r="ROW69" s="401"/>
      <c r="ROX69" s="401"/>
      <c r="ROY69" s="401"/>
      <c r="ROZ69" s="401"/>
      <c r="RPA69" s="401"/>
      <c r="RPB69" s="401"/>
      <c r="RPC69" s="401"/>
      <c r="RPD69" s="401"/>
      <c r="RPE69" s="401"/>
      <c r="RPF69" s="401"/>
      <c r="RPG69" s="401"/>
      <c r="RPH69" s="401"/>
      <c r="RPI69" s="401"/>
      <c r="RPJ69" s="401"/>
      <c r="RPK69" s="401"/>
      <c r="RPL69" s="401"/>
      <c r="RPM69" s="401"/>
      <c r="RPN69" s="401"/>
      <c r="RPO69" s="401"/>
      <c r="RPP69" s="401"/>
      <c r="RPQ69" s="401"/>
      <c r="RPR69" s="401"/>
      <c r="RPS69" s="401"/>
      <c r="RPT69" s="401"/>
      <c r="RPU69" s="401"/>
      <c r="RPV69" s="401"/>
      <c r="RPW69" s="401"/>
      <c r="RPX69" s="401"/>
      <c r="RPY69" s="401"/>
      <c r="RPZ69" s="401"/>
      <c r="RQA69" s="401"/>
      <c r="RQB69" s="401"/>
      <c r="RQC69" s="401"/>
      <c r="RQD69" s="401"/>
      <c r="RQE69" s="401"/>
      <c r="RQF69" s="401"/>
      <c r="RQG69" s="401"/>
      <c r="RQH69" s="401"/>
      <c r="RQI69" s="401"/>
      <c r="RQJ69" s="401"/>
      <c r="RQK69" s="401"/>
      <c r="RQL69" s="401"/>
      <c r="RQM69" s="401"/>
      <c r="RQN69" s="401"/>
      <c r="RQO69" s="401"/>
      <c r="RQP69" s="401"/>
      <c r="RQQ69" s="401"/>
      <c r="RQR69" s="401"/>
      <c r="RQS69" s="401"/>
      <c r="RQT69" s="401"/>
      <c r="RQU69" s="401"/>
      <c r="RQV69" s="401"/>
      <c r="RQW69" s="401"/>
      <c r="RQX69" s="401"/>
      <c r="RQY69" s="401"/>
      <c r="RQZ69" s="401"/>
      <c r="RRA69" s="401"/>
      <c r="RRB69" s="401"/>
      <c r="RRC69" s="401"/>
      <c r="RRD69" s="401"/>
      <c r="RRE69" s="401"/>
      <c r="RRF69" s="401"/>
      <c r="RRG69" s="401"/>
      <c r="RRH69" s="401"/>
      <c r="RRI69" s="401"/>
      <c r="RRJ69" s="401"/>
      <c r="RRK69" s="401"/>
      <c r="RRL69" s="401"/>
      <c r="RRM69" s="401"/>
      <c r="RRN69" s="401"/>
      <c r="RRO69" s="401"/>
      <c r="RRP69" s="401"/>
      <c r="RRQ69" s="401"/>
      <c r="RRR69" s="401"/>
      <c r="RRS69" s="401"/>
      <c r="RRT69" s="401"/>
      <c r="RRU69" s="401"/>
      <c r="RRV69" s="401"/>
      <c r="RRW69" s="401"/>
      <c r="RRX69" s="401"/>
      <c r="RRY69" s="401"/>
      <c r="RRZ69" s="401"/>
      <c r="RSA69" s="401"/>
      <c r="RSB69" s="401"/>
      <c r="RSC69" s="401"/>
      <c r="RSD69" s="401"/>
      <c r="RSE69" s="401"/>
      <c r="RSF69" s="401"/>
      <c r="RSG69" s="401"/>
      <c r="RSH69" s="401"/>
      <c r="RSI69" s="401"/>
      <c r="RSJ69" s="401"/>
      <c r="RSK69" s="401"/>
      <c r="RSL69" s="401"/>
      <c r="RSM69" s="401"/>
      <c r="RSN69" s="401"/>
      <c r="RSO69" s="401"/>
      <c r="RSP69" s="401"/>
      <c r="RSQ69" s="401"/>
      <c r="RSR69" s="401"/>
      <c r="RSS69" s="401"/>
      <c r="RST69" s="401"/>
      <c r="RSU69" s="401"/>
      <c r="RSV69" s="401"/>
      <c r="RSW69" s="401"/>
      <c r="RSX69" s="401"/>
      <c r="RSY69" s="401"/>
      <c r="RSZ69" s="401"/>
      <c r="RTA69" s="401"/>
      <c r="RTB69" s="401"/>
      <c r="RTC69" s="401"/>
      <c r="RTD69" s="401"/>
      <c r="RTE69" s="401"/>
      <c r="RTF69" s="401"/>
      <c r="RTG69" s="401"/>
      <c r="RTH69" s="401"/>
      <c r="RTI69" s="401"/>
      <c r="RTJ69" s="401"/>
      <c r="RTK69" s="401"/>
      <c r="RTL69" s="401"/>
      <c r="RTM69" s="401"/>
      <c r="RTN69" s="401"/>
      <c r="RTO69" s="401"/>
      <c r="RTP69" s="401"/>
      <c r="RTQ69" s="401"/>
      <c r="RTR69" s="401"/>
      <c r="RTS69" s="401"/>
      <c r="RTT69" s="401"/>
      <c r="RTU69" s="401"/>
      <c r="RTV69" s="401"/>
      <c r="RTW69" s="401"/>
      <c r="RTX69" s="401"/>
      <c r="RTY69" s="401"/>
      <c r="RTZ69" s="401"/>
      <c r="RUA69" s="401"/>
      <c r="RUB69" s="401"/>
      <c r="RUC69" s="401"/>
      <c r="RUD69" s="401"/>
      <c r="RUE69" s="401"/>
      <c r="RUF69" s="401"/>
      <c r="RUG69" s="401"/>
      <c r="RUH69" s="401"/>
      <c r="RUI69" s="401"/>
      <c r="RUJ69" s="401"/>
      <c r="RUK69" s="401"/>
      <c r="RUL69" s="401"/>
      <c r="RUM69" s="401"/>
      <c r="RUN69" s="401"/>
      <c r="RUO69" s="401"/>
      <c r="RUP69" s="401"/>
      <c r="RUQ69" s="401"/>
      <c r="RUR69" s="401"/>
      <c r="RUS69" s="401"/>
      <c r="RUT69" s="401"/>
      <c r="RUU69" s="401"/>
      <c r="RUV69" s="401"/>
      <c r="RUW69" s="401"/>
      <c r="RUX69" s="401"/>
      <c r="RUY69" s="401"/>
      <c r="RUZ69" s="401"/>
      <c r="RVA69" s="401"/>
      <c r="RVB69" s="401"/>
      <c r="RVC69" s="401"/>
      <c r="RVD69" s="401"/>
      <c r="RVE69" s="401"/>
      <c r="RVF69" s="401"/>
      <c r="RVG69" s="401"/>
      <c r="RVH69" s="401"/>
      <c r="RVI69" s="401"/>
      <c r="RVJ69" s="401"/>
      <c r="RVK69" s="401"/>
      <c r="RVL69" s="401"/>
      <c r="RVM69" s="401"/>
      <c r="RVN69" s="401"/>
      <c r="RVO69" s="401"/>
      <c r="RVP69" s="401"/>
      <c r="RVQ69" s="401"/>
      <c r="RVR69" s="401"/>
      <c r="RVS69" s="401"/>
      <c r="RVT69" s="401"/>
      <c r="RVU69" s="401"/>
      <c r="RVV69" s="401"/>
      <c r="RVW69" s="401"/>
      <c r="RVX69" s="401"/>
      <c r="RVY69" s="401"/>
      <c r="RVZ69" s="401"/>
      <c r="RWA69" s="401"/>
      <c r="RWB69" s="401"/>
      <c r="RWC69" s="401"/>
      <c r="RWD69" s="401"/>
      <c r="RWE69" s="401"/>
      <c r="RWF69" s="401"/>
      <c r="RWG69" s="401"/>
      <c r="RWH69" s="401"/>
      <c r="RWI69" s="401"/>
      <c r="RWJ69" s="401"/>
      <c r="RWK69" s="401"/>
      <c r="RWL69" s="401"/>
      <c r="RWM69" s="401"/>
      <c r="RWN69" s="401"/>
      <c r="RWO69" s="401"/>
      <c r="RWP69" s="401"/>
      <c r="RWQ69" s="401"/>
      <c r="RWR69" s="401"/>
      <c r="RWS69" s="401"/>
      <c r="RWT69" s="401"/>
      <c r="RWU69" s="401"/>
      <c r="RWV69" s="401"/>
      <c r="RWW69" s="401"/>
      <c r="RWX69" s="401"/>
      <c r="RWY69" s="401"/>
      <c r="RWZ69" s="401"/>
      <c r="RXA69" s="401"/>
      <c r="RXB69" s="401"/>
      <c r="RXC69" s="401"/>
      <c r="RXD69" s="401"/>
      <c r="RXE69" s="401"/>
      <c r="RXF69" s="401"/>
      <c r="RXG69" s="401"/>
      <c r="RXH69" s="401"/>
      <c r="RXI69" s="401"/>
      <c r="RXJ69" s="401"/>
      <c r="RXK69" s="401"/>
      <c r="RXL69" s="401"/>
      <c r="RXM69" s="401"/>
      <c r="RXN69" s="401"/>
      <c r="RXO69" s="401"/>
      <c r="RXP69" s="401"/>
      <c r="RXQ69" s="401"/>
      <c r="RXR69" s="401"/>
      <c r="RXS69" s="401"/>
      <c r="RXT69" s="401"/>
      <c r="RXU69" s="401"/>
      <c r="RXV69" s="401"/>
      <c r="RXW69" s="401"/>
      <c r="RXX69" s="401"/>
      <c r="RXY69" s="401"/>
      <c r="RXZ69" s="401"/>
      <c r="RYA69" s="401"/>
      <c r="RYB69" s="401"/>
      <c r="RYC69" s="401"/>
      <c r="RYD69" s="401"/>
      <c r="RYE69" s="401"/>
      <c r="RYF69" s="401"/>
      <c r="RYG69" s="401"/>
      <c r="RYH69" s="401"/>
      <c r="RYI69" s="401"/>
      <c r="RYJ69" s="401"/>
      <c r="RYK69" s="401"/>
      <c r="RYL69" s="401"/>
      <c r="RYM69" s="401"/>
      <c r="RYN69" s="401"/>
      <c r="RYO69" s="401"/>
      <c r="RYP69" s="401"/>
      <c r="RYQ69" s="401"/>
      <c r="RYR69" s="401"/>
      <c r="RYS69" s="401"/>
      <c r="RYT69" s="401"/>
      <c r="RYU69" s="401"/>
      <c r="RYV69" s="401"/>
      <c r="RYW69" s="401"/>
      <c r="RYX69" s="401"/>
      <c r="RYY69" s="401"/>
      <c r="RYZ69" s="401"/>
      <c r="RZA69" s="401"/>
      <c r="RZB69" s="401"/>
      <c r="RZC69" s="401"/>
      <c r="RZD69" s="401"/>
      <c r="RZE69" s="401"/>
      <c r="RZF69" s="401"/>
      <c r="RZG69" s="401"/>
      <c r="RZH69" s="401"/>
      <c r="RZI69" s="401"/>
      <c r="RZJ69" s="401"/>
      <c r="RZK69" s="401"/>
      <c r="RZL69" s="401"/>
      <c r="RZM69" s="401"/>
      <c r="RZN69" s="401"/>
      <c r="RZO69" s="401"/>
      <c r="RZP69" s="401"/>
      <c r="RZQ69" s="401"/>
      <c r="RZR69" s="401"/>
      <c r="RZS69" s="401"/>
      <c r="RZT69" s="401"/>
      <c r="RZU69" s="401"/>
      <c r="RZV69" s="401"/>
      <c r="RZW69" s="401"/>
      <c r="RZX69" s="401"/>
      <c r="RZY69" s="401"/>
      <c r="RZZ69" s="401"/>
      <c r="SAA69" s="401"/>
      <c r="SAB69" s="401"/>
      <c r="SAC69" s="401"/>
      <c r="SAD69" s="401"/>
      <c r="SAE69" s="401"/>
      <c r="SAF69" s="401"/>
      <c r="SAG69" s="401"/>
      <c r="SAH69" s="401"/>
      <c r="SAI69" s="401"/>
      <c r="SAJ69" s="401"/>
      <c r="SAK69" s="401"/>
      <c r="SAL69" s="401"/>
      <c r="SAM69" s="401"/>
      <c r="SAN69" s="401"/>
      <c r="SAO69" s="401"/>
      <c r="SAP69" s="401"/>
      <c r="SAQ69" s="401"/>
      <c r="SAR69" s="401"/>
      <c r="SAS69" s="401"/>
      <c r="SAT69" s="401"/>
      <c r="SAU69" s="401"/>
      <c r="SAV69" s="401"/>
      <c r="SAW69" s="401"/>
      <c r="SAX69" s="401"/>
      <c r="SAY69" s="401"/>
      <c r="SAZ69" s="401"/>
      <c r="SBA69" s="401"/>
      <c r="SBB69" s="401"/>
      <c r="SBC69" s="401"/>
      <c r="SBD69" s="401"/>
      <c r="SBE69" s="401"/>
      <c r="SBF69" s="401"/>
      <c r="SBG69" s="401"/>
      <c r="SBH69" s="401"/>
      <c r="SBI69" s="401"/>
      <c r="SBJ69" s="401"/>
      <c r="SBK69" s="401"/>
      <c r="SBL69" s="401"/>
      <c r="SBM69" s="401"/>
      <c r="SBN69" s="401"/>
      <c r="SBO69" s="401"/>
      <c r="SBP69" s="401"/>
      <c r="SBQ69" s="401"/>
      <c r="SBR69" s="401"/>
      <c r="SBS69" s="401"/>
      <c r="SBT69" s="401"/>
      <c r="SBU69" s="401"/>
      <c r="SBV69" s="401"/>
      <c r="SBW69" s="401"/>
      <c r="SBX69" s="401"/>
      <c r="SBY69" s="401"/>
      <c r="SBZ69" s="401"/>
      <c r="SCA69" s="401"/>
      <c r="SCB69" s="401"/>
      <c r="SCC69" s="401"/>
      <c r="SCD69" s="401"/>
      <c r="SCE69" s="401"/>
      <c r="SCF69" s="401"/>
      <c r="SCG69" s="401"/>
      <c r="SCH69" s="401"/>
      <c r="SCI69" s="401"/>
      <c r="SCJ69" s="401"/>
      <c r="SCK69" s="401"/>
      <c r="SCL69" s="401"/>
      <c r="SCM69" s="401"/>
      <c r="SCN69" s="401"/>
      <c r="SCO69" s="401"/>
      <c r="SCP69" s="401"/>
      <c r="SCQ69" s="401"/>
      <c r="SCR69" s="401"/>
      <c r="SCS69" s="401"/>
      <c r="SCT69" s="401"/>
      <c r="SCU69" s="401"/>
      <c r="SCV69" s="401"/>
      <c r="SCW69" s="401"/>
      <c r="SCX69" s="401"/>
      <c r="SCY69" s="401"/>
      <c r="SCZ69" s="401"/>
      <c r="SDA69" s="401"/>
      <c r="SDB69" s="401"/>
      <c r="SDC69" s="401"/>
      <c r="SDD69" s="401"/>
      <c r="SDE69" s="401"/>
      <c r="SDF69" s="401"/>
      <c r="SDG69" s="401"/>
      <c r="SDH69" s="401"/>
      <c r="SDI69" s="401"/>
      <c r="SDJ69" s="401"/>
      <c r="SDK69" s="401"/>
      <c r="SDL69" s="401"/>
      <c r="SDM69" s="401"/>
      <c r="SDN69" s="401"/>
      <c r="SDO69" s="401"/>
      <c r="SDP69" s="401"/>
      <c r="SDQ69" s="401"/>
      <c r="SDR69" s="401"/>
      <c r="SDS69" s="401"/>
      <c r="SDT69" s="401"/>
      <c r="SDU69" s="401"/>
      <c r="SDV69" s="401"/>
      <c r="SDW69" s="401"/>
      <c r="SDX69" s="401"/>
      <c r="SDY69" s="401"/>
      <c r="SDZ69" s="401"/>
      <c r="SEA69" s="401"/>
      <c r="SEB69" s="401"/>
      <c r="SEC69" s="401"/>
      <c r="SED69" s="401"/>
      <c r="SEE69" s="401"/>
      <c r="SEF69" s="401"/>
      <c r="SEG69" s="401"/>
      <c r="SEH69" s="401"/>
      <c r="SEI69" s="401"/>
      <c r="SEJ69" s="401"/>
      <c r="SEK69" s="401"/>
      <c r="SEL69" s="401"/>
      <c r="SEM69" s="401"/>
      <c r="SEN69" s="401"/>
      <c r="SEO69" s="401"/>
      <c r="SEP69" s="401"/>
      <c r="SEQ69" s="401"/>
      <c r="SER69" s="401"/>
      <c r="SES69" s="401"/>
      <c r="SET69" s="401"/>
      <c r="SEU69" s="401"/>
      <c r="SEV69" s="401"/>
      <c r="SEW69" s="401"/>
      <c r="SEX69" s="401"/>
      <c r="SEY69" s="401"/>
      <c r="SEZ69" s="401"/>
      <c r="SFA69" s="401"/>
      <c r="SFB69" s="401"/>
      <c r="SFC69" s="401"/>
      <c r="SFD69" s="401"/>
      <c r="SFE69" s="401"/>
      <c r="SFF69" s="401"/>
      <c r="SFG69" s="401"/>
      <c r="SFH69" s="401"/>
      <c r="SFI69" s="401"/>
      <c r="SFJ69" s="401"/>
      <c r="SFK69" s="401"/>
      <c r="SFL69" s="401"/>
      <c r="SFM69" s="401"/>
      <c r="SFN69" s="401"/>
      <c r="SFO69" s="401"/>
      <c r="SFP69" s="401"/>
      <c r="SFQ69" s="401"/>
      <c r="SFR69" s="401"/>
      <c r="SFS69" s="401"/>
      <c r="SFT69" s="401"/>
      <c r="SFU69" s="401"/>
      <c r="SFV69" s="401"/>
      <c r="SFW69" s="401"/>
      <c r="SFX69" s="401"/>
      <c r="SFY69" s="401"/>
      <c r="SFZ69" s="401"/>
      <c r="SGA69" s="401"/>
      <c r="SGB69" s="401"/>
      <c r="SGC69" s="401"/>
      <c r="SGD69" s="401"/>
      <c r="SGE69" s="401"/>
      <c r="SGF69" s="401"/>
      <c r="SGG69" s="401"/>
      <c r="SGH69" s="401"/>
      <c r="SGI69" s="401"/>
      <c r="SGJ69" s="401"/>
      <c r="SGK69" s="401"/>
      <c r="SGL69" s="401"/>
      <c r="SGM69" s="401"/>
      <c r="SGN69" s="401"/>
      <c r="SGO69" s="401"/>
      <c r="SGP69" s="401"/>
      <c r="SGQ69" s="401"/>
      <c r="SGR69" s="401"/>
      <c r="SGS69" s="401"/>
      <c r="SGT69" s="401"/>
      <c r="SGU69" s="401"/>
      <c r="SGV69" s="401"/>
      <c r="SGW69" s="401"/>
      <c r="SGX69" s="401"/>
      <c r="SGY69" s="401"/>
      <c r="SGZ69" s="401"/>
      <c r="SHA69" s="401"/>
      <c r="SHB69" s="401"/>
      <c r="SHC69" s="401"/>
      <c r="SHD69" s="401"/>
      <c r="SHE69" s="401"/>
      <c r="SHF69" s="401"/>
      <c r="SHG69" s="401"/>
      <c r="SHH69" s="401"/>
      <c r="SHI69" s="401"/>
      <c r="SHJ69" s="401"/>
      <c r="SHK69" s="401"/>
      <c r="SHL69" s="401"/>
      <c r="SHM69" s="401"/>
      <c r="SHN69" s="401"/>
      <c r="SHO69" s="401"/>
      <c r="SHP69" s="401"/>
      <c r="SHQ69" s="401"/>
      <c r="SHR69" s="401"/>
      <c r="SHS69" s="401"/>
      <c r="SHT69" s="401"/>
      <c r="SHU69" s="401"/>
      <c r="SHV69" s="401"/>
      <c r="SHW69" s="401"/>
      <c r="SHX69" s="401"/>
      <c r="SHY69" s="401"/>
      <c r="SHZ69" s="401"/>
      <c r="SIA69" s="401"/>
      <c r="SIB69" s="401"/>
      <c r="SIC69" s="401"/>
      <c r="SID69" s="401"/>
      <c r="SIE69" s="401"/>
      <c r="SIF69" s="401"/>
      <c r="SIG69" s="401"/>
      <c r="SIH69" s="401"/>
      <c r="SII69" s="401"/>
      <c r="SIJ69" s="401"/>
      <c r="SIK69" s="401"/>
      <c r="SIL69" s="401"/>
      <c r="SIM69" s="401"/>
      <c r="SIN69" s="401"/>
      <c r="SIO69" s="401"/>
      <c r="SIP69" s="401"/>
      <c r="SIQ69" s="401"/>
      <c r="SIR69" s="401"/>
      <c r="SIS69" s="401"/>
      <c r="SIT69" s="401"/>
      <c r="SIU69" s="401"/>
      <c r="SIV69" s="401"/>
      <c r="SIW69" s="401"/>
      <c r="SIX69" s="401"/>
      <c r="SIY69" s="401"/>
      <c r="SIZ69" s="401"/>
      <c r="SJA69" s="401"/>
      <c r="SJB69" s="401"/>
      <c r="SJC69" s="401"/>
      <c r="SJD69" s="401"/>
      <c r="SJE69" s="401"/>
      <c r="SJF69" s="401"/>
      <c r="SJG69" s="401"/>
      <c r="SJH69" s="401"/>
      <c r="SJI69" s="401"/>
      <c r="SJJ69" s="401"/>
      <c r="SJK69" s="401"/>
      <c r="SJL69" s="401"/>
      <c r="SJM69" s="401"/>
      <c r="SJN69" s="401"/>
      <c r="SJO69" s="401"/>
      <c r="SJP69" s="401"/>
      <c r="SJQ69" s="401"/>
      <c r="SJR69" s="401"/>
      <c r="SJS69" s="401"/>
      <c r="SJT69" s="401"/>
      <c r="SJU69" s="401"/>
      <c r="SJV69" s="401"/>
      <c r="SJW69" s="401"/>
      <c r="SJX69" s="401"/>
      <c r="SJY69" s="401"/>
      <c r="SJZ69" s="401"/>
      <c r="SKA69" s="401"/>
      <c r="SKB69" s="401"/>
      <c r="SKC69" s="401"/>
      <c r="SKD69" s="401"/>
      <c r="SKE69" s="401"/>
      <c r="SKF69" s="401"/>
      <c r="SKG69" s="401"/>
      <c r="SKH69" s="401"/>
      <c r="SKI69" s="401"/>
      <c r="SKJ69" s="401"/>
      <c r="SKK69" s="401"/>
      <c r="SKL69" s="401"/>
      <c r="SKM69" s="401"/>
      <c r="SKN69" s="401"/>
      <c r="SKO69" s="401"/>
      <c r="SKP69" s="401"/>
      <c r="SKQ69" s="401"/>
      <c r="SKR69" s="401"/>
      <c r="SKS69" s="401"/>
      <c r="SKT69" s="401"/>
      <c r="SKU69" s="401"/>
      <c r="SKV69" s="401"/>
      <c r="SKW69" s="401"/>
      <c r="SKX69" s="401"/>
      <c r="SKY69" s="401"/>
      <c r="SKZ69" s="401"/>
      <c r="SLA69" s="401"/>
      <c r="SLB69" s="401"/>
      <c r="SLC69" s="401"/>
      <c r="SLD69" s="401"/>
      <c r="SLE69" s="401"/>
      <c r="SLF69" s="401"/>
      <c r="SLG69" s="401"/>
      <c r="SLH69" s="401"/>
      <c r="SLI69" s="401"/>
      <c r="SLJ69" s="401"/>
      <c r="SLK69" s="401"/>
      <c r="SLL69" s="401"/>
      <c r="SLM69" s="401"/>
      <c r="SLN69" s="401"/>
      <c r="SLO69" s="401"/>
      <c r="SLP69" s="401"/>
      <c r="SLQ69" s="401"/>
      <c r="SLR69" s="401"/>
      <c r="SLS69" s="401"/>
      <c r="SLT69" s="401"/>
      <c r="SLU69" s="401"/>
      <c r="SLV69" s="401"/>
      <c r="SLW69" s="401"/>
      <c r="SLX69" s="401"/>
      <c r="SLY69" s="401"/>
      <c r="SLZ69" s="401"/>
      <c r="SMA69" s="401"/>
      <c r="SMB69" s="401"/>
      <c r="SMC69" s="401"/>
      <c r="SMD69" s="401"/>
      <c r="SME69" s="401"/>
      <c r="SMF69" s="401"/>
      <c r="SMG69" s="401"/>
      <c r="SMH69" s="401"/>
      <c r="SMI69" s="401"/>
      <c r="SMJ69" s="401"/>
      <c r="SMK69" s="401"/>
      <c r="SML69" s="401"/>
      <c r="SMM69" s="401"/>
      <c r="SMN69" s="401"/>
      <c r="SMO69" s="401"/>
      <c r="SMP69" s="401"/>
      <c r="SMQ69" s="401"/>
      <c r="SMR69" s="401"/>
      <c r="SMS69" s="401"/>
      <c r="SMT69" s="401"/>
      <c r="SMU69" s="401"/>
      <c r="SMV69" s="401"/>
      <c r="SMW69" s="401"/>
      <c r="SMX69" s="401"/>
      <c r="SMY69" s="401"/>
      <c r="SMZ69" s="401"/>
      <c r="SNA69" s="401"/>
      <c r="SNB69" s="401"/>
      <c r="SNC69" s="401"/>
      <c r="SND69" s="401"/>
      <c r="SNE69" s="401"/>
      <c r="SNF69" s="401"/>
      <c r="SNG69" s="401"/>
      <c r="SNH69" s="401"/>
      <c r="SNI69" s="401"/>
      <c r="SNJ69" s="401"/>
      <c r="SNK69" s="401"/>
      <c r="SNL69" s="401"/>
      <c r="SNM69" s="401"/>
      <c r="SNN69" s="401"/>
      <c r="SNO69" s="401"/>
      <c r="SNP69" s="401"/>
      <c r="SNQ69" s="401"/>
      <c r="SNR69" s="401"/>
      <c r="SNS69" s="401"/>
      <c r="SNT69" s="401"/>
      <c r="SNU69" s="401"/>
      <c r="SNV69" s="401"/>
      <c r="SNW69" s="401"/>
      <c r="SNX69" s="401"/>
      <c r="SNY69" s="401"/>
      <c r="SNZ69" s="401"/>
      <c r="SOA69" s="401"/>
      <c r="SOB69" s="401"/>
      <c r="SOC69" s="401"/>
      <c r="SOD69" s="401"/>
      <c r="SOE69" s="401"/>
      <c r="SOF69" s="401"/>
      <c r="SOG69" s="401"/>
      <c r="SOH69" s="401"/>
      <c r="SOI69" s="401"/>
      <c r="SOJ69" s="401"/>
      <c r="SOK69" s="401"/>
      <c r="SOL69" s="401"/>
      <c r="SOM69" s="401"/>
      <c r="SON69" s="401"/>
      <c r="SOO69" s="401"/>
      <c r="SOP69" s="401"/>
      <c r="SOQ69" s="401"/>
      <c r="SOR69" s="401"/>
      <c r="SOS69" s="401"/>
      <c r="SOT69" s="401"/>
      <c r="SOU69" s="401"/>
      <c r="SOV69" s="401"/>
      <c r="SOW69" s="401"/>
      <c r="SOX69" s="401"/>
      <c r="SOY69" s="401"/>
      <c r="SOZ69" s="401"/>
      <c r="SPA69" s="401"/>
      <c r="SPB69" s="401"/>
      <c r="SPC69" s="401"/>
      <c r="SPD69" s="401"/>
      <c r="SPE69" s="401"/>
      <c r="SPF69" s="401"/>
      <c r="SPG69" s="401"/>
      <c r="SPH69" s="401"/>
      <c r="SPI69" s="401"/>
      <c r="SPJ69" s="401"/>
      <c r="SPK69" s="401"/>
      <c r="SPL69" s="401"/>
      <c r="SPM69" s="401"/>
      <c r="SPN69" s="401"/>
      <c r="SPO69" s="401"/>
      <c r="SPP69" s="401"/>
      <c r="SPQ69" s="401"/>
      <c r="SPR69" s="401"/>
      <c r="SPS69" s="401"/>
      <c r="SPT69" s="401"/>
      <c r="SPU69" s="401"/>
      <c r="SPV69" s="401"/>
      <c r="SPW69" s="401"/>
      <c r="SPX69" s="401"/>
      <c r="SPY69" s="401"/>
      <c r="SPZ69" s="401"/>
      <c r="SQA69" s="401"/>
      <c r="SQB69" s="401"/>
      <c r="SQC69" s="401"/>
      <c r="SQD69" s="401"/>
      <c r="SQE69" s="401"/>
      <c r="SQF69" s="401"/>
      <c r="SQG69" s="401"/>
      <c r="SQH69" s="401"/>
      <c r="SQI69" s="401"/>
      <c r="SQJ69" s="401"/>
      <c r="SQK69" s="401"/>
      <c r="SQL69" s="401"/>
      <c r="SQM69" s="401"/>
      <c r="SQN69" s="401"/>
      <c r="SQO69" s="401"/>
      <c r="SQP69" s="401"/>
      <c r="SQQ69" s="401"/>
      <c r="SQR69" s="401"/>
      <c r="SQS69" s="401"/>
      <c r="SQT69" s="401"/>
      <c r="SQU69" s="401"/>
      <c r="SQV69" s="401"/>
      <c r="SQW69" s="401"/>
      <c r="SQX69" s="401"/>
      <c r="SQY69" s="401"/>
      <c r="SQZ69" s="401"/>
      <c r="SRA69" s="401"/>
      <c r="SRB69" s="401"/>
      <c r="SRC69" s="401"/>
      <c r="SRD69" s="401"/>
      <c r="SRE69" s="401"/>
      <c r="SRF69" s="401"/>
      <c r="SRG69" s="401"/>
      <c r="SRH69" s="401"/>
      <c r="SRI69" s="401"/>
      <c r="SRJ69" s="401"/>
      <c r="SRK69" s="401"/>
      <c r="SRL69" s="401"/>
      <c r="SRM69" s="401"/>
      <c r="SRN69" s="401"/>
      <c r="SRO69" s="401"/>
      <c r="SRP69" s="401"/>
      <c r="SRQ69" s="401"/>
      <c r="SRR69" s="401"/>
      <c r="SRS69" s="401"/>
      <c r="SRT69" s="401"/>
      <c r="SRU69" s="401"/>
      <c r="SRV69" s="401"/>
      <c r="SRW69" s="401"/>
      <c r="SRX69" s="401"/>
      <c r="SRY69" s="401"/>
      <c r="SRZ69" s="401"/>
      <c r="SSA69" s="401"/>
      <c r="SSB69" s="401"/>
      <c r="SSC69" s="401"/>
      <c r="SSD69" s="401"/>
      <c r="SSE69" s="401"/>
      <c r="SSF69" s="401"/>
      <c r="SSG69" s="401"/>
      <c r="SSH69" s="401"/>
      <c r="SSI69" s="401"/>
      <c r="SSJ69" s="401"/>
      <c r="SSK69" s="401"/>
      <c r="SSL69" s="401"/>
      <c r="SSM69" s="401"/>
      <c r="SSN69" s="401"/>
      <c r="SSO69" s="401"/>
      <c r="SSP69" s="401"/>
      <c r="SSQ69" s="401"/>
      <c r="SSR69" s="401"/>
      <c r="SSS69" s="401"/>
      <c r="SST69" s="401"/>
      <c r="SSU69" s="401"/>
      <c r="SSV69" s="401"/>
      <c r="SSW69" s="401"/>
      <c r="SSX69" s="401"/>
      <c r="SSY69" s="401"/>
      <c r="SSZ69" s="401"/>
      <c r="STA69" s="401"/>
      <c r="STB69" s="401"/>
      <c r="STC69" s="401"/>
      <c r="STD69" s="401"/>
      <c r="STE69" s="401"/>
      <c r="STF69" s="401"/>
      <c r="STG69" s="401"/>
      <c r="STH69" s="401"/>
      <c r="STI69" s="401"/>
      <c r="STJ69" s="401"/>
      <c r="STK69" s="401"/>
      <c r="STL69" s="401"/>
      <c r="STM69" s="401"/>
      <c r="STN69" s="401"/>
      <c r="STO69" s="401"/>
      <c r="STP69" s="401"/>
      <c r="STQ69" s="401"/>
      <c r="STR69" s="401"/>
      <c r="STS69" s="401"/>
      <c r="STT69" s="401"/>
      <c r="STU69" s="401"/>
      <c r="STV69" s="401"/>
      <c r="STW69" s="401"/>
      <c r="STX69" s="401"/>
      <c r="STY69" s="401"/>
      <c r="STZ69" s="401"/>
      <c r="SUA69" s="401"/>
      <c r="SUB69" s="401"/>
      <c r="SUC69" s="401"/>
      <c r="SUD69" s="401"/>
      <c r="SUE69" s="401"/>
      <c r="SUF69" s="401"/>
      <c r="SUG69" s="401"/>
      <c r="SUH69" s="401"/>
      <c r="SUI69" s="401"/>
      <c r="SUJ69" s="401"/>
      <c r="SUK69" s="401"/>
      <c r="SUL69" s="401"/>
      <c r="SUM69" s="401"/>
      <c r="SUN69" s="401"/>
      <c r="SUO69" s="401"/>
      <c r="SUP69" s="401"/>
      <c r="SUQ69" s="401"/>
      <c r="SUR69" s="401"/>
      <c r="SUS69" s="401"/>
      <c r="SUT69" s="401"/>
      <c r="SUU69" s="401"/>
      <c r="SUV69" s="401"/>
      <c r="SUW69" s="401"/>
      <c r="SUX69" s="401"/>
      <c r="SUY69" s="401"/>
      <c r="SUZ69" s="401"/>
      <c r="SVA69" s="401"/>
      <c r="SVB69" s="401"/>
      <c r="SVC69" s="401"/>
      <c r="SVD69" s="401"/>
      <c r="SVE69" s="401"/>
      <c r="SVF69" s="401"/>
      <c r="SVG69" s="401"/>
      <c r="SVH69" s="401"/>
      <c r="SVI69" s="401"/>
      <c r="SVJ69" s="401"/>
      <c r="SVK69" s="401"/>
      <c r="SVL69" s="401"/>
      <c r="SVM69" s="401"/>
      <c r="SVN69" s="401"/>
      <c r="SVO69" s="401"/>
      <c r="SVP69" s="401"/>
      <c r="SVQ69" s="401"/>
      <c r="SVR69" s="401"/>
      <c r="SVS69" s="401"/>
      <c r="SVT69" s="401"/>
      <c r="SVU69" s="401"/>
      <c r="SVV69" s="401"/>
      <c r="SVW69" s="401"/>
      <c r="SVX69" s="401"/>
      <c r="SVY69" s="401"/>
      <c r="SVZ69" s="401"/>
      <c r="SWA69" s="401"/>
      <c r="SWB69" s="401"/>
      <c r="SWC69" s="401"/>
      <c r="SWD69" s="401"/>
      <c r="SWE69" s="401"/>
      <c r="SWF69" s="401"/>
      <c r="SWG69" s="401"/>
      <c r="SWH69" s="401"/>
      <c r="SWI69" s="401"/>
      <c r="SWJ69" s="401"/>
      <c r="SWK69" s="401"/>
      <c r="SWL69" s="401"/>
      <c r="SWM69" s="401"/>
      <c r="SWN69" s="401"/>
      <c r="SWO69" s="401"/>
      <c r="SWP69" s="401"/>
      <c r="SWQ69" s="401"/>
      <c r="SWR69" s="401"/>
      <c r="SWS69" s="401"/>
      <c r="SWT69" s="401"/>
      <c r="SWU69" s="401"/>
      <c r="SWV69" s="401"/>
      <c r="SWW69" s="401"/>
      <c r="SWX69" s="401"/>
      <c r="SWY69" s="401"/>
      <c r="SWZ69" s="401"/>
      <c r="SXA69" s="401"/>
      <c r="SXB69" s="401"/>
      <c r="SXC69" s="401"/>
      <c r="SXD69" s="401"/>
      <c r="SXE69" s="401"/>
      <c r="SXF69" s="401"/>
      <c r="SXG69" s="401"/>
      <c r="SXH69" s="401"/>
      <c r="SXI69" s="401"/>
      <c r="SXJ69" s="401"/>
      <c r="SXK69" s="401"/>
      <c r="SXL69" s="401"/>
      <c r="SXM69" s="401"/>
      <c r="SXN69" s="401"/>
      <c r="SXO69" s="401"/>
      <c r="SXP69" s="401"/>
      <c r="SXQ69" s="401"/>
      <c r="SXR69" s="401"/>
      <c r="SXS69" s="401"/>
      <c r="SXT69" s="401"/>
      <c r="SXU69" s="401"/>
      <c r="SXV69" s="401"/>
      <c r="SXW69" s="401"/>
      <c r="SXX69" s="401"/>
      <c r="SXY69" s="401"/>
      <c r="SXZ69" s="401"/>
      <c r="SYA69" s="401"/>
      <c r="SYB69" s="401"/>
      <c r="SYC69" s="401"/>
      <c r="SYD69" s="401"/>
      <c r="SYE69" s="401"/>
      <c r="SYF69" s="401"/>
      <c r="SYG69" s="401"/>
      <c r="SYH69" s="401"/>
      <c r="SYI69" s="401"/>
      <c r="SYJ69" s="401"/>
      <c r="SYK69" s="401"/>
      <c r="SYL69" s="401"/>
      <c r="SYM69" s="401"/>
      <c r="SYN69" s="401"/>
      <c r="SYO69" s="401"/>
      <c r="SYP69" s="401"/>
      <c r="SYQ69" s="401"/>
      <c r="SYR69" s="401"/>
      <c r="SYS69" s="401"/>
      <c r="SYT69" s="401"/>
      <c r="SYU69" s="401"/>
      <c r="SYV69" s="401"/>
      <c r="SYW69" s="401"/>
      <c r="SYX69" s="401"/>
      <c r="SYY69" s="401"/>
      <c r="SYZ69" s="401"/>
      <c r="SZA69" s="401"/>
      <c r="SZB69" s="401"/>
      <c r="SZC69" s="401"/>
      <c r="SZD69" s="401"/>
      <c r="SZE69" s="401"/>
      <c r="SZF69" s="401"/>
      <c r="SZG69" s="401"/>
      <c r="SZH69" s="401"/>
      <c r="SZI69" s="401"/>
      <c r="SZJ69" s="401"/>
      <c r="SZK69" s="401"/>
      <c r="SZL69" s="401"/>
      <c r="SZM69" s="401"/>
      <c r="SZN69" s="401"/>
      <c r="SZO69" s="401"/>
      <c r="SZP69" s="401"/>
      <c r="SZQ69" s="401"/>
      <c r="SZR69" s="401"/>
      <c r="SZS69" s="401"/>
      <c r="SZT69" s="401"/>
      <c r="SZU69" s="401"/>
      <c r="SZV69" s="401"/>
      <c r="SZW69" s="401"/>
      <c r="SZX69" s="401"/>
      <c r="SZY69" s="401"/>
      <c r="SZZ69" s="401"/>
      <c r="TAA69" s="401"/>
      <c r="TAB69" s="401"/>
      <c r="TAC69" s="401"/>
      <c r="TAD69" s="401"/>
      <c r="TAE69" s="401"/>
      <c r="TAF69" s="401"/>
      <c r="TAG69" s="401"/>
      <c r="TAH69" s="401"/>
      <c r="TAI69" s="401"/>
      <c r="TAJ69" s="401"/>
      <c r="TAK69" s="401"/>
      <c r="TAL69" s="401"/>
      <c r="TAM69" s="401"/>
      <c r="TAN69" s="401"/>
      <c r="TAO69" s="401"/>
      <c r="TAP69" s="401"/>
      <c r="TAQ69" s="401"/>
      <c r="TAR69" s="401"/>
      <c r="TAS69" s="401"/>
      <c r="TAT69" s="401"/>
      <c r="TAU69" s="401"/>
      <c r="TAV69" s="401"/>
      <c r="TAW69" s="401"/>
      <c r="TAX69" s="401"/>
      <c r="TAY69" s="401"/>
      <c r="TAZ69" s="401"/>
      <c r="TBA69" s="401"/>
      <c r="TBB69" s="401"/>
      <c r="TBC69" s="401"/>
      <c r="TBD69" s="401"/>
      <c r="TBE69" s="401"/>
      <c r="TBF69" s="401"/>
      <c r="TBG69" s="401"/>
      <c r="TBH69" s="401"/>
      <c r="TBI69" s="401"/>
      <c r="TBJ69" s="401"/>
      <c r="TBK69" s="401"/>
      <c r="TBL69" s="401"/>
      <c r="TBM69" s="401"/>
      <c r="TBN69" s="401"/>
      <c r="TBO69" s="401"/>
      <c r="TBP69" s="401"/>
      <c r="TBQ69" s="401"/>
      <c r="TBR69" s="401"/>
      <c r="TBS69" s="401"/>
      <c r="TBT69" s="401"/>
      <c r="TBU69" s="401"/>
      <c r="TBV69" s="401"/>
      <c r="TBW69" s="401"/>
      <c r="TBX69" s="401"/>
      <c r="TBY69" s="401"/>
      <c r="TBZ69" s="401"/>
      <c r="TCA69" s="401"/>
      <c r="TCB69" s="401"/>
      <c r="TCC69" s="401"/>
      <c r="TCD69" s="401"/>
      <c r="TCE69" s="401"/>
      <c r="TCF69" s="401"/>
      <c r="TCG69" s="401"/>
      <c r="TCH69" s="401"/>
      <c r="TCI69" s="401"/>
      <c r="TCJ69" s="401"/>
      <c r="TCK69" s="401"/>
      <c r="TCL69" s="401"/>
      <c r="TCM69" s="401"/>
      <c r="TCN69" s="401"/>
      <c r="TCO69" s="401"/>
      <c r="TCP69" s="401"/>
      <c r="TCQ69" s="401"/>
      <c r="TCR69" s="401"/>
      <c r="TCS69" s="401"/>
      <c r="TCT69" s="401"/>
      <c r="TCU69" s="401"/>
      <c r="TCV69" s="401"/>
      <c r="TCW69" s="401"/>
      <c r="TCX69" s="401"/>
      <c r="TCY69" s="401"/>
      <c r="TCZ69" s="401"/>
      <c r="TDA69" s="401"/>
      <c r="TDB69" s="401"/>
      <c r="TDC69" s="401"/>
      <c r="TDD69" s="401"/>
      <c r="TDE69" s="401"/>
      <c r="TDF69" s="401"/>
      <c r="TDG69" s="401"/>
      <c r="TDH69" s="401"/>
      <c r="TDI69" s="401"/>
      <c r="TDJ69" s="401"/>
      <c r="TDK69" s="401"/>
      <c r="TDL69" s="401"/>
      <c r="TDM69" s="401"/>
      <c r="TDN69" s="401"/>
      <c r="TDO69" s="401"/>
      <c r="TDP69" s="401"/>
      <c r="TDQ69" s="401"/>
      <c r="TDR69" s="401"/>
      <c r="TDS69" s="401"/>
      <c r="TDT69" s="401"/>
      <c r="TDU69" s="401"/>
      <c r="TDV69" s="401"/>
      <c r="TDW69" s="401"/>
      <c r="TDX69" s="401"/>
      <c r="TDY69" s="401"/>
      <c r="TDZ69" s="401"/>
      <c r="TEA69" s="401"/>
      <c r="TEB69" s="401"/>
      <c r="TEC69" s="401"/>
      <c r="TED69" s="401"/>
      <c r="TEE69" s="401"/>
      <c r="TEF69" s="401"/>
      <c r="TEG69" s="401"/>
      <c r="TEH69" s="401"/>
      <c r="TEI69" s="401"/>
      <c r="TEJ69" s="401"/>
      <c r="TEK69" s="401"/>
      <c r="TEL69" s="401"/>
      <c r="TEM69" s="401"/>
      <c r="TEN69" s="401"/>
      <c r="TEO69" s="401"/>
      <c r="TEP69" s="401"/>
      <c r="TEQ69" s="401"/>
      <c r="TER69" s="401"/>
      <c r="TES69" s="401"/>
      <c r="TET69" s="401"/>
      <c r="TEU69" s="401"/>
      <c r="TEV69" s="401"/>
      <c r="TEW69" s="401"/>
      <c r="TEX69" s="401"/>
      <c r="TEY69" s="401"/>
      <c r="TEZ69" s="401"/>
      <c r="TFA69" s="401"/>
      <c r="TFB69" s="401"/>
      <c r="TFC69" s="401"/>
      <c r="TFD69" s="401"/>
      <c r="TFE69" s="401"/>
      <c r="TFF69" s="401"/>
      <c r="TFG69" s="401"/>
      <c r="TFH69" s="401"/>
      <c r="TFI69" s="401"/>
      <c r="TFJ69" s="401"/>
      <c r="TFK69" s="401"/>
      <c r="TFL69" s="401"/>
      <c r="TFM69" s="401"/>
      <c r="TFN69" s="401"/>
      <c r="TFO69" s="401"/>
      <c r="TFP69" s="401"/>
      <c r="TFQ69" s="401"/>
      <c r="TFR69" s="401"/>
      <c r="TFS69" s="401"/>
      <c r="TFT69" s="401"/>
      <c r="TFU69" s="401"/>
      <c r="TFV69" s="401"/>
      <c r="TFW69" s="401"/>
      <c r="TFX69" s="401"/>
      <c r="TFY69" s="401"/>
      <c r="TFZ69" s="401"/>
      <c r="TGA69" s="401"/>
      <c r="TGB69" s="401"/>
      <c r="TGC69" s="401"/>
      <c r="TGD69" s="401"/>
      <c r="TGE69" s="401"/>
      <c r="TGF69" s="401"/>
      <c r="TGG69" s="401"/>
      <c r="TGH69" s="401"/>
      <c r="TGI69" s="401"/>
      <c r="TGJ69" s="401"/>
      <c r="TGK69" s="401"/>
      <c r="TGL69" s="401"/>
      <c r="TGM69" s="401"/>
      <c r="TGN69" s="401"/>
      <c r="TGO69" s="401"/>
      <c r="TGP69" s="401"/>
      <c r="TGQ69" s="401"/>
      <c r="TGR69" s="401"/>
      <c r="TGS69" s="401"/>
      <c r="TGT69" s="401"/>
      <c r="TGU69" s="401"/>
      <c r="TGV69" s="401"/>
      <c r="TGW69" s="401"/>
      <c r="TGX69" s="401"/>
      <c r="TGY69" s="401"/>
      <c r="TGZ69" s="401"/>
      <c r="THA69" s="401"/>
      <c r="THB69" s="401"/>
      <c r="THC69" s="401"/>
      <c r="THD69" s="401"/>
      <c r="THE69" s="401"/>
      <c r="THF69" s="401"/>
      <c r="THG69" s="401"/>
      <c r="THH69" s="401"/>
      <c r="THI69" s="401"/>
      <c r="THJ69" s="401"/>
      <c r="THK69" s="401"/>
      <c r="THL69" s="401"/>
      <c r="THM69" s="401"/>
      <c r="THN69" s="401"/>
      <c r="THO69" s="401"/>
      <c r="THP69" s="401"/>
      <c r="THQ69" s="401"/>
      <c r="THR69" s="401"/>
      <c r="THS69" s="401"/>
      <c r="THT69" s="401"/>
      <c r="THU69" s="401"/>
      <c r="THV69" s="401"/>
      <c r="THW69" s="401"/>
      <c r="THX69" s="401"/>
      <c r="THY69" s="401"/>
      <c r="THZ69" s="401"/>
      <c r="TIA69" s="401"/>
      <c r="TIB69" s="401"/>
      <c r="TIC69" s="401"/>
      <c r="TID69" s="401"/>
      <c r="TIE69" s="401"/>
      <c r="TIF69" s="401"/>
      <c r="TIG69" s="401"/>
      <c r="TIH69" s="401"/>
      <c r="TII69" s="401"/>
      <c r="TIJ69" s="401"/>
      <c r="TIK69" s="401"/>
      <c r="TIL69" s="401"/>
      <c r="TIM69" s="401"/>
      <c r="TIN69" s="401"/>
      <c r="TIO69" s="401"/>
      <c r="TIP69" s="401"/>
      <c r="TIQ69" s="401"/>
      <c r="TIR69" s="401"/>
      <c r="TIS69" s="401"/>
      <c r="TIT69" s="401"/>
      <c r="TIU69" s="401"/>
      <c r="TIV69" s="401"/>
      <c r="TIW69" s="401"/>
      <c r="TIX69" s="401"/>
      <c r="TIY69" s="401"/>
      <c r="TIZ69" s="401"/>
      <c r="TJA69" s="401"/>
      <c r="TJB69" s="401"/>
      <c r="TJC69" s="401"/>
      <c r="TJD69" s="401"/>
      <c r="TJE69" s="401"/>
      <c r="TJF69" s="401"/>
      <c r="TJG69" s="401"/>
      <c r="TJH69" s="401"/>
      <c r="TJI69" s="401"/>
      <c r="TJJ69" s="401"/>
      <c r="TJK69" s="401"/>
      <c r="TJL69" s="401"/>
      <c r="TJM69" s="401"/>
      <c r="TJN69" s="401"/>
      <c r="TJO69" s="401"/>
      <c r="TJP69" s="401"/>
      <c r="TJQ69" s="401"/>
      <c r="TJR69" s="401"/>
      <c r="TJS69" s="401"/>
      <c r="TJT69" s="401"/>
      <c r="TJU69" s="401"/>
      <c r="TJV69" s="401"/>
      <c r="TJW69" s="401"/>
      <c r="TJX69" s="401"/>
      <c r="TJY69" s="401"/>
      <c r="TJZ69" s="401"/>
      <c r="TKA69" s="401"/>
      <c r="TKB69" s="401"/>
      <c r="TKC69" s="401"/>
      <c r="TKD69" s="401"/>
      <c r="TKE69" s="401"/>
      <c r="TKF69" s="401"/>
      <c r="TKG69" s="401"/>
      <c r="TKH69" s="401"/>
      <c r="TKI69" s="401"/>
      <c r="TKJ69" s="401"/>
      <c r="TKK69" s="401"/>
      <c r="TKL69" s="401"/>
      <c r="TKM69" s="401"/>
      <c r="TKN69" s="401"/>
      <c r="TKO69" s="401"/>
      <c r="TKP69" s="401"/>
      <c r="TKQ69" s="401"/>
      <c r="TKR69" s="401"/>
      <c r="TKS69" s="401"/>
      <c r="TKT69" s="401"/>
      <c r="TKU69" s="401"/>
      <c r="TKV69" s="401"/>
      <c r="TKW69" s="401"/>
      <c r="TKX69" s="401"/>
      <c r="TKY69" s="401"/>
      <c r="TKZ69" s="401"/>
      <c r="TLA69" s="401"/>
      <c r="TLB69" s="401"/>
      <c r="TLC69" s="401"/>
      <c r="TLD69" s="401"/>
      <c r="TLE69" s="401"/>
      <c r="TLF69" s="401"/>
      <c r="TLG69" s="401"/>
      <c r="TLH69" s="401"/>
      <c r="TLI69" s="401"/>
      <c r="TLJ69" s="401"/>
      <c r="TLK69" s="401"/>
      <c r="TLL69" s="401"/>
      <c r="TLM69" s="401"/>
      <c r="TLN69" s="401"/>
      <c r="TLO69" s="401"/>
      <c r="TLP69" s="401"/>
      <c r="TLQ69" s="401"/>
      <c r="TLR69" s="401"/>
      <c r="TLS69" s="401"/>
      <c r="TLT69" s="401"/>
      <c r="TLU69" s="401"/>
      <c r="TLV69" s="401"/>
      <c r="TLW69" s="401"/>
      <c r="TLX69" s="401"/>
      <c r="TLY69" s="401"/>
      <c r="TLZ69" s="401"/>
      <c r="TMA69" s="401"/>
      <c r="TMB69" s="401"/>
      <c r="TMC69" s="401"/>
      <c r="TMD69" s="401"/>
      <c r="TME69" s="401"/>
      <c r="TMF69" s="401"/>
      <c r="TMG69" s="401"/>
      <c r="TMH69" s="401"/>
      <c r="TMI69" s="401"/>
      <c r="TMJ69" s="401"/>
      <c r="TMK69" s="401"/>
      <c r="TML69" s="401"/>
      <c r="TMM69" s="401"/>
      <c r="TMN69" s="401"/>
      <c r="TMO69" s="401"/>
      <c r="TMP69" s="401"/>
      <c r="TMQ69" s="401"/>
      <c r="TMR69" s="401"/>
      <c r="TMS69" s="401"/>
      <c r="TMT69" s="401"/>
      <c r="TMU69" s="401"/>
      <c r="TMV69" s="401"/>
      <c r="TMW69" s="401"/>
      <c r="TMX69" s="401"/>
      <c r="TMY69" s="401"/>
      <c r="TMZ69" s="401"/>
      <c r="TNA69" s="401"/>
      <c r="TNB69" s="401"/>
      <c r="TNC69" s="401"/>
      <c r="TND69" s="401"/>
      <c r="TNE69" s="401"/>
      <c r="TNF69" s="401"/>
      <c r="TNG69" s="401"/>
      <c r="TNH69" s="401"/>
      <c r="TNI69" s="401"/>
      <c r="TNJ69" s="401"/>
      <c r="TNK69" s="401"/>
      <c r="TNL69" s="401"/>
      <c r="TNM69" s="401"/>
      <c r="TNN69" s="401"/>
      <c r="TNO69" s="401"/>
      <c r="TNP69" s="401"/>
      <c r="TNQ69" s="401"/>
      <c r="TNR69" s="401"/>
      <c r="TNS69" s="401"/>
      <c r="TNT69" s="401"/>
      <c r="TNU69" s="401"/>
      <c r="TNV69" s="401"/>
      <c r="TNW69" s="401"/>
      <c r="TNX69" s="401"/>
      <c r="TNY69" s="401"/>
      <c r="TNZ69" s="401"/>
      <c r="TOA69" s="401"/>
      <c r="TOB69" s="401"/>
      <c r="TOC69" s="401"/>
      <c r="TOD69" s="401"/>
      <c r="TOE69" s="401"/>
      <c r="TOF69" s="401"/>
      <c r="TOG69" s="401"/>
      <c r="TOH69" s="401"/>
      <c r="TOI69" s="401"/>
      <c r="TOJ69" s="401"/>
      <c r="TOK69" s="401"/>
      <c r="TOL69" s="401"/>
      <c r="TOM69" s="401"/>
      <c r="TON69" s="401"/>
      <c r="TOO69" s="401"/>
      <c r="TOP69" s="401"/>
      <c r="TOQ69" s="401"/>
      <c r="TOR69" s="401"/>
      <c r="TOS69" s="401"/>
      <c r="TOT69" s="401"/>
      <c r="TOU69" s="401"/>
      <c r="TOV69" s="401"/>
      <c r="TOW69" s="401"/>
      <c r="TOX69" s="401"/>
      <c r="TOY69" s="401"/>
      <c r="TOZ69" s="401"/>
      <c r="TPA69" s="401"/>
      <c r="TPB69" s="401"/>
      <c r="TPC69" s="401"/>
      <c r="TPD69" s="401"/>
      <c r="TPE69" s="401"/>
      <c r="TPF69" s="401"/>
      <c r="TPG69" s="401"/>
      <c r="TPH69" s="401"/>
      <c r="TPI69" s="401"/>
      <c r="TPJ69" s="401"/>
      <c r="TPK69" s="401"/>
      <c r="TPL69" s="401"/>
      <c r="TPM69" s="401"/>
      <c r="TPN69" s="401"/>
      <c r="TPO69" s="401"/>
      <c r="TPP69" s="401"/>
      <c r="TPQ69" s="401"/>
      <c r="TPR69" s="401"/>
      <c r="TPS69" s="401"/>
      <c r="TPT69" s="401"/>
      <c r="TPU69" s="401"/>
      <c r="TPV69" s="401"/>
      <c r="TPW69" s="401"/>
      <c r="TPX69" s="401"/>
      <c r="TPY69" s="401"/>
      <c r="TPZ69" s="401"/>
      <c r="TQA69" s="401"/>
      <c r="TQB69" s="401"/>
      <c r="TQC69" s="401"/>
      <c r="TQD69" s="401"/>
      <c r="TQE69" s="401"/>
      <c r="TQF69" s="401"/>
      <c r="TQG69" s="401"/>
      <c r="TQH69" s="401"/>
      <c r="TQI69" s="401"/>
      <c r="TQJ69" s="401"/>
      <c r="TQK69" s="401"/>
      <c r="TQL69" s="401"/>
      <c r="TQM69" s="401"/>
      <c r="TQN69" s="401"/>
      <c r="TQO69" s="401"/>
      <c r="TQP69" s="401"/>
      <c r="TQQ69" s="401"/>
      <c r="TQR69" s="401"/>
      <c r="TQS69" s="401"/>
      <c r="TQT69" s="401"/>
      <c r="TQU69" s="401"/>
      <c r="TQV69" s="401"/>
      <c r="TQW69" s="401"/>
      <c r="TQX69" s="401"/>
      <c r="TQY69" s="401"/>
      <c r="TQZ69" s="401"/>
      <c r="TRA69" s="401"/>
      <c r="TRB69" s="401"/>
      <c r="TRC69" s="401"/>
      <c r="TRD69" s="401"/>
      <c r="TRE69" s="401"/>
      <c r="TRF69" s="401"/>
      <c r="TRG69" s="401"/>
      <c r="TRH69" s="401"/>
      <c r="TRI69" s="401"/>
      <c r="TRJ69" s="401"/>
      <c r="TRK69" s="401"/>
      <c r="TRL69" s="401"/>
      <c r="TRM69" s="401"/>
      <c r="TRN69" s="401"/>
      <c r="TRO69" s="401"/>
      <c r="TRP69" s="401"/>
      <c r="TRQ69" s="401"/>
      <c r="TRR69" s="401"/>
      <c r="TRS69" s="401"/>
      <c r="TRT69" s="401"/>
      <c r="TRU69" s="401"/>
      <c r="TRV69" s="401"/>
      <c r="TRW69" s="401"/>
      <c r="TRX69" s="401"/>
      <c r="TRY69" s="401"/>
      <c r="TRZ69" s="401"/>
      <c r="TSA69" s="401"/>
      <c r="TSB69" s="401"/>
      <c r="TSC69" s="401"/>
      <c r="TSD69" s="401"/>
      <c r="TSE69" s="401"/>
      <c r="TSF69" s="401"/>
      <c r="TSG69" s="401"/>
      <c r="TSH69" s="401"/>
      <c r="TSI69" s="401"/>
      <c r="TSJ69" s="401"/>
      <c r="TSK69" s="401"/>
      <c r="TSL69" s="401"/>
      <c r="TSM69" s="401"/>
      <c r="TSN69" s="401"/>
      <c r="TSO69" s="401"/>
      <c r="TSP69" s="401"/>
      <c r="TSQ69" s="401"/>
      <c r="TSR69" s="401"/>
      <c r="TSS69" s="401"/>
      <c r="TST69" s="401"/>
      <c r="TSU69" s="401"/>
      <c r="TSV69" s="401"/>
      <c r="TSW69" s="401"/>
      <c r="TSX69" s="401"/>
      <c r="TSY69" s="401"/>
      <c r="TSZ69" s="401"/>
      <c r="TTA69" s="401"/>
      <c r="TTB69" s="401"/>
      <c r="TTC69" s="401"/>
      <c r="TTD69" s="401"/>
      <c r="TTE69" s="401"/>
      <c r="TTF69" s="401"/>
      <c r="TTG69" s="401"/>
      <c r="TTH69" s="401"/>
      <c r="TTI69" s="401"/>
      <c r="TTJ69" s="401"/>
      <c r="TTK69" s="401"/>
      <c r="TTL69" s="401"/>
      <c r="TTM69" s="401"/>
      <c r="TTN69" s="401"/>
      <c r="TTO69" s="401"/>
      <c r="TTP69" s="401"/>
      <c r="TTQ69" s="401"/>
      <c r="TTR69" s="401"/>
      <c r="TTS69" s="401"/>
      <c r="TTT69" s="401"/>
      <c r="TTU69" s="401"/>
      <c r="TTV69" s="401"/>
      <c r="TTW69" s="401"/>
      <c r="TTX69" s="401"/>
      <c r="TTY69" s="401"/>
      <c r="TTZ69" s="401"/>
      <c r="TUA69" s="401"/>
      <c r="TUB69" s="401"/>
      <c r="TUC69" s="401"/>
      <c r="TUD69" s="401"/>
      <c r="TUE69" s="401"/>
      <c r="TUF69" s="401"/>
      <c r="TUG69" s="401"/>
      <c r="TUH69" s="401"/>
      <c r="TUI69" s="401"/>
      <c r="TUJ69" s="401"/>
      <c r="TUK69" s="401"/>
      <c r="TUL69" s="401"/>
      <c r="TUM69" s="401"/>
      <c r="TUN69" s="401"/>
      <c r="TUO69" s="401"/>
      <c r="TUP69" s="401"/>
      <c r="TUQ69" s="401"/>
      <c r="TUR69" s="401"/>
      <c r="TUS69" s="401"/>
      <c r="TUT69" s="401"/>
      <c r="TUU69" s="401"/>
      <c r="TUV69" s="401"/>
      <c r="TUW69" s="401"/>
      <c r="TUX69" s="401"/>
      <c r="TUY69" s="401"/>
      <c r="TUZ69" s="401"/>
      <c r="TVA69" s="401"/>
      <c r="TVB69" s="401"/>
      <c r="TVC69" s="401"/>
      <c r="TVD69" s="401"/>
      <c r="TVE69" s="401"/>
      <c r="TVF69" s="401"/>
      <c r="TVG69" s="401"/>
      <c r="TVH69" s="401"/>
      <c r="TVI69" s="401"/>
      <c r="TVJ69" s="401"/>
      <c r="TVK69" s="401"/>
      <c r="TVL69" s="401"/>
      <c r="TVM69" s="401"/>
      <c r="TVN69" s="401"/>
      <c r="TVO69" s="401"/>
      <c r="TVP69" s="401"/>
      <c r="TVQ69" s="401"/>
      <c r="TVR69" s="401"/>
      <c r="TVS69" s="401"/>
      <c r="TVT69" s="401"/>
      <c r="TVU69" s="401"/>
      <c r="TVV69" s="401"/>
      <c r="TVW69" s="401"/>
      <c r="TVX69" s="401"/>
      <c r="TVY69" s="401"/>
      <c r="TVZ69" s="401"/>
      <c r="TWA69" s="401"/>
      <c r="TWB69" s="401"/>
      <c r="TWC69" s="401"/>
      <c r="TWD69" s="401"/>
      <c r="TWE69" s="401"/>
      <c r="TWF69" s="401"/>
      <c r="TWG69" s="401"/>
      <c r="TWH69" s="401"/>
      <c r="TWI69" s="401"/>
      <c r="TWJ69" s="401"/>
      <c r="TWK69" s="401"/>
      <c r="TWL69" s="401"/>
      <c r="TWM69" s="401"/>
      <c r="TWN69" s="401"/>
      <c r="TWO69" s="401"/>
      <c r="TWP69" s="401"/>
      <c r="TWQ69" s="401"/>
      <c r="TWR69" s="401"/>
      <c r="TWS69" s="401"/>
      <c r="TWT69" s="401"/>
      <c r="TWU69" s="401"/>
      <c r="TWV69" s="401"/>
      <c r="TWW69" s="401"/>
      <c r="TWX69" s="401"/>
      <c r="TWY69" s="401"/>
      <c r="TWZ69" s="401"/>
      <c r="TXA69" s="401"/>
      <c r="TXB69" s="401"/>
      <c r="TXC69" s="401"/>
      <c r="TXD69" s="401"/>
      <c r="TXE69" s="401"/>
      <c r="TXF69" s="401"/>
      <c r="TXG69" s="401"/>
      <c r="TXH69" s="401"/>
      <c r="TXI69" s="401"/>
      <c r="TXJ69" s="401"/>
      <c r="TXK69" s="401"/>
      <c r="TXL69" s="401"/>
      <c r="TXM69" s="401"/>
      <c r="TXN69" s="401"/>
      <c r="TXO69" s="401"/>
      <c r="TXP69" s="401"/>
      <c r="TXQ69" s="401"/>
      <c r="TXR69" s="401"/>
      <c r="TXS69" s="401"/>
      <c r="TXT69" s="401"/>
      <c r="TXU69" s="401"/>
      <c r="TXV69" s="401"/>
      <c r="TXW69" s="401"/>
      <c r="TXX69" s="401"/>
      <c r="TXY69" s="401"/>
      <c r="TXZ69" s="401"/>
      <c r="TYA69" s="401"/>
      <c r="TYB69" s="401"/>
      <c r="TYC69" s="401"/>
      <c r="TYD69" s="401"/>
      <c r="TYE69" s="401"/>
      <c r="TYF69" s="401"/>
      <c r="TYG69" s="401"/>
      <c r="TYH69" s="401"/>
      <c r="TYI69" s="401"/>
      <c r="TYJ69" s="401"/>
      <c r="TYK69" s="401"/>
      <c r="TYL69" s="401"/>
      <c r="TYM69" s="401"/>
      <c r="TYN69" s="401"/>
      <c r="TYO69" s="401"/>
      <c r="TYP69" s="401"/>
      <c r="TYQ69" s="401"/>
      <c r="TYR69" s="401"/>
      <c r="TYS69" s="401"/>
      <c r="TYT69" s="401"/>
      <c r="TYU69" s="401"/>
      <c r="TYV69" s="401"/>
      <c r="TYW69" s="401"/>
      <c r="TYX69" s="401"/>
      <c r="TYY69" s="401"/>
      <c r="TYZ69" s="401"/>
      <c r="TZA69" s="401"/>
      <c r="TZB69" s="401"/>
      <c r="TZC69" s="401"/>
      <c r="TZD69" s="401"/>
      <c r="TZE69" s="401"/>
      <c r="TZF69" s="401"/>
      <c r="TZG69" s="401"/>
      <c r="TZH69" s="401"/>
      <c r="TZI69" s="401"/>
      <c r="TZJ69" s="401"/>
      <c r="TZK69" s="401"/>
      <c r="TZL69" s="401"/>
      <c r="TZM69" s="401"/>
      <c r="TZN69" s="401"/>
      <c r="TZO69" s="401"/>
      <c r="TZP69" s="401"/>
      <c r="TZQ69" s="401"/>
      <c r="TZR69" s="401"/>
      <c r="TZS69" s="401"/>
      <c r="TZT69" s="401"/>
      <c r="TZU69" s="401"/>
      <c r="TZV69" s="401"/>
      <c r="TZW69" s="401"/>
      <c r="TZX69" s="401"/>
      <c r="TZY69" s="401"/>
      <c r="TZZ69" s="401"/>
      <c r="UAA69" s="401"/>
      <c r="UAB69" s="401"/>
      <c r="UAC69" s="401"/>
      <c r="UAD69" s="401"/>
      <c r="UAE69" s="401"/>
      <c r="UAF69" s="401"/>
      <c r="UAG69" s="401"/>
      <c r="UAH69" s="401"/>
      <c r="UAI69" s="401"/>
      <c r="UAJ69" s="401"/>
      <c r="UAK69" s="401"/>
      <c r="UAL69" s="401"/>
      <c r="UAM69" s="401"/>
      <c r="UAN69" s="401"/>
      <c r="UAO69" s="401"/>
      <c r="UAP69" s="401"/>
      <c r="UAQ69" s="401"/>
      <c r="UAR69" s="401"/>
      <c r="UAS69" s="401"/>
      <c r="UAT69" s="401"/>
      <c r="UAU69" s="401"/>
      <c r="UAV69" s="401"/>
      <c r="UAW69" s="401"/>
      <c r="UAX69" s="401"/>
      <c r="UAY69" s="401"/>
      <c r="UAZ69" s="401"/>
      <c r="UBA69" s="401"/>
      <c r="UBB69" s="401"/>
      <c r="UBC69" s="401"/>
      <c r="UBD69" s="401"/>
      <c r="UBE69" s="401"/>
      <c r="UBF69" s="401"/>
      <c r="UBG69" s="401"/>
      <c r="UBH69" s="401"/>
      <c r="UBI69" s="401"/>
      <c r="UBJ69" s="401"/>
      <c r="UBK69" s="401"/>
      <c r="UBL69" s="401"/>
      <c r="UBM69" s="401"/>
      <c r="UBN69" s="401"/>
      <c r="UBO69" s="401"/>
      <c r="UBP69" s="401"/>
      <c r="UBQ69" s="401"/>
      <c r="UBR69" s="401"/>
      <c r="UBS69" s="401"/>
      <c r="UBT69" s="401"/>
      <c r="UBU69" s="401"/>
      <c r="UBV69" s="401"/>
      <c r="UBW69" s="401"/>
      <c r="UBX69" s="401"/>
      <c r="UBY69" s="401"/>
      <c r="UBZ69" s="401"/>
      <c r="UCA69" s="401"/>
      <c r="UCB69" s="401"/>
      <c r="UCC69" s="401"/>
      <c r="UCD69" s="401"/>
      <c r="UCE69" s="401"/>
      <c r="UCF69" s="401"/>
      <c r="UCG69" s="401"/>
      <c r="UCH69" s="401"/>
      <c r="UCI69" s="401"/>
      <c r="UCJ69" s="401"/>
      <c r="UCK69" s="401"/>
      <c r="UCL69" s="401"/>
      <c r="UCM69" s="401"/>
      <c r="UCN69" s="401"/>
      <c r="UCO69" s="401"/>
      <c r="UCP69" s="401"/>
      <c r="UCQ69" s="401"/>
      <c r="UCR69" s="401"/>
      <c r="UCS69" s="401"/>
      <c r="UCT69" s="401"/>
      <c r="UCU69" s="401"/>
      <c r="UCV69" s="401"/>
      <c r="UCW69" s="401"/>
      <c r="UCX69" s="401"/>
      <c r="UCY69" s="401"/>
      <c r="UCZ69" s="401"/>
      <c r="UDA69" s="401"/>
      <c r="UDB69" s="401"/>
      <c r="UDC69" s="401"/>
      <c r="UDD69" s="401"/>
      <c r="UDE69" s="401"/>
      <c r="UDF69" s="401"/>
      <c r="UDG69" s="401"/>
      <c r="UDH69" s="401"/>
      <c r="UDI69" s="401"/>
      <c r="UDJ69" s="401"/>
      <c r="UDK69" s="401"/>
      <c r="UDL69" s="401"/>
      <c r="UDM69" s="401"/>
      <c r="UDN69" s="401"/>
      <c r="UDO69" s="401"/>
      <c r="UDP69" s="401"/>
      <c r="UDQ69" s="401"/>
      <c r="UDR69" s="401"/>
      <c r="UDS69" s="401"/>
      <c r="UDT69" s="401"/>
      <c r="UDU69" s="401"/>
      <c r="UDV69" s="401"/>
      <c r="UDW69" s="401"/>
      <c r="UDX69" s="401"/>
      <c r="UDY69" s="401"/>
      <c r="UDZ69" s="401"/>
      <c r="UEA69" s="401"/>
      <c r="UEB69" s="401"/>
      <c r="UEC69" s="401"/>
      <c r="UED69" s="401"/>
      <c r="UEE69" s="401"/>
      <c r="UEF69" s="401"/>
      <c r="UEG69" s="401"/>
      <c r="UEH69" s="401"/>
      <c r="UEI69" s="401"/>
      <c r="UEJ69" s="401"/>
      <c r="UEK69" s="401"/>
      <c r="UEL69" s="401"/>
      <c r="UEM69" s="401"/>
      <c r="UEN69" s="401"/>
      <c r="UEO69" s="401"/>
      <c r="UEP69" s="401"/>
      <c r="UEQ69" s="401"/>
      <c r="UER69" s="401"/>
      <c r="UES69" s="401"/>
      <c r="UET69" s="401"/>
      <c r="UEU69" s="401"/>
      <c r="UEV69" s="401"/>
      <c r="UEW69" s="401"/>
      <c r="UEX69" s="401"/>
      <c r="UEY69" s="401"/>
      <c r="UEZ69" s="401"/>
      <c r="UFA69" s="401"/>
      <c r="UFB69" s="401"/>
      <c r="UFC69" s="401"/>
      <c r="UFD69" s="401"/>
      <c r="UFE69" s="401"/>
      <c r="UFF69" s="401"/>
      <c r="UFG69" s="401"/>
      <c r="UFH69" s="401"/>
      <c r="UFI69" s="401"/>
      <c r="UFJ69" s="401"/>
      <c r="UFK69" s="401"/>
      <c r="UFL69" s="401"/>
      <c r="UFM69" s="401"/>
      <c r="UFN69" s="401"/>
      <c r="UFO69" s="401"/>
      <c r="UFP69" s="401"/>
      <c r="UFQ69" s="401"/>
      <c r="UFR69" s="401"/>
      <c r="UFS69" s="401"/>
      <c r="UFT69" s="401"/>
      <c r="UFU69" s="401"/>
      <c r="UFV69" s="401"/>
      <c r="UFW69" s="401"/>
      <c r="UFX69" s="401"/>
      <c r="UFY69" s="401"/>
      <c r="UFZ69" s="401"/>
      <c r="UGA69" s="401"/>
      <c r="UGB69" s="401"/>
      <c r="UGC69" s="401"/>
      <c r="UGD69" s="401"/>
      <c r="UGE69" s="401"/>
      <c r="UGF69" s="401"/>
      <c r="UGG69" s="401"/>
      <c r="UGH69" s="401"/>
      <c r="UGI69" s="401"/>
      <c r="UGJ69" s="401"/>
      <c r="UGK69" s="401"/>
      <c r="UGL69" s="401"/>
      <c r="UGM69" s="401"/>
      <c r="UGN69" s="401"/>
      <c r="UGO69" s="401"/>
      <c r="UGP69" s="401"/>
      <c r="UGQ69" s="401"/>
      <c r="UGR69" s="401"/>
      <c r="UGS69" s="401"/>
      <c r="UGT69" s="401"/>
      <c r="UGU69" s="401"/>
      <c r="UGV69" s="401"/>
      <c r="UGW69" s="401"/>
      <c r="UGX69" s="401"/>
      <c r="UGY69" s="401"/>
      <c r="UGZ69" s="401"/>
      <c r="UHA69" s="401"/>
      <c r="UHB69" s="401"/>
      <c r="UHC69" s="401"/>
      <c r="UHD69" s="401"/>
      <c r="UHE69" s="401"/>
      <c r="UHF69" s="401"/>
      <c r="UHG69" s="401"/>
      <c r="UHH69" s="401"/>
      <c r="UHI69" s="401"/>
      <c r="UHJ69" s="401"/>
      <c r="UHK69" s="401"/>
      <c r="UHL69" s="401"/>
      <c r="UHM69" s="401"/>
      <c r="UHN69" s="401"/>
      <c r="UHO69" s="401"/>
      <c r="UHP69" s="401"/>
      <c r="UHQ69" s="401"/>
      <c r="UHR69" s="401"/>
      <c r="UHS69" s="401"/>
      <c r="UHT69" s="401"/>
      <c r="UHU69" s="401"/>
      <c r="UHV69" s="401"/>
      <c r="UHW69" s="401"/>
      <c r="UHX69" s="401"/>
      <c r="UHY69" s="401"/>
      <c r="UHZ69" s="401"/>
      <c r="UIA69" s="401"/>
      <c r="UIB69" s="401"/>
      <c r="UIC69" s="401"/>
      <c r="UID69" s="401"/>
      <c r="UIE69" s="401"/>
      <c r="UIF69" s="401"/>
      <c r="UIG69" s="401"/>
      <c r="UIH69" s="401"/>
      <c r="UII69" s="401"/>
      <c r="UIJ69" s="401"/>
      <c r="UIK69" s="401"/>
      <c r="UIL69" s="401"/>
      <c r="UIM69" s="401"/>
      <c r="UIN69" s="401"/>
      <c r="UIO69" s="401"/>
      <c r="UIP69" s="401"/>
      <c r="UIQ69" s="401"/>
      <c r="UIR69" s="401"/>
      <c r="UIS69" s="401"/>
      <c r="UIT69" s="401"/>
      <c r="UIU69" s="401"/>
      <c r="UIV69" s="401"/>
      <c r="UIW69" s="401"/>
      <c r="UIX69" s="401"/>
      <c r="UIY69" s="401"/>
      <c r="UIZ69" s="401"/>
      <c r="UJA69" s="401"/>
      <c r="UJB69" s="401"/>
      <c r="UJC69" s="401"/>
      <c r="UJD69" s="401"/>
      <c r="UJE69" s="401"/>
      <c r="UJF69" s="401"/>
      <c r="UJG69" s="401"/>
      <c r="UJH69" s="401"/>
      <c r="UJI69" s="401"/>
      <c r="UJJ69" s="401"/>
      <c r="UJK69" s="401"/>
      <c r="UJL69" s="401"/>
      <c r="UJM69" s="401"/>
      <c r="UJN69" s="401"/>
      <c r="UJO69" s="401"/>
      <c r="UJP69" s="401"/>
      <c r="UJQ69" s="401"/>
      <c r="UJR69" s="401"/>
      <c r="UJS69" s="401"/>
      <c r="UJT69" s="401"/>
      <c r="UJU69" s="401"/>
      <c r="UJV69" s="401"/>
      <c r="UJW69" s="401"/>
      <c r="UJX69" s="401"/>
      <c r="UJY69" s="401"/>
      <c r="UJZ69" s="401"/>
      <c r="UKA69" s="401"/>
      <c r="UKB69" s="401"/>
      <c r="UKC69" s="401"/>
      <c r="UKD69" s="401"/>
      <c r="UKE69" s="401"/>
      <c r="UKF69" s="401"/>
      <c r="UKG69" s="401"/>
      <c r="UKH69" s="401"/>
      <c r="UKI69" s="401"/>
      <c r="UKJ69" s="401"/>
      <c r="UKK69" s="401"/>
      <c r="UKL69" s="401"/>
      <c r="UKM69" s="401"/>
      <c r="UKN69" s="401"/>
      <c r="UKO69" s="401"/>
      <c r="UKP69" s="401"/>
      <c r="UKQ69" s="401"/>
      <c r="UKR69" s="401"/>
      <c r="UKS69" s="401"/>
      <c r="UKT69" s="401"/>
      <c r="UKU69" s="401"/>
      <c r="UKV69" s="401"/>
      <c r="UKW69" s="401"/>
      <c r="UKX69" s="401"/>
      <c r="UKY69" s="401"/>
      <c r="UKZ69" s="401"/>
      <c r="ULA69" s="401"/>
      <c r="ULB69" s="401"/>
      <c r="ULC69" s="401"/>
      <c r="ULD69" s="401"/>
      <c r="ULE69" s="401"/>
      <c r="ULF69" s="401"/>
      <c r="ULG69" s="401"/>
      <c r="ULH69" s="401"/>
      <c r="ULI69" s="401"/>
      <c r="ULJ69" s="401"/>
      <c r="ULK69" s="401"/>
      <c r="ULL69" s="401"/>
      <c r="ULM69" s="401"/>
      <c r="ULN69" s="401"/>
      <c r="ULO69" s="401"/>
      <c r="ULP69" s="401"/>
      <c r="ULQ69" s="401"/>
      <c r="ULR69" s="401"/>
      <c r="ULS69" s="401"/>
      <c r="ULT69" s="401"/>
      <c r="ULU69" s="401"/>
      <c r="ULV69" s="401"/>
      <c r="ULW69" s="401"/>
      <c r="ULX69" s="401"/>
      <c r="ULY69" s="401"/>
      <c r="ULZ69" s="401"/>
      <c r="UMA69" s="401"/>
      <c r="UMB69" s="401"/>
      <c r="UMC69" s="401"/>
      <c r="UMD69" s="401"/>
      <c r="UME69" s="401"/>
      <c r="UMF69" s="401"/>
      <c r="UMG69" s="401"/>
      <c r="UMH69" s="401"/>
      <c r="UMI69" s="401"/>
      <c r="UMJ69" s="401"/>
      <c r="UMK69" s="401"/>
      <c r="UML69" s="401"/>
      <c r="UMM69" s="401"/>
      <c r="UMN69" s="401"/>
      <c r="UMO69" s="401"/>
      <c r="UMP69" s="401"/>
      <c r="UMQ69" s="401"/>
      <c r="UMR69" s="401"/>
      <c r="UMS69" s="401"/>
      <c r="UMT69" s="401"/>
      <c r="UMU69" s="401"/>
      <c r="UMV69" s="401"/>
      <c r="UMW69" s="401"/>
      <c r="UMX69" s="401"/>
      <c r="UMY69" s="401"/>
      <c r="UMZ69" s="401"/>
      <c r="UNA69" s="401"/>
      <c r="UNB69" s="401"/>
      <c r="UNC69" s="401"/>
      <c r="UND69" s="401"/>
      <c r="UNE69" s="401"/>
      <c r="UNF69" s="401"/>
      <c r="UNG69" s="401"/>
      <c r="UNH69" s="401"/>
      <c r="UNI69" s="401"/>
      <c r="UNJ69" s="401"/>
      <c r="UNK69" s="401"/>
      <c r="UNL69" s="401"/>
      <c r="UNM69" s="401"/>
      <c r="UNN69" s="401"/>
      <c r="UNO69" s="401"/>
      <c r="UNP69" s="401"/>
      <c r="UNQ69" s="401"/>
      <c r="UNR69" s="401"/>
      <c r="UNS69" s="401"/>
      <c r="UNT69" s="401"/>
      <c r="UNU69" s="401"/>
      <c r="UNV69" s="401"/>
      <c r="UNW69" s="401"/>
      <c r="UNX69" s="401"/>
      <c r="UNY69" s="401"/>
      <c r="UNZ69" s="401"/>
      <c r="UOA69" s="401"/>
      <c r="UOB69" s="401"/>
      <c r="UOC69" s="401"/>
      <c r="UOD69" s="401"/>
      <c r="UOE69" s="401"/>
      <c r="UOF69" s="401"/>
      <c r="UOG69" s="401"/>
      <c r="UOH69" s="401"/>
      <c r="UOI69" s="401"/>
      <c r="UOJ69" s="401"/>
      <c r="UOK69" s="401"/>
      <c r="UOL69" s="401"/>
      <c r="UOM69" s="401"/>
      <c r="UON69" s="401"/>
      <c r="UOO69" s="401"/>
      <c r="UOP69" s="401"/>
      <c r="UOQ69" s="401"/>
      <c r="UOR69" s="401"/>
      <c r="UOS69" s="401"/>
      <c r="UOT69" s="401"/>
      <c r="UOU69" s="401"/>
      <c r="UOV69" s="401"/>
      <c r="UOW69" s="401"/>
      <c r="UOX69" s="401"/>
      <c r="UOY69" s="401"/>
      <c r="UOZ69" s="401"/>
      <c r="UPA69" s="401"/>
      <c r="UPB69" s="401"/>
      <c r="UPC69" s="401"/>
      <c r="UPD69" s="401"/>
      <c r="UPE69" s="401"/>
      <c r="UPF69" s="401"/>
      <c r="UPG69" s="401"/>
      <c r="UPH69" s="401"/>
      <c r="UPI69" s="401"/>
      <c r="UPJ69" s="401"/>
      <c r="UPK69" s="401"/>
      <c r="UPL69" s="401"/>
      <c r="UPM69" s="401"/>
      <c r="UPN69" s="401"/>
      <c r="UPO69" s="401"/>
      <c r="UPP69" s="401"/>
      <c r="UPQ69" s="401"/>
      <c r="UPR69" s="401"/>
      <c r="UPS69" s="401"/>
      <c r="UPT69" s="401"/>
      <c r="UPU69" s="401"/>
      <c r="UPV69" s="401"/>
      <c r="UPW69" s="401"/>
      <c r="UPX69" s="401"/>
      <c r="UPY69" s="401"/>
      <c r="UPZ69" s="401"/>
      <c r="UQA69" s="401"/>
      <c r="UQB69" s="401"/>
      <c r="UQC69" s="401"/>
      <c r="UQD69" s="401"/>
      <c r="UQE69" s="401"/>
      <c r="UQF69" s="401"/>
      <c r="UQG69" s="401"/>
      <c r="UQH69" s="401"/>
      <c r="UQI69" s="401"/>
      <c r="UQJ69" s="401"/>
      <c r="UQK69" s="401"/>
      <c r="UQL69" s="401"/>
      <c r="UQM69" s="401"/>
      <c r="UQN69" s="401"/>
      <c r="UQO69" s="401"/>
      <c r="UQP69" s="401"/>
      <c r="UQQ69" s="401"/>
      <c r="UQR69" s="401"/>
      <c r="UQS69" s="401"/>
      <c r="UQT69" s="401"/>
      <c r="UQU69" s="401"/>
      <c r="UQV69" s="401"/>
      <c r="UQW69" s="401"/>
      <c r="UQX69" s="401"/>
      <c r="UQY69" s="401"/>
      <c r="UQZ69" s="401"/>
      <c r="URA69" s="401"/>
      <c r="URB69" s="401"/>
      <c r="URC69" s="401"/>
      <c r="URD69" s="401"/>
      <c r="URE69" s="401"/>
      <c r="URF69" s="401"/>
      <c r="URG69" s="401"/>
      <c r="URH69" s="401"/>
      <c r="URI69" s="401"/>
      <c r="URJ69" s="401"/>
      <c r="URK69" s="401"/>
      <c r="URL69" s="401"/>
      <c r="URM69" s="401"/>
      <c r="URN69" s="401"/>
      <c r="URO69" s="401"/>
      <c r="URP69" s="401"/>
      <c r="URQ69" s="401"/>
      <c r="URR69" s="401"/>
      <c r="URS69" s="401"/>
      <c r="URT69" s="401"/>
      <c r="URU69" s="401"/>
      <c r="URV69" s="401"/>
      <c r="URW69" s="401"/>
      <c r="URX69" s="401"/>
      <c r="URY69" s="401"/>
      <c r="URZ69" s="401"/>
      <c r="USA69" s="401"/>
      <c r="USB69" s="401"/>
      <c r="USC69" s="401"/>
      <c r="USD69" s="401"/>
      <c r="USE69" s="401"/>
      <c r="USF69" s="401"/>
      <c r="USG69" s="401"/>
      <c r="USH69" s="401"/>
      <c r="USI69" s="401"/>
      <c r="USJ69" s="401"/>
      <c r="USK69" s="401"/>
      <c r="USL69" s="401"/>
      <c r="USM69" s="401"/>
      <c r="USN69" s="401"/>
      <c r="USO69" s="401"/>
      <c r="USP69" s="401"/>
      <c r="USQ69" s="401"/>
      <c r="USR69" s="401"/>
      <c r="USS69" s="401"/>
      <c r="UST69" s="401"/>
      <c r="USU69" s="401"/>
      <c r="USV69" s="401"/>
      <c r="USW69" s="401"/>
      <c r="USX69" s="401"/>
      <c r="USY69" s="401"/>
      <c r="USZ69" s="401"/>
      <c r="UTA69" s="401"/>
      <c r="UTB69" s="401"/>
      <c r="UTC69" s="401"/>
      <c r="UTD69" s="401"/>
      <c r="UTE69" s="401"/>
      <c r="UTF69" s="401"/>
      <c r="UTG69" s="401"/>
      <c r="UTH69" s="401"/>
      <c r="UTI69" s="401"/>
      <c r="UTJ69" s="401"/>
      <c r="UTK69" s="401"/>
      <c r="UTL69" s="401"/>
      <c r="UTM69" s="401"/>
      <c r="UTN69" s="401"/>
      <c r="UTO69" s="401"/>
      <c r="UTP69" s="401"/>
      <c r="UTQ69" s="401"/>
      <c r="UTR69" s="401"/>
      <c r="UTS69" s="401"/>
      <c r="UTT69" s="401"/>
      <c r="UTU69" s="401"/>
      <c r="UTV69" s="401"/>
      <c r="UTW69" s="401"/>
      <c r="UTX69" s="401"/>
      <c r="UTY69" s="401"/>
      <c r="UTZ69" s="401"/>
      <c r="UUA69" s="401"/>
      <c r="UUB69" s="401"/>
      <c r="UUC69" s="401"/>
      <c r="UUD69" s="401"/>
      <c r="UUE69" s="401"/>
      <c r="UUF69" s="401"/>
      <c r="UUG69" s="401"/>
      <c r="UUH69" s="401"/>
      <c r="UUI69" s="401"/>
      <c r="UUJ69" s="401"/>
      <c r="UUK69" s="401"/>
      <c r="UUL69" s="401"/>
      <c r="UUM69" s="401"/>
      <c r="UUN69" s="401"/>
      <c r="UUO69" s="401"/>
      <c r="UUP69" s="401"/>
      <c r="UUQ69" s="401"/>
      <c r="UUR69" s="401"/>
      <c r="UUS69" s="401"/>
      <c r="UUT69" s="401"/>
      <c r="UUU69" s="401"/>
      <c r="UUV69" s="401"/>
      <c r="UUW69" s="401"/>
      <c r="UUX69" s="401"/>
      <c r="UUY69" s="401"/>
      <c r="UUZ69" s="401"/>
      <c r="UVA69" s="401"/>
      <c r="UVB69" s="401"/>
      <c r="UVC69" s="401"/>
      <c r="UVD69" s="401"/>
      <c r="UVE69" s="401"/>
      <c r="UVF69" s="401"/>
      <c r="UVG69" s="401"/>
      <c r="UVH69" s="401"/>
      <c r="UVI69" s="401"/>
      <c r="UVJ69" s="401"/>
      <c r="UVK69" s="401"/>
      <c r="UVL69" s="401"/>
      <c r="UVM69" s="401"/>
      <c r="UVN69" s="401"/>
      <c r="UVO69" s="401"/>
      <c r="UVP69" s="401"/>
      <c r="UVQ69" s="401"/>
      <c r="UVR69" s="401"/>
      <c r="UVS69" s="401"/>
      <c r="UVT69" s="401"/>
      <c r="UVU69" s="401"/>
      <c r="UVV69" s="401"/>
      <c r="UVW69" s="401"/>
      <c r="UVX69" s="401"/>
      <c r="UVY69" s="401"/>
      <c r="UVZ69" s="401"/>
      <c r="UWA69" s="401"/>
      <c r="UWB69" s="401"/>
      <c r="UWC69" s="401"/>
      <c r="UWD69" s="401"/>
      <c r="UWE69" s="401"/>
      <c r="UWF69" s="401"/>
      <c r="UWG69" s="401"/>
      <c r="UWH69" s="401"/>
      <c r="UWI69" s="401"/>
      <c r="UWJ69" s="401"/>
      <c r="UWK69" s="401"/>
      <c r="UWL69" s="401"/>
      <c r="UWM69" s="401"/>
      <c r="UWN69" s="401"/>
      <c r="UWO69" s="401"/>
      <c r="UWP69" s="401"/>
      <c r="UWQ69" s="401"/>
      <c r="UWR69" s="401"/>
      <c r="UWS69" s="401"/>
      <c r="UWT69" s="401"/>
      <c r="UWU69" s="401"/>
      <c r="UWV69" s="401"/>
      <c r="UWW69" s="401"/>
      <c r="UWX69" s="401"/>
      <c r="UWY69" s="401"/>
      <c r="UWZ69" s="401"/>
      <c r="UXA69" s="401"/>
      <c r="UXB69" s="401"/>
      <c r="UXC69" s="401"/>
      <c r="UXD69" s="401"/>
      <c r="UXE69" s="401"/>
      <c r="UXF69" s="401"/>
      <c r="UXG69" s="401"/>
      <c r="UXH69" s="401"/>
      <c r="UXI69" s="401"/>
      <c r="UXJ69" s="401"/>
      <c r="UXK69" s="401"/>
      <c r="UXL69" s="401"/>
      <c r="UXM69" s="401"/>
      <c r="UXN69" s="401"/>
      <c r="UXO69" s="401"/>
      <c r="UXP69" s="401"/>
      <c r="UXQ69" s="401"/>
      <c r="UXR69" s="401"/>
      <c r="UXS69" s="401"/>
      <c r="UXT69" s="401"/>
      <c r="UXU69" s="401"/>
      <c r="UXV69" s="401"/>
      <c r="UXW69" s="401"/>
      <c r="UXX69" s="401"/>
      <c r="UXY69" s="401"/>
      <c r="UXZ69" s="401"/>
      <c r="UYA69" s="401"/>
      <c r="UYB69" s="401"/>
      <c r="UYC69" s="401"/>
      <c r="UYD69" s="401"/>
      <c r="UYE69" s="401"/>
      <c r="UYF69" s="401"/>
      <c r="UYG69" s="401"/>
      <c r="UYH69" s="401"/>
      <c r="UYI69" s="401"/>
      <c r="UYJ69" s="401"/>
      <c r="UYK69" s="401"/>
      <c r="UYL69" s="401"/>
      <c r="UYM69" s="401"/>
      <c r="UYN69" s="401"/>
      <c r="UYO69" s="401"/>
      <c r="UYP69" s="401"/>
      <c r="UYQ69" s="401"/>
      <c r="UYR69" s="401"/>
      <c r="UYS69" s="401"/>
      <c r="UYT69" s="401"/>
      <c r="UYU69" s="401"/>
      <c r="UYV69" s="401"/>
      <c r="UYW69" s="401"/>
      <c r="UYX69" s="401"/>
      <c r="UYY69" s="401"/>
      <c r="UYZ69" s="401"/>
      <c r="UZA69" s="401"/>
      <c r="UZB69" s="401"/>
      <c r="UZC69" s="401"/>
      <c r="UZD69" s="401"/>
      <c r="UZE69" s="401"/>
      <c r="UZF69" s="401"/>
      <c r="UZG69" s="401"/>
      <c r="UZH69" s="401"/>
      <c r="UZI69" s="401"/>
      <c r="UZJ69" s="401"/>
      <c r="UZK69" s="401"/>
      <c r="UZL69" s="401"/>
      <c r="UZM69" s="401"/>
      <c r="UZN69" s="401"/>
      <c r="UZO69" s="401"/>
      <c r="UZP69" s="401"/>
      <c r="UZQ69" s="401"/>
      <c r="UZR69" s="401"/>
      <c r="UZS69" s="401"/>
      <c r="UZT69" s="401"/>
      <c r="UZU69" s="401"/>
      <c r="UZV69" s="401"/>
      <c r="UZW69" s="401"/>
      <c r="UZX69" s="401"/>
      <c r="UZY69" s="401"/>
      <c r="UZZ69" s="401"/>
      <c r="VAA69" s="401"/>
      <c r="VAB69" s="401"/>
      <c r="VAC69" s="401"/>
      <c r="VAD69" s="401"/>
      <c r="VAE69" s="401"/>
      <c r="VAF69" s="401"/>
      <c r="VAG69" s="401"/>
      <c r="VAH69" s="401"/>
      <c r="VAI69" s="401"/>
      <c r="VAJ69" s="401"/>
      <c r="VAK69" s="401"/>
      <c r="VAL69" s="401"/>
      <c r="VAM69" s="401"/>
      <c r="VAN69" s="401"/>
      <c r="VAO69" s="401"/>
      <c r="VAP69" s="401"/>
      <c r="VAQ69" s="401"/>
      <c r="VAR69" s="401"/>
      <c r="VAS69" s="401"/>
      <c r="VAT69" s="401"/>
      <c r="VAU69" s="401"/>
      <c r="VAV69" s="401"/>
      <c r="VAW69" s="401"/>
      <c r="VAX69" s="401"/>
      <c r="VAY69" s="401"/>
      <c r="VAZ69" s="401"/>
      <c r="VBA69" s="401"/>
      <c r="VBB69" s="401"/>
      <c r="VBC69" s="401"/>
      <c r="VBD69" s="401"/>
      <c r="VBE69" s="401"/>
      <c r="VBF69" s="401"/>
      <c r="VBG69" s="401"/>
      <c r="VBH69" s="401"/>
      <c r="VBI69" s="401"/>
      <c r="VBJ69" s="401"/>
      <c r="VBK69" s="401"/>
      <c r="VBL69" s="401"/>
      <c r="VBM69" s="401"/>
      <c r="VBN69" s="401"/>
      <c r="VBO69" s="401"/>
      <c r="VBP69" s="401"/>
      <c r="VBQ69" s="401"/>
      <c r="VBR69" s="401"/>
      <c r="VBS69" s="401"/>
      <c r="VBT69" s="401"/>
      <c r="VBU69" s="401"/>
      <c r="VBV69" s="401"/>
      <c r="VBW69" s="401"/>
      <c r="VBX69" s="401"/>
      <c r="VBY69" s="401"/>
      <c r="VBZ69" s="401"/>
      <c r="VCA69" s="401"/>
      <c r="VCB69" s="401"/>
      <c r="VCC69" s="401"/>
      <c r="VCD69" s="401"/>
      <c r="VCE69" s="401"/>
      <c r="VCF69" s="401"/>
      <c r="VCG69" s="401"/>
      <c r="VCH69" s="401"/>
      <c r="VCI69" s="401"/>
      <c r="VCJ69" s="401"/>
      <c r="VCK69" s="401"/>
      <c r="VCL69" s="401"/>
      <c r="VCM69" s="401"/>
      <c r="VCN69" s="401"/>
      <c r="VCO69" s="401"/>
      <c r="VCP69" s="401"/>
      <c r="VCQ69" s="401"/>
      <c r="VCR69" s="401"/>
      <c r="VCS69" s="401"/>
      <c r="VCT69" s="401"/>
      <c r="VCU69" s="401"/>
      <c r="VCV69" s="401"/>
      <c r="VCW69" s="401"/>
      <c r="VCX69" s="401"/>
      <c r="VCY69" s="401"/>
      <c r="VCZ69" s="401"/>
      <c r="VDA69" s="401"/>
      <c r="VDB69" s="401"/>
      <c r="VDC69" s="401"/>
      <c r="VDD69" s="401"/>
      <c r="VDE69" s="401"/>
      <c r="VDF69" s="401"/>
      <c r="VDG69" s="401"/>
      <c r="VDH69" s="401"/>
      <c r="VDI69" s="401"/>
      <c r="VDJ69" s="401"/>
      <c r="VDK69" s="401"/>
      <c r="VDL69" s="401"/>
      <c r="VDM69" s="401"/>
      <c r="VDN69" s="401"/>
      <c r="VDO69" s="401"/>
      <c r="VDP69" s="401"/>
      <c r="VDQ69" s="401"/>
      <c r="VDR69" s="401"/>
      <c r="VDS69" s="401"/>
      <c r="VDT69" s="401"/>
      <c r="VDU69" s="401"/>
      <c r="VDV69" s="401"/>
      <c r="VDW69" s="401"/>
      <c r="VDX69" s="401"/>
      <c r="VDY69" s="401"/>
      <c r="VDZ69" s="401"/>
      <c r="VEA69" s="401"/>
      <c r="VEB69" s="401"/>
      <c r="VEC69" s="401"/>
      <c r="VED69" s="401"/>
      <c r="VEE69" s="401"/>
      <c r="VEF69" s="401"/>
      <c r="VEG69" s="401"/>
      <c r="VEH69" s="401"/>
      <c r="VEI69" s="401"/>
      <c r="VEJ69" s="401"/>
      <c r="VEK69" s="401"/>
      <c r="VEL69" s="401"/>
      <c r="VEM69" s="401"/>
      <c r="VEN69" s="401"/>
      <c r="VEO69" s="401"/>
      <c r="VEP69" s="401"/>
      <c r="VEQ69" s="401"/>
      <c r="VER69" s="401"/>
      <c r="VES69" s="401"/>
      <c r="VET69" s="401"/>
      <c r="VEU69" s="401"/>
      <c r="VEV69" s="401"/>
      <c r="VEW69" s="401"/>
      <c r="VEX69" s="401"/>
      <c r="VEY69" s="401"/>
      <c r="VEZ69" s="401"/>
      <c r="VFA69" s="401"/>
      <c r="VFB69" s="401"/>
      <c r="VFC69" s="401"/>
      <c r="VFD69" s="401"/>
      <c r="VFE69" s="401"/>
      <c r="VFF69" s="401"/>
      <c r="VFG69" s="401"/>
      <c r="VFH69" s="401"/>
      <c r="VFI69" s="401"/>
      <c r="VFJ69" s="401"/>
      <c r="VFK69" s="401"/>
      <c r="VFL69" s="401"/>
      <c r="VFM69" s="401"/>
      <c r="VFN69" s="401"/>
      <c r="VFO69" s="401"/>
      <c r="VFP69" s="401"/>
      <c r="VFQ69" s="401"/>
      <c r="VFR69" s="401"/>
      <c r="VFS69" s="401"/>
      <c r="VFT69" s="401"/>
      <c r="VFU69" s="401"/>
      <c r="VFV69" s="401"/>
      <c r="VFW69" s="401"/>
      <c r="VFX69" s="401"/>
      <c r="VFY69" s="401"/>
      <c r="VFZ69" s="401"/>
      <c r="VGA69" s="401"/>
      <c r="VGB69" s="401"/>
      <c r="VGC69" s="401"/>
      <c r="VGD69" s="401"/>
      <c r="VGE69" s="401"/>
      <c r="VGF69" s="401"/>
      <c r="VGG69" s="401"/>
      <c r="VGH69" s="401"/>
      <c r="VGI69" s="401"/>
      <c r="VGJ69" s="401"/>
      <c r="VGK69" s="401"/>
      <c r="VGL69" s="401"/>
      <c r="VGM69" s="401"/>
      <c r="VGN69" s="401"/>
      <c r="VGO69" s="401"/>
      <c r="VGP69" s="401"/>
      <c r="VGQ69" s="401"/>
      <c r="VGR69" s="401"/>
      <c r="VGS69" s="401"/>
      <c r="VGT69" s="401"/>
      <c r="VGU69" s="401"/>
      <c r="VGV69" s="401"/>
      <c r="VGW69" s="401"/>
      <c r="VGX69" s="401"/>
      <c r="VGY69" s="401"/>
      <c r="VGZ69" s="401"/>
      <c r="VHA69" s="401"/>
      <c r="VHB69" s="401"/>
      <c r="VHC69" s="401"/>
      <c r="VHD69" s="401"/>
      <c r="VHE69" s="401"/>
      <c r="VHF69" s="401"/>
      <c r="VHG69" s="401"/>
      <c r="VHH69" s="401"/>
      <c r="VHI69" s="401"/>
      <c r="VHJ69" s="401"/>
      <c r="VHK69" s="401"/>
      <c r="VHL69" s="401"/>
      <c r="VHM69" s="401"/>
      <c r="VHN69" s="401"/>
      <c r="VHO69" s="401"/>
      <c r="VHP69" s="401"/>
      <c r="VHQ69" s="401"/>
      <c r="VHR69" s="401"/>
      <c r="VHS69" s="401"/>
      <c r="VHT69" s="401"/>
      <c r="VHU69" s="401"/>
      <c r="VHV69" s="401"/>
      <c r="VHW69" s="401"/>
      <c r="VHX69" s="401"/>
      <c r="VHY69" s="401"/>
      <c r="VHZ69" s="401"/>
      <c r="VIA69" s="401"/>
      <c r="VIB69" s="401"/>
      <c r="VIC69" s="401"/>
      <c r="VID69" s="401"/>
      <c r="VIE69" s="401"/>
      <c r="VIF69" s="401"/>
      <c r="VIG69" s="401"/>
      <c r="VIH69" s="401"/>
      <c r="VII69" s="401"/>
      <c r="VIJ69" s="401"/>
      <c r="VIK69" s="401"/>
      <c r="VIL69" s="401"/>
      <c r="VIM69" s="401"/>
      <c r="VIN69" s="401"/>
      <c r="VIO69" s="401"/>
      <c r="VIP69" s="401"/>
      <c r="VIQ69" s="401"/>
      <c r="VIR69" s="401"/>
      <c r="VIS69" s="401"/>
      <c r="VIT69" s="401"/>
      <c r="VIU69" s="401"/>
      <c r="VIV69" s="401"/>
      <c r="VIW69" s="401"/>
      <c r="VIX69" s="401"/>
      <c r="VIY69" s="401"/>
      <c r="VIZ69" s="401"/>
      <c r="VJA69" s="401"/>
      <c r="VJB69" s="401"/>
      <c r="VJC69" s="401"/>
      <c r="VJD69" s="401"/>
      <c r="VJE69" s="401"/>
      <c r="VJF69" s="401"/>
      <c r="VJG69" s="401"/>
      <c r="VJH69" s="401"/>
      <c r="VJI69" s="401"/>
      <c r="VJJ69" s="401"/>
      <c r="VJK69" s="401"/>
      <c r="VJL69" s="401"/>
      <c r="VJM69" s="401"/>
      <c r="VJN69" s="401"/>
      <c r="VJO69" s="401"/>
      <c r="VJP69" s="401"/>
      <c r="VJQ69" s="401"/>
      <c r="VJR69" s="401"/>
      <c r="VJS69" s="401"/>
      <c r="VJT69" s="401"/>
      <c r="VJU69" s="401"/>
      <c r="VJV69" s="401"/>
      <c r="VJW69" s="401"/>
      <c r="VJX69" s="401"/>
      <c r="VJY69" s="401"/>
      <c r="VJZ69" s="401"/>
      <c r="VKA69" s="401"/>
      <c r="VKB69" s="401"/>
      <c r="VKC69" s="401"/>
      <c r="VKD69" s="401"/>
      <c r="VKE69" s="401"/>
      <c r="VKF69" s="401"/>
      <c r="VKG69" s="401"/>
      <c r="VKH69" s="401"/>
      <c r="VKI69" s="401"/>
      <c r="VKJ69" s="401"/>
      <c r="VKK69" s="401"/>
      <c r="VKL69" s="401"/>
      <c r="VKM69" s="401"/>
      <c r="VKN69" s="401"/>
      <c r="VKO69" s="401"/>
      <c r="VKP69" s="401"/>
      <c r="VKQ69" s="401"/>
      <c r="VKR69" s="401"/>
      <c r="VKS69" s="401"/>
      <c r="VKT69" s="401"/>
      <c r="VKU69" s="401"/>
      <c r="VKV69" s="401"/>
      <c r="VKW69" s="401"/>
      <c r="VKX69" s="401"/>
      <c r="VKY69" s="401"/>
      <c r="VKZ69" s="401"/>
      <c r="VLA69" s="401"/>
      <c r="VLB69" s="401"/>
      <c r="VLC69" s="401"/>
      <c r="VLD69" s="401"/>
      <c r="VLE69" s="401"/>
      <c r="VLF69" s="401"/>
      <c r="VLG69" s="401"/>
      <c r="VLH69" s="401"/>
      <c r="VLI69" s="401"/>
      <c r="VLJ69" s="401"/>
      <c r="VLK69" s="401"/>
      <c r="VLL69" s="401"/>
      <c r="VLM69" s="401"/>
      <c r="VLN69" s="401"/>
      <c r="VLO69" s="401"/>
      <c r="VLP69" s="401"/>
      <c r="VLQ69" s="401"/>
      <c r="VLR69" s="401"/>
      <c r="VLS69" s="401"/>
      <c r="VLT69" s="401"/>
      <c r="VLU69" s="401"/>
      <c r="VLV69" s="401"/>
      <c r="VLW69" s="401"/>
      <c r="VLX69" s="401"/>
      <c r="VLY69" s="401"/>
      <c r="VLZ69" s="401"/>
      <c r="VMA69" s="401"/>
      <c r="VMB69" s="401"/>
      <c r="VMC69" s="401"/>
      <c r="VMD69" s="401"/>
      <c r="VME69" s="401"/>
      <c r="VMF69" s="401"/>
      <c r="VMG69" s="401"/>
      <c r="VMH69" s="401"/>
      <c r="VMI69" s="401"/>
      <c r="VMJ69" s="401"/>
      <c r="VMK69" s="401"/>
      <c r="VML69" s="401"/>
      <c r="VMM69" s="401"/>
      <c r="VMN69" s="401"/>
      <c r="VMO69" s="401"/>
      <c r="VMP69" s="401"/>
      <c r="VMQ69" s="401"/>
      <c r="VMR69" s="401"/>
      <c r="VMS69" s="401"/>
      <c r="VMT69" s="401"/>
      <c r="VMU69" s="401"/>
      <c r="VMV69" s="401"/>
      <c r="VMW69" s="401"/>
      <c r="VMX69" s="401"/>
      <c r="VMY69" s="401"/>
      <c r="VMZ69" s="401"/>
      <c r="VNA69" s="401"/>
      <c r="VNB69" s="401"/>
      <c r="VNC69" s="401"/>
      <c r="VND69" s="401"/>
      <c r="VNE69" s="401"/>
      <c r="VNF69" s="401"/>
      <c r="VNG69" s="401"/>
      <c r="VNH69" s="401"/>
      <c r="VNI69" s="401"/>
      <c r="VNJ69" s="401"/>
      <c r="VNK69" s="401"/>
      <c r="VNL69" s="401"/>
      <c r="VNM69" s="401"/>
      <c r="VNN69" s="401"/>
      <c r="VNO69" s="401"/>
      <c r="VNP69" s="401"/>
      <c r="VNQ69" s="401"/>
      <c r="VNR69" s="401"/>
      <c r="VNS69" s="401"/>
      <c r="VNT69" s="401"/>
      <c r="VNU69" s="401"/>
      <c r="VNV69" s="401"/>
      <c r="VNW69" s="401"/>
      <c r="VNX69" s="401"/>
      <c r="VNY69" s="401"/>
      <c r="VNZ69" s="401"/>
      <c r="VOA69" s="401"/>
      <c r="VOB69" s="401"/>
      <c r="VOC69" s="401"/>
      <c r="VOD69" s="401"/>
      <c r="VOE69" s="401"/>
      <c r="VOF69" s="401"/>
      <c r="VOG69" s="401"/>
      <c r="VOH69" s="401"/>
      <c r="VOI69" s="401"/>
      <c r="VOJ69" s="401"/>
      <c r="VOK69" s="401"/>
      <c r="VOL69" s="401"/>
      <c r="VOM69" s="401"/>
      <c r="VON69" s="401"/>
      <c r="VOO69" s="401"/>
      <c r="VOP69" s="401"/>
      <c r="VOQ69" s="401"/>
      <c r="VOR69" s="401"/>
      <c r="VOS69" s="401"/>
      <c r="VOT69" s="401"/>
      <c r="VOU69" s="401"/>
      <c r="VOV69" s="401"/>
      <c r="VOW69" s="401"/>
      <c r="VOX69" s="401"/>
      <c r="VOY69" s="401"/>
      <c r="VOZ69" s="401"/>
      <c r="VPA69" s="401"/>
      <c r="VPB69" s="401"/>
      <c r="VPC69" s="401"/>
      <c r="VPD69" s="401"/>
      <c r="VPE69" s="401"/>
      <c r="VPF69" s="401"/>
      <c r="VPG69" s="401"/>
      <c r="VPH69" s="401"/>
      <c r="VPI69" s="401"/>
      <c r="VPJ69" s="401"/>
      <c r="VPK69" s="401"/>
      <c r="VPL69" s="401"/>
      <c r="VPM69" s="401"/>
      <c r="VPN69" s="401"/>
      <c r="VPO69" s="401"/>
      <c r="VPP69" s="401"/>
      <c r="VPQ69" s="401"/>
      <c r="VPR69" s="401"/>
      <c r="VPS69" s="401"/>
      <c r="VPT69" s="401"/>
      <c r="VPU69" s="401"/>
      <c r="VPV69" s="401"/>
      <c r="VPW69" s="401"/>
      <c r="VPX69" s="401"/>
      <c r="VPY69" s="401"/>
      <c r="VPZ69" s="401"/>
      <c r="VQA69" s="401"/>
      <c r="VQB69" s="401"/>
      <c r="VQC69" s="401"/>
      <c r="VQD69" s="401"/>
      <c r="VQE69" s="401"/>
      <c r="VQF69" s="401"/>
      <c r="VQG69" s="401"/>
      <c r="VQH69" s="401"/>
      <c r="VQI69" s="401"/>
      <c r="VQJ69" s="401"/>
      <c r="VQK69" s="401"/>
      <c r="VQL69" s="401"/>
      <c r="VQM69" s="401"/>
      <c r="VQN69" s="401"/>
      <c r="VQO69" s="401"/>
      <c r="VQP69" s="401"/>
      <c r="VQQ69" s="401"/>
      <c r="VQR69" s="401"/>
      <c r="VQS69" s="401"/>
      <c r="VQT69" s="401"/>
      <c r="VQU69" s="401"/>
      <c r="VQV69" s="401"/>
      <c r="VQW69" s="401"/>
      <c r="VQX69" s="401"/>
      <c r="VQY69" s="401"/>
      <c r="VQZ69" s="401"/>
      <c r="VRA69" s="401"/>
      <c r="VRB69" s="401"/>
      <c r="VRC69" s="401"/>
      <c r="VRD69" s="401"/>
      <c r="VRE69" s="401"/>
      <c r="VRF69" s="401"/>
      <c r="VRG69" s="401"/>
      <c r="VRH69" s="401"/>
      <c r="VRI69" s="401"/>
      <c r="VRJ69" s="401"/>
      <c r="VRK69" s="401"/>
      <c r="VRL69" s="401"/>
      <c r="VRM69" s="401"/>
      <c r="VRN69" s="401"/>
      <c r="VRO69" s="401"/>
      <c r="VRP69" s="401"/>
      <c r="VRQ69" s="401"/>
      <c r="VRR69" s="401"/>
      <c r="VRS69" s="401"/>
      <c r="VRT69" s="401"/>
      <c r="VRU69" s="401"/>
      <c r="VRV69" s="401"/>
      <c r="VRW69" s="401"/>
      <c r="VRX69" s="401"/>
      <c r="VRY69" s="401"/>
      <c r="VRZ69" s="401"/>
      <c r="VSA69" s="401"/>
      <c r="VSB69" s="401"/>
      <c r="VSC69" s="401"/>
      <c r="VSD69" s="401"/>
      <c r="VSE69" s="401"/>
      <c r="VSF69" s="401"/>
      <c r="VSG69" s="401"/>
      <c r="VSH69" s="401"/>
      <c r="VSI69" s="401"/>
      <c r="VSJ69" s="401"/>
      <c r="VSK69" s="401"/>
      <c r="VSL69" s="401"/>
      <c r="VSM69" s="401"/>
      <c r="VSN69" s="401"/>
      <c r="VSO69" s="401"/>
      <c r="VSP69" s="401"/>
      <c r="VSQ69" s="401"/>
      <c r="VSR69" s="401"/>
      <c r="VSS69" s="401"/>
      <c r="VST69" s="401"/>
      <c r="VSU69" s="401"/>
      <c r="VSV69" s="401"/>
      <c r="VSW69" s="401"/>
      <c r="VSX69" s="401"/>
      <c r="VSY69" s="401"/>
      <c r="VSZ69" s="401"/>
      <c r="VTA69" s="401"/>
      <c r="VTB69" s="401"/>
      <c r="VTC69" s="401"/>
      <c r="VTD69" s="401"/>
      <c r="VTE69" s="401"/>
      <c r="VTF69" s="401"/>
      <c r="VTG69" s="401"/>
      <c r="VTH69" s="401"/>
      <c r="VTI69" s="401"/>
      <c r="VTJ69" s="401"/>
      <c r="VTK69" s="401"/>
      <c r="VTL69" s="401"/>
      <c r="VTM69" s="401"/>
      <c r="VTN69" s="401"/>
      <c r="VTO69" s="401"/>
      <c r="VTP69" s="401"/>
      <c r="VTQ69" s="401"/>
      <c r="VTR69" s="401"/>
      <c r="VTS69" s="401"/>
      <c r="VTT69" s="401"/>
      <c r="VTU69" s="401"/>
      <c r="VTV69" s="401"/>
      <c r="VTW69" s="401"/>
      <c r="VTX69" s="401"/>
      <c r="VTY69" s="401"/>
      <c r="VTZ69" s="401"/>
      <c r="VUA69" s="401"/>
      <c r="VUB69" s="401"/>
      <c r="VUC69" s="401"/>
      <c r="VUD69" s="401"/>
      <c r="VUE69" s="401"/>
      <c r="VUF69" s="401"/>
      <c r="VUG69" s="401"/>
      <c r="VUH69" s="401"/>
      <c r="VUI69" s="401"/>
      <c r="VUJ69" s="401"/>
      <c r="VUK69" s="401"/>
      <c r="VUL69" s="401"/>
      <c r="VUM69" s="401"/>
      <c r="VUN69" s="401"/>
      <c r="VUO69" s="401"/>
      <c r="VUP69" s="401"/>
      <c r="VUQ69" s="401"/>
      <c r="VUR69" s="401"/>
      <c r="VUS69" s="401"/>
      <c r="VUT69" s="401"/>
      <c r="VUU69" s="401"/>
      <c r="VUV69" s="401"/>
      <c r="VUW69" s="401"/>
      <c r="VUX69" s="401"/>
      <c r="VUY69" s="401"/>
      <c r="VUZ69" s="401"/>
      <c r="VVA69" s="401"/>
      <c r="VVB69" s="401"/>
      <c r="VVC69" s="401"/>
      <c r="VVD69" s="401"/>
      <c r="VVE69" s="401"/>
      <c r="VVF69" s="401"/>
      <c r="VVG69" s="401"/>
      <c r="VVH69" s="401"/>
      <c r="VVI69" s="401"/>
      <c r="VVJ69" s="401"/>
      <c r="VVK69" s="401"/>
      <c r="VVL69" s="401"/>
      <c r="VVM69" s="401"/>
      <c r="VVN69" s="401"/>
      <c r="VVO69" s="401"/>
      <c r="VVP69" s="401"/>
      <c r="VVQ69" s="401"/>
      <c r="VVR69" s="401"/>
      <c r="VVS69" s="401"/>
      <c r="VVT69" s="401"/>
      <c r="VVU69" s="401"/>
      <c r="VVV69" s="401"/>
      <c r="VVW69" s="401"/>
      <c r="VVX69" s="401"/>
      <c r="VVY69" s="401"/>
      <c r="VVZ69" s="401"/>
      <c r="VWA69" s="401"/>
      <c r="VWB69" s="401"/>
      <c r="VWC69" s="401"/>
      <c r="VWD69" s="401"/>
      <c r="VWE69" s="401"/>
      <c r="VWF69" s="401"/>
      <c r="VWG69" s="401"/>
      <c r="VWH69" s="401"/>
      <c r="VWI69" s="401"/>
      <c r="VWJ69" s="401"/>
      <c r="VWK69" s="401"/>
      <c r="VWL69" s="401"/>
      <c r="VWM69" s="401"/>
      <c r="VWN69" s="401"/>
      <c r="VWO69" s="401"/>
      <c r="VWP69" s="401"/>
      <c r="VWQ69" s="401"/>
      <c r="VWR69" s="401"/>
      <c r="VWS69" s="401"/>
      <c r="VWT69" s="401"/>
      <c r="VWU69" s="401"/>
      <c r="VWV69" s="401"/>
      <c r="VWW69" s="401"/>
      <c r="VWX69" s="401"/>
      <c r="VWY69" s="401"/>
      <c r="VWZ69" s="401"/>
      <c r="VXA69" s="401"/>
      <c r="VXB69" s="401"/>
      <c r="VXC69" s="401"/>
      <c r="VXD69" s="401"/>
      <c r="VXE69" s="401"/>
      <c r="VXF69" s="401"/>
      <c r="VXG69" s="401"/>
      <c r="VXH69" s="401"/>
      <c r="VXI69" s="401"/>
      <c r="VXJ69" s="401"/>
      <c r="VXK69" s="401"/>
      <c r="VXL69" s="401"/>
      <c r="VXM69" s="401"/>
      <c r="VXN69" s="401"/>
      <c r="VXO69" s="401"/>
      <c r="VXP69" s="401"/>
      <c r="VXQ69" s="401"/>
      <c r="VXR69" s="401"/>
      <c r="VXS69" s="401"/>
      <c r="VXT69" s="401"/>
      <c r="VXU69" s="401"/>
      <c r="VXV69" s="401"/>
      <c r="VXW69" s="401"/>
      <c r="VXX69" s="401"/>
      <c r="VXY69" s="401"/>
      <c r="VXZ69" s="401"/>
      <c r="VYA69" s="401"/>
      <c r="VYB69" s="401"/>
      <c r="VYC69" s="401"/>
      <c r="VYD69" s="401"/>
      <c r="VYE69" s="401"/>
      <c r="VYF69" s="401"/>
      <c r="VYG69" s="401"/>
      <c r="VYH69" s="401"/>
      <c r="VYI69" s="401"/>
      <c r="VYJ69" s="401"/>
      <c r="VYK69" s="401"/>
      <c r="VYL69" s="401"/>
      <c r="VYM69" s="401"/>
      <c r="VYN69" s="401"/>
      <c r="VYO69" s="401"/>
      <c r="VYP69" s="401"/>
      <c r="VYQ69" s="401"/>
      <c r="VYR69" s="401"/>
      <c r="VYS69" s="401"/>
      <c r="VYT69" s="401"/>
      <c r="VYU69" s="401"/>
      <c r="VYV69" s="401"/>
      <c r="VYW69" s="401"/>
      <c r="VYX69" s="401"/>
      <c r="VYY69" s="401"/>
      <c r="VYZ69" s="401"/>
      <c r="VZA69" s="401"/>
      <c r="VZB69" s="401"/>
      <c r="VZC69" s="401"/>
      <c r="VZD69" s="401"/>
      <c r="VZE69" s="401"/>
      <c r="VZF69" s="401"/>
      <c r="VZG69" s="401"/>
      <c r="VZH69" s="401"/>
      <c r="VZI69" s="401"/>
      <c r="VZJ69" s="401"/>
      <c r="VZK69" s="401"/>
      <c r="VZL69" s="401"/>
      <c r="VZM69" s="401"/>
      <c r="VZN69" s="401"/>
      <c r="VZO69" s="401"/>
      <c r="VZP69" s="401"/>
      <c r="VZQ69" s="401"/>
      <c r="VZR69" s="401"/>
      <c r="VZS69" s="401"/>
      <c r="VZT69" s="401"/>
      <c r="VZU69" s="401"/>
      <c r="VZV69" s="401"/>
      <c r="VZW69" s="401"/>
      <c r="VZX69" s="401"/>
      <c r="VZY69" s="401"/>
      <c r="VZZ69" s="401"/>
      <c r="WAA69" s="401"/>
      <c r="WAB69" s="401"/>
      <c r="WAC69" s="401"/>
      <c r="WAD69" s="401"/>
      <c r="WAE69" s="401"/>
      <c r="WAF69" s="401"/>
      <c r="WAG69" s="401"/>
      <c r="WAH69" s="401"/>
      <c r="WAI69" s="401"/>
      <c r="WAJ69" s="401"/>
      <c r="WAK69" s="401"/>
      <c r="WAL69" s="401"/>
      <c r="WAM69" s="401"/>
      <c r="WAN69" s="401"/>
      <c r="WAO69" s="401"/>
      <c r="WAP69" s="401"/>
      <c r="WAQ69" s="401"/>
      <c r="WAR69" s="401"/>
      <c r="WAS69" s="401"/>
      <c r="WAT69" s="401"/>
      <c r="WAU69" s="401"/>
      <c r="WAV69" s="401"/>
      <c r="WAW69" s="401"/>
      <c r="WAX69" s="401"/>
      <c r="WAY69" s="401"/>
      <c r="WAZ69" s="401"/>
      <c r="WBA69" s="401"/>
      <c r="WBB69" s="401"/>
      <c r="WBC69" s="401"/>
      <c r="WBD69" s="401"/>
      <c r="WBE69" s="401"/>
      <c r="WBF69" s="401"/>
      <c r="WBG69" s="401"/>
      <c r="WBH69" s="401"/>
      <c r="WBI69" s="401"/>
      <c r="WBJ69" s="401"/>
      <c r="WBK69" s="401"/>
      <c r="WBL69" s="401"/>
      <c r="WBM69" s="401"/>
      <c r="WBN69" s="401"/>
      <c r="WBO69" s="401"/>
      <c r="WBP69" s="401"/>
      <c r="WBQ69" s="401"/>
      <c r="WBR69" s="401"/>
      <c r="WBS69" s="401"/>
      <c r="WBT69" s="401"/>
      <c r="WBU69" s="401"/>
      <c r="WBV69" s="401"/>
      <c r="WBW69" s="401"/>
      <c r="WBX69" s="401"/>
      <c r="WBY69" s="401"/>
      <c r="WBZ69" s="401"/>
      <c r="WCA69" s="401"/>
      <c r="WCB69" s="401"/>
      <c r="WCC69" s="401"/>
      <c r="WCD69" s="401"/>
      <c r="WCE69" s="401"/>
      <c r="WCF69" s="401"/>
      <c r="WCG69" s="401"/>
      <c r="WCH69" s="401"/>
      <c r="WCI69" s="401"/>
      <c r="WCJ69" s="401"/>
      <c r="WCK69" s="401"/>
      <c r="WCL69" s="401"/>
      <c r="WCM69" s="401"/>
      <c r="WCN69" s="401"/>
      <c r="WCO69" s="401"/>
      <c r="WCP69" s="401"/>
      <c r="WCQ69" s="401"/>
      <c r="WCR69" s="401"/>
      <c r="WCS69" s="401"/>
      <c r="WCT69" s="401"/>
      <c r="WCU69" s="401"/>
      <c r="WCV69" s="401"/>
      <c r="WCW69" s="401"/>
      <c r="WCX69" s="401"/>
      <c r="WCY69" s="401"/>
      <c r="WCZ69" s="401"/>
      <c r="WDA69" s="401"/>
      <c r="WDB69" s="401"/>
      <c r="WDC69" s="401"/>
      <c r="WDD69" s="401"/>
      <c r="WDE69" s="401"/>
      <c r="WDF69" s="401"/>
      <c r="WDG69" s="401"/>
      <c r="WDH69" s="401"/>
      <c r="WDI69" s="401"/>
      <c r="WDJ69" s="401"/>
      <c r="WDK69" s="401"/>
      <c r="WDL69" s="401"/>
      <c r="WDM69" s="401"/>
      <c r="WDN69" s="401"/>
      <c r="WDO69" s="401"/>
      <c r="WDP69" s="401"/>
      <c r="WDQ69" s="401"/>
      <c r="WDR69" s="401"/>
      <c r="WDS69" s="401"/>
      <c r="WDT69" s="401"/>
      <c r="WDU69" s="401"/>
      <c r="WDV69" s="401"/>
      <c r="WDW69" s="401"/>
      <c r="WDX69" s="401"/>
      <c r="WDY69" s="401"/>
      <c r="WDZ69" s="401"/>
      <c r="WEA69" s="401"/>
      <c r="WEB69" s="401"/>
      <c r="WEC69" s="401"/>
      <c r="WED69" s="401"/>
      <c r="WEE69" s="401"/>
      <c r="WEF69" s="401"/>
      <c r="WEG69" s="401"/>
      <c r="WEH69" s="401"/>
      <c r="WEI69" s="401"/>
      <c r="WEJ69" s="401"/>
      <c r="WEK69" s="401"/>
      <c r="WEL69" s="401"/>
      <c r="WEM69" s="401"/>
      <c r="WEN69" s="401"/>
      <c r="WEO69" s="401"/>
      <c r="WEP69" s="401"/>
      <c r="WEQ69" s="401"/>
      <c r="WER69" s="401"/>
      <c r="WES69" s="401"/>
      <c r="WET69" s="401"/>
      <c r="WEU69" s="401"/>
      <c r="WEV69" s="401"/>
      <c r="WEW69" s="401"/>
      <c r="WEX69" s="401"/>
      <c r="WEY69" s="401"/>
      <c r="WEZ69" s="401"/>
      <c r="WFA69" s="401"/>
      <c r="WFB69" s="401"/>
      <c r="WFC69" s="401"/>
      <c r="WFD69" s="401"/>
      <c r="WFE69" s="401"/>
      <c r="WFF69" s="401"/>
      <c r="WFG69" s="401"/>
      <c r="WFH69" s="401"/>
      <c r="WFI69" s="401"/>
      <c r="WFJ69" s="401"/>
      <c r="WFK69" s="401"/>
      <c r="WFL69" s="401"/>
      <c r="WFM69" s="401"/>
      <c r="WFN69" s="401"/>
      <c r="WFO69" s="401"/>
      <c r="WFP69" s="401"/>
      <c r="WFQ69" s="401"/>
      <c r="WFR69" s="401"/>
      <c r="WFS69" s="401"/>
      <c r="WFT69" s="401"/>
      <c r="WFU69" s="401"/>
      <c r="WFV69" s="401"/>
      <c r="WFW69" s="401"/>
      <c r="WFX69" s="401"/>
      <c r="WFY69" s="401"/>
      <c r="WFZ69" s="401"/>
      <c r="WGA69" s="401"/>
      <c r="WGB69" s="401"/>
      <c r="WGC69" s="401"/>
      <c r="WGD69" s="401"/>
      <c r="WGE69" s="401"/>
      <c r="WGF69" s="401"/>
      <c r="WGG69" s="401"/>
      <c r="WGH69" s="401"/>
      <c r="WGI69" s="401"/>
      <c r="WGJ69" s="401"/>
      <c r="WGK69" s="401"/>
      <c r="WGL69" s="401"/>
      <c r="WGM69" s="401"/>
      <c r="WGN69" s="401"/>
      <c r="WGO69" s="401"/>
      <c r="WGP69" s="401"/>
      <c r="WGQ69" s="401"/>
      <c r="WGR69" s="401"/>
      <c r="WGS69" s="401"/>
      <c r="WGT69" s="401"/>
      <c r="WGU69" s="401"/>
      <c r="WGV69" s="401"/>
      <c r="WGW69" s="401"/>
      <c r="WGX69" s="401"/>
      <c r="WGY69" s="401"/>
      <c r="WGZ69" s="401"/>
      <c r="WHA69" s="401"/>
      <c r="WHB69" s="401"/>
      <c r="WHC69" s="401"/>
      <c r="WHD69" s="401"/>
      <c r="WHE69" s="401"/>
      <c r="WHF69" s="401"/>
      <c r="WHG69" s="401"/>
      <c r="WHH69" s="401"/>
      <c r="WHI69" s="401"/>
      <c r="WHJ69" s="401"/>
      <c r="WHK69" s="401"/>
      <c r="WHL69" s="401"/>
      <c r="WHM69" s="401"/>
      <c r="WHN69" s="401"/>
      <c r="WHO69" s="401"/>
      <c r="WHP69" s="401"/>
      <c r="WHQ69" s="401"/>
      <c r="WHR69" s="401"/>
      <c r="WHS69" s="401"/>
      <c r="WHT69" s="401"/>
      <c r="WHU69" s="401"/>
      <c r="WHV69" s="401"/>
      <c r="WHW69" s="401"/>
      <c r="WHX69" s="401"/>
      <c r="WHY69" s="401"/>
      <c r="WHZ69" s="401"/>
      <c r="WIA69" s="401"/>
      <c r="WIB69" s="401"/>
      <c r="WIC69" s="401"/>
      <c r="WID69" s="401"/>
      <c r="WIE69" s="401"/>
      <c r="WIF69" s="401"/>
      <c r="WIG69" s="401"/>
      <c r="WIH69" s="401"/>
      <c r="WII69" s="401"/>
      <c r="WIJ69" s="401"/>
      <c r="WIK69" s="401"/>
      <c r="WIL69" s="401"/>
      <c r="WIM69" s="401"/>
      <c r="WIN69" s="401"/>
      <c r="WIO69" s="401"/>
      <c r="WIP69" s="401"/>
      <c r="WIQ69" s="401"/>
      <c r="WIR69" s="401"/>
      <c r="WIS69" s="401"/>
      <c r="WIT69" s="401"/>
      <c r="WIU69" s="401"/>
      <c r="WIV69" s="401"/>
      <c r="WIW69" s="401"/>
      <c r="WIX69" s="401"/>
      <c r="WIY69" s="401"/>
      <c r="WIZ69" s="401"/>
      <c r="WJA69" s="401"/>
      <c r="WJB69" s="401"/>
      <c r="WJC69" s="401"/>
      <c r="WJD69" s="401"/>
      <c r="WJE69" s="401"/>
      <c r="WJF69" s="401"/>
      <c r="WJG69" s="401"/>
      <c r="WJH69" s="401"/>
      <c r="WJI69" s="401"/>
      <c r="WJJ69" s="401"/>
      <c r="WJK69" s="401"/>
      <c r="WJL69" s="401"/>
      <c r="WJM69" s="401"/>
      <c r="WJN69" s="401"/>
      <c r="WJO69" s="401"/>
      <c r="WJP69" s="401"/>
      <c r="WJQ69" s="401"/>
      <c r="WJR69" s="401"/>
      <c r="WJS69" s="401"/>
      <c r="WJT69" s="401"/>
      <c r="WJU69" s="401"/>
      <c r="WJV69" s="401"/>
      <c r="WJW69" s="401"/>
      <c r="WJX69" s="401"/>
      <c r="WJY69" s="401"/>
      <c r="WJZ69" s="401"/>
      <c r="WKA69" s="401"/>
      <c r="WKB69" s="401"/>
      <c r="WKC69" s="401"/>
      <c r="WKD69" s="401"/>
      <c r="WKE69" s="401"/>
      <c r="WKF69" s="401"/>
      <c r="WKG69" s="401"/>
      <c r="WKH69" s="401"/>
      <c r="WKI69" s="401"/>
      <c r="WKJ69" s="401"/>
      <c r="WKK69" s="401"/>
      <c r="WKL69" s="401"/>
      <c r="WKM69" s="401"/>
      <c r="WKN69" s="401"/>
      <c r="WKO69" s="401"/>
      <c r="WKP69" s="401"/>
      <c r="WKQ69" s="401"/>
      <c r="WKR69" s="401"/>
      <c r="WKS69" s="401"/>
      <c r="WKT69" s="401"/>
      <c r="WKU69" s="401"/>
      <c r="WKV69" s="401"/>
      <c r="WKW69" s="401"/>
      <c r="WKX69" s="401"/>
      <c r="WKY69" s="401"/>
      <c r="WKZ69" s="401"/>
      <c r="WLA69" s="401"/>
      <c r="WLB69" s="401"/>
      <c r="WLC69" s="401"/>
      <c r="WLD69" s="401"/>
      <c r="WLE69" s="401"/>
      <c r="WLF69" s="401"/>
      <c r="WLG69" s="401"/>
      <c r="WLH69" s="401"/>
      <c r="WLI69" s="401"/>
      <c r="WLJ69" s="401"/>
      <c r="WLK69" s="401"/>
      <c r="WLL69" s="401"/>
      <c r="WLM69" s="401"/>
      <c r="WLN69" s="401"/>
      <c r="WLO69" s="401"/>
      <c r="WLP69" s="401"/>
      <c r="WLQ69" s="401"/>
      <c r="WLR69" s="401"/>
      <c r="WLS69" s="401"/>
      <c r="WLT69" s="401"/>
      <c r="WLU69" s="401"/>
      <c r="WLV69" s="401"/>
      <c r="WLW69" s="401"/>
      <c r="WLX69" s="401"/>
      <c r="WLY69" s="401"/>
      <c r="WLZ69" s="401"/>
      <c r="WMA69" s="401"/>
      <c r="WMB69" s="401"/>
      <c r="WMC69" s="401"/>
      <c r="WMD69" s="401"/>
      <c r="WME69" s="401"/>
      <c r="WMF69" s="401"/>
      <c r="WMG69" s="401"/>
      <c r="WMH69" s="401"/>
      <c r="WMI69" s="401"/>
      <c r="WMJ69" s="401"/>
      <c r="WMK69" s="401"/>
      <c r="WML69" s="401"/>
      <c r="WMM69" s="401"/>
      <c r="WMN69" s="401"/>
      <c r="WMO69" s="401"/>
      <c r="WMP69" s="401"/>
      <c r="WMQ69" s="401"/>
      <c r="WMR69" s="401"/>
      <c r="WMS69" s="401"/>
      <c r="WMT69" s="401"/>
      <c r="WMU69" s="401"/>
      <c r="WMV69" s="401"/>
      <c r="WMW69" s="401"/>
      <c r="WMX69" s="401"/>
      <c r="WMY69" s="401"/>
      <c r="WMZ69" s="401"/>
      <c r="WNA69" s="401"/>
      <c r="WNB69" s="401"/>
      <c r="WNC69" s="401"/>
      <c r="WND69" s="401"/>
      <c r="WNE69" s="401"/>
      <c r="WNF69" s="401"/>
      <c r="WNG69" s="401"/>
      <c r="WNH69" s="401"/>
      <c r="WNI69" s="401"/>
      <c r="WNJ69" s="401"/>
      <c r="WNK69" s="401"/>
      <c r="WNL69" s="401"/>
      <c r="WNM69" s="401"/>
      <c r="WNN69" s="401"/>
      <c r="WNO69" s="401"/>
      <c r="WNP69" s="401"/>
      <c r="WNQ69" s="401"/>
      <c r="WNR69" s="401"/>
      <c r="WNS69" s="401"/>
      <c r="WNT69" s="401"/>
      <c r="WNU69" s="401"/>
      <c r="WNV69" s="401"/>
      <c r="WNW69" s="401"/>
      <c r="WNX69" s="401"/>
      <c r="WNY69" s="401"/>
      <c r="WNZ69" s="401"/>
      <c r="WOA69" s="401"/>
      <c r="WOB69" s="401"/>
      <c r="WOC69" s="401"/>
      <c r="WOD69" s="401"/>
      <c r="WOE69" s="401"/>
      <c r="WOF69" s="401"/>
      <c r="WOG69" s="401"/>
      <c r="WOH69" s="401"/>
      <c r="WOI69" s="401"/>
      <c r="WOJ69" s="401"/>
      <c r="WOK69" s="401"/>
      <c r="WOL69" s="401"/>
      <c r="WOM69" s="401"/>
      <c r="WON69" s="401"/>
      <c r="WOO69" s="401"/>
      <c r="WOP69" s="401"/>
      <c r="WOQ69" s="401"/>
      <c r="WOR69" s="401"/>
      <c r="WOS69" s="401"/>
      <c r="WOT69" s="401"/>
      <c r="WOU69" s="401"/>
      <c r="WOV69" s="401"/>
      <c r="WOW69" s="401"/>
      <c r="WOX69" s="401"/>
      <c r="WOY69" s="401"/>
      <c r="WOZ69" s="401"/>
      <c r="WPA69" s="401"/>
      <c r="WPB69" s="401"/>
      <c r="WPC69" s="401"/>
      <c r="WPD69" s="401"/>
      <c r="WPE69" s="401"/>
      <c r="WPF69" s="401"/>
      <c r="WPG69" s="401"/>
      <c r="WPH69" s="401"/>
      <c r="WPI69" s="401"/>
      <c r="WPJ69" s="401"/>
      <c r="WPK69" s="401"/>
      <c r="WPL69" s="401"/>
      <c r="WPM69" s="401"/>
      <c r="WPN69" s="401"/>
      <c r="WPO69" s="401"/>
      <c r="WPP69" s="401"/>
      <c r="WPQ69" s="401"/>
      <c r="WPR69" s="401"/>
      <c r="WPS69" s="401"/>
      <c r="WPT69" s="401"/>
      <c r="WPU69" s="401"/>
      <c r="WPV69" s="401"/>
      <c r="WPW69" s="401"/>
      <c r="WPX69" s="401"/>
      <c r="WPY69" s="401"/>
      <c r="WPZ69" s="401"/>
      <c r="WQA69" s="401"/>
      <c r="WQB69" s="401"/>
      <c r="WQC69" s="401"/>
      <c r="WQD69" s="401"/>
      <c r="WQE69" s="401"/>
      <c r="WQF69" s="401"/>
      <c r="WQG69" s="401"/>
      <c r="WQH69" s="401"/>
      <c r="WQI69" s="401"/>
      <c r="WQJ69" s="401"/>
      <c r="WQK69" s="401"/>
      <c r="WQL69" s="401"/>
      <c r="WQM69" s="401"/>
      <c r="WQN69" s="401"/>
      <c r="WQO69" s="401"/>
      <c r="WQP69" s="401"/>
      <c r="WQQ69" s="401"/>
      <c r="WQR69" s="401"/>
      <c r="WQS69" s="401"/>
      <c r="WQT69" s="401"/>
      <c r="WQU69" s="401"/>
      <c r="WQV69" s="401"/>
      <c r="WQW69" s="401"/>
      <c r="WQX69" s="401"/>
      <c r="WQY69" s="401"/>
      <c r="WQZ69" s="401"/>
      <c r="WRA69" s="401"/>
      <c r="WRB69" s="401"/>
      <c r="WRC69" s="401"/>
      <c r="WRD69" s="401"/>
      <c r="WRE69" s="401"/>
      <c r="WRF69" s="401"/>
      <c r="WRG69" s="401"/>
      <c r="WRH69" s="401"/>
      <c r="WRI69" s="401"/>
      <c r="WRJ69" s="401"/>
      <c r="WRK69" s="401"/>
      <c r="WRL69" s="401"/>
      <c r="WRM69" s="401"/>
      <c r="WRN69" s="401"/>
      <c r="WRO69" s="401"/>
      <c r="WRP69" s="401"/>
      <c r="WRQ69" s="401"/>
      <c r="WRR69" s="401"/>
      <c r="WRS69" s="401"/>
      <c r="WRT69" s="401"/>
      <c r="WRU69" s="401"/>
      <c r="WRV69" s="401"/>
      <c r="WRW69" s="401"/>
      <c r="WRX69" s="401"/>
      <c r="WRY69" s="401"/>
      <c r="WRZ69" s="401"/>
      <c r="WSA69" s="401"/>
      <c r="WSB69" s="401"/>
      <c r="WSC69" s="401"/>
      <c r="WSD69" s="401"/>
      <c r="WSE69" s="401"/>
      <c r="WSF69" s="401"/>
      <c r="WSG69" s="401"/>
      <c r="WSH69" s="401"/>
      <c r="WSI69" s="401"/>
      <c r="WSJ69" s="401"/>
      <c r="WSK69" s="401"/>
      <c r="WSL69" s="401"/>
      <c r="WSM69" s="401"/>
      <c r="WSN69" s="401"/>
      <c r="WSO69" s="401"/>
      <c r="WSP69" s="401"/>
      <c r="WSQ69" s="401"/>
      <c r="WSR69" s="401"/>
      <c r="WSS69" s="401"/>
      <c r="WST69" s="401"/>
      <c r="WSU69" s="401"/>
      <c r="WSV69" s="401"/>
      <c r="WSW69" s="401"/>
      <c r="WSX69" s="401"/>
      <c r="WSY69" s="401"/>
      <c r="WSZ69" s="401"/>
      <c r="WTA69" s="401"/>
      <c r="WTB69" s="401"/>
      <c r="WTC69" s="401"/>
      <c r="WTD69" s="401"/>
      <c r="WTE69" s="401"/>
      <c r="WTF69" s="401"/>
      <c r="WTG69" s="401"/>
      <c r="WTH69" s="401"/>
      <c r="WTI69" s="401"/>
      <c r="WTJ69" s="401"/>
      <c r="WTK69" s="401"/>
      <c r="WTL69" s="401"/>
      <c r="WTM69" s="401"/>
      <c r="WTN69" s="401"/>
      <c r="WTO69" s="401"/>
      <c r="WTP69" s="401"/>
      <c r="WTQ69" s="401"/>
      <c r="WTR69" s="401"/>
      <c r="WTS69" s="401"/>
      <c r="WTT69" s="401"/>
      <c r="WTU69" s="401"/>
      <c r="WTV69" s="401"/>
      <c r="WTW69" s="401"/>
      <c r="WTX69" s="401"/>
      <c r="WTY69" s="401"/>
      <c r="WTZ69" s="401"/>
      <c r="WUA69" s="401"/>
      <c r="WUB69" s="401"/>
      <c r="WUC69" s="401"/>
      <c r="WUD69" s="401"/>
      <c r="WUE69" s="401"/>
      <c r="WUF69" s="401"/>
      <c r="WUG69" s="401"/>
      <c r="WUH69" s="401"/>
      <c r="WUI69" s="401"/>
      <c r="WUJ69" s="401"/>
      <c r="WUK69" s="401"/>
      <c r="WUL69" s="401"/>
      <c r="WUM69" s="401"/>
      <c r="WUN69" s="401"/>
      <c r="WUO69" s="401"/>
      <c r="WUP69" s="401"/>
      <c r="WUQ69" s="401"/>
      <c r="WUR69" s="401"/>
      <c r="WUS69" s="401"/>
      <c r="WUT69" s="401"/>
      <c r="WUU69" s="401"/>
      <c r="WUV69" s="401"/>
      <c r="WUW69" s="401"/>
      <c r="WUX69" s="401"/>
      <c r="WUY69" s="401"/>
      <c r="WUZ69" s="401"/>
      <c r="WVA69" s="401"/>
      <c r="WVB69" s="401"/>
      <c r="WVC69" s="401"/>
      <c r="WVD69" s="401"/>
      <c r="WVE69" s="401"/>
      <c r="WVF69" s="401"/>
      <c r="WVG69" s="401"/>
      <c r="WVH69" s="401"/>
      <c r="WVI69" s="401"/>
      <c r="WVJ69" s="401"/>
      <c r="WVK69" s="401"/>
      <c r="WVL69" s="401"/>
      <c r="WVM69" s="401"/>
      <c r="WVN69" s="401"/>
      <c r="WVO69" s="401"/>
      <c r="WVP69" s="401"/>
      <c r="WVQ69" s="401"/>
      <c r="WVR69" s="401"/>
      <c r="WVS69" s="401"/>
      <c r="WVT69" s="401"/>
      <c r="WVU69" s="401"/>
      <c r="WVV69" s="401"/>
      <c r="WVW69" s="401"/>
      <c r="WVX69" s="401"/>
      <c r="WVY69" s="401"/>
      <c r="WVZ69" s="401"/>
      <c r="WWA69" s="401"/>
      <c r="WWB69" s="401"/>
      <c r="WWC69" s="401"/>
      <c r="WWD69" s="401"/>
      <c r="WWE69" s="401"/>
      <c r="WWF69" s="401"/>
      <c r="WWG69" s="401"/>
      <c r="WWH69" s="401"/>
      <c r="WWI69" s="401"/>
      <c r="WWJ69" s="401"/>
      <c r="WWK69" s="401"/>
      <c r="WWL69" s="401"/>
      <c r="WWM69" s="401"/>
      <c r="WWN69" s="401"/>
      <c r="WWO69" s="401"/>
      <c r="WWP69" s="401"/>
      <c r="WWQ69" s="401"/>
      <c r="WWR69" s="401"/>
      <c r="WWS69" s="401"/>
      <c r="WWT69" s="401"/>
      <c r="WWU69" s="401"/>
      <c r="WWV69" s="401"/>
      <c r="WWW69" s="401"/>
      <c r="WWX69" s="401"/>
      <c r="WWY69" s="401"/>
      <c r="WWZ69" s="401"/>
      <c r="WXA69" s="401"/>
      <c r="WXB69" s="401"/>
      <c r="WXC69" s="401"/>
      <c r="WXD69" s="401"/>
      <c r="WXE69" s="401"/>
      <c r="WXF69" s="401"/>
      <c r="WXG69" s="401"/>
      <c r="WXH69" s="401"/>
      <c r="WXI69" s="401"/>
      <c r="WXJ69" s="401"/>
      <c r="WXK69" s="401"/>
      <c r="WXL69" s="401"/>
      <c r="WXM69" s="401"/>
      <c r="WXN69" s="401"/>
      <c r="WXO69" s="401"/>
      <c r="WXP69" s="401"/>
      <c r="WXQ69" s="401"/>
      <c r="WXR69" s="401"/>
      <c r="WXS69" s="401"/>
      <c r="WXT69" s="401"/>
      <c r="WXU69" s="401"/>
      <c r="WXV69" s="401"/>
      <c r="WXW69" s="401"/>
      <c r="WXX69" s="401"/>
      <c r="WXY69" s="401"/>
      <c r="WXZ69" s="401"/>
      <c r="WYA69" s="401"/>
      <c r="WYB69" s="401"/>
      <c r="WYC69" s="401"/>
      <c r="WYD69" s="401"/>
      <c r="WYE69" s="401"/>
      <c r="WYF69" s="401"/>
      <c r="WYG69" s="401"/>
      <c r="WYH69" s="401"/>
      <c r="WYI69" s="401"/>
      <c r="WYJ69" s="401"/>
      <c r="WYK69" s="401"/>
      <c r="WYL69" s="401"/>
      <c r="WYM69" s="401"/>
      <c r="WYN69" s="401"/>
      <c r="WYO69" s="401"/>
      <c r="WYP69" s="401"/>
      <c r="WYQ69" s="401"/>
      <c r="WYR69" s="401"/>
      <c r="WYS69" s="401"/>
      <c r="WYT69" s="401"/>
      <c r="WYU69" s="401"/>
      <c r="WYV69" s="401"/>
      <c r="WYW69" s="401"/>
      <c r="WYX69" s="401"/>
      <c r="WYY69" s="401"/>
      <c r="WYZ69" s="401"/>
      <c r="WZA69" s="401"/>
      <c r="WZB69" s="401"/>
      <c r="WZC69" s="401"/>
      <c r="WZD69" s="401"/>
      <c r="WZE69" s="401"/>
      <c r="WZF69" s="401"/>
      <c r="WZG69" s="401"/>
      <c r="WZH69" s="401"/>
      <c r="WZI69" s="401"/>
      <c r="WZJ69" s="401"/>
      <c r="WZK69" s="401"/>
      <c r="WZL69" s="401"/>
      <c r="WZM69" s="401"/>
      <c r="WZN69" s="401"/>
      <c r="WZO69" s="401"/>
      <c r="WZP69" s="401"/>
      <c r="WZQ69" s="401"/>
      <c r="WZR69" s="401"/>
      <c r="WZS69" s="401"/>
      <c r="WZT69" s="401"/>
      <c r="WZU69" s="401"/>
      <c r="WZV69" s="401"/>
      <c r="WZW69" s="401"/>
      <c r="WZX69" s="401"/>
      <c r="WZY69" s="401"/>
      <c r="WZZ69" s="401"/>
      <c r="XAA69" s="401"/>
      <c r="XAB69" s="401"/>
      <c r="XAC69" s="401"/>
      <c r="XAD69" s="401"/>
      <c r="XAE69" s="401"/>
      <c r="XAF69" s="401"/>
      <c r="XAG69" s="401"/>
      <c r="XAH69" s="401"/>
      <c r="XAI69" s="401"/>
      <c r="XAJ69" s="401"/>
      <c r="XAK69" s="401"/>
      <c r="XAL69" s="401"/>
      <c r="XAM69" s="401"/>
      <c r="XAN69" s="401"/>
      <c r="XAO69" s="401"/>
      <c r="XAP69" s="401"/>
      <c r="XAQ69" s="401"/>
      <c r="XAR69" s="401"/>
      <c r="XAS69" s="401"/>
      <c r="XAT69" s="401"/>
      <c r="XAU69" s="401"/>
      <c r="XAV69" s="401"/>
      <c r="XAW69" s="401"/>
      <c r="XAX69" s="401"/>
      <c r="XAY69" s="401"/>
      <c r="XAZ69" s="401"/>
      <c r="XBA69" s="401"/>
      <c r="XBB69" s="401"/>
      <c r="XBC69" s="401"/>
      <c r="XBD69" s="401"/>
      <c r="XBE69" s="401"/>
      <c r="XBF69" s="401"/>
      <c r="XBG69" s="401"/>
      <c r="XBH69" s="401"/>
      <c r="XBI69" s="401"/>
      <c r="XBJ69" s="401"/>
      <c r="XBK69" s="401"/>
      <c r="XBL69" s="401"/>
      <c r="XBM69" s="401"/>
      <c r="XBN69" s="401"/>
      <c r="XBO69" s="401"/>
      <c r="XBP69" s="401"/>
      <c r="XBQ69" s="401"/>
      <c r="XBR69" s="401"/>
      <c r="XBS69" s="401"/>
      <c r="XBT69" s="401"/>
      <c r="XBU69" s="401"/>
      <c r="XBV69" s="401"/>
      <c r="XBW69" s="401"/>
      <c r="XBX69" s="401"/>
      <c r="XBY69" s="401"/>
      <c r="XBZ69" s="401"/>
      <c r="XCA69" s="401"/>
      <c r="XCB69" s="401"/>
      <c r="XCC69" s="401"/>
      <c r="XCD69" s="401"/>
      <c r="XCE69" s="401"/>
      <c r="XCF69" s="401"/>
      <c r="XCG69" s="401"/>
      <c r="XCH69" s="401"/>
      <c r="XCI69" s="401"/>
      <c r="XCJ69" s="401"/>
      <c r="XCK69" s="401"/>
      <c r="XCL69" s="401"/>
      <c r="XCM69" s="401"/>
      <c r="XCN69" s="401"/>
      <c r="XCO69" s="401"/>
      <c r="XCP69" s="401"/>
      <c r="XCQ69" s="401"/>
      <c r="XCR69" s="401"/>
      <c r="XCS69" s="401"/>
      <c r="XCT69" s="401"/>
      <c r="XCU69" s="401"/>
      <c r="XCV69" s="401"/>
      <c r="XCW69" s="401"/>
      <c r="XCX69" s="401"/>
      <c r="XCY69" s="401"/>
      <c r="XCZ69" s="401"/>
      <c r="XDA69" s="401"/>
      <c r="XDB69" s="401"/>
      <c r="XDC69" s="401"/>
      <c r="XDD69" s="401"/>
      <c r="XDE69" s="401"/>
      <c r="XDF69" s="401"/>
      <c r="XDG69" s="401"/>
      <c r="XDH69" s="401"/>
      <c r="XDI69" s="401"/>
      <c r="XDJ69" s="401"/>
      <c r="XDK69" s="401"/>
      <c r="XDL69" s="401"/>
      <c r="XDM69" s="401"/>
      <c r="XDN69" s="401"/>
      <c r="XDO69" s="401"/>
      <c r="XDP69" s="401"/>
      <c r="XDQ69" s="401"/>
      <c r="XDR69" s="401"/>
      <c r="XDS69" s="401"/>
      <c r="XDT69" s="401"/>
      <c r="XDU69" s="401"/>
      <c r="XDV69" s="401"/>
      <c r="XDW69" s="401"/>
      <c r="XDX69" s="401"/>
      <c r="XDY69" s="401"/>
      <c r="XDZ69" s="401"/>
      <c r="XEA69" s="401"/>
      <c r="XEB69" s="401"/>
      <c r="XEC69" s="401"/>
      <c r="XED69" s="401"/>
      <c r="XEE69" s="401"/>
      <c r="XEF69" s="401"/>
      <c r="XEG69" s="401"/>
      <c r="XEH69" s="401"/>
      <c r="XEI69" s="401"/>
      <c r="XEJ69" s="401"/>
      <c r="XEK69" s="401"/>
      <c r="XEL69" s="401"/>
      <c r="XEM69" s="401"/>
      <c r="XEN69" s="401"/>
      <c r="XEO69" s="401"/>
      <c r="XEP69" s="401"/>
      <c r="XEQ69" s="401"/>
      <c r="XER69" s="401"/>
      <c r="XES69" s="401"/>
      <c r="XET69" s="401"/>
      <c r="XEU69" s="401"/>
      <c r="XEV69" s="401"/>
      <c r="XEW69" s="401"/>
      <c r="XEX69" s="401"/>
      <c r="XEY69" s="401"/>
      <c r="XEZ69" s="401"/>
      <c r="XFA69" s="401"/>
      <c r="XFB69" s="401"/>
      <c r="XFC69" s="401"/>
    </row>
    <row r="70" spans="1:16383" s="401" customFormat="1" ht="15.75" customHeight="1">
      <c r="A70" s="418" t="s">
        <v>1061</v>
      </c>
      <c r="B70" s="311" t="s">
        <v>43</v>
      </c>
      <c r="C70" s="311" t="s">
        <v>914</v>
      </c>
      <c r="D70" s="266" t="s">
        <v>1062</v>
      </c>
      <c r="E70" s="222" t="s">
        <v>32</v>
      </c>
      <c r="F70" s="315">
        <v>6816</v>
      </c>
      <c r="G70" s="444">
        <v>45912</v>
      </c>
      <c r="H70" s="445"/>
      <c r="I70" s="444">
        <v>45945</v>
      </c>
      <c r="J70" s="444">
        <v>45947</v>
      </c>
      <c r="K70" s="444">
        <v>45951</v>
      </c>
      <c r="L70" s="444" t="s">
        <v>38</v>
      </c>
      <c r="M70" s="311" t="s">
        <v>39</v>
      </c>
      <c r="N70" s="311" t="s">
        <v>1063</v>
      </c>
      <c r="O70" s="400">
        <v>45978</v>
      </c>
      <c r="P70" s="222"/>
      <c r="Q70" s="212"/>
      <c r="R70" s="401" t="s">
        <v>1064</v>
      </c>
    </row>
    <row r="71" spans="1:16383" s="401" customFormat="1" ht="15.75" customHeight="1">
      <c r="A71" s="418" t="s">
        <v>1065</v>
      </c>
      <c r="B71" s="311" t="s">
        <v>1066</v>
      </c>
      <c r="C71" s="311" t="s">
        <v>959</v>
      </c>
      <c r="D71" s="266" t="s">
        <v>1067</v>
      </c>
      <c r="E71" s="222" t="s">
        <v>32</v>
      </c>
      <c r="F71" s="315">
        <v>2210</v>
      </c>
      <c r="G71" s="444">
        <v>45929</v>
      </c>
      <c r="H71" s="445">
        <v>45933</v>
      </c>
      <c r="I71" s="445">
        <v>45947</v>
      </c>
      <c r="J71" s="444">
        <v>45950</v>
      </c>
      <c r="K71" s="444">
        <v>45951</v>
      </c>
      <c r="L71" s="444" t="s">
        <v>38</v>
      </c>
      <c r="M71" s="311" t="s">
        <v>39</v>
      </c>
      <c r="N71" s="311" t="s">
        <v>1068</v>
      </c>
      <c r="O71" s="400">
        <v>45977</v>
      </c>
      <c r="P71" s="222" t="s">
        <v>1069</v>
      </c>
      <c r="Q71" s="212"/>
      <c r="R71" s="401" t="s">
        <v>1070</v>
      </c>
    </row>
    <row r="72" spans="1:16383" s="401" customFormat="1" ht="15.75" customHeight="1" thickBot="1">
      <c r="A72" s="418" t="s">
        <v>1071</v>
      </c>
      <c r="B72" s="311" t="s">
        <v>1072</v>
      </c>
      <c r="C72" s="311" t="s">
        <v>959</v>
      </c>
      <c r="D72" s="266" t="s">
        <v>1073</v>
      </c>
      <c r="E72" s="222" t="s">
        <v>32</v>
      </c>
      <c r="F72" s="315">
        <v>5015</v>
      </c>
      <c r="G72" s="444">
        <v>45943</v>
      </c>
      <c r="H72" s="445">
        <v>45952</v>
      </c>
      <c r="I72" s="445">
        <v>45946</v>
      </c>
      <c r="J72" s="444">
        <v>45950</v>
      </c>
      <c r="K72" s="444">
        <v>45951</v>
      </c>
      <c r="L72" s="444" t="s">
        <v>38</v>
      </c>
      <c r="M72" s="311" t="s">
        <v>47</v>
      </c>
      <c r="N72" s="311" t="s">
        <v>1074</v>
      </c>
      <c r="O72" s="400">
        <v>45976</v>
      </c>
      <c r="P72" s="222" t="s">
        <v>1075</v>
      </c>
      <c r="Q72" s="212"/>
      <c r="R72" s="401" t="s">
        <v>1076</v>
      </c>
    </row>
    <row r="73" spans="1:16383" ht="16.149999999999999" thickBot="1">
      <c r="A73" s="355" t="s">
        <v>870</v>
      </c>
      <c r="B73" s="262" t="s">
        <v>43</v>
      </c>
      <c r="C73" s="262" t="s">
        <v>60</v>
      </c>
      <c r="D73" s="223" t="s">
        <v>1077</v>
      </c>
      <c r="E73" s="76" t="s">
        <v>32</v>
      </c>
      <c r="F73" s="277">
        <v>720</v>
      </c>
      <c r="G73" s="261">
        <v>45868</v>
      </c>
      <c r="H73" s="320">
        <v>45939</v>
      </c>
      <c r="I73" s="320">
        <v>45965</v>
      </c>
      <c r="J73" s="261">
        <v>45967</v>
      </c>
      <c r="K73" s="261">
        <v>45971</v>
      </c>
      <c r="L73" s="261" t="s">
        <v>724</v>
      </c>
      <c r="M73" s="262" t="s">
        <v>146</v>
      </c>
      <c r="N73" s="262" t="s">
        <v>1078</v>
      </c>
      <c r="O73" s="437">
        <v>45977</v>
      </c>
      <c r="P73" s="76"/>
      <c r="Q73" s="196"/>
      <c r="R73" s="382" t="s">
        <v>1079</v>
      </c>
      <c r="S73" s="382"/>
    </row>
    <row r="74" spans="1:16383" s="401" customFormat="1" ht="15.75" customHeight="1">
      <c r="A74" s="420"/>
      <c r="B74" s="349" t="s">
        <v>180</v>
      </c>
      <c r="C74" s="349" t="s">
        <v>736</v>
      </c>
      <c r="D74" s="309" t="s">
        <v>1080</v>
      </c>
      <c r="E74" s="421" t="s">
        <v>32</v>
      </c>
      <c r="F74" s="350">
        <v>7227.55</v>
      </c>
      <c r="G74" s="444">
        <v>45874</v>
      </c>
      <c r="H74" s="445">
        <v>45952</v>
      </c>
      <c r="I74" s="445">
        <v>45951</v>
      </c>
      <c r="J74" s="444">
        <v>45952</v>
      </c>
      <c r="K74" s="444">
        <v>45953</v>
      </c>
      <c r="L74" s="444" t="s">
        <v>38</v>
      </c>
      <c r="M74" s="311" t="s">
        <v>39</v>
      </c>
      <c r="N74" s="311" t="s">
        <v>1081</v>
      </c>
      <c r="O74" s="400">
        <v>45980</v>
      </c>
      <c r="P74" s="222" t="s">
        <v>1011</v>
      </c>
      <c r="Q74" s="212"/>
      <c r="R74" s="401" t="s">
        <v>1082</v>
      </c>
    </row>
    <row r="75" spans="1:16383" s="401" customFormat="1" ht="15.75" customHeight="1">
      <c r="A75" s="418" t="s">
        <v>1083</v>
      </c>
      <c r="B75" s="311" t="s">
        <v>1084</v>
      </c>
      <c r="C75" s="311" t="s">
        <v>736</v>
      </c>
      <c r="D75" s="266" t="s">
        <v>1085</v>
      </c>
      <c r="E75" s="222" t="s">
        <v>32</v>
      </c>
      <c r="F75" s="315">
        <v>5295.5</v>
      </c>
      <c r="G75" s="444">
        <v>45909</v>
      </c>
      <c r="H75" s="445">
        <v>45959</v>
      </c>
      <c r="I75" s="445">
        <v>45959</v>
      </c>
      <c r="J75" s="444">
        <v>45961</v>
      </c>
      <c r="K75" s="444">
        <v>45964</v>
      </c>
      <c r="L75" s="444" t="s">
        <v>38</v>
      </c>
      <c r="M75" s="311" t="s">
        <v>39</v>
      </c>
      <c r="N75" s="311" t="s">
        <v>1086</v>
      </c>
      <c r="O75" s="400">
        <v>45988</v>
      </c>
      <c r="P75" s="222" t="s">
        <v>1087</v>
      </c>
      <c r="Q75" s="212"/>
      <c r="R75" s="401" t="s">
        <v>1088</v>
      </c>
    </row>
    <row r="76" spans="1:16383" s="389" customFormat="1" ht="34.5" customHeight="1">
      <c r="A76" s="225" t="s">
        <v>1089</v>
      </c>
      <c r="B76" s="297" t="s">
        <v>1090</v>
      </c>
      <c r="C76" s="297" t="s">
        <v>1091</v>
      </c>
      <c r="D76" s="168" t="s">
        <v>1092</v>
      </c>
      <c r="E76" s="1" t="s">
        <v>32</v>
      </c>
      <c r="F76" s="301"/>
      <c r="G76" s="427">
        <v>45960</v>
      </c>
      <c r="H76" s="428">
        <v>45971</v>
      </c>
      <c r="I76" s="428">
        <v>45975</v>
      </c>
      <c r="J76" s="427">
        <v>45978</v>
      </c>
      <c r="K76" s="427">
        <v>45979</v>
      </c>
      <c r="L76" s="427" t="s">
        <v>38</v>
      </c>
      <c r="M76" s="297" t="s">
        <v>39</v>
      </c>
      <c r="N76" s="297" t="s">
        <v>1093</v>
      </c>
      <c r="O76" s="393" t="s">
        <v>246</v>
      </c>
      <c r="P76" s="1">
        <v>1016552</v>
      </c>
      <c r="Q76" s="1"/>
      <c r="R76" s="447" t="s">
        <v>1094</v>
      </c>
    </row>
    <row r="77" spans="1:16383" s="386" customFormat="1" ht="16.5" customHeight="1">
      <c r="A77" s="384" t="s">
        <v>1095</v>
      </c>
      <c r="B77" s="336" t="s">
        <v>811</v>
      </c>
      <c r="C77" s="336" t="s">
        <v>959</v>
      </c>
      <c r="D77" s="467" t="s">
        <v>1096</v>
      </c>
      <c r="E77" s="468" t="s">
        <v>32</v>
      </c>
      <c r="F77" s="337">
        <v>1615</v>
      </c>
      <c r="G77" s="469">
        <v>45905</v>
      </c>
      <c r="H77" s="470">
        <v>45922</v>
      </c>
      <c r="I77" s="470">
        <v>45923</v>
      </c>
      <c r="J77" s="469">
        <v>45926</v>
      </c>
      <c r="K77" s="469">
        <v>45930</v>
      </c>
      <c r="L77" s="469" t="s">
        <v>38</v>
      </c>
      <c r="M77" s="336" t="s">
        <v>39</v>
      </c>
      <c r="N77" s="336" t="s">
        <v>1097</v>
      </c>
      <c r="O77" s="472" t="s">
        <v>1098</v>
      </c>
      <c r="P77" s="468" t="s">
        <v>1099</v>
      </c>
      <c r="Q77" s="475"/>
      <c r="R77" s="386" t="s">
        <v>1100</v>
      </c>
    </row>
    <row r="78" spans="1:16383" s="382" customFormat="1" ht="15.75" customHeight="1">
      <c r="A78" s="355" t="s">
        <v>1089</v>
      </c>
      <c r="B78" s="262" t="s">
        <v>1101</v>
      </c>
      <c r="C78" s="262" t="s">
        <v>1091</v>
      </c>
      <c r="D78" s="223" t="s">
        <v>1102</v>
      </c>
      <c r="E78" s="1" t="s">
        <v>32</v>
      </c>
      <c r="F78" s="301">
        <v>190</v>
      </c>
      <c r="G78" s="261">
        <v>45989</v>
      </c>
      <c r="H78" s="320">
        <v>45992</v>
      </c>
      <c r="I78" s="320">
        <v>45994</v>
      </c>
      <c r="J78" s="261">
        <v>45995</v>
      </c>
      <c r="K78" s="261">
        <v>45996</v>
      </c>
      <c r="L78" s="261" t="s">
        <v>38</v>
      </c>
      <c r="M78" s="262" t="s">
        <v>39</v>
      </c>
      <c r="N78" s="262" t="s">
        <v>1103</v>
      </c>
      <c r="O78" s="437"/>
      <c r="P78" s="76"/>
      <c r="Q78" s="196"/>
      <c r="R78" s="607"/>
    </row>
    <row r="79" spans="1:16383" s="382" customFormat="1" ht="31.5">
      <c r="A79" s="355"/>
      <c r="B79" s="262" t="s">
        <v>913</v>
      </c>
      <c r="C79" s="262" t="s">
        <v>73</v>
      </c>
      <c r="D79" s="223" t="s">
        <v>1104</v>
      </c>
      <c r="E79" s="1" t="s">
        <v>32</v>
      </c>
      <c r="F79" s="301" t="s">
        <v>0</v>
      </c>
      <c r="G79" s="261">
        <v>45807</v>
      </c>
      <c r="H79" s="320">
        <v>45910</v>
      </c>
      <c r="I79" s="609" t="s">
        <v>1105</v>
      </c>
      <c r="J79" s="261">
        <v>46002</v>
      </c>
      <c r="K79" s="261">
        <v>46007</v>
      </c>
      <c r="L79" s="261" t="s">
        <v>1106</v>
      </c>
      <c r="M79" s="262" t="s">
        <v>146</v>
      </c>
      <c r="N79" s="262" t="s">
        <v>1107</v>
      </c>
      <c r="O79" s="437">
        <v>45937</v>
      </c>
      <c r="P79" s="76">
        <v>303796</v>
      </c>
      <c r="Q79" s="76"/>
      <c r="R79" s="607" t="s">
        <v>1108</v>
      </c>
    </row>
    <row r="80" spans="1:16383" s="386" customFormat="1" ht="15.75" customHeight="1">
      <c r="A80" s="384" t="s">
        <v>1109</v>
      </c>
      <c r="B80" s="336" t="s">
        <v>43</v>
      </c>
      <c r="C80" s="336" t="s">
        <v>1110</v>
      </c>
      <c r="D80" s="467" t="s">
        <v>1111</v>
      </c>
      <c r="E80" s="468" t="s">
        <v>32</v>
      </c>
      <c r="F80" s="337">
        <v>2050</v>
      </c>
      <c r="G80" s="469">
        <v>45842</v>
      </c>
      <c r="H80" s="470">
        <v>45960</v>
      </c>
      <c r="I80" s="470">
        <v>45953</v>
      </c>
      <c r="J80" s="469">
        <v>45978</v>
      </c>
      <c r="K80" s="469">
        <v>45979</v>
      </c>
      <c r="L80" s="469" t="s">
        <v>38</v>
      </c>
      <c r="M80" s="336" t="s">
        <v>146</v>
      </c>
      <c r="N80" s="336" t="s">
        <v>1112</v>
      </c>
      <c r="O80" s="472">
        <v>46015</v>
      </c>
      <c r="P80" s="468"/>
      <c r="Q80" s="475"/>
      <c r="R80" s="386" t="s">
        <v>1113</v>
      </c>
    </row>
    <row r="81" spans="1:18" s="386" customFormat="1" ht="15.75" customHeight="1">
      <c r="A81" s="384" t="s">
        <v>1114</v>
      </c>
      <c r="B81" s="336" t="s">
        <v>1115</v>
      </c>
      <c r="C81" s="336" t="s">
        <v>736</v>
      </c>
      <c r="D81" s="467" t="s">
        <v>1116</v>
      </c>
      <c r="E81" s="468" t="s">
        <v>32</v>
      </c>
      <c r="F81" s="337">
        <v>23053.7</v>
      </c>
      <c r="G81" s="469">
        <v>45968</v>
      </c>
      <c r="H81" s="470">
        <v>46002</v>
      </c>
      <c r="I81" s="470">
        <v>46002</v>
      </c>
      <c r="J81" s="469">
        <v>46006</v>
      </c>
      <c r="K81" s="469">
        <v>46007</v>
      </c>
      <c r="L81" s="469" t="s">
        <v>38</v>
      </c>
      <c r="M81" s="336" t="s">
        <v>39</v>
      </c>
      <c r="N81" s="336" t="s">
        <v>1117</v>
      </c>
      <c r="O81" s="472">
        <v>45666</v>
      </c>
      <c r="P81" s="468" t="s">
        <v>1118</v>
      </c>
      <c r="Q81" s="475"/>
      <c r="R81" s="386" t="s">
        <v>1119</v>
      </c>
    </row>
    <row r="82" spans="1:18" s="386" customFormat="1" ht="15.75" customHeight="1">
      <c r="A82" s="384" t="s">
        <v>1120</v>
      </c>
      <c r="B82" s="336" t="s">
        <v>1121</v>
      </c>
      <c r="C82" s="336" t="s">
        <v>736</v>
      </c>
      <c r="D82" s="467" t="s">
        <v>1122</v>
      </c>
      <c r="E82" s="468" t="s">
        <v>32</v>
      </c>
      <c r="F82" s="337">
        <v>2434.4</v>
      </c>
      <c r="G82" s="469">
        <v>45996</v>
      </c>
      <c r="H82" s="470">
        <v>46003</v>
      </c>
      <c r="I82" s="470">
        <v>46003</v>
      </c>
      <c r="J82" s="469">
        <v>46006</v>
      </c>
      <c r="K82" s="469">
        <v>46007</v>
      </c>
      <c r="L82" s="469" t="s">
        <v>38</v>
      </c>
      <c r="M82" s="336" t="s">
        <v>39</v>
      </c>
      <c r="N82" s="336" t="s">
        <v>1123</v>
      </c>
      <c r="O82" s="472">
        <v>46033</v>
      </c>
      <c r="P82" s="468" t="s">
        <v>1124</v>
      </c>
      <c r="Q82" s="475"/>
      <c r="R82" s="386" t="s">
        <v>1125</v>
      </c>
    </row>
    <row r="83" spans="1:18" s="386" customFormat="1" ht="15.75" customHeight="1">
      <c r="A83" s="384" t="s">
        <v>1126</v>
      </c>
      <c r="B83" s="336" t="s">
        <v>43</v>
      </c>
      <c r="C83" s="336" t="s">
        <v>1127</v>
      </c>
      <c r="D83" s="467" t="s">
        <v>1128</v>
      </c>
      <c r="E83" s="468" t="s">
        <v>32</v>
      </c>
      <c r="F83" s="337">
        <v>583.1</v>
      </c>
      <c r="G83" s="469">
        <v>46007</v>
      </c>
      <c r="H83" s="470">
        <v>46008</v>
      </c>
      <c r="I83" s="470">
        <v>46008</v>
      </c>
      <c r="J83" s="469">
        <v>46009</v>
      </c>
      <c r="K83" s="469">
        <v>46010</v>
      </c>
      <c r="L83" s="469" t="s">
        <v>724</v>
      </c>
      <c r="M83" s="336" t="s">
        <v>47</v>
      </c>
      <c r="N83" s="336" t="s">
        <v>1129</v>
      </c>
      <c r="O83" s="472">
        <v>46022</v>
      </c>
      <c r="P83" s="468" t="s">
        <v>1130</v>
      </c>
      <c r="Q83" s="475"/>
      <c r="R83" s="386" t="s">
        <v>1131</v>
      </c>
    </row>
    <row r="84" spans="1:18" s="401" customFormat="1" ht="15.75" customHeight="1">
      <c r="A84" s="418" t="s">
        <v>1132</v>
      </c>
      <c r="B84" s="311" t="s">
        <v>1133</v>
      </c>
      <c r="C84" s="311" t="s">
        <v>412</v>
      </c>
      <c r="D84" s="266" t="s">
        <v>1134</v>
      </c>
      <c r="E84" s="222" t="s">
        <v>32</v>
      </c>
      <c r="F84" s="315">
        <v>156400</v>
      </c>
      <c r="G84" s="444">
        <v>45895</v>
      </c>
      <c r="H84" s="445">
        <v>46006</v>
      </c>
      <c r="I84" s="445">
        <v>46013</v>
      </c>
      <c r="J84" s="444">
        <v>46015</v>
      </c>
      <c r="K84" s="444">
        <v>46020</v>
      </c>
      <c r="L84" s="444" t="s">
        <v>38</v>
      </c>
      <c r="M84" s="311" t="s">
        <v>39</v>
      </c>
      <c r="N84" s="311" t="s">
        <v>1135</v>
      </c>
      <c r="O84" s="400">
        <v>46040</v>
      </c>
      <c r="P84" s="222" t="s">
        <v>1136</v>
      </c>
      <c r="Q84" s="212"/>
      <c r="R84" s="458" t="s">
        <v>1137</v>
      </c>
    </row>
    <row r="85" spans="1:18" s="401" customFormat="1" ht="15.75" customHeight="1">
      <c r="A85" s="418"/>
      <c r="B85" s="311" t="s">
        <v>134</v>
      </c>
      <c r="C85" s="311" t="s">
        <v>60</v>
      </c>
      <c r="D85" s="266" t="s">
        <v>1138</v>
      </c>
      <c r="E85" s="222" t="s">
        <v>32</v>
      </c>
      <c r="F85" s="315">
        <v>9588.01</v>
      </c>
      <c r="G85" s="444">
        <v>45972</v>
      </c>
      <c r="H85" s="445" t="s">
        <v>1139</v>
      </c>
      <c r="I85" s="445">
        <v>46020</v>
      </c>
      <c r="J85" s="444">
        <v>46027</v>
      </c>
      <c r="K85" s="444">
        <v>46027</v>
      </c>
      <c r="L85" s="444" t="s">
        <v>38</v>
      </c>
      <c r="M85" s="311" t="s">
        <v>39</v>
      </c>
      <c r="N85" s="311" t="s">
        <v>1140</v>
      </c>
      <c r="O85" s="400">
        <v>46045</v>
      </c>
      <c r="P85" s="222"/>
      <c r="Q85" s="212"/>
      <c r="R85" s="458" t="s">
        <v>1141</v>
      </c>
    </row>
    <row r="86" spans="1:18" s="401" customFormat="1" ht="15.75" customHeight="1">
      <c r="A86" s="418" t="s">
        <v>1142</v>
      </c>
      <c r="B86" s="311" t="s">
        <v>722</v>
      </c>
      <c r="C86" s="311" t="s">
        <v>53</v>
      </c>
      <c r="D86" s="266" t="s">
        <v>1143</v>
      </c>
      <c r="E86" s="222" t="s">
        <v>32</v>
      </c>
      <c r="F86" s="315">
        <v>7833.6</v>
      </c>
      <c r="G86" s="444">
        <v>45979</v>
      </c>
      <c r="H86" s="445">
        <v>46013</v>
      </c>
      <c r="I86" s="445">
        <v>46010</v>
      </c>
      <c r="J86" s="444">
        <v>46015</v>
      </c>
      <c r="K86" s="444">
        <v>46020</v>
      </c>
      <c r="L86" s="444" t="s">
        <v>38</v>
      </c>
      <c r="M86" s="311" t="s">
        <v>39</v>
      </c>
      <c r="N86" s="311" t="s">
        <v>1144</v>
      </c>
      <c r="O86" s="400">
        <v>46043</v>
      </c>
      <c r="P86" s="222" t="s">
        <v>1145</v>
      </c>
      <c r="Q86" s="212"/>
      <c r="R86" s="458" t="s">
        <v>1146</v>
      </c>
    </row>
    <row r="87" spans="1:18" s="401" customFormat="1" ht="15.75" customHeight="1">
      <c r="A87" s="418" t="s">
        <v>1147</v>
      </c>
      <c r="B87" s="311" t="s">
        <v>1148</v>
      </c>
      <c r="C87" s="311" t="s">
        <v>53</v>
      </c>
      <c r="D87" s="266" t="s">
        <v>1149</v>
      </c>
      <c r="E87" s="222" t="s">
        <v>32</v>
      </c>
      <c r="F87" s="315">
        <v>183704.75</v>
      </c>
      <c r="G87" s="444">
        <v>46001</v>
      </c>
      <c r="H87" s="445">
        <v>46006</v>
      </c>
      <c r="I87" s="445">
        <v>46006</v>
      </c>
      <c r="J87" s="444">
        <v>46013</v>
      </c>
      <c r="K87" s="444">
        <v>46013</v>
      </c>
      <c r="L87" s="444" t="s">
        <v>38</v>
      </c>
      <c r="M87" s="311" t="s">
        <v>39</v>
      </c>
      <c r="N87" s="311" t="s">
        <v>1150</v>
      </c>
      <c r="O87" s="400">
        <v>46037</v>
      </c>
      <c r="P87" s="222" t="s">
        <v>1151</v>
      </c>
      <c r="Q87" s="222"/>
      <c r="R87" s="458" t="s">
        <v>1152</v>
      </c>
    </row>
    <row r="88" spans="1:18" s="401" customFormat="1" ht="15.75" customHeight="1">
      <c r="A88" s="418" t="s">
        <v>1153</v>
      </c>
      <c r="B88" s="311" t="s">
        <v>729</v>
      </c>
      <c r="C88" s="311" t="s">
        <v>53</v>
      </c>
      <c r="D88" s="266" t="s">
        <v>1154</v>
      </c>
      <c r="E88" s="222" t="s">
        <v>32</v>
      </c>
      <c r="F88" s="315">
        <v>4254.25</v>
      </c>
      <c r="G88" s="444">
        <v>45979</v>
      </c>
      <c r="H88" s="445">
        <v>46052</v>
      </c>
      <c r="I88" s="445">
        <v>46042</v>
      </c>
      <c r="J88" s="445">
        <v>46042</v>
      </c>
      <c r="K88" s="445">
        <v>46043</v>
      </c>
      <c r="L88" s="444" t="s">
        <v>38</v>
      </c>
      <c r="M88" s="311" t="s">
        <v>55</v>
      </c>
      <c r="N88" s="311" t="s">
        <v>1155</v>
      </c>
      <c r="O88" s="400">
        <v>46071</v>
      </c>
      <c r="P88" s="222" t="s">
        <v>1156</v>
      </c>
      <c r="Q88" s="212"/>
      <c r="R88" s="458" t="s">
        <v>1157</v>
      </c>
    </row>
    <row r="89" spans="1:18" s="412" customFormat="1" ht="15.75" customHeight="1">
      <c r="A89" s="364" t="s">
        <v>1158</v>
      </c>
      <c r="B89" s="314" t="s">
        <v>1159</v>
      </c>
      <c r="C89" s="314" t="s">
        <v>67</v>
      </c>
      <c r="D89" s="218" t="s">
        <v>1160</v>
      </c>
      <c r="E89" s="212" t="s">
        <v>32</v>
      </c>
      <c r="F89" s="292">
        <v>2928</v>
      </c>
      <c r="G89" s="448">
        <v>46055</v>
      </c>
      <c r="H89" s="449">
        <v>46058</v>
      </c>
      <c r="I89" s="449">
        <v>46057</v>
      </c>
      <c r="J89" s="448">
        <v>46062</v>
      </c>
      <c r="K89" s="448">
        <v>46063</v>
      </c>
      <c r="L89" s="448" t="s">
        <v>38</v>
      </c>
      <c r="M89" s="314" t="s">
        <v>47</v>
      </c>
      <c r="N89" s="643" t="s">
        <v>1161</v>
      </c>
      <c r="O89" s="436">
        <v>46084</v>
      </c>
      <c r="P89" s="212"/>
      <c r="Q89" s="212"/>
      <c r="R89" s="412" t="s">
        <v>1162</v>
      </c>
    </row>
    <row r="90" spans="1:18" s="412" customFormat="1" ht="15.75" customHeight="1">
      <c r="A90" s="364" t="s">
        <v>1163</v>
      </c>
      <c r="B90" s="314" t="s">
        <v>796</v>
      </c>
      <c r="C90" s="314" t="s">
        <v>67</v>
      </c>
      <c r="D90" s="218" t="s">
        <v>1164</v>
      </c>
      <c r="E90" s="212" t="s">
        <v>32</v>
      </c>
      <c r="F90" s="292">
        <v>1386</v>
      </c>
      <c r="G90" s="448">
        <v>46055</v>
      </c>
      <c r="H90" s="449">
        <v>46058</v>
      </c>
      <c r="I90" s="449">
        <v>46057</v>
      </c>
      <c r="J90" s="448">
        <v>46062</v>
      </c>
      <c r="K90" s="448">
        <v>46063</v>
      </c>
      <c r="L90" s="448" t="s">
        <v>38</v>
      </c>
      <c r="M90" s="314" t="s">
        <v>47</v>
      </c>
      <c r="N90" s="643" t="s">
        <v>1165</v>
      </c>
      <c r="O90" s="436">
        <v>46084</v>
      </c>
      <c r="P90" s="212"/>
      <c r="Q90" s="212"/>
      <c r="R90" s="412" t="s">
        <v>1166</v>
      </c>
    </row>
    <row r="91" spans="1:18" s="401" customFormat="1" ht="33" customHeight="1">
      <c r="A91" s="418" t="s">
        <v>1167</v>
      </c>
      <c r="B91" s="311" t="s">
        <v>165</v>
      </c>
      <c r="C91" s="311" t="s">
        <v>1168</v>
      </c>
      <c r="D91" s="266" t="s">
        <v>1169</v>
      </c>
      <c r="E91" s="222" t="s">
        <v>32</v>
      </c>
      <c r="F91" s="315">
        <v>5813.7</v>
      </c>
      <c r="G91" s="444">
        <v>45996</v>
      </c>
      <c r="H91" s="646">
        <v>46065</v>
      </c>
      <c r="I91" s="445">
        <v>46071</v>
      </c>
      <c r="J91" s="444">
        <v>46072</v>
      </c>
      <c r="K91" s="444">
        <v>46077</v>
      </c>
      <c r="L91" s="444" t="s">
        <v>1170</v>
      </c>
      <c r="M91" s="311" t="s">
        <v>47</v>
      </c>
      <c r="N91" s="647" t="s">
        <v>1171</v>
      </c>
      <c r="O91" s="400">
        <v>46091</v>
      </c>
      <c r="P91" s="222"/>
      <c r="Q91" s="212"/>
      <c r="R91" s="458" t="s">
        <v>1172</v>
      </c>
    </row>
    <row r="92" spans="1:18" s="401" customFormat="1" ht="15.75" customHeight="1">
      <c r="A92" s="418" t="s">
        <v>1173</v>
      </c>
      <c r="B92" s="311" t="s">
        <v>43</v>
      </c>
      <c r="C92" s="311" t="s">
        <v>53</v>
      </c>
      <c r="D92" s="266" t="s">
        <v>1174</v>
      </c>
      <c r="E92" s="222" t="s">
        <v>32</v>
      </c>
      <c r="F92" s="315">
        <v>11942.5</v>
      </c>
      <c r="G92" s="444">
        <v>46055</v>
      </c>
      <c r="H92" s="445">
        <v>46079</v>
      </c>
      <c r="I92" s="445">
        <v>46065</v>
      </c>
      <c r="J92" s="445">
        <v>46065</v>
      </c>
      <c r="K92" s="444">
        <v>46072</v>
      </c>
      <c r="L92" s="444" t="s">
        <v>724</v>
      </c>
      <c r="M92" s="311" t="s">
        <v>47</v>
      </c>
      <c r="N92" s="311" t="s">
        <v>1175</v>
      </c>
      <c r="O92" s="400">
        <v>46092</v>
      </c>
      <c r="P92" s="222" t="s">
        <v>1176</v>
      </c>
      <c r="Q92" s="212"/>
      <c r="R92" s="401" t="s">
        <v>1177</v>
      </c>
    </row>
    <row r="93" spans="1:18" s="389" customFormat="1" ht="15.75" customHeight="1">
      <c r="A93" s="426" t="s">
        <v>1167</v>
      </c>
      <c r="B93" s="297" t="s">
        <v>1178</v>
      </c>
      <c r="C93" s="297" t="s">
        <v>1179</v>
      </c>
      <c r="D93" s="168" t="s">
        <v>1180</v>
      </c>
      <c r="E93" s="1" t="s">
        <v>32</v>
      </c>
      <c r="F93" s="301"/>
      <c r="G93" s="261">
        <v>46035</v>
      </c>
      <c r="H93" s="320" t="s">
        <v>1181</v>
      </c>
      <c r="I93" s="261">
        <v>46086</v>
      </c>
      <c r="J93" s="261">
        <v>46087</v>
      </c>
      <c r="K93" s="261">
        <v>46090</v>
      </c>
      <c r="L93" s="261" t="s">
        <v>69</v>
      </c>
      <c r="M93" s="262" t="s">
        <v>39</v>
      </c>
      <c r="N93" s="297" t="s">
        <v>1182</v>
      </c>
      <c r="O93" s="393" t="s">
        <v>246</v>
      </c>
      <c r="P93" s="1"/>
      <c r="Q93" s="2"/>
      <c r="R93" s="389" t="s">
        <v>1183</v>
      </c>
    </row>
    <row r="94" spans="1:18" s="401" customFormat="1" ht="15.75" customHeight="1">
      <c r="A94" s="418" t="s">
        <v>1184</v>
      </c>
      <c r="B94" s="311" t="s">
        <v>811</v>
      </c>
      <c r="C94" s="311" t="s">
        <v>78</v>
      </c>
      <c r="D94" s="266" t="s">
        <v>1185</v>
      </c>
      <c r="E94" s="222" t="s">
        <v>32</v>
      </c>
      <c r="F94" s="315">
        <v>48702.45</v>
      </c>
      <c r="G94" s="444">
        <v>46049</v>
      </c>
      <c r="H94" s="444">
        <v>46083</v>
      </c>
      <c r="I94" s="444">
        <v>46083</v>
      </c>
      <c r="J94" s="444">
        <v>46085</v>
      </c>
      <c r="K94" s="444">
        <v>46087</v>
      </c>
      <c r="L94" s="444" t="s">
        <v>69</v>
      </c>
      <c r="M94" s="311" t="s">
        <v>39</v>
      </c>
      <c r="N94" s="311" t="s">
        <v>1186</v>
      </c>
      <c r="O94" s="400">
        <v>46114</v>
      </c>
      <c r="P94" s="222" t="s">
        <v>1187</v>
      </c>
      <c r="Q94" s="76"/>
      <c r="R94" s="401" t="s">
        <v>1188</v>
      </c>
    </row>
    <row r="95" spans="1:18" s="401" customFormat="1" ht="15.75" customHeight="1">
      <c r="A95" s="418" t="s">
        <v>1189</v>
      </c>
      <c r="B95" s="311" t="s">
        <v>1190</v>
      </c>
      <c r="C95" s="311" t="s">
        <v>736</v>
      </c>
      <c r="D95" s="266" t="s">
        <v>1191</v>
      </c>
      <c r="E95" s="222" t="s">
        <v>32</v>
      </c>
      <c r="F95" s="315">
        <v>28106.95</v>
      </c>
      <c r="G95" s="444">
        <v>46050</v>
      </c>
      <c r="H95" s="445">
        <v>46080</v>
      </c>
      <c r="I95" s="445">
        <v>46076</v>
      </c>
      <c r="J95" s="444">
        <v>46078</v>
      </c>
      <c r="K95" s="444">
        <v>46080</v>
      </c>
      <c r="L95" s="444" t="s">
        <v>69</v>
      </c>
      <c r="M95" s="311" t="s">
        <v>39</v>
      </c>
      <c r="N95" s="311" t="s">
        <v>1192</v>
      </c>
      <c r="O95" s="400">
        <v>46100</v>
      </c>
      <c r="P95" s="222" t="s">
        <v>1193</v>
      </c>
      <c r="Q95" s="212"/>
      <c r="R95" s="401" t="s">
        <v>1194</v>
      </c>
    </row>
    <row r="96" spans="1:18" s="444" customFormat="1" ht="15.75" customHeight="1">
      <c r="A96" s="665" t="s">
        <v>1195</v>
      </c>
      <c r="B96" s="444" t="s">
        <v>1159</v>
      </c>
      <c r="C96" s="444" t="s">
        <v>53</v>
      </c>
      <c r="D96" s="444" t="s">
        <v>1196</v>
      </c>
      <c r="E96" s="444" t="s">
        <v>32</v>
      </c>
      <c r="F96" s="315">
        <v>28445.25</v>
      </c>
      <c r="G96" s="444">
        <v>46056</v>
      </c>
      <c r="H96" s="444">
        <v>46097</v>
      </c>
      <c r="I96" s="444">
        <v>46080</v>
      </c>
      <c r="J96" s="444">
        <v>46080</v>
      </c>
      <c r="K96" s="444">
        <v>46084</v>
      </c>
      <c r="L96" s="444" t="s">
        <v>69</v>
      </c>
      <c r="M96" s="311" t="s">
        <v>39</v>
      </c>
      <c r="N96" s="444" t="s">
        <v>1197</v>
      </c>
      <c r="O96" s="444">
        <v>46106</v>
      </c>
      <c r="P96" s="444" t="s">
        <v>1198</v>
      </c>
      <c r="Q96" s="448"/>
      <c r="R96" s="401" t="s">
        <v>1199</v>
      </c>
    </row>
    <row r="97" spans="1:18" s="401" customFormat="1" ht="15.75" customHeight="1">
      <c r="A97" s="418" t="s">
        <v>1200</v>
      </c>
      <c r="B97" s="311" t="s">
        <v>1201</v>
      </c>
      <c r="C97" s="311" t="s">
        <v>736</v>
      </c>
      <c r="D97" s="266" t="s">
        <v>1202</v>
      </c>
      <c r="E97" s="222" t="s">
        <v>32</v>
      </c>
      <c r="F97" s="315">
        <v>6035.85</v>
      </c>
      <c r="G97" s="444">
        <v>46013</v>
      </c>
      <c r="H97" s="445">
        <v>46073</v>
      </c>
      <c r="I97" s="445">
        <v>46076</v>
      </c>
      <c r="J97" s="444">
        <v>46078</v>
      </c>
      <c r="K97" s="444">
        <v>46080</v>
      </c>
      <c r="L97" s="444" t="s">
        <v>69</v>
      </c>
      <c r="M97" s="311" t="s">
        <v>55</v>
      </c>
      <c r="N97" s="658" t="s">
        <v>1203</v>
      </c>
      <c r="O97" s="400">
        <v>46100</v>
      </c>
      <c r="P97" s="222" t="s">
        <v>1204</v>
      </c>
      <c r="Q97" s="212"/>
      <c r="R97" s="401" t="s">
        <v>1205</v>
      </c>
    </row>
    <row r="98" spans="1:18" s="381" customFormat="1" ht="15.75" customHeight="1">
      <c r="A98" s="359" t="s">
        <v>1206</v>
      </c>
      <c r="B98" s="242" t="s">
        <v>811</v>
      </c>
      <c r="C98" s="242" t="s">
        <v>746</v>
      </c>
      <c r="D98" s="179" t="s">
        <v>1207</v>
      </c>
      <c r="E98" s="131" t="s">
        <v>32</v>
      </c>
      <c r="F98" s="286">
        <v>53628.88</v>
      </c>
      <c r="G98" s="147">
        <v>45996</v>
      </c>
      <c r="H98" s="263">
        <v>46087</v>
      </c>
      <c r="I98" s="263">
        <v>46091</v>
      </c>
      <c r="J98" s="147">
        <v>46092</v>
      </c>
      <c r="K98" s="147">
        <v>46097</v>
      </c>
      <c r="L98" s="147" t="s">
        <v>207</v>
      </c>
      <c r="M98" s="242" t="s">
        <v>39</v>
      </c>
      <c r="N98" s="242" t="s">
        <v>1208</v>
      </c>
      <c r="O98" s="394">
        <v>46110</v>
      </c>
      <c r="P98" s="131">
        <v>121505</v>
      </c>
      <c r="Q98" s="131"/>
      <c r="R98" s="670" t="s">
        <v>1209</v>
      </c>
    </row>
    <row r="99" spans="1:18" s="381" customFormat="1" ht="15.75" customHeight="1">
      <c r="A99" s="359" t="s">
        <v>1210</v>
      </c>
      <c r="B99" s="242" t="s">
        <v>811</v>
      </c>
      <c r="C99" s="242" t="s">
        <v>746</v>
      </c>
      <c r="D99" s="179" t="s">
        <v>1211</v>
      </c>
      <c r="E99" s="131" t="s">
        <v>32</v>
      </c>
      <c r="F99" s="286">
        <v>20188.8</v>
      </c>
      <c r="G99" s="147">
        <v>45996</v>
      </c>
      <c r="H99" s="263">
        <v>46087</v>
      </c>
      <c r="I99" s="263">
        <v>46091</v>
      </c>
      <c r="J99" s="147">
        <v>46092</v>
      </c>
      <c r="K99" s="147">
        <v>46097</v>
      </c>
      <c r="L99" s="147" t="s">
        <v>207</v>
      </c>
      <c r="M99" s="242" t="s">
        <v>39</v>
      </c>
      <c r="N99" s="242" t="s">
        <v>1212</v>
      </c>
      <c r="O99" s="394">
        <v>46110</v>
      </c>
      <c r="P99" s="131">
        <v>121506</v>
      </c>
      <c r="Q99" s="131"/>
      <c r="R99" s="670" t="s">
        <v>1209</v>
      </c>
    </row>
    <row r="120" spans="1:19" ht="34.9">
      <c r="A120" s="60"/>
      <c r="B120" s="60"/>
      <c r="C120" s="60"/>
      <c r="D120" s="61" t="s">
        <v>132</v>
      </c>
      <c r="E120" s="72" t="s">
        <v>133</v>
      </c>
      <c r="F120" s="60"/>
      <c r="G120" s="62">
        <v>36526</v>
      </c>
      <c r="H120" s="9"/>
      <c r="I120" s="9"/>
      <c r="J120" s="41"/>
      <c r="K120" s="41"/>
      <c r="L120" s="60"/>
      <c r="M120" s="60"/>
      <c r="N120" s="63"/>
      <c r="O120" s="60"/>
      <c r="P120" s="65"/>
      <c r="Q120" s="19"/>
      <c r="R120" s="60"/>
      <c r="S120" s="26"/>
    </row>
    <row r="121" spans="1:19" s="211" customFormat="1" ht="16.5" customHeight="1" thickBot="1">
      <c r="A121" s="344"/>
      <c r="B121" s="343" t="s">
        <v>180</v>
      </c>
      <c r="C121" s="274" t="s">
        <v>1213</v>
      </c>
      <c r="D121" s="343" t="s">
        <v>1214</v>
      </c>
      <c r="E121" s="275" t="s">
        <v>132</v>
      </c>
      <c r="F121" s="316">
        <v>1825.4</v>
      </c>
      <c r="G121" s="207">
        <v>44865</v>
      </c>
      <c r="H121" s="327">
        <v>44924</v>
      </c>
      <c r="I121" s="327"/>
      <c r="J121" s="328">
        <v>44929</v>
      </c>
      <c r="K121" s="241">
        <v>44930</v>
      </c>
      <c r="L121" s="329" t="s">
        <v>724</v>
      </c>
      <c r="M121" s="240" t="s">
        <v>1215</v>
      </c>
      <c r="N121" s="325" t="s">
        <v>1216</v>
      </c>
      <c r="O121" s="69" t="s">
        <v>1217</v>
      </c>
      <c r="P121" s="325" t="s">
        <v>1218</v>
      </c>
      <c r="Q121" s="330"/>
      <c r="R121" s="345" t="s">
        <v>1219</v>
      </c>
    </row>
    <row r="122" spans="1:19" s="152" customFormat="1" ht="17.25" thickBot="1">
      <c r="A122" s="396" t="s">
        <v>1220</v>
      </c>
      <c r="B122" s="291" t="s">
        <v>811</v>
      </c>
      <c r="C122" s="291" t="s">
        <v>1221</v>
      </c>
      <c r="D122" s="239" t="s">
        <v>1222</v>
      </c>
      <c r="E122" s="465" t="s">
        <v>132</v>
      </c>
      <c r="F122" s="285">
        <v>1089</v>
      </c>
      <c r="G122" s="147">
        <v>45572</v>
      </c>
      <c r="H122" s="263">
        <v>45665</v>
      </c>
      <c r="I122" s="263">
        <v>45663</v>
      </c>
      <c r="J122" s="331">
        <v>45664</v>
      </c>
      <c r="K122" s="331">
        <v>45665</v>
      </c>
      <c r="L122" s="331" t="s">
        <v>38</v>
      </c>
      <c r="M122" s="242" t="s">
        <v>39</v>
      </c>
      <c r="N122" s="397" t="s">
        <v>1223</v>
      </c>
      <c r="O122" s="394">
        <v>45693</v>
      </c>
      <c r="P122" s="131"/>
      <c r="Q122" s="132"/>
      <c r="R122" s="381" t="s">
        <v>1224</v>
      </c>
    </row>
    <row r="123" spans="1:19" s="152" customFormat="1" ht="16.899999999999999">
      <c r="A123" s="359" t="s">
        <v>1225</v>
      </c>
      <c r="B123" s="242" t="s">
        <v>1226</v>
      </c>
      <c r="C123" s="242" t="s">
        <v>1221</v>
      </c>
      <c r="D123" s="179" t="s">
        <v>1227</v>
      </c>
      <c r="E123" s="131" t="s">
        <v>132</v>
      </c>
      <c r="F123" s="286">
        <v>4900</v>
      </c>
      <c r="G123" s="147">
        <v>45590</v>
      </c>
      <c r="H123" s="331">
        <v>45665</v>
      </c>
      <c r="I123" s="263">
        <v>45663</v>
      </c>
      <c r="J123" s="331">
        <v>45664</v>
      </c>
      <c r="K123" s="331">
        <v>45665</v>
      </c>
      <c r="L123" s="331" t="s">
        <v>38</v>
      </c>
      <c r="M123" s="242" t="s">
        <v>39</v>
      </c>
      <c r="N123" s="397" t="s">
        <v>1228</v>
      </c>
      <c r="O123" s="394">
        <v>45695</v>
      </c>
      <c r="P123" s="131" t="s">
        <v>1229</v>
      </c>
      <c r="Q123" s="132"/>
      <c r="R123" s="381" t="s">
        <v>1230</v>
      </c>
    </row>
    <row r="124" spans="1:19" s="152" customFormat="1" ht="16.899999999999999">
      <c r="A124" s="359" t="s">
        <v>1231</v>
      </c>
      <c r="B124" s="242" t="s">
        <v>1148</v>
      </c>
      <c r="C124" s="242" t="s">
        <v>195</v>
      </c>
      <c r="D124" s="179" t="s">
        <v>1232</v>
      </c>
      <c r="E124" s="131" t="s">
        <v>132</v>
      </c>
      <c r="F124" s="286">
        <v>3825</v>
      </c>
      <c r="G124" s="147">
        <v>45597</v>
      </c>
      <c r="H124" s="398">
        <v>45681</v>
      </c>
      <c r="I124" s="331">
        <v>45667</v>
      </c>
      <c r="J124" s="331">
        <v>45671</v>
      </c>
      <c r="K124" s="331">
        <v>45672</v>
      </c>
      <c r="L124" s="331" t="s">
        <v>38</v>
      </c>
      <c r="M124" s="242" t="s">
        <v>39</v>
      </c>
      <c r="N124" s="397" t="s">
        <v>1233</v>
      </c>
      <c r="O124" s="394">
        <v>45697</v>
      </c>
      <c r="P124" s="131" t="s">
        <v>1234</v>
      </c>
      <c r="Q124" s="132"/>
      <c r="R124" s="381" t="s">
        <v>1235</v>
      </c>
    </row>
    <row r="125" spans="1:19" s="152" customFormat="1" ht="16.899999999999999">
      <c r="A125" s="390" t="s">
        <v>1236</v>
      </c>
      <c r="B125" s="290" t="s">
        <v>1237</v>
      </c>
      <c r="C125" s="290" t="s">
        <v>195</v>
      </c>
      <c r="D125" s="232" t="s">
        <v>1238</v>
      </c>
      <c r="E125" s="131" t="s">
        <v>132</v>
      </c>
      <c r="F125" s="284">
        <v>14796</v>
      </c>
      <c r="G125" s="147">
        <v>45962</v>
      </c>
      <c r="H125" s="398">
        <v>45678</v>
      </c>
      <c r="I125" s="398">
        <v>45674</v>
      </c>
      <c r="J125" s="331">
        <v>45677</v>
      </c>
      <c r="K125" s="331">
        <v>45678</v>
      </c>
      <c r="L125" s="331" t="s">
        <v>38</v>
      </c>
      <c r="M125" s="242" t="s">
        <v>1239</v>
      </c>
      <c r="N125" s="397" t="s">
        <v>1240</v>
      </c>
      <c r="O125" s="394">
        <v>45703</v>
      </c>
      <c r="P125" s="131" t="s">
        <v>1241</v>
      </c>
      <c r="Q125" s="132"/>
      <c r="R125" s="381" t="s">
        <v>1242</v>
      </c>
    </row>
    <row r="126" spans="1:19" s="152" customFormat="1" ht="17.25" thickBot="1">
      <c r="A126" s="396" t="s">
        <v>1236</v>
      </c>
      <c r="B126" s="291" t="s">
        <v>1237</v>
      </c>
      <c r="C126" s="291" t="s">
        <v>195</v>
      </c>
      <c r="D126" s="239" t="s">
        <v>1238</v>
      </c>
      <c r="E126" s="465" t="s">
        <v>132</v>
      </c>
      <c r="F126" s="285">
        <v>14796</v>
      </c>
      <c r="G126" s="147">
        <v>45597</v>
      </c>
      <c r="H126" s="398">
        <v>45667</v>
      </c>
      <c r="I126" s="331">
        <v>45667</v>
      </c>
      <c r="J126" s="331">
        <v>45670</v>
      </c>
      <c r="K126" s="331">
        <v>45671</v>
      </c>
      <c r="L126" s="331" t="s">
        <v>38</v>
      </c>
      <c r="M126" s="242" t="s">
        <v>1239</v>
      </c>
      <c r="N126" s="397" t="s">
        <v>1243</v>
      </c>
      <c r="O126" s="394">
        <v>45697</v>
      </c>
      <c r="P126" s="131" t="s">
        <v>1241</v>
      </c>
      <c r="Q126" s="132"/>
      <c r="R126" s="381" t="s">
        <v>1242</v>
      </c>
    </row>
    <row r="127" spans="1:19" s="450" customFormat="1" ht="16.899999999999999">
      <c r="A127" s="364" t="s">
        <v>1244</v>
      </c>
      <c r="B127" s="314" t="s">
        <v>1245</v>
      </c>
      <c r="C127" s="217" t="s">
        <v>1246</v>
      </c>
      <c r="D127" s="218" t="s">
        <v>1247</v>
      </c>
      <c r="E127" s="212" t="s">
        <v>132</v>
      </c>
      <c r="F127" s="292">
        <v>1200</v>
      </c>
      <c r="G127" s="448">
        <v>45672</v>
      </c>
      <c r="H127" s="523">
        <v>45670</v>
      </c>
      <c r="I127" s="449">
        <v>45670</v>
      </c>
      <c r="J127" s="365">
        <v>45672</v>
      </c>
      <c r="K127" s="365">
        <v>45673</v>
      </c>
      <c r="L127" s="365" t="s">
        <v>38</v>
      </c>
      <c r="M127" s="314" t="s">
        <v>1248</v>
      </c>
      <c r="N127" s="413" t="s">
        <v>1249</v>
      </c>
      <c r="O127" s="436">
        <v>45700</v>
      </c>
      <c r="P127" s="212"/>
      <c r="Q127" s="212"/>
      <c r="R127" s="412" t="s">
        <v>1250</v>
      </c>
    </row>
    <row r="128" spans="1:19" s="432" customFormat="1" ht="16.899999999999999">
      <c r="A128" s="418"/>
      <c r="B128" s="311" t="s">
        <v>180</v>
      </c>
      <c r="C128" s="311" t="s">
        <v>1213</v>
      </c>
      <c r="D128" s="266" t="s">
        <v>1251</v>
      </c>
      <c r="E128" s="222" t="s">
        <v>132</v>
      </c>
      <c r="F128" s="315">
        <v>860</v>
      </c>
      <c r="G128" s="444">
        <v>45679</v>
      </c>
      <c r="H128" s="445">
        <v>45679</v>
      </c>
      <c r="I128" s="445">
        <v>45679</v>
      </c>
      <c r="J128" s="399">
        <v>45679</v>
      </c>
      <c r="K128" s="399">
        <v>45691</v>
      </c>
      <c r="L128" s="399" t="s">
        <v>38</v>
      </c>
      <c r="M128" s="262" t="s">
        <v>47</v>
      </c>
      <c r="N128" s="361" t="s">
        <v>1252</v>
      </c>
      <c r="O128" s="437" t="s">
        <v>1217</v>
      </c>
      <c r="P128" s="76"/>
      <c r="Q128" s="76"/>
      <c r="R128" s="412" t="s">
        <v>1253</v>
      </c>
    </row>
    <row r="129" spans="1:18" s="432" customFormat="1" ht="16.899999999999999">
      <c r="A129" s="355" t="s">
        <v>1254</v>
      </c>
      <c r="B129" s="262" t="s">
        <v>876</v>
      </c>
      <c r="C129" s="262" t="s">
        <v>1255</v>
      </c>
      <c r="D129" s="168" t="s">
        <v>1256</v>
      </c>
      <c r="E129" s="76" t="s">
        <v>132</v>
      </c>
      <c r="F129" s="277"/>
      <c r="G129" s="261">
        <v>45670</v>
      </c>
      <c r="H129" s="380">
        <v>45674</v>
      </c>
      <c r="I129" s="380">
        <v>45679</v>
      </c>
      <c r="J129" s="362">
        <v>45680</v>
      </c>
      <c r="K129" s="362">
        <v>45691</v>
      </c>
      <c r="L129" s="362" t="s">
        <v>724</v>
      </c>
      <c r="M129" s="262" t="s">
        <v>39</v>
      </c>
      <c r="N129" s="361" t="s">
        <v>1257</v>
      </c>
      <c r="O129" s="437" t="s">
        <v>1258</v>
      </c>
      <c r="P129" s="76"/>
      <c r="Q129" s="196"/>
      <c r="R129" s="382"/>
    </row>
    <row r="130" spans="1:18" s="387" customFormat="1" ht="16.899999999999999">
      <c r="A130" s="384"/>
      <c r="B130" s="336" t="s">
        <v>180</v>
      </c>
      <c r="C130" s="336" t="s">
        <v>151</v>
      </c>
      <c r="D130" s="467" t="s">
        <v>1259</v>
      </c>
      <c r="E130" s="468" t="s">
        <v>132</v>
      </c>
      <c r="F130" s="337">
        <v>8757.9</v>
      </c>
      <c r="G130" s="469">
        <v>45594</v>
      </c>
      <c r="H130" s="525">
        <v>45686</v>
      </c>
      <c r="I130" s="525">
        <v>45686</v>
      </c>
      <c r="J130" s="385">
        <v>45691</v>
      </c>
      <c r="K130" s="385">
        <v>45692</v>
      </c>
      <c r="L130" s="385" t="s">
        <v>38</v>
      </c>
      <c r="M130" s="336" t="s">
        <v>39</v>
      </c>
      <c r="N130" s="471" t="s">
        <v>1260</v>
      </c>
      <c r="O130" s="472">
        <v>45716</v>
      </c>
      <c r="P130" s="468" t="s">
        <v>1261</v>
      </c>
      <c r="Q130" s="196"/>
      <c r="R130" s="386" t="s">
        <v>1262</v>
      </c>
    </row>
    <row r="131" spans="1:18" s="387" customFormat="1" ht="16.899999999999999">
      <c r="A131" s="384" t="s">
        <v>1263</v>
      </c>
      <c r="B131" s="336" t="s">
        <v>43</v>
      </c>
      <c r="C131" s="336" t="s">
        <v>151</v>
      </c>
      <c r="D131" s="467" t="s">
        <v>1264</v>
      </c>
      <c r="E131" s="468" t="s">
        <v>132</v>
      </c>
      <c r="F131" s="337">
        <v>1608</v>
      </c>
      <c r="G131" s="469">
        <v>45674</v>
      </c>
      <c r="H131" s="525">
        <v>45681</v>
      </c>
      <c r="I131" s="525">
        <v>45688</v>
      </c>
      <c r="J131" s="385">
        <v>45691</v>
      </c>
      <c r="K131" s="385">
        <v>45693</v>
      </c>
      <c r="L131" s="385" t="s">
        <v>724</v>
      </c>
      <c r="M131" s="336" t="s">
        <v>39</v>
      </c>
      <c r="N131" s="471" t="s">
        <v>1265</v>
      </c>
      <c r="O131" s="472">
        <v>45711</v>
      </c>
      <c r="P131" s="468" t="s">
        <v>1266</v>
      </c>
      <c r="Q131" s="76"/>
      <c r="R131" s="386" t="s">
        <v>1267</v>
      </c>
    </row>
    <row r="132" spans="1:18" s="387" customFormat="1" ht="16.899999999999999">
      <c r="A132" s="384"/>
      <c r="B132" s="336" t="s">
        <v>180</v>
      </c>
      <c r="C132" s="336" t="s">
        <v>158</v>
      </c>
      <c r="D132" s="467" t="s">
        <v>1268</v>
      </c>
      <c r="E132" s="468" t="s">
        <v>132</v>
      </c>
      <c r="F132" s="337">
        <v>250</v>
      </c>
      <c r="G132" s="469">
        <v>45691</v>
      </c>
      <c r="H132" s="470">
        <v>45691</v>
      </c>
      <c r="I132" s="470">
        <v>45688</v>
      </c>
      <c r="J132" s="385">
        <v>45691</v>
      </c>
      <c r="K132" s="385">
        <v>45692</v>
      </c>
      <c r="L132" s="385" t="s">
        <v>38</v>
      </c>
      <c r="M132" s="336" t="s">
        <v>146</v>
      </c>
      <c r="N132" s="471">
        <v>21482</v>
      </c>
      <c r="O132" s="472">
        <v>45711</v>
      </c>
      <c r="P132" s="468"/>
      <c r="Q132" s="475"/>
      <c r="R132" s="386" t="s">
        <v>1269</v>
      </c>
    </row>
    <row r="133" spans="1:18" s="402" customFormat="1" ht="17.25" thickBot="1">
      <c r="A133" s="446" t="s">
        <v>1270</v>
      </c>
      <c r="B133" s="312" t="s">
        <v>1237</v>
      </c>
      <c r="C133" s="312" t="s">
        <v>195</v>
      </c>
      <c r="D133" s="266" t="s">
        <v>1271</v>
      </c>
      <c r="E133" s="451" t="s">
        <v>132</v>
      </c>
      <c r="F133" s="315">
        <v>2636.34</v>
      </c>
      <c r="G133" s="444"/>
      <c r="H133" s="522"/>
      <c r="I133" s="399"/>
      <c r="J133" s="399"/>
      <c r="K133" s="399"/>
      <c r="L133" s="399"/>
      <c r="M133" s="311"/>
      <c r="N133" s="419" t="s">
        <v>1272</v>
      </c>
      <c r="O133" s="400">
        <v>45716</v>
      </c>
      <c r="P133" s="222"/>
      <c r="Q133" s="212"/>
      <c r="R133" s="401" t="s">
        <v>1273</v>
      </c>
    </row>
    <row r="134" spans="1:18" s="402" customFormat="1" ht="16.899999999999999">
      <c r="A134" s="418" t="s">
        <v>1274</v>
      </c>
      <c r="B134" s="311" t="s">
        <v>1275</v>
      </c>
      <c r="C134" s="311" t="s">
        <v>1276</v>
      </c>
      <c r="D134" s="266" t="s">
        <v>1277</v>
      </c>
      <c r="E134" s="222" t="s">
        <v>132</v>
      </c>
      <c r="F134" s="315">
        <v>1079.04</v>
      </c>
      <c r="G134" s="444">
        <v>45639</v>
      </c>
      <c r="H134" s="522">
        <v>45684</v>
      </c>
      <c r="I134" s="522">
        <v>45678</v>
      </c>
      <c r="J134" s="399">
        <v>45679</v>
      </c>
      <c r="K134" s="399">
        <v>45688</v>
      </c>
      <c r="L134" s="399" t="s">
        <v>38</v>
      </c>
      <c r="M134" s="311" t="s">
        <v>39</v>
      </c>
      <c r="N134" s="419">
        <v>9943</v>
      </c>
      <c r="O134" s="400">
        <v>45716</v>
      </c>
      <c r="P134" s="222"/>
      <c r="Q134" s="212"/>
      <c r="R134" s="401" t="s">
        <v>1278</v>
      </c>
    </row>
    <row r="135" spans="1:18" s="402" customFormat="1" ht="16.899999999999999">
      <c r="A135" s="418" t="s">
        <v>770</v>
      </c>
      <c r="B135" s="311" t="s">
        <v>43</v>
      </c>
      <c r="C135" s="311" t="s">
        <v>151</v>
      </c>
      <c r="D135" s="266" t="s">
        <v>1279</v>
      </c>
      <c r="E135" s="222" t="s">
        <v>132</v>
      </c>
      <c r="F135" s="315">
        <v>16429.5</v>
      </c>
      <c r="G135" s="444">
        <v>45649</v>
      </c>
      <c r="H135" s="445">
        <v>45782</v>
      </c>
      <c r="I135" s="445">
        <v>45702</v>
      </c>
      <c r="J135" s="399">
        <v>45705</v>
      </c>
      <c r="K135" s="399">
        <v>45706</v>
      </c>
      <c r="L135" s="399" t="s">
        <v>38</v>
      </c>
      <c r="M135" s="311" t="s">
        <v>39</v>
      </c>
      <c r="N135" s="419" t="s">
        <v>1280</v>
      </c>
      <c r="O135" s="400">
        <v>45725</v>
      </c>
      <c r="P135" s="222" t="s">
        <v>1281</v>
      </c>
      <c r="Q135" s="212"/>
      <c r="R135" s="401" t="s">
        <v>1282</v>
      </c>
    </row>
    <row r="136" spans="1:18" s="515" customFormat="1" ht="16.899999999999999">
      <c r="A136" s="418"/>
      <c r="B136" s="311" t="s">
        <v>1283</v>
      </c>
      <c r="C136" s="311" t="s">
        <v>151</v>
      </c>
      <c r="D136" s="266" t="s">
        <v>1284</v>
      </c>
      <c r="E136" s="222" t="s">
        <v>132</v>
      </c>
      <c r="F136" s="315">
        <v>4608</v>
      </c>
      <c r="G136" s="509">
        <v>45700</v>
      </c>
      <c r="H136" s="529">
        <v>45722</v>
      </c>
      <c r="I136" s="530">
        <v>45715</v>
      </c>
      <c r="J136" s="513">
        <v>45720</v>
      </c>
      <c r="K136" s="513">
        <v>45721</v>
      </c>
      <c r="L136" s="513" t="s">
        <v>38</v>
      </c>
      <c r="M136" s="506" t="s">
        <v>39</v>
      </c>
      <c r="N136" s="514" t="s">
        <v>1285</v>
      </c>
      <c r="O136" s="510">
        <v>45745</v>
      </c>
      <c r="P136" s="507" t="s">
        <v>1286</v>
      </c>
      <c r="Q136" s="507"/>
      <c r="R136" s="401" t="s">
        <v>1287</v>
      </c>
    </row>
    <row r="137" spans="1:18" s="432" customFormat="1" ht="16.899999999999999">
      <c r="A137" s="355"/>
      <c r="B137" s="262" t="s">
        <v>180</v>
      </c>
      <c r="C137" s="262" t="s">
        <v>1288</v>
      </c>
      <c r="D137" s="168" t="s">
        <v>1289</v>
      </c>
      <c r="E137" s="76" t="s">
        <v>132</v>
      </c>
      <c r="F137" s="277"/>
      <c r="G137" s="261"/>
      <c r="H137" s="320"/>
      <c r="I137" s="380"/>
      <c r="J137" s="362">
        <v>45702</v>
      </c>
      <c r="K137" s="362">
        <v>45705</v>
      </c>
      <c r="L137" s="362" t="s">
        <v>38</v>
      </c>
      <c r="M137" s="262" t="s">
        <v>1290</v>
      </c>
      <c r="N137" s="361"/>
      <c r="O137" s="437"/>
      <c r="P137" s="76"/>
      <c r="Q137" s="196"/>
      <c r="R137" s="382"/>
    </row>
    <row r="138" spans="1:18" s="515" customFormat="1" ht="16.899999999999999">
      <c r="A138" s="505"/>
      <c r="B138" s="506" t="s">
        <v>180</v>
      </c>
      <c r="C138" s="506" t="s">
        <v>1291</v>
      </c>
      <c r="D138" s="512" t="s">
        <v>1292</v>
      </c>
      <c r="E138" s="507" t="s">
        <v>132</v>
      </c>
      <c r="F138" s="508"/>
      <c r="G138" s="509">
        <v>45716</v>
      </c>
      <c r="H138" s="529">
        <v>45720</v>
      </c>
      <c r="I138" s="530">
        <v>45716</v>
      </c>
      <c r="J138" s="513">
        <v>45720</v>
      </c>
      <c r="K138" s="513">
        <v>45721</v>
      </c>
      <c r="L138" s="513" t="s">
        <v>38</v>
      </c>
      <c r="M138" s="506" t="s">
        <v>47</v>
      </c>
      <c r="N138" s="514"/>
      <c r="O138" s="510"/>
      <c r="P138" s="507"/>
      <c r="Q138" s="507"/>
      <c r="R138" s="511"/>
    </row>
    <row r="139" spans="1:18" s="432" customFormat="1" ht="16.899999999999999">
      <c r="A139" s="355"/>
      <c r="B139" s="262" t="s">
        <v>1293</v>
      </c>
      <c r="C139" s="262" t="s">
        <v>711</v>
      </c>
      <c r="D139" s="168" t="s">
        <v>1294</v>
      </c>
      <c r="E139" s="76" t="s">
        <v>132</v>
      </c>
      <c r="F139" s="277"/>
      <c r="G139" s="261"/>
      <c r="H139" s="320"/>
      <c r="I139" s="380"/>
      <c r="J139" s="362">
        <v>45707</v>
      </c>
      <c r="K139" s="362"/>
      <c r="L139" s="362"/>
      <c r="M139" s="262" t="s">
        <v>1290</v>
      </c>
      <c r="N139" s="361"/>
      <c r="O139" s="437"/>
      <c r="P139" s="76"/>
      <c r="Q139" s="196"/>
      <c r="R139" s="382"/>
    </row>
    <row r="140" spans="1:18" s="366" customFormat="1" ht="16.899999999999999">
      <c r="A140" s="353"/>
      <c r="B140" s="289" t="s">
        <v>1293</v>
      </c>
      <c r="C140" s="289" t="s">
        <v>1295</v>
      </c>
      <c r="D140" s="167" t="s">
        <v>1296</v>
      </c>
      <c r="E140" s="196" t="s">
        <v>132</v>
      </c>
      <c r="F140" s="272"/>
      <c r="G140" s="424"/>
      <c r="H140" s="425"/>
      <c r="I140" s="499"/>
      <c r="J140" s="358">
        <v>45713</v>
      </c>
      <c r="K140" s="358"/>
      <c r="L140" s="358"/>
      <c r="M140" s="289" t="s">
        <v>1290</v>
      </c>
      <c r="N140" s="403"/>
      <c r="O140" s="395"/>
      <c r="P140" s="196"/>
      <c r="Q140" s="196"/>
      <c r="R140" s="373"/>
    </row>
    <row r="141" spans="1:18" s="432" customFormat="1" ht="16.899999999999999">
      <c r="A141" s="355"/>
      <c r="B141" s="262" t="s">
        <v>1293</v>
      </c>
      <c r="C141" s="262" t="s">
        <v>1297</v>
      </c>
      <c r="D141" s="168" t="s">
        <v>1298</v>
      </c>
      <c r="E141" s="76" t="s">
        <v>132</v>
      </c>
      <c r="F141" s="277"/>
      <c r="G141" s="261"/>
      <c r="H141" s="320"/>
      <c r="I141" s="380"/>
      <c r="J141" s="362">
        <v>45728</v>
      </c>
      <c r="K141" s="362">
        <v>45729</v>
      </c>
      <c r="L141" s="362" t="s">
        <v>38</v>
      </c>
      <c r="M141" s="262" t="s">
        <v>1290</v>
      </c>
      <c r="N141" s="361">
        <v>1.96283815010324E+16</v>
      </c>
      <c r="O141" s="437"/>
      <c r="P141" s="76"/>
      <c r="Q141" s="382"/>
    </row>
    <row r="142" spans="1:18" s="489" customFormat="1" ht="16.899999999999999">
      <c r="A142" s="473" t="s">
        <v>1299</v>
      </c>
      <c r="B142" s="347" t="s">
        <v>43</v>
      </c>
      <c r="C142" s="347" t="s">
        <v>1221</v>
      </c>
      <c r="D142" s="474" t="s">
        <v>1300</v>
      </c>
      <c r="E142" s="475" t="s">
        <v>132</v>
      </c>
      <c r="F142" s="348">
        <v>9535.6299999999992</v>
      </c>
      <c r="G142" s="476">
        <v>45700</v>
      </c>
      <c r="H142" s="487" t="s">
        <v>964</v>
      </c>
      <c r="I142" s="527"/>
      <c r="J142" s="488"/>
      <c r="K142" s="488"/>
      <c r="L142" s="488"/>
      <c r="M142" s="347" t="s">
        <v>39</v>
      </c>
      <c r="N142" s="486" t="s">
        <v>1301</v>
      </c>
      <c r="O142" s="477">
        <v>45728</v>
      </c>
      <c r="P142" s="475"/>
      <c r="Q142" s="475"/>
      <c r="R142" s="478" t="s">
        <v>1302</v>
      </c>
    </row>
    <row r="143" spans="1:18" s="432" customFormat="1" ht="16.899999999999999">
      <c r="A143" s="355"/>
      <c r="B143" s="262" t="s">
        <v>1303</v>
      </c>
      <c r="C143" s="262" t="s">
        <v>1304</v>
      </c>
      <c r="D143" s="168" t="s">
        <v>1305</v>
      </c>
      <c r="E143" s="76" t="s">
        <v>132</v>
      </c>
      <c r="F143" s="277">
        <v>123.14</v>
      </c>
      <c r="G143" s="261">
        <v>46014</v>
      </c>
      <c r="H143" s="380">
        <v>45663</v>
      </c>
      <c r="I143" s="320">
        <v>45663</v>
      </c>
      <c r="J143" s="362">
        <v>45664</v>
      </c>
      <c r="K143" s="362">
        <v>45667</v>
      </c>
      <c r="L143" s="362" t="s">
        <v>38</v>
      </c>
      <c r="M143" s="262" t="s">
        <v>39</v>
      </c>
      <c r="N143" s="521" t="s">
        <v>1306</v>
      </c>
      <c r="O143" s="437"/>
      <c r="P143" s="76"/>
      <c r="Q143" s="196"/>
      <c r="R143" s="382" t="s">
        <v>1307</v>
      </c>
    </row>
    <row r="144" spans="1:18" s="387" customFormat="1" ht="16.899999999999999">
      <c r="A144" s="384" t="s">
        <v>1308</v>
      </c>
      <c r="B144" s="336" t="s">
        <v>1309</v>
      </c>
      <c r="C144" s="336" t="s">
        <v>1310</v>
      </c>
      <c r="D144" s="467" t="s">
        <v>1311</v>
      </c>
      <c r="E144" s="468" t="s">
        <v>132</v>
      </c>
      <c r="F144" s="337">
        <v>14875</v>
      </c>
      <c r="G144" s="469">
        <v>45699</v>
      </c>
      <c r="H144" s="470">
        <v>45741</v>
      </c>
      <c r="I144" s="385">
        <v>45706</v>
      </c>
      <c r="J144" s="385">
        <v>45707</v>
      </c>
      <c r="K144" s="385">
        <v>45708</v>
      </c>
      <c r="L144" s="385" t="s">
        <v>38</v>
      </c>
      <c r="M144" s="336" t="s">
        <v>39</v>
      </c>
      <c r="N144" s="471">
        <v>10924</v>
      </c>
      <c r="O144" s="472">
        <v>45736</v>
      </c>
      <c r="P144" s="468">
        <v>2019</v>
      </c>
      <c r="Q144" s="475"/>
      <c r="R144" s="386" t="s">
        <v>1312</v>
      </c>
    </row>
    <row r="145" spans="1:18" s="432" customFormat="1" ht="16.899999999999999">
      <c r="A145" s="479" t="s">
        <v>1313</v>
      </c>
      <c r="B145" s="332" t="s">
        <v>1237</v>
      </c>
      <c r="C145" s="332" t="s">
        <v>195</v>
      </c>
      <c r="D145" s="480" t="s">
        <v>1314</v>
      </c>
      <c r="E145" s="481" t="s">
        <v>132</v>
      </c>
      <c r="F145" s="333">
        <v>32825</v>
      </c>
      <c r="G145" s="469">
        <v>45635</v>
      </c>
      <c r="H145" s="470">
        <v>45730</v>
      </c>
      <c r="I145" s="500">
        <v>45733</v>
      </c>
      <c r="J145" s="362">
        <v>45734</v>
      </c>
      <c r="K145" s="362">
        <v>45736</v>
      </c>
      <c r="L145" s="362" t="s">
        <v>38</v>
      </c>
      <c r="M145" s="262" t="s">
        <v>1239</v>
      </c>
      <c r="N145" s="361" t="s">
        <v>1315</v>
      </c>
      <c r="O145" s="437">
        <v>45763</v>
      </c>
      <c r="P145" s="76" t="s">
        <v>1316</v>
      </c>
      <c r="Q145" s="373"/>
      <c r="R145" s="401" t="s">
        <v>1317</v>
      </c>
    </row>
    <row r="146" spans="1:18" s="402" customFormat="1" ht="16.899999999999999">
      <c r="A146" s="418"/>
      <c r="B146" s="311" t="s">
        <v>134</v>
      </c>
      <c r="C146" s="311" t="s">
        <v>1213</v>
      </c>
      <c r="D146" s="266" t="s">
        <v>1318</v>
      </c>
      <c r="E146" s="222" t="s">
        <v>132</v>
      </c>
      <c r="F146" s="315">
        <v>2711.6</v>
      </c>
      <c r="G146" s="444">
        <v>45691</v>
      </c>
      <c r="H146" s="445">
        <v>45716</v>
      </c>
      <c r="I146" s="522">
        <v>45730</v>
      </c>
      <c r="J146" s="399">
        <v>45734</v>
      </c>
      <c r="K146" s="399">
        <v>45736</v>
      </c>
      <c r="L146" s="399" t="s">
        <v>38</v>
      </c>
      <c r="M146" s="311" t="s">
        <v>39</v>
      </c>
      <c r="N146" s="419" t="s">
        <v>1319</v>
      </c>
      <c r="O146" s="400">
        <v>45757</v>
      </c>
      <c r="P146" s="222" t="s">
        <v>1252</v>
      </c>
      <c r="Q146" s="196"/>
      <c r="R146" s="401" t="s">
        <v>1320</v>
      </c>
    </row>
    <row r="147" spans="1:18" s="402" customFormat="1" ht="17.25" thickBot="1">
      <c r="A147" s="446" t="s">
        <v>1321</v>
      </c>
      <c r="B147" s="312" t="s">
        <v>1322</v>
      </c>
      <c r="C147" s="312" t="s">
        <v>1323</v>
      </c>
      <c r="D147" s="310" t="s">
        <v>1324</v>
      </c>
      <c r="E147" s="451" t="s">
        <v>200</v>
      </c>
      <c r="F147" s="313">
        <v>330.9</v>
      </c>
      <c r="G147" s="444">
        <v>45705</v>
      </c>
      <c r="H147" s="445" t="s">
        <v>798</v>
      </c>
      <c r="I147" s="522">
        <v>45730</v>
      </c>
      <c r="J147" s="399">
        <v>45734</v>
      </c>
      <c r="K147" s="399">
        <v>45736</v>
      </c>
      <c r="L147" s="399" t="s">
        <v>38</v>
      </c>
      <c r="M147" s="311" t="s">
        <v>39</v>
      </c>
      <c r="N147" s="419" t="s">
        <v>1325</v>
      </c>
      <c r="O147" s="400">
        <v>45747</v>
      </c>
      <c r="P147" s="222"/>
      <c r="Q147" s="196"/>
      <c r="R147" s="401" t="s">
        <v>1326</v>
      </c>
    </row>
    <row r="148" spans="1:18" s="450" customFormat="1" ht="16.899999999999999">
      <c r="A148" s="364" t="s">
        <v>1327</v>
      </c>
      <c r="B148" s="314" t="s">
        <v>1328</v>
      </c>
      <c r="C148" s="314" t="s">
        <v>143</v>
      </c>
      <c r="D148" s="218" t="s">
        <v>1329</v>
      </c>
      <c r="E148" s="212" t="s">
        <v>132</v>
      </c>
      <c r="F148" s="292">
        <v>4491.3100000000004</v>
      </c>
      <c r="G148" s="448">
        <v>45712</v>
      </c>
      <c r="H148" s="449" t="s">
        <v>964</v>
      </c>
      <c r="I148" s="523"/>
      <c r="J148" s="365"/>
      <c r="K148" s="365"/>
      <c r="L148" s="365"/>
      <c r="M148" s="314" t="s">
        <v>146</v>
      </c>
      <c r="N148" s="413">
        <v>90177580</v>
      </c>
      <c r="O148" s="436">
        <v>45744</v>
      </c>
      <c r="P148" s="212">
        <v>80598</v>
      </c>
      <c r="Q148" s="212"/>
      <c r="R148" s="401" t="s">
        <v>1330</v>
      </c>
    </row>
    <row r="149" spans="1:18" s="450" customFormat="1" ht="16.899999999999999">
      <c r="A149" s="364"/>
      <c r="B149" s="314" t="s">
        <v>1331</v>
      </c>
      <c r="C149" s="314" t="s">
        <v>1332</v>
      </c>
      <c r="D149" s="218" t="s">
        <v>1333</v>
      </c>
      <c r="E149" s="212" t="s">
        <v>132</v>
      </c>
      <c r="F149" s="292">
        <v>1735</v>
      </c>
      <c r="G149" s="448"/>
      <c r="H149" s="449"/>
      <c r="I149" s="523"/>
      <c r="J149" s="365"/>
      <c r="K149" s="365"/>
      <c r="L149" s="365"/>
      <c r="M149" s="314" t="s">
        <v>1239</v>
      </c>
      <c r="N149" s="413"/>
      <c r="O149" s="436">
        <v>45747</v>
      </c>
      <c r="P149" s="212"/>
      <c r="Q149" s="212"/>
      <c r="R149" s="401" t="s">
        <v>1334</v>
      </c>
    </row>
    <row r="150" spans="1:18" s="450" customFormat="1" ht="16.899999999999999">
      <c r="A150" s="364" t="s">
        <v>1335</v>
      </c>
      <c r="B150" s="314" t="s">
        <v>43</v>
      </c>
      <c r="C150" s="314" t="s">
        <v>143</v>
      </c>
      <c r="D150" s="218" t="s">
        <v>1336</v>
      </c>
      <c r="E150" s="212" t="s">
        <v>132</v>
      </c>
      <c r="F150" s="292">
        <v>3485</v>
      </c>
      <c r="G150" s="448">
        <v>45729</v>
      </c>
      <c r="H150" s="449" t="s">
        <v>964</v>
      </c>
      <c r="I150" s="523"/>
      <c r="J150" s="365"/>
      <c r="K150" s="365"/>
      <c r="L150" s="365"/>
      <c r="M150" s="314" t="s">
        <v>146</v>
      </c>
      <c r="N150" s="413">
        <v>90180413</v>
      </c>
      <c r="O150" s="436">
        <v>45763</v>
      </c>
      <c r="P150" s="212">
        <v>81602</v>
      </c>
      <c r="Q150" s="416"/>
      <c r="R150" s="401" t="s">
        <v>1337</v>
      </c>
    </row>
    <row r="151" spans="1:18" s="366" customFormat="1" ht="16.899999999999999">
      <c r="A151" s="353"/>
      <c r="B151" s="289" t="s">
        <v>180</v>
      </c>
      <c r="C151" s="289" t="s">
        <v>151</v>
      </c>
      <c r="D151" s="167" t="s">
        <v>1338</v>
      </c>
      <c r="E151" s="196" t="s">
        <v>132</v>
      </c>
      <c r="F151" s="272"/>
      <c r="G151" s="424"/>
      <c r="H151" s="425"/>
      <c r="I151" s="499"/>
      <c r="J151" s="358">
        <v>45723</v>
      </c>
      <c r="K151" s="358">
        <v>45726</v>
      </c>
      <c r="L151" s="358" t="s">
        <v>38</v>
      </c>
      <c r="M151" s="289" t="s">
        <v>39</v>
      </c>
      <c r="N151" s="403"/>
      <c r="O151" s="395"/>
      <c r="P151" s="196"/>
      <c r="Q151" s="196"/>
      <c r="R151" s="373" t="s">
        <v>1339</v>
      </c>
    </row>
    <row r="152" spans="1:18" s="402" customFormat="1" ht="16.899999999999999">
      <c r="A152" s="418" t="s">
        <v>1340</v>
      </c>
      <c r="B152" s="311" t="s">
        <v>1341</v>
      </c>
      <c r="C152" s="311" t="s">
        <v>135</v>
      </c>
      <c r="D152" s="266" t="s">
        <v>1342</v>
      </c>
      <c r="E152" s="222" t="s">
        <v>132</v>
      </c>
      <c r="F152" s="315">
        <v>290</v>
      </c>
      <c r="G152" s="444">
        <v>45720</v>
      </c>
      <c r="H152" s="445">
        <v>45734</v>
      </c>
      <c r="I152" s="445">
        <v>45733</v>
      </c>
      <c r="J152" s="445">
        <v>45733</v>
      </c>
      <c r="K152" s="399">
        <v>45734</v>
      </c>
      <c r="L152" s="399" t="s">
        <v>38</v>
      </c>
      <c r="M152" s="311" t="s">
        <v>39</v>
      </c>
      <c r="N152" s="419" t="s">
        <v>1343</v>
      </c>
      <c r="O152" s="400">
        <v>45760</v>
      </c>
      <c r="P152" s="222" t="s">
        <v>1344</v>
      </c>
      <c r="Q152" s="412"/>
      <c r="R152" s="401" t="s">
        <v>1345</v>
      </c>
    </row>
    <row r="153" spans="1:18" s="402" customFormat="1" ht="31.5">
      <c r="A153" s="418" t="s">
        <v>1346</v>
      </c>
      <c r="B153" s="311" t="s">
        <v>1347</v>
      </c>
      <c r="C153" s="311" t="s">
        <v>135</v>
      </c>
      <c r="D153" s="266" t="s">
        <v>1348</v>
      </c>
      <c r="E153" s="222" t="s">
        <v>132</v>
      </c>
      <c r="F153" s="315">
        <v>4126</v>
      </c>
      <c r="G153" s="444">
        <v>45674</v>
      </c>
      <c r="H153" s="445">
        <v>45722</v>
      </c>
      <c r="I153" s="365">
        <v>45722</v>
      </c>
      <c r="J153" s="399">
        <v>45723</v>
      </c>
      <c r="K153" s="399">
        <v>45726</v>
      </c>
      <c r="L153" s="399" t="s">
        <v>38</v>
      </c>
      <c r="M153" s="311" t="s">
        <v>39</v>
      </c>
      <c r="N153" s="419" t="s">
        <v>1349</v>
      </c>
      <c r="O153" s="400">
        <v>45752</v>
      </c>
      <c r="P153" s="222" t="s">
        <v>1350</v>
      </c>
      <c r="Q153" s="212"/>
      <c r="R153" s="401" t="s">
        <v>1351</v>
      </c>
    </row>
    <row r="154" spans="1:18" s="402" customFormat="1" ht="16.899999999999999">
      <c r="A154" s="418"/>
      <c r="B154" s="311" t="s">
        <v>180</v>
      </c>
      <c r="C154" s="311" t="s">
        <v>181</v>
      </c>
      <c r="D154" s="266" t="s">
        <v>1352</v>
      </c>
      <c r="E154" s="222" t="s">
        <v>132</v>
      </c>
      <c r="F154" s="315">
        <v>34062.870000000003</v>
      </c>
      <c r="G154" s="444">
        <v>45691</v>
      </c>
      <c r="H154" s="445">
        <v>45730</v>
      </c>
      <c r="I154" s="365">
        <v>45721</v>
      </c>
      <c r="J154" s="399">
        <v>45723</v>
      </c>
      <c r="K154" s="399">
        <v>45728</v>
      </c>
      <c r="L154" s="399" t="s">
        <v>38</v>
      </c>
      <c r="M154" s="311" t="s">
        <v>39</v>
      </c>
      <c r="N154" s="419">
        <v>29093</v>
      </c>
      <c r="O154" s="400">
        <v>45749</v>
      </c>
      <c r="P154" s="222"/>
      <c r="Q154" s="222"/>
      <c r="R154" s="401" t="s">
        <v>1353</v>
      </c>
    </row>
    <row r="155" spans="1:18" s="450" customFormat="1" ht="16.899999999999999">
      <c r="A155" s="364"/>
      <c r="B155" s="314" t="s">
        <v>180</v>
      </c>
      <c r="C155" s="314" t="s">
        <v>181</v>
      </c>
      <c r="D155" s="218" t="s">
        <v>1354</v>
      </c>
      <c r="E155" s="212" t="s">
        <v>132</v>
      </c>
      <c r="F155" s="292">
        <v>95</v>
      </c>
      <c r="G155" s="448">
        <v>45723</v>
      </c>
      <c r="H155" s="449">
        <v>45722</v>
      </c>
      <c r="I155" s="365">
        <v>45721</v>
      </c>
      <c r="J155" s="365">
        <v>45723</v>
      </c>
      <c r="K155" s="365">
        <v>45728</v>
      </c>
      <c r="L155" s="365" t="s">
        <v>38</v>
      </c>
      <c r="M155" s="314" t="s">
        <v>39</v>
      </c>
      <c r="N155" s="413">
        <v>29126</v>
      </c>
      <c r="O155" s="436">
        <v>45749</v>
      </c>
      <c r="P155" s="212"/>
      <c r="Q155" s="212"/>
      <c r="R155" s="401" t="s">
        <v>1355</v>
      </c>
    </row>
    <row r="156" spans="1:18" s="432" customFormat="1" ht="16.899999999999999">
      <c r="A156" s="355" t="s">
        <v>1356</v>
      </c>
      <c r="B156" s="262" t="s">
        <v>43</v>
      </c>
      <c r="C156" s="262" t="s">
        <v>1357</v>
      </c>
      <c r="D156" s="168" t="s">
        <v>1358</v>
      </c>
      <c r="E156" s="76" t="s">
        <v>132</v>
      </c>
      <c r="F156" s="277"/>
      <c r="G156" s="261">
        <v>45737</v>
      </c>
      <c r="H156" s="320"/>
      <c r="I156" s="261">
        <v>45742</v>
      </c>
      <c r="J156" s="362">
        <v>45747</v>
      </c>
      <c r="K156" s="362">
        <v>45748</v>
      </c>
      <c r="L156" s="362" t="s">
        <v>38</v>
      </c>
      <c r="M156" s="262" t="s">
        <v>1248</v>
      </c>
      <c r="N156" s="361" t="s">
        <v>1258</v>
      </c>
      <c r="O156" s="437"/>
      <c r="P156" s="76"/>
      <c r="Q156" s="382"/>
    </row>
    <row r="157" spans="1:18" s="366" customFormat="1" ht="16.899999999999999">
      <c r="A157" s="353"/>
      <c r="B157" s="289"/>
      <c r="C157" s="289" t="s">
        <v>1359</v>
      </c>
      <c r="D157" s="167" t="s">
        <v>1294</v>
      </c>
      <c r="E157" s="196" t="s">
        <v>132</v>
      </c>
      <c r="F157" s="272"/>
      <c r="G157" s="424"/>
      <c r="H157" s="425"/>
      <c r="I157" s="424"/>
      <c r="J157" s="358">
        <v>45742</v>
      </c>
      <c r="K157" s="358">
        <v>45744</v>
      </c>
      <c r="L157" s="358" t="s">
        <v>38</v>
      </c>
      <c r="M157" s="289" t="s">
        <v>47</v>
      </c>
      <c r="N157" s="403" t="s">
        <v>1258</v>
      </c>
      <c r="O157" s="395"/>
      <c r="P157" s="196"/>
      <c r="Q157" s="373"/>
    </row>
    <row r="158" spans="1:18" s="432" customFormat="1" ht="16.899999999999999">
      <c r="A158" s="355"/>
      <c r="B158" s="262" t="s">
        <v>180</v>
      </c>
      <c r="C158" s="262" t="s">
        <v>1255</v>
      </c>
      <c r="D158" s="168" t="s">
        <v>1360</v>
      </c>
      <c r="E158" s="76" t="s">
        <v>132</v>
      </c>
      <c r="F158" s="277"/>
      <c r="G158" s="261">
        <v>45720</v>
      </c>
      <c r="H158" s="320">
        <v>45742</v>
      </c>
      <c r="I158" s="362">
        <v>45740</v>
      </c>
      <c r="J158" s="362">
        <v>45741</v>
      </c>
      <c r="K158" s="362">
        <v>45744</v>
      </c>
      <c r="L158" s="362" t="s">
        <v>38</v>
      </c>
      <c r="M158" s="262" t="s">
        <v>47</v>
      </c>
      <c r="N158" s="361" t="s">
        <v>1258</v>
      </c>
      <c r="O158" s="437"/>
      <c r="P158" s="76"/>
      <c r="Q158" s="196"/>
      <c r="R158" s="382"/>
    </row>
    <row r="159" spans="1:18" s="489" customFormat="1" ht="16.899999999999999">
      <c r="A159" s="473" t="s">
        <v>1361</v>
      </c>
      <c r="B159" s="347" t="s">
        <v>43</v>
      </c>
      <c r="C159" s="347" t="s">
        <v>1362</v>
      </c>
      <c r="D159" s="474" t="s">
        <v>1363</v>
      </c>
      <c r="E159" s="475" t="s">
        <v>132</v>
      </c>
      <c r="F159" s="348">
        <v>1046.25</v>
      </c>
      <c r="G159" s="476">
        <v>45728</v>
      </c>
      <c r="H159" s="487" t="s">
        <v>964</v>
      </c>
      <c r="I159" s="527"/>
      <c r="J159" s="488"/>
      <c r="K159" s="488"/>
      <c r="L159" s="488"/>
      <c r="M159" s="347" t="s">
        <v>146</v>
      </c>
      <c r="N159" s="486">
        <v>110601</v>
      </c>
      <c r="O159" s="477">
        <v>45759</v>
      </c>
      <c r="P159" s="475"/>
      <c r="Q159" s="478"/>
      <c r="R159" s="489" t="s">
        <v>1364</v>
      </c>
    </row>
    <row r="160" spans="1:18" s="387" customFormat="1" ht="16.899999999999999">
      <c r="A160" s="384" t="s">
        <v>1365</v>
      </c>
      <c r="B160" s="336" t="s">
        <v>1366</v>
      </c>
      <c r="C160" s="336" t="s">
        <v>166</v>
      </c>
      <c r="D160" s="467" t="s">
        <v>1367</v>
      </c>
      <c r="E160" s="468" t="s">
        <v>132</v>
      </c>
      <c r="F160" s="337">
        <v>452.87</v>
      </c>
      <c r="G160" s="469">
        <v>45709</v>
      </c>
      <c r="H160" s="470">
        <v>45730</v>
      </c>
      <c r="I160" s="470">
        <v>45734</v>
      </c>
      <c r="J160" s="385">
        <v>45736</v>
      </c>
      <c r="K160" s="385">
        <v>45737</v>
      </c>
      <c r="L160" s="385" t="s">
        <v>724</v>
      </c>
      <c r="M160" s="336" t="s">
        <v>39</v>
      </c>
      <c r="N160" s="471" t="s">
        <v>1368</v>
      </c>
      <c r="O160" s="472">
        <v>45764</v>
      </c>
      <c r="P160" s="468"/>
      <c r="Q160" s="489"/>
    </row>
    <row r="161" spans="1:18" s="387" customFormat="1" ht="16.899999999999999">
      <c r="A161" s="479" t="s">
        <v>1369</v>
      </c>
      <c r="B161" s="332" t="s">
        <v>1322</v>
      </c>
      <c r="C161" s="332" t="s">
        <v>1213</v>
      </c>
      <c r="D161" s="480" t="s">
        <v>1324</v>
      </c>
      <c r="E161" s="481" t="s">
        <v>132</v>
      </c>
      <c r="F161" s="333">
        <v>4500</v>
      </c>
      <c r="G161" s="469">
        <v>45705</v>
      </c>
      <c r="H161" s="470" t="s">
        <v>1370</v>
      </c>
      <c r="I161" s="470">
        <v>45752</v>
      </c>
      <c r="J161" s="385">
        <v>45754</v>
      </c>
      <c r="K161" s="385">
        <v>45757</v>
      </c>
      <c r="L161" s="385" t="s">
        <v>38</v>
      </c>
      <c r="M161" s="336" t="s">
        <v>39</v>
      </c>
      <c r="N161" s="471" t="s">
        <v>1371</v>
      </c>
      <c r="O161" s="472" t="s">
        <v>1217</v>
      </c>
      <c r="P161" s="468" t="s">
        <v>1372</v>
      </c>
      <c r="Q161" s="475"/>
      <c r="R161" s="386" t="s">
        <v>1373</v>
      </c>
    </row>
    <row r="162" spans="1:18" s="432" customFormat="1" ht="16.899999999999999">
      <c r="A162" s="355"/>
      <c r="B162" s="262" t="s">
        <v>1293</v>
      </c>
      <c r="C162" s="262" t="s">
        <v>1374</v>
      </c>
      <c r="D162" s="168" t="s">
        <v>1294</v>
      </c>
      <c r="E162" s="76" t="s">
        <v>132</v>
      </c>
      <c r="F162" s="277"/>
      <c r="G162" s="261"/>
      <c r="H162" s="320"/>
      <c r="I162" s="261"/>
      <c r="J162" s="362">
        <v>45757</v>
      </c>
      <c r="K162" s="362">
        <v>45758</v>
      </c>
      <c r="L162" s="362" t="s">
        <v>38</v>
      </c>
      <c r="M162" s="262" t="s">
        <v>1290</v>
      </c>
      <c r="N162" s="361"/>
      <c r="O162" s="437"/>
      <c r="P162" s="76"/>
      <c r="Q162" s="382"/>
    </row>
    <row r="163" spans="1:18" s="370" customFormat="1" ht="16.899999999999999">
      <c r="A163" s="355" t="s">
        <v>1375</v>
      </c>
      <c r="B163" s="262" t="s">
        <v>735</v>
      </c>
      <c r="C163" s="262" t="s">
        <v>1376</v>
      </c>
      <c r="D163" s="223" t="s">
        <v>1377</v>
      </c>
      <c r="E163" s="76" t="s">
        <v>132</v>
      </c>
      <c r="F163" s="277"/>
      <c r="G163" s="261">
        <v>45761</v>
      </c>
      <c r="H163" s="320"/>
      <c r="I163" s="261"/>
      <c r="J163" s="362">
        <v>45762</v>
      </c>
      <c r="K163" s="362">
        <v>45764</v>
      </c>
      <c r="L163" s="362" t="s">
        <v>38</v>
      </c>
      <c r="M163" s="262" t="s">
        <v>1290</v>
      </c>
      <c r="N163" s="361"/>
      <c r="O163" s="437"/>
      <c r="P163" s="76"/>
      <c r="Q163" s="382"/>
    </row>
    <row r="164" spans="1:18" s="371" customFormat="1" ht="16.899999999999999">
      <c r="A164" s="353" t="s">
        <v>1375</v>
      </c>
      <c r="B164" s="289" t="s">
        <v>735</v>
      </c>
      <c r="C164" s="289" t="s">
        <v>1378</v>
      </c>
      <c r="D164" s="224" t="s">
        <v>1379</v>
      </c>
      <c r="E164" s="196" t="s">
        <v>132</v>
      </c>
      <c r="F164" s="272"/>
      <c r="G164" s="424"/>
      <c r="H164" s="425"/>
      <c r="I164" s="424"/>
      <c r="J164" s="358">
        <v>45762</v>
      </c>
      <c r="K164" s="358">
        <v>45763</v>
      </c>
      <c r="L164" s="358" t="s">
        <v>38</v>
      </c>
      <c r="M164" s="289" t="s">
        <v>1290</v>
      </c>
      <c r="N164" s="403"/>
      <c r="O164" s="395"/>
      <c r="P164" s="196"/>
      <c r="Q164" s="373"/>
      <c r="R164" s="371" t="s">
        <v>1380</v>
      </c>
    </row>
    <row r="165" spans="1:18" s="371" customFormat="1" ht="16.899999999999999">
      <c r="A165" s="353" t="s">
        <v>784</v>
      </c>
      <c r="B165" s="289" t="s">
        <v>1331</v>
      </c>
      <c r="C165" s="289" t="s">
        <v>1332</v>
      </c>
      <c r="D165" s="224" t="s">
        <v>1381</v>
      </c>
      <c r="E165" s="196" t="s">
        <v>132</v>
      </c>
      <c r="F165" s="272">
        <v>3664.5</v>
      </c>
      <c r="G165" s="424"/>
      <c r="H165" s="425" t="s">
        <v>1382</v>
      </c>
      <c r="I165" s="424"/>
      <c r="J165" s="358"/>
      <c r="K165" s="358"/>
      <c r="L165" s="358"/>
      <c r="M165" s="289" t="s">
        <v>1239</v>
      </c>
      <c r="N165" s="403"/>
      <c r="O165" s="395">
        <v>45777</v>
      </c>
      <c r="P165" s="196"/>
      <c r="Q165" s="373"/>
      <c r="R165" s="534" t="s">
        <v>1383</v>
      </c>
    </row>
    <row r="166" spans="1:18" s="370" customFormat="1" ht="17.25" thickBot="1">
      <c r="A166" s="414" t="s">
        <v>1313</v>
      </c>
      <c r="B166" s="296" t="s">
        <v>1331</v>
      </c>
      <c r="C166" s="296" t="s">
        <v>195</v>
      </c>
      <c r="D166" s="532" t="s">
        <v>1384</v>
      </c>
      <c r="E166" s="533" t="s">
        <v>132</v>
      </c>
      <c r="F166" s="316">
        <v>94536</v>
      </c>
      <c r="G166" s="261">
        <v>46000</v>
      </c>
      <c r="H166" s="320">
        <v>45730</v>
      </c>
      <c r="I166" s="320">
        <v>45747</v>
      </c>
      <c r="J166" s="362">
        <v>45748</v>
      </c>
      <c r="K166" s="362">
        <v>45749</v>
      </c>
      <c r="L166" s="362" t="s">
        <v>38</v>
      </c>
      <c r="M166" s="262" t="s">
        <v>1239</v>
      </c>
      <c r="N166" s="361" t="s">
        <v>1385</v>
      </c>
      <c r="O166" s="437">
        <v>45774</v>
      </c>
      <c r="P166" s="76" t="s">
        <v>1316</v>
      </c>
      <c r="Q166" s="382"/>
      <c r="R166" s="534" t="s">
        <v>1386</v>
      </c>
    </row>
    <row r="167" spans="1:18" s="370" customFormat="1" ht="16.899999999999999">
      <c r="A167" s="355" t="s">
        <v>1387</v>
      </c>
      <c r="B167" s="262" t="s">
        <v>43</v>
      </c>
      <c r="C167" s="262" t="s">
        <v>1388</v>
      </c>
      <c r="D167" s="223" t="s">
        <v>1389</v>
      </c>
      <c r="E167" s="76" t="s">
        <v>132</v>
      </c>
      <c r="F167" s="277">
        <v>8029.72</v>
      </c>
      <c r="G167" s="261">
        <v>45691</v>
      </c>
      <c r="H167" s="320">
        <v>45874</v>
      </c>
      <c r="I167" s="362">
        <v>45729</v>
      </c>
      <c r="J167" s="362">
        <v>45733</v>
      </c>
      <c r="K167" s="362">
        <v>45734</v>
      </c>
      <c r="L167" s="362" t="s">
        <v>724</v>
      </c>
      <c r="M167" s="262" t="s">
        <v>39</v>
      </c>
      <c r="N167" s="361">
        <v>4668</v>
      </c>
      <c r="O167" s="437">
        <v>45777</v>
      </c>
      <c r="P167" s="76" t="s">
        <v>1390</v>
      </c>
      <c r="Q167" s="76"/>
      <c r="R167" s="534" t="s">
        <v>1391</v>
      </c>
    </row>
    <row r="168" spans="1:18" s="370" customFormat="1" ht="16.899999999999999">
      <c r="A168" s="355"/>
      <c r="B168" s="262" t="s">
        <v>134</v>
      </c>
      <c r="C168" s="262" t="s">
        <v>1392</v>
      </c>
      <c r="D168" s="223" t="s">
        <v>1393</v>
      </c>
      <c r="E168" s="76" t="s">
        <v>132</v>
      </c>
      <c r="F168" s="277">
        <v>535</v>
      </c>
      <c r="G168" s="261">
        <v>45720</v>
      </c>
      <c r="H168" s="320">
        <v>45730</v>
      </c>
      <c r="I168" s="320">
        <v>45743</v>
      </c>
      <c r="J168" s="362">
        <v>45747</v>
      </c>
      <c r="K168" s="362">
        <v>45748</v>
      </c>
      <c r="L168" s="362" t="s">
        <v>724</v>
      </c>
      <c r="M168" s="262" t="s">
        <v>39</v>
      </c>
      <c r="N168" s="361">
        <v>9002</v>
      </c>
      <c r="O168" s="437">
        <v>45772</v>
      </c>
      <c r="P168" s="76"/>
      <c r="Q168" s="382"/>
      <c r="R168" s="534" t="s">
        <v>1394</v>
      </c>
    </row>
    <row r="169" spans="1:18" s="370" customFormat="1" ht="16.899999999999999">
      <c r="A169" s="355" t="s">
        <v>1395</v>
      </c>
      <c r="B169" s="262" t="s">
        <v>1159</v>
      </c>
      <c r="C169" s="262" t="s">
        <v>1396</v>
      </c>
      <c r="D169" s="223" t="s">
        <v>1397</v>
      </c>
      <c r="E169" s="76" t="s">
        <v>132</v>
      </c>
      <c r="F169" s="277">
        <v>837.25</v>
      </c>
      <c r="G169" s="261">
        <v>45729</v>
      </c>
      <c r="H169" s="320">
        <v>45741</v>
      </c>
      <c r="I169" s="320">
        <v>45747</v>
      </c>
      <c r="J169" s="362">
        <v>45749</v>
      </c>
      <c r="K169" s="362">
        <v>45754</v>
      </c>
      <c r="L169" s="362" t="s">
        <v>38</v>
      </c>
      <c r="M169" s="262" t="s">
        <v>146</v>
      </c>
      <c r="N169" s="361">
        <v>90183538</v>
      </c>
      <c r="O169" s="437">
        <v>45777</v>
      </c>
      <c r="P169" s="76"/>
      <c r="Q169" s="373"/>
      <c r="R169" s="534" t="s">
        <v>1398</v>
      </c>
    </row>
    <row r="170" spans="1:18" s="370" customFormat="1" ht="16.899999999999999">
      <c r="A170" s="355"/>
      <c r="B170" s="262" t="s">
        <v>1399</v>
      </c>
      <c r="C170" s="262" t="s">
        <v>195</v>
      </c>
      <c r="D170" s="223" t="s">
        <v>1400</v>
      </c>
      <c r="E170" s="76" t="s">
        <v>132</v>
      </c>
      <c r="F170" s="277">
        <v>85</v>
      </c>
      <c r="G170" s="261">
        <v>45742</v>
      </c>
      <c r="H170" s="320">
        <v>45784</v>
      </c>
      <c r="I170" s="320">
        <v>45751</v>
      </c>
      <c r="J170" s="362">
        <v>45754</v>
      </c>
      <c r="K170" s="362">
        <v>45755</v>
      </c>
      <c r="L170" s="362" t="s">
        <v>38</v>
      </c>
      <c r="M170" s="262" t="s">
        <v>39</v>
      </c>
      <c r="N170" s="361" t="s">
        <v>1401</v>
      </c>
      <c r="O170" s="437">
        <v>45779</v>
      </c>
      <c r="P170" s="76" t="s">
        <v>1402</v>
      </c>
      <c r="Q170" s="373"/>
      <c r="R170" s="534" t="s">
        <v>1403</v>
      </c>
    </row>
    <row r="171" spans="1:18" s="370" customFormat="1" ht="16.899999999999999">
      <c r="A171" s="355" t="s">
        <v>1404</v>
      </c>
      <c r="B171" s="262" t="s">
        <v>735</v>
      </c>
      <c r="C171" s="262" t="s">
        <v>1405</v>
      </c>
      <c r="D171" s="223" t="s">
        <v>1406</v>
      </c>
      <c r="E171" s="76" t="s">
        <v>132</v>
      </c>
      <c r="F171" s="277"/>
      <c r="G171" s="261">
        <v>45758</v>
      </c>
      <c r="H171" s="320"/>
      <c r="I171" s="261">
        <v>45761</v>
      </c>
      <c r="J171" s="362">
        <v>45768</v>
      </c>
      <c r="K171" s="362">
        <v>45769</v>
      </c>
      <c r="L171" s="362" t="s">
        <v>38</v>
      </c>
      <c r="M171" s="262" t="s">
        <v>1290</v>
      </c>
      <c r="N171" s="361"/>
      <c r="O171" s="437" t="s">
        <v>1407</v>
      </c>
      <c r="P171" s="76" t="s">
        <v>1408</v>
      </c>
      <c r="Q171" s="382"/>
      <c r="R171" s="370" t="s">
        <v>1409</v>
      </c>
    </row>
    <row r="172" spans="1:18" s="152" customFormat="1" ht="31.5">
      <c r="A172" s="359"/>
      <c r="B172" s="242" t="s">
        <v>180</v>
      </c>
      <c r="C172" s="242" t="s">
        <v>1213</v>
      </c>
      <c r="D172" s="179" t="s">
        <v>1410</v>
      </c>
      <c r="E172" s="131" t="s">
        <v>132</v>
      </c>
      <c r="F172" s="286">
        <v>2122</v>
      </c>
      <c r="G172" s="147">
        <v>45748</v>
      </c>
      <c r="H172" s="263">
        <v>45758</v>
      </c>
      <c r="I172" s="147">
        <v>45757</v>
      </c>
      <c r="J172" s="331">
        <v>45763</v>
      </c>
      <c r="K172" s="331">
        <v>45765</v>
      </c>
      <c r="L172" s="331" t="s">
        <v>38</v>
      </c>
      <c r="M172" s="242" t="s">
        <v>39</v>
      </c>
      <c r="N172" s="397" t="s">
        <v>1411</v>
      </c>
      <c r="O172" s="394" t="s">
        <v>1217</v>
      </c>
      <c r="P172" s="131" t="s">
        <v>1412</v>
      </c>
      <c r="Q172" s="383"/>
      <c r="R172" s="535" t="s">
        <v>1413</v>
      </c>
    </row>
    <row r="173" spans="1:18" s="152" customFormat="1" ht="16.899999999999999">
      <c r="A173" s="359" t="s">
        <v>1414</v>
      </c>
      <c r="B173" s="242" t="s">
        <v>43</v>
      </c>
      <c r="C173" s="242" t="s">
        <v>151</v>
      </c>
      <c r="D173" s="179" t="s">
        <v>1415</v>
      </c>
      <c r="E173" s="131" t="s">
        <v>132</v>
      </c>
      <c r="F173" s="286">
        <v>1377</v>
      </c>
      <c r="G173" s="147">
        <v>45733</v>
      </c>
      <c r="H173" s="263">
        <v>45777</v>
      </c>
      <c r="I173" s="331">
        <v>45755</v>
      </c>
      <c r="J173" s="331">
        <v>45758</v>
      </c>
      <c r="K173" s="331">
        <v>45761</v>
      </c>
      <c r="L173" s="331" t="s">
        <v>38</v>
      </c>
      <c r="M173" s="242" t="s">
        <v>39</v>
      </c>
      <c r="N173" s="397" t="s">
        <v>1416</v>
      </c>
      <c r="O173" s="394">
        <v>45781</v>
      </c>
      <c r="P173" s="131" t="s">
        <v>1417</v>
      </c>
      <c r="Q173" s="381"/>
      <c r="R173" s="152" t="s">
        <v>1418</v>
      </c>
    </row>
    <row r="174" spans="1:18" s="152" customFormat="1" ht="16.899999999999999">
      <c r="A174" s="359" t="s">
        <v>1419</v>
      </c>
      <c r="B174" s="242" t="s">
        <v>1420</v>
      </c>
      <c r="C174" s="242" t="s">
        <v>158</v>
      </c>
      <c r="D174" s="179" t="s">
        <v>1421</v>
      </c>
      <c r="E174" s="131" t="s">
        <v>132</v>
      </c>
      <c r="F174" s="286">
        <v>2545</v>
      </c>
      <c r="G174" s="147">
        <v>45734</v>
      </c>
      <c r="H174" s="263">
        <v>45762</v>
      </c>
      <c r="I174" s="263">
        <v>45751</v>
      </c>
      <c r="J174" s="331">
        <v>45754</v>
      </c>
      <c r="K174" s="331">
        <v>45758</v>
      </c>
      <c r="L174" s="331" t="s">
        <v>38</v>
      </c>
      <c r="M174" s="242" t="s">
        <v>146</v>
      </c>
      <c r="N174" s="397">
        <v>21519</v>
      </c>
      <c r="O174" s="394">
        <v>45778</v>
      </c>
      <c r="P174" s="131"/>
      <c r="Q174" s="383"/>
      <c r="R174" s="152" t="s">
        <v>1422</v>
      </c>
    </row>
    <row r="175" spans="1:18" s="387" customFormat="1" ht="16.899999999999999">
      <c r="A175" s="384"/>
      <c r="B175" s="336" t="s">
        <v>180</v>
      </c>
      <c r="C175" s="336" t="s">
        <v>135</v>
      </c>
      <c r="D175" s="467" t="s">
        <v>1423</v>
      </c>
      <c r="E175" s="468" t="s">
        <v>132</v>
      </c>
      <c r="F175" s="337">
        <v>1186</v>
      </c>
      <c r="G175" s="469">
        <v>45744</v>
      </c>
      <c r="H175" s="470">
        <v>45765</v>
      </c>
      <c r="I175" s="469">
        <v>45757</v>
      </c>
      <c r="J175" s="385">
        <v>45758</v>
      </c>
      <c r="K175" s="385">
        <v>45761</v>
      </c>
      <c r="L175" s="385" t="s">
        <v>38</v>
      </c>
      <c r="M175" s="336" t="s">
        <v>39</v>
      </c>
      <c r="N175" s="471" t="s">
        <v>1424</v>
      </c>
      <c r="O175" s="472">
        <v>45784</v>
      </c>
      <c r="P175" s="468" t="s">
        <v>1425</v>
      </c>
      <c r="Q175" s="373"/>
      <c r="R175" s="152" t="s">
        <v>1426</v>
      </c>
    </row>
    <row r="176" spans="1:18" s="152" customFormat="1" ht="16.899999999999999">
      <c r="A176" s="359" t="s">
        <v>1427</v>
      </c>
      <c r="B176" s="242" t="s">
        <v>876</v>
      </c>
      <c r="C176" s="242" t="s">
        <v>151</v>
      </c>
      <c r="D176" s="179" t="s">
        <v>1428</v>
      </c>
      <c r="E176" s="131" t="s">
        <v>132</v>
      </c>
      <c r="F176" s="286">
        <v>2169.9</v>
      </c>
      <c r="G176" s="147">
        <v>45750</v>
      </c>
      <c r="H176" s="263">
        <v>45777</v>
      </c>
      <c r="I176" s="147">
        <v>45758</v>
      </c>
      <c r="J176" s="331">
        <v>45762</v>
      </c>
      <c r="K176" s="147">
        <v>45762</v>
      </c>
      <c r="L176" s="147" t="s">
        <v>38</v>
      </c>
      <c r="M176" s="242" t="s">
        <v>39</v>
      </c>
      <c r="N176" s="397" t="s">
        <v>1429</v>
      </c>
      <c r="O176" s="394">
        <v>45787</v>
      </c>
      <c r="P176" s="131" t="s">
        <v>1430</v>
      </c>
      <c r="Q176" s="383"/>
      <c r="R176" s="152" t="s">
        <v>1431</v>
      </c>
    </row>
    <row r="177" spans="1:18" s="152" customFormat="1" ht="16.899999999999999">
      <c r="A177" s="359"/>
      <c r="B177" s="242" t="s">
        <v>180</v>
      </c>
      <c r="C177" s="242" t="s">
        <v>151</v>
      </c>
      <c r="D177" s="179" t="s">
        <v>1432</v>
      </c>
      <c r="E177" s="131" t="s">
        <v>132</v>
      </c>
      <c r="F177" s="286">
        <v>4608</v>
      </c>
      <c r="G177" s="147">
        <v>45754</v>
      </c>
      <c r="H177" s="263">
        <v>45777</v>
      </c>
      <c r="I177" s="147">
        <v>45758</v>
      </c>
      <c r="J177" s="331">
        <v>45762</v>
      </c>
      <c r="K177" s="147">
        <v>45762</v>
      </c>
      <c r="L177" s="147" t="s">
        <v>38</v>
      </c>
      <c r="M177" s="242" t="s">
        <v>191</v>
      </c>
      <c r="N177" s="397" t="s">
        <v>1433</v>
      </c>
      <c r="O177" s="394">
        <v>45787</v>
      </c>
      <c r="P177" s="131" t="s">
        <v>1434</v>
      </c>
      <c r="Q177" s="383"/>
      <c r="R177" s="152" t="s">
        <v>1435</v>
      </c>
    </row>
    <row r="178" spans="1:18" s="372" customFormat="1" ht="16.899999999999999">
      <c r="A178" s="356" t="s">
        <v>1436</v>
      </c>
      <c r="B178" s="288" t="s">
        <v>1437</v>
      </c>
      <c r="C178" s="288" t="s">
        <v>143</v>
      </c>
      <c r="D178" s="164" t="s">
        <v>1438</v>
      </c>
      <c r="E178" s="132" t="s">
        <v>132</v>
      </c>
      <c r="F178" s="273">
        <v>3485</v>
      </c>
      <c r="G178" s="455">
        <v>45757</v>
      </c>
      <c r="H178" s="166" t="s">
        <v>964</v>
      </c>
      <c r="I178" s="455"/>
      <c r="J178" s="357"/>
      <c r="K178" s="357"/>
      <c r="L178" s="357"/>
      <c r="M178" s="288" t="s">
        <v>146</v>
      </c>
      <c r="N178" s="422">
        <v>90184885</v>
      </c>
      <c r="O178" s="456">
        <v>45787</v>
      </c>
      <c r="P178" s="132">
        <v>83219</v>
      </c>
      <c r="Q178" s="383"/>
      <c r="R178" s="372" t="s">
        <v>1439</v>
      </c>
    </row>
    <row r="179" spans="1:18" s="152" customFormat="1" ht="16.899999999999999">
      <c r="A179" s="359"/>
      <c r="B179" s="242" t="s">
        <v>180</v>
      </c>
      <c r="C179" s="242" t="s">
        <v>1213</v>
      </c>
      <c r="D179" s="179" t="s">
        <v>1440</v>
      </c>
      <c r="E179" s="131" t="s">
        <v>132</v>
      </c>
      <c r="F179" s="286">
        <f>636.12-40</f>
        <v>596.12</v>
      </c>
      <c r="G179" s="147">
        <v>45768</v>
      </c>
      <c r="H179" s="263">
        <v>45890</v>
      </c>
      <c r="I179" s="147">
        <v>45775</v>
      </c>
      <c r="J179" s="331">
        <v>45776</v>
      </c>
      <c r="K179" s="331">
        <v>45784</v>
      </c>
      <c r="L179" s="331" t="s">
        <v>38</v>
      </c>
      <c r="M179" s="242" t="s">
        <v>55</v>
      </c>
      <c r="N179" s="397" t="s">
        <v>1441</v>
      </c>
      <c r="O179" s="394" t="s">
        <v>1217</v>
      </c>
      <c r="P179" s="131" t="s">
        <v>1442</v>
      </c>
      <c r="Q179" s="383"/>
      <c r="R179" s="372" t="s">
        <v>1443</v>
      </c>
    </row>
    <row r="180" spans="1:18" s="370" customFormat="1" ht="16.899999999999999">
      <c r="A180" s="355" t="s">
        <v>1444</v>
      </c>
      <c r="B180" s="262" t="s">
        <v>1445</v>
      </c>
      <c r="C180" s="262" t="s">
        <v>1213</v>
      </c>
      <c r="D180" s="223" t="s">
        <v>1446</v>
      </c>
      <c r="E180" s="76" t="s">
        <v>132</v>
      </c>
      <c r="F180" s="277">
        <v>3350.2</v>
      </c>
      <c r="G180" s="261">
        <v>45772</v>
      </c>
      <c r="H180" s="320">
        <v>45779</v>
      </c>
      <c r="I180" s="261"/>
      <c r="J180" s="362"/>
      <c r="K180" s="362">
        <v>45786</v>
      </c>
      <c r="L180" s="362" t="s">
        <v>38</v>
      </c>
      <c r="M180" s="262" t="s">
        <v>39</v>
      </c>
      <c r="N180" s="361" t="s">
        <v>1447</v>
      </c>
      <c r="O180" s="437" t="s">
        <v>1217</v>
      </c>
      <c r="P180" s="76" t="s">
        <v>1448</v>
      </c>
      <c r="Q180" s="382"/>
      <c r="R180" s="152" t="s">
        <v>1449</v>
      </c>
    </row>
    <row r="181" spans="1:18" s="387" customFormat="1" ht="16.899999999999999">
      <c r="A181" s="384" t="s">
        <v>1450</v>
      </c>
      <c r="B181" s="336" t="s">
        <v>165</v>
      </c>
      <c r="C181" s="336" t="s">
        <v>1451</v>
      </c>
      <c r="D181" s="467" t="s">
        <v>1452</v>
      </c>
      <c r="E181" s="468" t="s">
        <v>132</v>
      </c>
      <c r="F181" s="337">
        <v>30100</v>
      </c>
      <c r="G181" s="469">
        <v>45709</v>
      </c>
      <c r="H181" s="470">
        <v>45733</v>
      </c>
      <c r="I181" s="470">
        <v>45762</v>
      </c>
      <c r="J181" s="385">
        <v>45764</v>
      </c>
      <c r="K181" s="385">
        <v>45768</v>
      </c>
      <c r="L181" s="385" t="s">
        <v>724</v>
      </c>
      <c r="M181" s="336" t="s">
        <v>39</v>
      </c>
      <c r="N181" s="471">
        <v>90047801</v>
      </c>
      <c r="O181" s="472">
        <v>45791</v>
      </c>
      <c r="P181" s="468">
        <v>43958</v>
      </c>
      <c r="Q181" s="475"/>
      <c r="R181" s="386" t="s">
        <v>1453</v>
      </c>
    </row>
    <row r="182" spans="1:18" s="387" customFormat="1" ht="16.899999999999999">
      <c r="A182" s="384" t="s">
        <v>1454</v>
      </c>
      <c r="B182" s="336" t="s">
        <v>165</v>
      </c>
      <c r="C182" s="336" t="s">
        <v>1451</v>
      </c>
      <c r="D182" s="467" t="s">
        <v>1452</v>
      </c>
      <c r="E182" s="468" t="s">
        <v>132</v>
      </c>
      <c r="F182" s="337">
        <v>30100</v>
      </c>
      <c r="G182" s="469">
        <v>45751</v>
      </c>
      <c r="H182" s="470">
        <v>45783</v>
      </c>
      <c r="I182" s="469">
        <v>45771</v>
      </c>
      <c r="J182" s="385">
        <v>45772</v>
      </c>
      <c r="K182" s="385">
        <v>45776</v>
      </c>
      <c r="L182" s="385" t="s">
        <v>724</v>
      </c>
      <c r="M182" s="336" t="s">
        <v>39</v>
      </c>
      <c r="N182" s="471">
        <v>90047836</v>
      </c>
      <c r="O182" s="472">
        <v>45801</v>
      </c>
      <c r="P182" s="468">
        <v>44163</v>
      </c>
      <c r="Q182" s="386"/>
      <c r="R182" s="386" t="s">
        <v>1453</v>
      </c>
    </row>
    <row r="183" spans="1:18" s="387" customFormat="1" ht="31.5">
      <c r="A183" s="384" t="s">
        <v>1455</v>
      </c>
      <c r="B183" s="336" t="s">
        <v>1456</v>
      </c>
      <c r="C183" s="336" t="s">
        <v>1310</v>
      </c>
      <c r="D183" s="467" t="s">
        <v>1457</v>
      </c>
      <c r="E183" s="468" t="s">
        <v>132</v>
      </c>
      <c r="F183" s="337">
        <v>59500</v>
      </c>
      <c r="G183" s="469">
        <v>45741</v>
      </c>
      <c r="H183" s="470">
        <v>45786</v>
      </c>
      <c r="I183" s="470">
        <v>45762</v>
      </c>
      <c r="J183" s="470">
        <v>45763</v>
      </c>
      <c r="K183" s="470">
        <v>45765</v>
      </c>
      <c r="L183" s="469" t="s">
        <v>38</v>
      </c>
      <c r="M183" s="336" t="s">
        <v>39</v>
      </c>
      <c r="N183" s="471">
        <v>10984</v>
      </c>
      <c r="O183" s="472">
        <v>45791</v>
      </c>
      <c r="P183" s="468">
        <v>2068</v>
      </c>
      <c r="Q183" s="386"/>
    </row>
    <row r="184" spans="1:18" s="370" customFormat="1" ht="16.899999999999999">
      <c r="A184" s="355"/>
      <c r="B184" s="262" t="s">
        <v>1293</v>
      </c>
      <c r="C184" s="262" t="s">
        <v>1458</v>
      </c>
      <c r="D184" s="223" t="s">
        <v>1294</v>
      </c>
      <c r="E184" s="76" t="s">
        <v>132</v>
      </c>
      <c r="F184" s="277"/>
      <c r="G184" s="261"/>
      <c r="H184" s="320"/>
      <c r="I184" s="261"/>
      <c r="J184" s="362">
        <v>45777</v>
      </c>
      <c r="K184" s="362"/>
      <c r="L184" s="362"/>
      <c r="M184" s="262" t="s">
        <v>1290</v>
      </c>
      <c r="N184" s="76"/>
      <c r="O184" s="437"/>
      <c r="P184" s="76"/>
      <c r="Q184" s="373"/>
    </row>
    <row r="185" spans="1:18" s="370" customFormat="1" ht="16.899999999999999">
      <c r="A185" s="355"/>
      <c r="B185" s="262" t="s">
        <v>1293</v>
      </c>
      <c r="C185" s="262" t="s">
        <v>1459</v>
      </c>
      <c r="D185" s="223" t="s">
        <v>1294</v>
      </c>
      <c r="E185" s="76" t="s">
        <v>132</v>
      </c>
      <c r="F185" s="277"/>
      <c r="G185" s="261"/>
      <c r="H185" s="320"/>
      <c r="I185" s="261"/>
      <c r="J185" s="362">
        <v>45784</v>
      </c>
      <c r="K185" s="362"/>
      <c r="L185" s="362"/>
      <c r="M185" s="262" t="s">
        <v>1290</v>
      </c>
      <c r="N185" s="76"/>
      <c r="O185" s="437"/>
      <c r="P185" s="76"/>
      <c r="Q185" s="373"/>
    </row>
    <row r="186" spans="1:18" s="387" customFormat="1" ht="16.899999999999999">
      <c r="A186" s="384" t="s">
        <v>1460</v>
      </c>
      <c r="B186" s="336" t="s">
        <v>1461</v>
      </c>
      <c r="C186" s="336" t="s">
        <v>1221</v>
      </c>
      <c r="D186" s="467" t="s">
        <v>1462</v>
      </c>
      <c r="E186" s="468" t="s">
        <v>132</v>
      </c>
      <c r="F186" s="337">
        <v>4900</v>
      </c>
      <c r="G186" s="469">
        <v>45695</v>
      </c>
      <c r="H186" s="470">
        <v>45744</v>
      </c>
      <c r="I186" s="470">
        <v>45749</v>
      </c>
      <c r="J186" s="385">
        <v>45751</v>
      </c>
      <c r="K186" s="385">
        <v>45754</v>
      </c>
      <c r="L186" s="385" t="s">
        <v>38</v>
      </c>
      <c r="M186" s="336" t="s">
        <v>39</v>
      </c>
      <c r="N186" s="471" t="s">
        <v>1463</v>
      </c>
      <c r="O186" s="472">
        <v>45799</v>
      </c>
      <c r="P186" s="468" t="s">
        <v>1464</v>
      </c>
      <c r="Q186" s="475"/>
      <c r="R186" s="386" t="s">
        <v>1465</v>
      </c>
    </row>
    <row r="187" spans="1:18" s="489" customFormat="1" ht="16.899999999999999">
      <c r="A187" s="473" t="s">
        <v>1466</v>
      </c>
      <c r="B187" s="347" t="s">
        <v>1467</v>
      </c>
      <c r="C187" s="347" t="s">
        <v>1221</v>
      </c>
      <c r="D187" s="474" t="s">
        <v>1468</v>
      </c>
      <c r="E187" s="475" t="s">
        <v>132</v>
      </c>
      <c r="F187" s="348">
        <v>1795.5</v>
      </c>
      <c r="G187" s="476">
        <v>45758</v>
      </c>
      <c r="H187" s="487" t="s">
        <v>964</v>
      </c>
      <c r="I187" s="476"/>
      <c r="J187" s="488"/>
      <c r="K187" s="488"/>
      <c r="L187" s="488"/>
      <c r="M187" s="347" t="s">
        <v>39</v>
      </c>
      <c r="N187" s="486" t="s">
        <v>1469</v>
      </c>
      <c r="O187" s="477">
        <v>45799</v>
      </c>
      <c r="P187" s="475"/>
      <c r="Q187" s="478"/>
      <c r="R187" s="386" t="s">
        <v>1470</v>
      </c>
    </row>
    <row r="188" spans="1:18" s="489" customFormat="1" ht="16.899999999999999">
      <c r="A188" s="473" t="s">
        <v>870</v>
      </c>
      <c r="B188" s="347" t="s">
        <v>722</v>
      </c>
      <c r="C188" s="347" t="s">
        <v>1221</v>
      </c>
      <c r="D188" s="474" t="s">
        <v>1471</v>
      </c>
      <c r="E188" s="475" t="s">
        <v>132</v>
      </c>
      <c r="F188" s="348">
        <v>2612.5</v>
      </c>
      <c r="G188" s="476">
        <v>45762</v>
      </c>
      <c r="H188" s="487" t="s">
        <v>964</v>
      </c>
      <c r="I188" s="476"/>
      <c r="J188" s="488"/>
      <c r="K188" s="488"/>
      <c r="L188" s="488"/>
      <c r="M188" s="347" t="s">
        <v>39</v>
      </c>
      <c r="N188" s="486" t="s">
        <v>1472</v>
      </c>
      <c r="O188" s="477">
        <v>45798</v>
      </c>
      <c r="P188" s="475"/>
      <c r="Q188" s="478"/>
      <c r="R188" s="386" t="s">
        <v>1473</v>
      </c>
    </row>
    <row r="189" spans="1:18" s="387" customFormat="1" ht="16.899999999999999">
      <c r="A189" s="384" t="s">
        <v>1474</v>
      </c>
      <c r="B189" s="336" t="s">
        <v>43</v>
      </c>
      <c r="C189" s="336" t="s">
        <v>1221</v>
      </c>
      <c r="D189" s="467" t="s">
        <v>1475</v>
      </c>
      <c r="E189" s="468" t="s">
        <v>132</v>
      </c>
      <c r="F189" s="337">
        <v>715.5</v>
      </c>
      <c r="G189" s="469">
        <v>45765</v>
      </c>
      <c r="H189" s="470"/>
      <c r="I189" s="469">
        <v>45769</v>
      </c>
      <c r="J189" s="385">
        <v>45771</v>
      </c>
      <c r="K189" s="385">
        <v>45775</v>
      </c>
      <c r="L189" s="385" t="s">
        <v>38</v>
      </c>
      <c r="M189" s="336" t="s">
        <v>883</v>
      </c>
      <c r="N189" s="471" t="s">
        <v>1476</v>
      </c>
      <c r="O189" s="472">
        <v>45799</v>
      </c>
      <c r="P189" s="468"/>
      <c r="Q189" s="478"/>
      <c r="R189" s="386" t="s">
        <v>1477</v>
      </c>
    </row>
    <row r="190" spans="1:18" s="489" customFormat="1" ht="16.899999999999999">
      <c r="A190" s="473" t="s">
        <v>770</v>
      </c>
      <c r="B190" s="347" t="s">
        <v>165</v>
      </c>
      <c r="C190" s="347" t="s">
        <v>1221</v>
      </c>
      <c r="D190" s="474" t="s">
        <v>1478</v>
      </c>
      <c r="E190" s="475" t="s">
        <v>132</v>
      </c>
      <c r="F190" s="348">
        <v>6925.5</v>
      </c>
      <c r="G190" s="476">
        <v>45771</v>
      </c>
      <c r="H190" s="487" t="s">
        <v>964</v>
      </c>
      <c r="I190" s="476"/>
      <c r="J190" s="488"/>
      <c r="K190" s="488"/>
      <c r="L190" s="488"/>
      <c r="M190" s="347" t="s">
        <v>39</v>
      </c>
      <c r="N190" s="486" t="s">
        <v>1479</v>
      </c>
      <c r="O190" s="477">
        <v>45806</v>
      </c>
      <c r="P190" s="475"/>
      <c r="Q190" s="478"/>
      <c r="R190" s="386" t="s">
        <v>1480</v>
      </c>
    </row>
    <row r="191" spans="1:18" s="387" customFormat="1" ht="16.899999999999999">
      <c r="A191" s="384"/>
      <c r="B191" s="336" t="s">
        <v>134</v>
      </c>
      <c r="C191" s="336" t="s">
        <v>1481</v>
      </c>
      <c r="D191" s="467" t="s">
        <v>1482</v>
      </c>
      <c r="E191" s="468" t="s">
        <v>132</v>
      </c>
      <c r="F191" s="337">
        <v>5808</v>
      </c>
      <c r="G191" s="469">
        <v>45772</v>
      </c>
      <c r="H191" s="470">
        <v>45775</v>
      </c>
      <c r="I191" s="469">
        <v>45776</v>
      </c>
      <c r="J191" s="385">
        <v>45777</v>
      </c>
      <c r="K191" s="385">
        <v>45784</v>
      </c>
      <c r="L191" s="385" t="s">
        <v>38</v>
      </c>
      <c r="M191" s="336" t="s">
        <v>39</v>
      </c>
      <c r="N191" s="468" t="s">
        <v>1483</v>
      </c>
      <c r="O191" s="472">
        <v>45801</v>
      </c>
      <c r="P191" s="468" t="s">
        <v>1483</v>
      </c>
      <c r="Q191" s="478"/>
      <c r="R191" s="386" t="s">
        <v>1484</v>
      </c>
    </row>
    <row r="192" spans="1:18" s="387" customFormat="1" ht="16.899999999999999">
      <c r="A192" s="384" t="s">
        <v>1485</v>
      </c>
      <c r="B192" s="336" t="s">
        <v>1486</v>
      </c>
      <c r="C192" s="336" t="s">
        <v>135</v>
      </c>
      <c r="D192" s="467" t="s">
        <v>1487</v>
      </c>
      <c r="E192" s="468" t="s">
        <v>132</v>
      </c>
      <c r="F192" s="337">
        <v>5232</v>
      </c>
      <c r="G192" s="469">
        <v>45748</v>
      </c>
      <c r="H192" s="470">
        <v>45784</v>
      </c>
      <c r="I192" s="469">
        <v>45784</v>
      </c>
      <c r="J192" s="385">
        <v>45785</v>
      </c>
      <c r="K192" s="385">
        <v>45789</v>
      </c>
      <c r="L192" s="385" t="s">
        <v>38</v>
      </c>
      <c r="M192" s="336" t="s">
        <v>39</v>
      </c>
      <c r="N192" s="471" t="s">
        <v>1488</v>
      </c>
      <c r="O192" s="472">
        <v>45804</v>
      </c>
      <c r="P192" s="468" t="s">
        <v>1489</v>
      </c>
      <c r="Q192" s="478"/>
      <c r="R192" s="386" t="s">
        <v>1490</v>
      </c>
    </row>
    <row r="193" spans="1:18" s="387" customFormat="1" ht="16.899999999999999">
      <c r="A193" s="384"/>
      <c r="B193" s="336" t="s">
        <v>180</v>
      </c>
      <c r="C193" s="336" t="s">
        <v>135</v>
      </c>
      <c r="D193" s="467" t="s">
        <v>1491</v>
      </c>
      <c r="E193" s="468" t="s">
        <v>132</v>
      </c>
      <c r="F193" s="337">
        <v>4000</v>
      </c>
      <c r="G193" s="469">
        <v>45754</v>
      </c>
      <c r="H193" s="470">
        <v>45784</v>
      </c>
      <c r="I193" s="469">
        <v>45784</v>
      </c>
      <c r="J193" s="385">
        <v>45785</v>
      </c>
      <c r="K193" s="385">
        <v>45789</v>
      </c>
      <c r="L193" s="385" t="s">
        <v>38</v>
      </c>
      <c r="M193" s="336" t="s">
        <v>39</v>
      </c>
      <c r="N193" s="471" t="s">
        <v>1488</v>
      </c>
      <c r="O193" s="472">
        <v>45804</v>
      </c>
      <c r="P193" s="468" t="s">
        <v>1492</v>
      </c>
      <c r="Q193" s="478"/>
      <c r="R193" s="386" t="s">
        <v>1493</v>
      </c>
    </row>
    <row r="194" spans="1:18" s="387" customFormat="1" ht="16.899999999999999">
      <c r="A194" s="384"/>
      <c r="B194" s="336" t="s">
        <v>180</v>
      </c>
      <c r="C194" s="336" t="s">
        <v>135</v>
      </c>
      <c r="D194" s="467" t="s">
        <v>1494</v>
      </c>
      <c r="E194" s="468" t="s">
        <v>132</v>
      </c>
      <c r="F194" s="337">
        <v>564</v>
      </c>
      <c r="G194" s="469">
        <v>45770</v>
      </c>
      <c r="H194" s="470">
        <v>45784</v>
      </c>
      <c r="I194" s="469">
        <v>45784</v>
      </c>
      <c r="J194" s="385">
        <v>45785</v>
      </c>
      <c r="K194" s="385">
        <v>45789</v>
      </c>
      <c r="L194" s="385" t="s">
        <v>38</v>
      </c>
      <c r="M194" s="336" t="s">
        <v>39</v>
      </c>
      <c r="N194" s="471" t="s">
        <v>1488</v>
      </c>
      <c r="O194" s="472">
        <v>45804</v>
      </c>
      <c r="P194" s="468" t="s">
        <v>1495</v>
      </c>
      <c r="Q194" s="478"/>
      <c r="R194" s="386" t="s">
        <v>1496</v>
      </c>
    </row>
    <row r="195" spans="1:18" s="387" customFormat="1" ht="16.899999999999999">
      <c r="A195" s="384"/>
      <c r="B195" s="336" t="s">
        <v>180</v>
      </c>
      <c r="C195" s="336" t="s">
        <v>1497</v>
      </c>
      <c r="D195" s="467" t="s">
        <v>1498</v>
      </c>
      <c r="E195" s="468" t="s">
        <v>132</v>
      </c>
      <c r="F195" s="337">
        <v>7445.1</v>
      </c>
      <c r="G195" s="469">
        <v>45770</v>
      </c>
      <c r="H195" s="470">
        <v>45789</v>
      </c>
      <c r="I195" s="469">
        <v>45789</v>
      </c>
      <c r="J195" s="385">
        <v>45791</v>
      </c>
      <c r="K195" s="385">
        <v>45793</v>
      </c>
      <c r="L195" s="385" t="s">
        <v>38</v>
      </c>
      <c r="M195" s="336" t="s">
        <v>39</v>
      </c>
      <c r="N195" s="471">
        <v>27197</v>
      </c>
      <c r="O195" s="472">
        <v>45799</v>
      </c>
      <c r="P195" s="468"/>
      <c r="Q195" s="478"/>
      <c r="R195" s="386" t="s">
        <v>1499</v>
      </c>
    </row>
    <row r="196" spans="1:18" s="387" customFormat="1" ht="16.899999999999999">
      <c r="A196" s="384"/>
      <c r="B196" s="336" t="s">
        <v>1500</v>
      </c>
      <c r="C196" s="336" t="s">
        <v>1304</v>
      </c>
      <c r="D196" s="467" t="s">
        <v>1501</v>
      </c>
      <c r="E196" s="468" t="s">
        <v>132</v>
      </c>
      <c r="F196" s="337">
        <v>33250</v>
      </c>
      <c r="G196" s="469">
        <v>45707</v>
      </c>
      <c r="H196" s="470">
        <v>45744</v>
      </c>
      <c r="I196" s="525"/>
      <c r="J196" s="385">
        <v>45786</v>
      </c>
      <c r="K196" s="385">
        <v>45789</v>
      </c>
      <c r="L196" s="385" t="s">
        <v>38</v>
      </c>
      <c r="M196" s="336" t="s">
        <v>39</v>
      </c>
      <c r="N196" s="471" t="s">
        <v>1502</v>
      </c>
      <c r="O196" s="472">
        <v>45812</v>
      </c>
      <c r="P196" s="468"/>
      <c r="Q196" s="475"/>
      <c r="R196" s="386" t="s">
        <v>1503</v>
      </c>
    </row>
    <row r="197" spans="1:18" s="387" customFormat="1" ht="16.899999999999999">
      <c r="A197" s="384" t="s">
        <v>1504</v>
      </c>
      <c r="B197" s="336" t="s">
        <v>1505</v>
      </c>
      <c r="C197" s="336" t="s">
        <v>1506</v>
      </c>
      <c r="D197" s="467" t="s">
        <v>1507</v>
      </c>
      <c r="E197" s="468" t="s">
        <v>132</v>
      </c>
      <c r="F197" s="337">
        <v>3485.96</v>
      </c>
      <c r="G197" s="469">
        <v>45754</v>
      </c>
      <c r="H197" s="470">
        <v>45765</v>
      </c>
      <c r="I197" s="469">
        <v>45762</v>
      </c>
      <c r="J197" s="385">
        <v>45768</v>
      </c>
      <c r="K197" s="385">
        <v>45771</v>
      </c>
      <c r="L197" s="385" t="s">
        <v>1508</v>
      </c>
      <c r="M197" s="336" t="s">
        <v>39</v>
      </c>
      <c r="N197" s="471">
        <v>6714</v>
      </c>
      <c r="O197" s="472">
        <v>45804</v>
      </c>
      <c r="P197" s="468"/>
      <c r="Q197" s="478"/>
      <c r="R197" s="387" t="s">
        <v>1509</v>
      </c>
    </row>
    <row r="198" spans="1:18" s="387" customFormat="1" ht="16.899999999999999">
      <c r="A198" s="384"/>
      <c r="B198" s="336" t="s">
        <v>1510</v>
      </c>
      <c r="C198" s="336" t="s">
        <v>1304</v>
      </c>
      <c r="D198" s="467" t="s">
        <v>1511</v>
      </c>
      <c r="E198" s="468" t="s">
        <v>132</v>
      </c>
      <c r="F198" s="337">
        <v>528</v>
      </c>
      <c r="G198" s="469">
        <v>45771</v>
      </c>
      <c r="H198" s="470">
        <v>45803</v>
      </c>
      <c r="I198" s="469">
        <v>45784</v>
      </c>
      <c r="J198" s="385">
        <v>45784</v>
      </c>
      <c r="K198" s="385">
        <v>45786</v>
      </c>
      <c r="L198" s="385" t="s">
        <v>38</v>
      </c>
      <c r="M198" s="336" t="s">
        <v>39</v>
      </c>
      <c r="N198" s="471" t="s">
        <v>1512</v>
      </c>
      <c r="O198" s="472">
        <v>45812</v>
      </c>
      <c r="P198" s="468" t="s">
        <v>1513</v>
      </c>
      <c r="Q198" s="478"/>
      <c r="R198" s="387" t="s">
        <v>1514</v>
      </c>
    </row>
    <row r="199" spans="1:18" s="489" customFormat="1" ht="16.899999999999999">
      <c r="A199" s="473" t="s">
        <v>770</v>
      </c>
      <c r="B199" s="347" t="s">
        <v>1237</v>
      </c>
      <c r="C199" s="347" t="s">
        <v>195</v>
      </c>
      <c r="D199" s="474" t="s">
        <v>1515</v>
      </c>
      <c r="E199" s="475" t="s">
        <v>132</v>
      </c>
      <c r="F199" s="348">
        <v>4455.75</v>
      </c>
      <c r="G199" s="476"/>
      <c r="H199" s="487"/>
      <c r="I199" s="476"/>
      <c r="J199" s="488"/>
      <c r="K199" s="488"/>
      <c r="L199" s="488"/>
      <c r="M199" s="347" t="s">
        <v>1239</v>
      </c>
      <c r="N199" s="475"/>
      <c r="O199" s="477">
        <v>45808</v>
      </c>
      <c r="P199" s="475"/>
      <c r="Q199" s="478"/>
      <c r="R199" s="489" t="s">
        <v>1516</v>
      </c>
    </row>
    <row r="200" spans="1:18" s="432" customFormat="1" ht="16.899999999999999">
      <c r="A200" s="426" t="s">
        <v>1517</v>
      </c>
      <c r="B200" s="297" t="s">
        <v>722</v>
      </c>
      <c r="C200" s="297" t="s">
        <v>1518</v>
      </c>
      <c r="D200" s="168" t="s">
        <v>1519</v>
      </c>
      <c r="E200" s="1" t="s">
        <v>132</v>
      </c>
      <c r="F200" s="301"/>
      <c r="G200" s="427">
        <v>45786</v>
      </c>
      <c r="H200" s="428"/>
      <c r="I200" s="427">
        <v>45796</v>
      </c>
      <c r="J200" s="360">
        <v>45796</v>
      </c>
      <c r="K200" s="360">
        <v>45797</v>
      </c>
      <c r="L200" s="360" t="s">
        <v>38</v>
      </c>
      <c r="M200" s="297" t="s">
        <v>39</v>
      </c>
      <c r="N200" s="1">
        <v>2505217</v>
      </c>
      <c r="O200" s="393" t="s">
        <v>246</v>
      </c>
      <c r="P200" s="1"/>
      <c r="Q200" s="423"/>
      <c r="R200" s="432" t="s">
        <v>1520</v>
      </c>
    </row>
    <row r="201" spans="1:18" s="387" customFormat="1" ht="16.899999999999999">
      <c r="A201" s="384" t="s">
        <v>1340</v>
      </c>
      <c r="B201" s="336" t="s">
        <v>1341</v>
      </c>
      <c r="C201" s="336" t="s">
        <v>1521</v>
      </c>
      <c r="D201" s="467" t="s">
        <v>1522</v>
      </c>
      <c r="E201" s="468" t="s">
        <v>132</v>
      </c>
      <c r="F201" s="337">
        <v>2200</v>
      </c>
      <c r="G201" s="469">
        <v>45716</v>
      </c>
      <c r="H201" s="470">
        <v>45800</v>
      </c>
      <c r="I201" s="385">
        <v>45798</v>
      </c>
      <c r="J201" s="385">
        <v>45800</v>
      </c>
      <c r="K201" s="385">
        <v>45803</v>
      </c>
      <c r="L201" s="385" t="s">
        <v>38</v>
      </c>
      <c r="M201" s="336" t="s">
        <v>39</v>
      </c>
      <c r="N201" s="471" t="s">
        <v>1523</v>
      </c>
      <c r="O201" s="472">
        <v>45823</v>
      </c>
      <c r="P201" s="468" t="s">
        <v>1524</v>
      </c>
      <c r="Q201" s="475"/>
      <c r="R201" s="386" t="s">
        <v>1525</v>
      </c>
    </row>
    <row r="202" spans="1:18" s="489" customFormat="1" ht="16.899999999999999">
      <c r="A202" s="473"/>
      <c r="B202" s="347" t="s">
        <v>371</v>
      </c>
      <c r="C202" s="347" t="s">
        <v>1388</v>
      </c>
      <c r="D202" s="474" t="s">
        <v>1526</v>
      </c>
      <c r="E202" s="475" t="s">
        <v>132</v>
      </c>
      <c r="F202" s="348">
        <v>24000</v>
      </c>
      <c r="G202" s="476">
        <v>45741</v>
      </c>
      <c r="H202" s="487" t="s">
        <v>964</v>
      </c>
      <c r="J202" s="488"/>
      <c r="K202" s="488"/>
      <c r="L202" s="488"/>
      <c r="M202" s="347" t="s">
        <v>146</v>
      </c>
      <c r="N202" s="559">
        <v>4682</v>
      </c>
      <c r="O202" s="477">
        <v>45822</v>
      </c>
      <c r="P202" s="475"/>
      <c r="Q202" s="478"/>
      <c r="R202" s="386" t="s">
        <v>1527</v>
      </c>
    </row>
    <row r="203" spans="1:18" s="489" customFormat="1" ht="16.899999999999999">
      <c r="A203" s="473" t="s">
        <v>1528</v>
      </c>
      <c r="B203" s="347" t="s">
        <v>1529</v>
      </c>
      <c r="C203" s="347" t="s">
        <v>143</v>
      </c>
      <c r="D203" s="474" t="s">
        <v>144</v>
      </c>
      <c r="E203" s="475" t="s">
        <v>132</v>
      </c>
      <c r="F203" s="348">
        <v>7727.7</v>
      </c>
      <c r="G203" s="476">
        <v>45786</v>
      </c>
      <c r="H203" s="487" t="s">
        <v>964</v>
      </c>
      <c r="I203" s="476"/>
      <c r="J203" s="488"/>
      <c r="K203" s="488"/>
      <c r="L203" s="488"/>
      <c r="M203" s="347" t="s">
        <v>146</v>
      </c>
      <c r="N203" s="475">
        <v>90189449</v>
      </c>
      <c r="O203" s="477">
        <v>45819</v>
      </c>
      <c r="P203" s="475">
        <v>84621</v>
      </c>
      <c r="Q203" s="478"/>
      <c r="R203" s="386" t="s">
        <v>1530</v>
      </c>
    </row>
    <row r="204" spans="1:18" s="489" customFormat="1" ht="16.899999999999999">
      <c r="A204" s="473" t="s">
        <v>1531</v>
      </c>
      <c r="B204" s="347" t="s">
        <v>1532</v>
      </c>
      <c r="C204" s="347" t="s">
        <v>143</v>
      </c>
      <c r="D204" s="474" t="s">
        <v>1533</v>
      </c>
      <c r="E204" s="475" t="s">
        <v>132</v>
      </c>
      <c r="F204" s="348">
        <v>6621.5</v>
      </c>
      <c r="G204" s="476">
        <v>45793</v>
      </c>
      <c r="H204" s="487" t="s">
        <v>964</v>
      </c>
      <c r="I204" s="476"/>
      <c r="J204" s="488"/>
      <c r="K204" s="488"/>
      <c r="L204" s="488"/>
      <c r="M204" s="347" t="s">
        <v>146</v>
      </c>
      <c r="N204" s="475">
        <v>90190348</v>
      </c>
      <c r="O204" s="477">
        <v>45826</v>
      </c>
      <c r="P204" s="475">
        <v>84968</v>
      </c>
      <c r="Q204" s="478"/>
      <c r="R204" s="386" t="s">
        <v>1534</v>
      </c>
    </row>
    <row r="205" spans="1:18" s="432" customFormat="1" ht="16.899999999999999">
      <c r="A205" s="426" t="s">
        <v>1535</v>
      </c>
      <c r="B205" s="297" t="s">
        <v>1536</v>
      </c>
      <c r="C205" s="297" t="s">
        <v>1537</v>
      </c>
      <c r="D205" s="168" t="s">
        <v>1538</v>
      </c>
      <c r="E205" s="1" t="s">
        <v>132</v>
      </c>
      <c r="F205" s="301">
        <v>2862.15</v>
      </c>
      <c r="G205" s="427">
        <v>45810</v>
      </c>
      <c r="H205" s="428"/>
      <c r="I205" s="427"/>
      <c r="J205" s="360">
        <v>45817</v>
      </c>
      <c r="K205" s="360">
        <v>45818</v>
      </c>
      <c r="L205" s="360" t="s">
        <v>38</v>
      </c>
      <c r="M205" s="297" t="s">
        <v>55</v>
      </c>
      <c r="N205" s="1">
        <v>187230</v>
      </c>
      <c r="O205" s="393" t="s">
        <v>246</v>
      </c>
      <c r="P205" s="1">
        <v>187230</v>
      </c>
      <c r="Q205" s="423"/>
      <c r="R205" s="432" t="s">
        <v>1539</v>
      </c>
    </row>
    <row r="206" spans="1:18" s="152" customFormat="1" ht="47.25">
      <c r="A206" s="359" t="s">
        <v>1540</v>
      </c>
      <c r="B206" s="242" t="s">
        <v>811</v>
      </c>
      <c r="C206" s="242" t="s">
        <v>1541</v>
      </c>
      <c r="D206" s="179" t="s">
        <v>1542</v>
      </c>
      <c r="E206" s="131" t="s">
        <v>132</v>
      </c>
      <c r="F206" s="286">
        <v>104608</v>
      </c>
      <c r="G206" s="147">
        <v>45575</v>
      </c>
      <c r="H206" s="263" t="s">
        <v>1543</v>
      </c>
      <c r="I206" s="263">
        <v>45800</v>
      </c>
      <c r="J206" s="331">
        <v>45803</v>
      </c>
      <c r="K206" s="147">
        <v>45804</v>
      </c>
      <c r="L206" s="147" t="s">
        <v>38</v>
      </c>
      <c r="M206" s="242" t="s">
        <v>1239</v>
      </c>
      <c r="N206" s="397" t="s">
        <v>1544</v>
      </c>
      <c r="O206" s="324" t="s">
        <v>1545</v>
      </c>
      <c r="P206" s="131" t="s">
        <v>1546</v>
      </c>
      <c r="Q206" s="132"/>
      <c r="R206" s="535" t="s">
        <v>1547</v>
      </c>
    </row>
    <row r="207" spans="1:18" s="152" customFormat="1" ht="16.899999999999999">
      <c r="A207" s="359"/>
      <c r="B207" s="242" t="s">
        <v>180</v>
      </c>
      <c r="C207" s="242" t="s">
        <v>1213</v>
      </c>
      <c r="D207" s="179" t="s">
        <v>1548</v>
      </c>
      <c r="E207" s="131" t="s">
        <v>132</v>
      </c>
      <c r="F207" s="286">
        <v>2313.84</v>
      </c>
      <c r="G207" s="147">
        <v>45768</v>
      </c>
      <c r="H207" s="263">
        <v>45890</v>
      </c>
      <c r="I207" s="331">
        <v>45818</v>
      </c>
      <c r="J207" s="331">
        <v>45818</v>
      </c>
      <c r="K207" s="331">
        <v>45820</v>
      </c>
      <c r="L207" s="331" t="s">
        <v>724</v>
      </c>
      <c r="M207" s="242" t="s">
        <v>1549</v>
      </c>
      <c r="N207" s="397" t="s">
        <v>1550</v>
      </c>
      <c r="O207" s="394" t="s">
        <v>1217</v>
      </c>
      <c r="P207" s="131" t="s">
        <v>1442</v>
      </c>
      <c r="Q207" s="417"/>
      <c r="R207" s="381" t="s">
        <v>1551</v>
      </c>
    </row>
    <row r="208" spans="1:18" s="370" customFormat="1" ht="16.899999999999999">
      <c r="A208" s="355"/>
      <c r="B208" s="262" t="s">
        <v>1552</v>
      </c>
      <c r="C208" s="262" t="s">
        <v>1459</v>
      </c>
      <c r="D208" s="223" t="s">
        <v>1294</v>
      </c>
      <c r="E208" s="76" t="s">
        <v>132</v>
      </c>
      <c r="F208" s="277"/>
      <c r="G208" s="261"/>
      <c r="H208" s="320"/>
      <c r="I208" s="261"/>
      <c r="J208" s="362">
        <v>45810</v>
      </c>
      <c r="K208" s="362"/>
      <c r="L208" s="362"/>
      <c r="M208" s="262" t="s">
        <v>1290</v>
      </c>
      <c r="N208" s="76"/>
      <c r="O208" s="437"/>
      <c r="P208" s="76"/>
      <c r="Q208" s="382"/>
    </row>
    <row r="209" spans="1:18" s="515" customFormat="1" ht="34.5" customHeight="1">
      <c r="A209" s="418"/>
      <c r="B209" s="311" t="s">
        <v>180</v>
      </c>
      <c r="C209" s="311" t="s">
        <v>1553</v>
      </c>
      <c r="D209" s="266" t="s">
        <v>1554</v>
      </c>
      <c r="E209" s="222" t="s">
        <v>132</v>
      </c>
      <c r="F209" s="315">
        <v>21250</v>
      </c>
      <c r="G209" s="444">
        <v>45596</v>
      </c>
      <c r="H209" s="445">
        <v>45723</v>
      </c>
      <c r="I209" s="573">
        <v>45784</v>
      </c>
      <c r="J209" s="513">
        <v>45833</v>
      </c>
      <c r="K209" s="513">
        <v>45834</v>
      </c>
      <c r="L209" s="513" t="s">
        <v>1106</v>
      </c>
      <c r="M209" s="506" t="s">
        <v>39</v>
      </c>
      <c r="N209" s="514" t="s">
        <v>1555</v>
      </c>
      <c r="O209" s="510">
        <v>45833</v>
      </c>
      <c r="P209" s="507" t="s">
        <v>1556</v>
      </c>
      <c r="Q209" s="507"/>
      <c r="R209" s="561" t="s">
        <v>1557</v>
      </c>
    </row>
    <row r="210" spans="1:18" s="372" customFormat="1" ht="16.899999999999999">
      <c r="A210" s="356" t="s">
        <v>1558</v>
      </c>
      <c r="B210" s="288" t="s">
        <v>1532</v>
      </c>
      <c r="C210" s="288" t="s">
        <v>1362</v>
      </c>
      <c r="D210" s="164" t="s">
        <v>1559</v>
      </c>
      <c r="E210" s="132" t="s">
        <v>132</v>
      </c>
      <c r="F210" s="273">
        <v>2017.5</v>
      </c>
      <c r="G210" s="455">
        <v>45800</v>
      </c>
      <c r="H210" s="166" t="s">
        <v>964</v>
      </c>
      <c r="I210" s="455"/>
      <c r="J210" s="357"/>
      <c r="K210" s="357"/>
      <c r="L210" s="357"/>
      <c r="M210" s="288" t="s">
        <v>146</v>
      </c>
      <c r="N210" s="132">
        <v>1060</v>
      </c>
      <c r="O210" s="456">
        <v>45834</v>
      </c>
      <c r="P210" s="132"/>
      <c r="Q210" s="383"/>
      <c r="R210" s="372" t="s">
        <v>1560</v>
      </c>
    </row>
    <row r="211" spans="1:18" s="450" customFormat="1" ht="16.899999999999999">
      <c r="A211" s="364" t="s">
        <v>1561</v>
      </c>
      <c r="B211" s="314" t="s">
        <v>1237</v>
      </c>
      <c r="C211" s="314" t="s">
        <v>1332</v>
      </c>
      <c r="D211" s="218" t="s">
        <v>1562</v>
      </c>
      <c r="E211" s="212" t="s">
        <v>132</v>
      </c>
      <c r="F211" s="292">
        <v>4301.0200000000004</v>
      </c>
      <c r="G211" s="448" t="s">
        <v>964</v>
      </c>
      <c r="H211" s="449"/>
      <c r="I211" s="448"/>
      <c r="J211" s="365"/>
      <c r="K211" s="365"/>
      <c r="L211" s="365"/>
      <c r="M211" s="314" t="s">
        <v>1239</v>
      </c>
      <c r="N211" s="212" t="s">
        <v>1563</v>
      </c>
      <c r="O211" s="436">
        <v>45838</v>
      </c>
      <c r="P211" s="212"/>
      <c r="Q211" s="412"/>
    </row>
    <row r="212" spans="1:18" s="402" customFormat="1" ht="16.899999999999999">
      <c r="A212" s="418"/>
      <c r="B212" s="311" t="s">
        <v>180</v>
      </c>
      <c r="C212" s="311" t="s">
        <v>1213</v>
      </c>
      <c r="D212" s="266" t="s">
        <v>1564</v>
      </c>
      <c r="E212" s="222" t="s">
        <v>132</v>
      </c>
      <c r="F212" s="315">
        <v>2421.84</v>
      </c>
      <c r="G212" s="444">
        <v>45727</v>
      </c>
      <c r="H212" s="445">
        <v>45819</v>
      </c>
      <c r="I212" s="399">
        <v>45831</v>
      </c>
      <c r="J212" s="399">
        <v>45832</v>
      </c>
      <c r="K212" s="399">
        <v>45838</v>
      </c>
      <c r="L212" s="399" t="s">
        <v>724</v>
      </c>
      <c r="M212" s="311" t="s">
        <v>39</v>
      </c>
      <c r="N212" s="419" t="s">
        <v>1565</v>
      </c>
      <c r="O212" s="400" t="s">
        <v>1217</v>
      </c>
      <c r="P212" s="222" t="s">
        <v>1566</v>
      </c>
      <c r="Q212" s="212"/>
      <c r="R212" s="402" t="s">
        <v>1567</v>
      </c>
    </row>
    <row r="213" spans="1:18" s="402" customFormat="1" ht="16.899999999999999">
      <c r="A213" s="418"/>
      <c r="B213" s="311" t="s">
        <v>180</v>
      </c>
      <c r="C213" s="311" t="s">
        <v>1568</v>
      </c>
      <c r="D213" s="266" t="s">
        <v>1569</v>
      </c>
      <c r="E213" s="222" t="s">
        <v>132</v>
      </c>
      <c r="F213" s="315">
        <v>2919.75</v>
      </c>
      <c r="G213" s="444">
        <v>45804</v>
      </c>
      <c r="H213" s="445">
        <v>45814</v>
      </c>
      <c r="I213" s="444">
        <v>45813</v>
      </c>
      <c r="J213" s="399">
        <v>45813</v>
      </c>
      <c r="K213" s="399">
        <v>45818</v>
      </c>
      <c r="L213" s="399" t="s">
        <v>724</v>
      </c>
      <c r="M213" s="311" t="s">
        <v>39</v>
      </c>
      <c r="N213" s="222">
        <v>4811</v>
      </c>
      <c r="O213" s="400">
        <v>45841</v>
      </c>
      <c r="P213" s="222">
        <v>105160</v>
      </c>
      <c r="Q213" s="412"/>
      <c r="R213" s="401" t="s">
        <v>1570</v>
      </c>
    </row>
    <row r="214" spans="1:18" s="450" customFormat="1" ht="16.899999999999999">
      <c r="A214" s="364" t="s">
        <v>1571</v>
      </c>
      <c r="B214" s="314" t="s">
        <v>722</v>
      </c>
      <c r="C214" s="314" t="s">
        <v>143</v>
      </c>
      <c r="D214" s="218" t="s">
        <v>225</v>
      </c>
      <c r="E214" s="212" t="s">
        <v>132</v>
      </c>
      <c r="F214" s="292">
        <v>17510</v>
      </c>
      <c r="G214" s="448">
        <v>45807</v>
      </c>
      <c r="H214" s="449">
        <v>45811</v>
      </c>
      <c r="I214" s="448"/>
      <c r="J214" s="365">
        <v>45817</v>
      </c>
      <c r="K214" s="365">
        <v>45820</v>
      </c>
      <c r="L214" s="365" t="s">
        <v>38</v>
      </c>
      <c r="M214" s="314" t="s">
        <v>146</v>
      </c>
      <c r="N214" s="212">
        <v>90193318</v>
      </c>
      <c r="O214" s="436">
        <v>45843</v>
      </c>
      <c r="P214" s="212">
        <v>85752</v>
      </c>
      <c r="Q214" s="412"/>
      <c r="R214" s="401" t="s">
        <v>1572</v>
      </c>
    </row>
    <row r="215" spans="1:18" s="450" customFormat="1" ht="16.899999999999999">
      <c r="A215" s="364" t="s">
        <v>1573</v>
      </c>
      <c r="B215" s="314" t="s">
        <v>1574</v>
      </c>
      <c r="C215" s="314" t="s">
        <v>1213</v>
      </c>
      <c r="D215" s="218" t="s">
        <v>1575</v>
      </c>
      <c r="E215" s="212" t="s">
        <v>132</v>
      </c>
      <c r="F215" s="292">
        <v>754.9</v>
      </c>
      <c r="G215" s="448">
        <v>45812</v>
      </c>
      <c r="H215" s="449">
        <v>45838</v>
      </c>
      <c r="I215" s="448">
        <v>45828</v>
      </c>
      <c r="J215" s="365">
        <v>45831</v>
      </c>
      <c r="K215" s="365">
        <v>45833</v>
      </c>
      <c r="L215" s="365" t="s">
        <v>38</v>
      </c>
      <c r="M215" s="314" t="s">
        <v>39</v>
      </c>
      <c r="N215" s="212" t="s">
        <v>1576</v>
      </c>
      <c r="O215" s="436" t="s">
        <v>1217</v>
      </c>
      <c r="P215" s="212"/>
      <c r="Q215" s="412"/>
      <c r="R215" s="401" t="s">
        <v>1577</v>
      </c>
    </row>
    <row r="216" spans="1:18" s="402" customFormat="1" ht="16.899999999999999">
      <c r="A216" s="418" t="s">
        <v>1535</v>
      </c>
      <c r="B216" s="311" t="s">
        <v>1578</v>
      </c>
      <c r="C216" s="311" t="s">
        <v>1537</v>
      </c>
      <c r="D216" s="266" t="s">
        <v>1579</v>
      </c>
      <c r="E216" s="222" t="s">
        <v>132</v>
      </c>
      <c r="F216" s="315">
        <v>13282</v>
      </c>
      <c r="G216" s="444">
        <v>45813</v>
      </c>
      <c r="H216" s="445">
        <v>45814</v>
      </c>
      <c r="I216" s="444">
        <v>45814</v>
      </c>
      <c r="J216" s="399">
        <v>45817</v>
      </c>
      <c r="K216" s="399">
        <v>45818</v>
      </c>
      <c r="L216" s="399" t="s">
        <v>38</v>
      </c>
      <c r="M216" s="311" t="s">
        <v>39</v>
      </c>
      <c r="N216" s="222">
        <v>187228</v>
      </c>
      <c r="O216" s="400">
        <v>45843</v>
      </c>
      <c r="P216" s="222"/>
      <c r="Q216" s="412"/>
      <c r="R216" s="401" t="s">
        <v>1580</v>
      </c>
    </row>
    <row r="217" spans="1:18" s="371" customFormat="1" ht="16.899999999999999">
      <c r="A217" s="473" t="s">
        <v>1581</v>
      </c>
      <c r="B217" s="347" t="s">
        <v>1582</v>
      </c>
      <c r="C217" s="347" t="s">
        <v>143</v>
      </c>
      <c r="D217" s="474" t="s">
        <v>1583</v>
      </c>
      <c r="E217" s="475" t="s">
        <v>132</v>
      </c>
      <c r="F217" s="348">
        <v>20995</v>
      </c>
      <c r="G217" s="424">
        <v>45819</v>
      </c>
      <c r="H217" s="425">
        <v>45826</v>
      </c>
      <c r="I217" s="424">
        <v>45825</v>
      </c>
      <c r="J217" s="358">
        <v>45826</v>
      </c>
      <c r="K217" s="358">
        <v>45831</v>
      </c>
      <c r="L217" s="358" t="s">
        <v>38</v>
      </c>
      <c r="M217" s="289" t="s">
        <v>146</v>
      </c>
      <c r="N217" s="196">
        <v>90194520</v>
      </c>
      <c r="O217" s="395">
        <v>45854</v>
      </c>
      <c r="P217" s="196">
        <v>86386</v>
      </c>
      <c r="Q217" s="373"/>
      <c r="R217" s="583" t="s">
        <v>1584</v>
      </c>
    </row>
    <row r="218" spans="1:18" s="370" customFormat="1" ht="16.899999999999999">
      <c r="A218" s="355" t="s">
        <v>1585</v>
      </c>
      <c r="B218" s="262" t="s">
        <v>1178</v>
      </c>
      <c r="C218" s="262" t="s">
        <v>1586</v>
      </c>
      <c r="D218" s="223" t="s">
        <v>1587</v>
      </c>
      <c r="E218" s="76" t="s">
        <v>132</v>
      </c>
      <c r="F218" s="277"/>
      <c r="G218" s="261">
        <v>45820</v>
      </c>
      <c r="H218" s="320">
        <v>45827</v>
      </c>
      <c r="I218" s="261">
        <v>45833</v>
      </c>
      <c r="J218" s="362">
        <v>45834</v>
      </c>
      <c r="K218" s="362">
        <v>45838</v>
      </c>
      <c r="L218" s="362" t="s">
        <v>724</v>
      </c>
      <c r="M218" s="262" t="s">
        <v>191</v>
      </c>
      <c r="N218" s="76" t="s">
        <v>1588</v>
      </c>
      <c r="O218" s="437" t="s">
        <v>246</v>
      </c>
      <c r="P218" s="76"/>
      <c r="Q218" s="373"/>
      <c r="R218" s="584" t="s">
        <v>1589</v>
      </c>
    </row>
    <row r="219" spans="1:18" s="370" customFormat="1" ht="16.899999999999999">
      <c r="A219" s="355"/>
      <c r="B219" s="262" t="s">
        <v>1552</v>
      </c>
      <c r="C219" s="262" t="s">
        <v>1459</v>
      </c>
      <c r="D219" s="223" t="s">
        <v>1294</v>
      </c>
      <c r="E219" s="76" t="s">
        <v>132</v>
      </c>
      <c r="F219" s="277"/>
      <c r="G219" s="261"/>
      <c r="H219" s="320"/>
      <c r="I219" s="261"/>
      <c r="J219" s="362">
        <v>45831</v>
      </c>
      <c r="K219" s="362"/>
      <c r="L219" s="362"/>
      <c r="M219" s="262" t="s">
        <v>1290</v>
      </c>
      <c r="N219" s="76"/>
      <c r="O219" s="437"/>
      <c r="P219" s="76"/>
      <c r="Q219" s="373"/>
    </row>
    <row r="220" spans="1:18" s="370" customFormat="1" ht="16.899999999999999">
      <c r="A220" s="355" t="s">
        <v>1535</v>
      </c>
      <c r="B220" s="262" t="s">
        <v>1578</v>
      </c>
      <c r="C220" s="262" t="s">
        <v>1537</v>
      </c>
      <c r="D220" s="223" t="s">
        <v>1590</v>
      </c>
      <c r="E220" s="76" t="s">
        <v>132</v>
      </c>
      <c r="F220" s="277"/>
      <c r="G220" s="261"/>
      <c r="H220" s="320"/>
      <c r="I220" s="261"/>
      <c r="J220" s="362">
        <v>45838</v>
      </c>
      <c r="K220" s="362">
        <v>45839</v>
      </c>
      <c r="L220" s="362" t="s">
        <v>38</v>
      </c>
      <c r="M220" s="262" t="s">
        <v>1591</v>
      </c>
      <c r="N220" s="76">
        <v>188105</v>
      </c>
      <c r="O220" s="437" t="s">
        <v>1592</v>
      </c>
      <c r="P220" s="76"/>
      <c r="Q220" s="373"/>
    </row>
    <row r="221" spans="1:18" s="370" customFormat="1" ht="16.899999999999999">
      <c r="A221" s="355" t="s">
        <v>1535</v>
      </c>
      <c r="B221" s="262" t="s">
        <v>1578</v>
      </c>
      <c r="C221" s="262" t="s">
        <v>1537</v>
      </c>
      <c r="D221" s="223" t="s">
        <v>1590</v>
      </c>
      <c r="E221" s="76" t="s">
        <v>132</v>
      </c>
      <c r="F221" s="277"/>
      <c r="G221" s="261"/>
      <c r="H221" s="320"/>
      <c r="I221" s="261"/>
      <c r="J221" s="362">
        <v>45838</v>
      </c>
      <c r="K221" s="362">
        <v>45839</v>
      </c>
      <c r="L221" s="362" t="s">
        <v>38</v>
      </c>
      <c r="M221" s="262" t="s">
        <v>1591</v>
      </c>
      <c r="N221" s="76">
        <v>188103</v>
      </c>
      <c r="O221" s="437" t="s">
        <v>1592</v>
      </c>
      <c r="P221" s="76"/>
      <c r="Q221" s="373"/>
    </row>
    <row r="222" spans="1:18" s="370" customFormat="1" ht="16.899999999999999">
      <c r="A222" s="355" t="s">
        <v>1535</v>
      </c>
      <c r="B222" s="262" t="s">
        <v>1578</v>
      </c>
      <c r="C222" s="262" t="s">
        <v>1537</v>
      </c>
      <c r="D222" s="223" t="s">
        <v>1590</v>
      </c>
      <c r="E222" s="76" t="s">
        <v>132</v>
      </c>
      <c r="F222" s="277"/>
      <c r="G222" s="261"/>
      <c r="H222" s="320"/>
      <c r="I222" s="261"/>
      <c r="J222" s="362">
        <v>45838</v>
      </c>
      <c r="K222" s="362">
        <v>45839</v>
      </c>
      <c r="L222" s="362" t="s">
        <v>38</v>
      </c>
      <c r="M222" s="262" t="s">
        <v>1591</v>
      </c>
      <c r="N222" s="76">
        <v>188109</v>
      </c>
      <c r="O222" s="437" t="s">
        <v>1592</v>
      </c>
      <c r="P222" s="76"/>
      <c r="Q222" s="373"/>
    </row>
    <row r="223" spans="1:18" s="370" customFormat="1" ht="16.899999999999999">
      <c r="A223" s="355" t="s">
        <v>1535</v>
      </c>
      <c r="B223" s="262" t="s">
        <v>1578</v>
      </c>
      <c r="C223" s="262" t="s">
        <v>1537</v>
      </c>
      <c r="D223" s="223" t="s">
        <v>1590</v>
      </c>
      <c r="E223" s="76" t="s">
        <v>132</v>
      </c>
      <c r="F223" s="277"/>
      <c r="G223" s="261"/>
      <c r="H223" s="320"/>
      <c r="I223" s="261"/>
      <c r="J223" s="362">
        <v>45839</v>
      </c>
      <c r="K223" s="362">
        <v>45842</v>
      </c>
      <c r="L223" s="362" t="s">
        <v>38</v>
      </c>
      <c r="M223" s="262" t="s">
        <v>1591</v>
      </c>
      <c r="N223" s="76">
        <v>188102</v>
      </c>
      <c r="O223" s="437" t="s">
        <v>1592</v>
      </c>
      <c r="P223" s="76"/>
      <c r="Q223" s="373"/>
    </row>
    <row r="224" spans="1:18" s="370" customFormat="1" ht="16.899999999999999">
      <c r="A224" s="355" t="s">
        <v>1535</v>
      </c>
      <c r="B224" s="262" t="s">
        <v>1578</v>
      </c>
      <c r="C224" s="262" t="s">
        <v>1537</v>
      </c>
      <c r="D224" s="223" t="s">
        <v>1590</v>
      </c>
      <c r="E224" s="76" t="s">
        <v>132</v>
      </c>
      <c r="F224" s="277"/>
      <c r="G224" s="261"/>
      <c r="H224" s="320"/>
      <c r="I224" s="261"/>
      <c r="J224" s="362">
        <v>45839</v>
      </c>
      <c r="K224" s="362">
        <v>45842</v>
      </c>
      <c r="L224" s="362" t="s">
        <v>38</v>
      </c>
      <c r="M224" s="262" t="s">
        <v>1591</v>
      </c>
      <c r="N224" s="76">
        <v>188212</v>
      </c>
      <c r="O224" s="437" t="s">
        <v>1592</v>
      </c>
      <c r="P224" s="76"/>
      <c r="Q224" s="373"/>
    </row>
    <row r="225" spans="1:18" s="387" customFormat="1" ht="39.75" customHeight="1">
      <c r="A225" s="384" t="s">
        <v>1593</v>
      </c>
      <c r="B225" s="336" t="s">
        <v>1366</v>
      </c>
      <c r="C225" s="336" t="s">
        <v>1304</v>
      </c>
      <c r="D225" s="467" t="s">
        <v>1594</v>
      </c>
      <c r="E225" s="468" t="s">
        <v>132</v>
      </c>
      <c r="F225" s="337">
        <v>78213.97</v>
      </c>
      <c r="G225" s="469">
        <v>45726</v>
      </c>
      <c r="H225" s="470">
        <v>45768</v>
      </c>
      <c r="I225" s="385">
        <v>45770</v>
      </c>
      <c r="J225" s="385">
        <v>45824</v>
      </c>
      <c r="K225" s="385">
        <v>45825</v>
      </c>
      <c r="L225" s="385" t="s">
        <v>1106</v>
      </c>
      <c r="M225" s="336" t="s">
        <v>39</v>
      </c>
      <c r="N225" s="471" t="s">
        <v>1595</v>
      </c>
      <c r="O225" s="491" t="s">
        <v>1596</v>
      </c>
      <c r="P225" s="468"/>
      <c r="Q225" s="468"/>
      <c r="R225" s="485" t="s">
        <v>1597</v>
      </c>
    </row>
    <row r="226" spans="1:18" s="387" customFormat="1" ht="16.899999999999999">
      <c r="A226" s="384"/>
      <c r="B226" s="336" t="s">
        <v>180</v>
      </c>
      <c r="C226" s="336" t="s">
        <v>1213</v>
      </c>
      <c r="D226" s="467" t="s">
        <v>1598</v>
      </c>
      <c r="E226" s="468" t="s">
        <v>132</v>
      </c>
      <c r="F226" s="337">
        <v>1919.4</v>
      </c>
      <c r="G226" s="469">
        <v>45768</v>
      </c>
      <c r="H226" s="470">
        <v>45890</v>
      </c>
      <c r="I226" s="469">
        <v>45838</v>
      </c>
      <c r="J226" s="385">
        <v>45839</v>
      </c>
      <c r="K226" s="385">
        <v>45841</v>
      </c>
      <c r="L226" s="385" t="s">
        <v>724</v>
      </c>
      <c r="M226" s="336"/>
      <c r="N226" s="471" t="s">
        <v>1599</v>
      </c>
      <c r="O226" s="472" t="s">
        <v>1217</v>
      </c>
      <c r="P226" s="468" t="s">
        <v>1442</v>
      </c>
      <c r="Q226" s="478"/>
      <c r="R226" s="386" t="s">
        <v>1600</v>
      </c>
    </row>
    <row r="227" spans="1:18" s="387" customFormat="1" ht="16.899999999999999">
      <c r="A227" s="384" t="s">
        <v>870</v>
      </c>
      <c r="B227" s="336" t="s">
        <v>43</v>
      </c>
      <c r="C227" s="336" t="s">
        <v>135</v>
      </c>
      <c r="D227" s="467" t="s">
        <v>1601</v>
      </c>
      <c r="E227" s="468" t="s">
        <v>132</v>
      </c>
      <c r="F227" s="337">
        <v>1742</v>
      </c>
      <c r="G227" s="469">
        <v>45804</v>
      </c>
      <c r="H227" s="470">
        <v>45831</v>
      </c>
      <c r="I227" s="469">
        <v>45820</v>
      </c>
      <c r="J227" s="385">
        <v>45820</v>
      </c>
      <c r="K227" s="385">
        <v>45821</v>
      </c>
      <c r="L227" s="385" t="s">
        <v>38</v>
      </c>
      <c r="M227" s="336" t="s">
        <v>146</v>
      </c>
      <c r="N227" s="468" t="s">
        <v>1602</v>
      </c>
      <c r="O227" s="472">
        <v>45846</v>
      </c>
      <c r="P227" s="468" t="s">
        <v>1602</v>
      </c>
      <c r="Q227" s="386"/>
      <c r="R227" s="386" t="s">
        <v>1603</v>
      </c>
    </row>
    <row r="228" spans="1:18" s="387" customFormat="1" ht="16.899999999999999">
      <c r="A228" s="384" t="s">
        <v>1535</v>
      </c>
      <c r="B228" s="336" t="s">
        <v>1578</v>
      </c>
      <c r="C228" s="336" t="s">
        <v>1537</v>
      </c>
      <c r="D228" s="467" t="s">
        <v>1604</v>
      </c>
      <c r="E228" s="468" t="s">
        <v>132</v>
      </c>
      <c r="F228" s="337">
        <v>5597.82</v>
      </c>
      <c r="G228" s="469">
        <v>45818</v>
      </c>
      <c r="H228" s="470"/>
      <c r="I228" s="469">
        <v>45818</v>
      </c>
      <c r="J228" s="385">
        <v>45819</v>
      </c>
      <c r="K228" s="385">
        <v>45821</v>
      </c>
      <c r="L228" s="385" t="s">
        <v>38</v>
      </c>
      <c r="M228" s="336" t="s">
        <v>39</v>
      </c>
      <c r="N228" s="468">
        <v>187232</v>
      </c>
      <c r="O228" s="472">
        <v>45847</v>
      </c>
      <c r="P228" s="468"/>
      <c r="Q228" s="386"/>
      <c r="R228" s="386" t="s">
        <v>1605</v>
      </c>
    </row>
    <row r="229" spans="1:18" s="387" customFormat="1" ht="16.899999999999999">
      <c r="A229" s="384" t="s">
        <v>1606</v>
      </c>
      <c r="B229" s="336" t="s">
        <v>1505</v>
      </c>
      <c r="C229" s="336" t="s">
        <v>1607</v>
      </c>
      <c r="D229" s="467" t="s">
        <v>1608</v>
      </c>
      <c r="E229" s="468" t="s">
        <v>132</v>
      </c>
      <c r="F229" s="337">
        <v>157.5</v>
      </c>
      <c r="G229" s="469">
        <v>45819</v>
      </c>
      <c r="H229" s="470"/>
      <c r="I229" s="469">
        <v>45820</v>
      </c>
      <c r="J229" s="385">
        <v>45821</v>
      </c>
      <c r="K229" s="385">
        <v>45821</v>
      </c>
      <c r="L229" s="385" t="s">
        <v>38</v>
      </c>
      <c r="M229" s="336" t="s">
        <v>146</v>
      </c>
      <c r="N229" s="585">
        <v>1801378</v>
      </c>
      <c r="O229" s="472">
        <v>45850</v>
      </c>
      <c r="P229" s="468" t="s">
        <v>1609</v>
      </c>
      <c r="Q229" s="386"/>
      <c r="R229" s="386" t="s">
        <v>1610</v>
      </c>
    </row>
    <row r="230" spans="1:18" s="387" customFormat="1" ht="16.899999999999999">
      <c r="A230" s="384" t="s">
        <v>870</v>
      </c>
      <c r="B230" s="336" t="s">
        <v>1505</v>
      </c>
      <c r="C230" s="336" t="s">
        <v>1607</v>
      </c>
      <c r="D230" s="467" t="s">
        <v>1608</v>
      </c>
      <c r="E230" s="468" t="s">
        <v>132</v>
      </c>
      <c r="F230" s="337">
        <v>540</v>
      </c>
      <c r="G230" s="469">
        <v>45839</v>
      </c>
      <c r="H230" s="470">
        <v>45840</v>
      </c>
      <c r="I230" s="469">
        <v>45840</v>
      </c>
      <c r="J230" s="385">
        <v>45841</v>
      </c>
      <c r="K230" s="385">
        <v>45842</v>
      </c>
      <c r="L230" s="385" t="s">
        <v>38</v>
      </c>
      <c r="M230" s="336" t="s">
        <v>146</v>
      </c>
      <c r="N230" s="585">
        <v>1804300</v>
      </c>
      <c r="O230" s="472">
        <v>45870</v>
      </c>
      <c r="P230" s="468">
        <v>6840</v>
      </c>
      <c r="Q230" s="373"/>
      <c r="R230" s="386" t="s">
        <v>1611</v>
      </c>
    </row>
    <row r="231" spans="1:18" s="387" customFormat="1" ht="16.899999999999999">
      <c r="A231" s="479" t="s">
        <v>1612</v>
      </c>
      <c r="B231" s="332" t="s">
        <v>796</v>
      </c>
      <c r="C231" s="332" t="s">
        <v>1568</v>
      </c>
      <c r="D231" s="480" t="s">
        <v>1613</v>
      </c>
      <c r="E231" s="481" t="s">
        <v>132</v>
      </c>
      <c r="F231" s="333">
        <v>1930</v>
      </c>
      <c r="G231" s="469">
        <v>45817</v>
      </c>
      <c r="H231" s="470">
        <v>45825</v>
      </c>
      <c r="I231" s="469">
        <v>45832</v>
      </c>
      <c r="J231" s="385">
        <v>45849</v>
      </c>
      <c r="K231" s="385">
        <v>45856</v>
      </c>
      <c r="L231" s="385" t="s">
        <v>38</v>
      </c>
      <c r="M231" s="336" t="s">
        <v>39</v>
      </c>
      <c r="N231" s="468">
        <v>4815</v>
      </c>
      <c r="O231" s="472">
        <v>45857</v>
      </c>
      <c r="P231" s="468">
        <v>105163</v>
      </c>
      <c r="Q231" s="416"/>
      <c r="R231" s="386" t="s">
        <v>1614</v>
      </c>
    </row>
    <row r="232" spans="1:18" s="387" customFormat="1" ht="17.25" thickBot="1">
      <c r="A232" s="482" t="s">
        <v>1612</v>
      </c>
      <c r="B232" s="334" t="s">
        <v>796</v>
      </c>
      <c r="C232" s="334" t="s">
        <v>1568</v>
      </c>
      <c r="D232" s="483" t="s">
        <v>1615</v>
      </c>
      <c r="E232" s="484" t="s">
        <v>132</v>
      </c>
      <c r="F232" s="335">
        <v>1510</v>
      </c>
      <c r="G232" s="469">
        <v>45817</v>
      </c>
      <c r="H232" s="470">
        <v>45825</v>
      </c>
      <c r="I232" s="469">
        <v>45832</v>
      </c>
      <c r="J232" s="385">
        <v>45833</v>
      </c>
      <c r="K232" s="385">
        <v>45848</v>
      </c>
      <c r="L232" s="385" t="s">
        <v>38</v>
      </c>
      <c r="M232" s="336" t="s">
        <v>39</v>
      </c>
      <c r="N232" s="468">
        <v>4815</v>
      </c>
      <c r="O232" s="472">
        <v>45857</v>
      </c>
      <c r="P232" s="468"/>
      <c r="Q232" s="478"/>
      <c r="R232" s="386" t="s">
        <v>1616</v>
      </c>
    </row>
    <row r="233" spans="1:18" s="387" customFormat="1" ht="15.75" customHeight="1">
      <c r="A233" s="384" t="s">
        <v>870</v>
      </c>
      <c r="B233" s="336" t="s">
        <v>1617</v>
      </c>
      <c r="C233" s="336" t="s">
        <v>1618</v>
      </c>
      <c r="D233" s="467" t="s">
        <v>1619</v>
      </c>
      <c r="E233" s="468" t="s">
        <v>132</v>
      </c>
      <c r="F233" s="337">
        <v>4080</v>
      </c>
      <c r="G233" s="469">
        <v>45817</v>
      </c>
      <c r="H233" s="470" t="s">
        <v>1620</v>
      </c>
      <c r="I233" s="469">
        <v>45828</v>
      </c>
      <c r="J233" s="385">
        <v>45834</v>
      </c>
      <c r="K233" s="385">
        <v>45834</v>
      </c>
      <c r="L233" s="385" t="s">
        <v>38</v>
      </c>
      <c r="M233" s="336" t="s">
        <v>39</v>
      </c>
      <c r="N233" s="468">
        <v>25214</v>
      </c>
      <c r="O233" s="472">
        <v>45857</v>
      </c>
      <c r="P233" s="468"/>
      <c r="Q233" s="478"/>
      <c r="R233" s="478" t="s">
        <v>1621</v>
      </c>
    </row>
    <row r="234" spans="1:18" s="387" customFormat="1" ht="16.899999999999999">
      <c r="A234" s="384" t="s">
        <v>1535</v>
      </c>
      <c r="B234" s="336" t="s">
        <v>1578</v>
      </c>
      <c r="C234" s="336" t="s">
        <v>1537</v>
      </c>
      <c r="D234" s="467" t="s">
        <v>1622</v>
      </c>
      <c r="E234" s="468" t="s">
        <v>132</v>
      </c>
      <c r="F234" s="337">
        <v>1612.47</v>
      </c>
      <c r="G234" s="469">
        <v>45825</v>
      </c>
      <c r="H234" s="470"/>
      <c r="I234" s="469">
        <v>45825</v>
      </c>
      <c r="J234" s="385">
        <v>45826</v>
      </c>
      <c r="K234" s="385">
        <v>45831</v>
      </c>
      <c r="L234" s="385" t="s">
        <v>38</v>
      </c>
      <c r="M234" s="336" t="s">
        <v>39</v>
      </c>
      <c r="N234" s="468">
        <v>187233</v>
      </c>
      <c r="O234" s="472">
        <v>45854</v>
      </c>
      <c r="P234" s="468"/>
      <c r="Q234" s="386"/>
      <c r="R234" s="478" t="s">
        <v>1623</v>
      </c>
    </row>
    <row r="235" spans="1:18" s="489" customFormat="1" ht="16.899999999999999">
      <c r="A235" s="473" t="s">
        <v>1624</v>
      </c>
      <c r="B235" s="347" t="s">
        <v>735</v>
      </c>
      <c r="C235" s="347" t="s">
        <v>1568</v>
      </c>
      <c r="D235" s="474" t="s">
        <v>1625</v>
      </c>
      <c r="E235" s="475" t="s">
        <v>132</v>
      </c>
      <c r="F235" s="348">
        <v>1645</v>
      </c>
      <c r="G235" s="476">
        <v>45826</v>
      </c>
      <c r="H235" s="487">
        <v>45833</v>
      </c>
      <c r="I235" s="476">
        <v>45839</v>
      </c>
      <c r="J235" s="488">
        <v>45840</v>
      </c>
      <c r="K235" s="488" t="s">
        <v>1626</v>
      </c>
      <c r="L235" s="488" t="s">
        <v>724</v>
      </c>
      <c r="M235" s="347" t="s">
        <v>47</v>
      </c>
      <c r="N235" s="475">
        <v>4818</v>
      </c>
      <c r="O235" s="477">
        <v>45867</v>
      </c>
      <c r="P235" s="475">
        <v>105168</v>
      </c>
      <c r="Q235" s="478"/>
      <c r="R235" s="478" t="s">
        <v>1627</v>
      </c>
    </row>
    <row r="236" spans="1:18" s="387" customFormat="1" ht="16.899999999999999">
      <c r="A236" s="384" t="s">
        <v>1628</v>
      </c>
      <c r="B236" s="336" t="s">
        <v>1245</v>
      </c>
      <c r="C236" s="336" t="s">
        <v>1481</v>
      </c>
      <c r="D236" s="467" t="s">
        <v>1629</v>
      </c>
      <c r="E236" s="468" t="s">
        <v>132</v>
      </c>
      <c r="F236" s="337">
        <v>7101.39</v>
      </c>
      <c r="G236" s="469">
        <v>45828</v>
      </c>
      <c r="H236" s="470">
        <v>45838</v>
      </c>
      <c r="I236" s="469">
        <v>45838</v>
      </c>
      <c r="J236" s="385">
        <v>45839</v>
      </c>
      <c r="K236" s="385">
        <v>45839</v>
      </c>
      <c r="L236" s="385" t="s">
        <v>38</v>
      </c>
      <c r="M236" s="336" t="s">
        <v>39</v>
      </c>
      <c r="N236" s="468" t="s">
        <v>1630</v>
      </c>
      <c r="O236" s="472">
        <v>45858</v>
      </c>
      <c r="P236" s="468"/>
      <c r="Q236" s="478"/>
      <c r="R236" s="478" t="s">
        <v>1631</v>
      </c>
    </row>
    <row r="237" spans="1:18" s="489" customFormat="1" ht="20.25" customHeight="1">
      <c r="A237" s="473" t="s">
        <v>1535</v>
      </c>
      <c r="B237" s="347" t="s">
        <v>1632</v>
      </c>
      <c r="C237" s="347" t="s">
        <v>1481</v>
      </c>
      <c r="D237" s="474" t="s">
        <v>1633</v>
      </c>
      <c r="E237" s="475" t="s">
        <v>132</v>
      </c>
      <c r="F237" s="348">
        <v>1866.65</v>
      </c>
      <c r="G237" s="476">
        <v>45832</v>
      </c>
      <c r="H237" s="487"/>
      <c r="I237" s="476">
        <v>45835</v>
      </c>
      <c r="J237" s="488">
        <v>45835</v>
      </c>
      <c r="K237" s="488">
        <v>45839</v>
      </c>
      <c r="L237" s="488" t="s">
        <v>38</v>
      </c>
      <c r="M237" s="347" t="s">
        <v>39</v>
      </c>
      <c r="N237" s="475" t="s">
        <v>1634</v>
      </c>
      <c r="O237" s="477">
        <v>45862</v>
      </c>
      <c r="P237" s="475"/>
      <c r="Q237" s="478"/>
      <c r="R237" s="478" t="s">
        <v>1635</v>
      </c>
    </row>
    <row r="238" spans="1:18" s="489" customFormat="1" ht="16.899999999999999">
      <c r="A238" s="473" t="s">
        <v>1636</v>
      </c>
      <c r="B238" s="347" t="s">
        <v>43</v>
      </c>
      <c r="C238" s="347" t="s">
        <v>1481</v>
      </c>
      <c r="D238" s="474" t="s">
        <v>1637</v>
      </c>
      <c r="E238" s="475" t="s">
        <v>132</v>
      </c>
      <c r="F238" s="348">
        <v>1349.76</v>
      </c>
      <c r="G238" s="476">
        <v>45842</v>
      </c>
      <c r="H238" s="487" t="s">
        <v>964</v>
      </c>
      <c r="I238" s="476"/>
      <c r="J238" s="488"/>
      <c r="K238" s="488"/>
      <c r="L238" s="488"/>
      <c r="M238" s="347" t="s">
        <v>39</v>
      </c>
      <c r="N238" s="475" t="s">
        <v>1638</v>
      </c>
      <c r="O238" s="477">
        <v>45872</v>
      </c>
      <c r="P238" s="475"/>
      <c r="Q238" s="373"/>
      <c r="R238" s="478" t="s">
        <v>1639</v>
      </c>
    </row>
    <row r="239" spans="1:18" s="387" customFormat="1" ht="16.899999999999999">
      <c r="A239" s="384" t="s">
        <v>1640</v>
      </c>
      <c r="B239" s="336" t="s">
        <v>1641</v>
      </c>
      <c r="C239" s="336" t="s">
        <v>1213</v>
      </c>
      <c r="D239" s="467" t="s">
        <v>1642</v>
      </c>
      <c r="E239" s="468" t="s">
        <v>132</v>
      </c>
      <c r="F239" s="337">
        <v>1046</v>
      </c>
      <c r="G239" s="469">
        <v>45840</v>
      </c>
      <c r="H239" s="470">
        <v>45882</v>
      </c>
      <c r="I239" s="469">
        <v>45846</v>
      </c>
      <c r="J239" s="385">
        <v>45847</v>
      </c>
      <c r="K239" s="385">
        <v>45849</v>
      </c>
      <c r="L239" s="385" t="s">
        <v>38</v>
      </c>
      <c r="M239" s="336" t="s">
        <v>47</v>
      </c>
      <c r="N239" s="468" t="s">
        <v>1643</v>
      </c>
      <c r="O239" s="472" t="s">
        <v>1217</v>
      </c>
      <c r="P239" s="468"/>
      <c r="Q239" s="478"/>
      <c r="R239" s="386" t="s">
        <v>1644</v>
      </c>
    </row>
    <row r="240" spans="1:18" s="370" customFormat="1" ht="16.899999999999999">
      <c r="A240" s="355"/>
      <c r="B240" s="262" t="s">
        <v>1293</v>
      </c>
      <c r="C240" s="262" t="s">
        <v>1459</v>
      </c>
      <c r="D240" s="223" t="s">
        <v>1645</v>
      </c>
      <c r="E240" s="76"/>
      <c r="F240" s="277"/>
      <c r="G240" s="261"/>
      <c r="H240" s="320"/>
      <c r="I240" s="261"/>
      <c r="J240" s="362">
        <v>45848</v>
      </c>
      <c r="K240" s="362"/>
      <c r="L240" s="362"/>
      <c r="M240" s="262" t="s">
        <v>1290</v>
      </c>
      <c r="N240" s="76"/>
      <c r="O240" s="437"/>
      <c r="P240" s="76"/>
      <c r="Q240" s="373"/>
    </row>
    <row r="241" spans="1:18" s="387" customFormat="1" ht="16.899999999999999">
      <c r="A241" s="384" t="s">
        <v>1646</v>
      </c>
      <c r="B241" s="336" t="s">
        <v>801</v>
      </c>
      <c r="C241" s="336" t="s">
        <v>1647</v>
      </c>
      <c r="D241" s="467" t="s">
        <v>1648</v>
      </c>
      <c r="E241" s="468" t="s">
        <v>132</v>
      </c>
      <c r="F241" s="337">
        <v>15000</v>
      </c>
      <c r="G241" s="469">
        <v>45761</v>
      </c>
      <c r="H241" s="470">
        <v>45853</v>
      </c>
      <c r="I241" s="469">
        <v>45833</v>
      </c>
      <c r="J241" s="385">
        <v>45835</v>
      </c>
      <c r="K241" s="385">
        <v>45838</v>
      </c>
      <c r="L241" s="385" t="s">
        <v>38</v>
      </c>
      <c r="M241" s="336" t="s">
        <v>39</v>
      </c>
      <c r="N241" s="471">
        <v>288636</v>
      </c>
      <c r="O241" s="472">
        <v>45864</v>
      </c>
      <c r="P241" s="468">
        <v>130752</v>
      </c>
      <c r="Q241" s="478"/>
      <c r="R241" s="386" t="s">
        <v>1649</v>
      </c>
    </row>
    <row r="242" spans="1:18" s="387" customFormat="1" ht="31.5">
      <c r="A242" s="384" t="s">
        <v>1650</v>
      </c>
      <c r="B242" s="336" t="s">
        <v>1651</v>
      </c>
      <c r="C242" s="336" t="s">
        <v>1652</v>
      </c>
      <c r="D242" s="467" t="s">
        <v>1653</v>
      </c>
      <c r="E242" s="468" t="s">
        <v>132</v>
      </c>
      <c r="F242" s="337">
        <v>143737.20000000001</v>
      </c>
      <c r="G242" s="469">
        <v>45786</v>
      </c>
      <c r="H242" s="470">
        <v>45863</v>
      </c>
      <c r="I242" s="469">
        <v>45828</v>
      </c>
      <c r="J242" s="385">
        <v>45838</v>
      </c>
      <c r="K242" s="385">
        <v>45839</v>
      </c>
      <c r="L242" s="385" t="s">
        <v>38</v>
      </c>
      <c r="M242" s="336" t="s">
        <v>39</v>
      </c>
      <c r="N242" s="468" t="s">
        <v>1654</v>
      </c>
      <c r="O242" s="472">
        <v>45861</v>
      </c>
      <c r="P242" s="468" t="s">
        <v>1655</v>
      </c>
      <c r="Q242" s="386"/>
      <c r="R242" s="386" t="s">
        <v>1656</v>
      </c>
    </row>
    <row r="243" spans="1:18" s="370" customFormat="1" ht="16.899999999999999">
      <c r="A243" s="355" t="s">
        <v>1535</v>
      </c>
      <c r="B243" s="262" t="s">
        <v>1578</v>
      </c>
      <c r="C243" s="262" t="s">
        <v>1537</v>
      </c>
      <c r="D243" s="223" t="s">
        <v>1590</v>
      </c>
      <c r="E243" s="76" t="s">
        <v>132</v>
      </c>
      <c r="F243" s="277">
        <v>2239</v>
      </c>
      <c r="G243" s="261">
        <v>45834</v>
      </c>
      <c r="H243" s="320"/>
      <c r="I243" s="261">
        <v>45841</v>
      </c>
      <c r="J243" s="362">
        <v>45842</v>
      </c>
      <c r="K243" s="362">
        <v>45847</v>
      </c>
      <c r="L243" s="362" t="s">
        <v>38</v>
      </c>
      <c r="M243" s="262" t="s">
        <v>39</v>
      </c>
      <c r="N243" s="76">
        <v>187926</v>
      </c>
      <c r="O243" s="437">
        <v>45864</v>
      </c>
      <c r="P243" s="76"/>
      <c r="Q243" s="373"/>
      <c r="R243" s="382" t="s">
        <v>1657</v>
      </c>
    </row>
    <row r="244" spans="1:18" s="370" customFormat="1" ht="16.899999999999999">
      <c r="A244" s="355" t="s">
        <v>1535</v>
      </c>
      <c r="B244" s="262" t="s">
        <v>1578</v>
      </c>
      <c r="C244" s="262" t="s">
        <v>1537</v>
      </c>
      <c r="D244" s="223" t="s">
        <v>1658</v>
      </c>
      <c r="E244" s="76" t="s">
        <v>132</v>
      </c>
      <c r="F244" s="277">
        <v>688.84</v>
      </c>
      <c r="G244" s="261">
        <v>45839</v>
      </c>
      <c r="H244" s="320">
        <v>45839</v>
      </c>
      <c r="I244" s="261">
        <v>45839</v>
      </c>
      <c r="J244" s="362">
        <v>45840</v>
      </c>
      <c r="K244" s="362">
        <v>45846</v>
      </c>
      <c r="L244" s="362" t="s">
        <v>38</v>
      </c>
      <c r="M244" s="262" t="s">
        <v>39</v>
      </c>
      <c r="N244" s="76">
        <v>188168</v>
      </c>
      <c r="O244" s="437">
        <v>45868</v>
      </c>
      <c r="P244" s="76"/>
      <c r="Q244" s="373"/>
      <c r="R244" s="382" t="s">
        <v>1659</v>
      </c>
    </row>
    <row r="245" spans="1:18" s="371" customFormat="1" ht="16.899999999999999">
      <c r="A245" s="353" t="s">
        <v>870</v>
      </c>
      <c r="B245" s="289" t="s">
        <v>1660</v>
      </c>
      <c r="C245" s="289" t="s">
        <v>1332</v>
      </c>
      <c r="D245" s="224" t="s">
        <v>1661</v>
      </c>
      <c r="E245" s="196" t="s">
        <v>132</v>
      </c>
      <c r="F245" s="272">
        <f>4135.8+621.04+36.5</f>
        <v>4793.34</v>
      </c>
      <c r="G245" s="424"/>
      <c r="H245" s="425"/>
      <c r="I245" s="424"/>
      <c r="J245" s="358"/>
      <c r="K245" s="358"/>
      <c r="L245" s="358"/>
      <c r="M245" s="289"/>
      <c r="N245" s="196"/>
      <c r="O245" s="395">
        <v>45868</v>
      </c>
      <c r="P245" s="196"/>
      <c r="Q245" s="373"/>
      <c r="R245" s="382" t="s">
        <v>1662</v>
      </c>
    </row>
    <row r="246" spans="1:18" s="371" customFormat="1" ht="16.899999999999999">
      <c r="A246" s="355" t="s">
        <v>1535</v>
      </c>
      <c r="B246" s="262" t="s">
        <v>1578</v>
      </c>
      <c r="C246" s="289" t="s">
        <v>1663</v>
      </c>
      <c r="D246" s="224" t="s">
        <v>1664</v>
      </c>
      <c r="E246" s="196" t="s">
        <v>132</v>
      </c>
      <c r="F246" s="272"/>
      <c r="G246" s="424">
        <v>45826</v>
      </c>
      <c r="H246" s="425">
        <v>45856</v>
      </c>
      <c r="I246" s="424"/>
      <c r="J246" s="358">
        <v>45859</v>
      </c>
      <c r="K246" s="358">
        <v>45860</v>
      </c>
      <c r="L246" s="358" t="s">
        <v>38</v>
      </c>
      <c r="M246" s="289" t="s">
        <v>39</v>
      </c>
      <c r="N246" s="196" t="s">
        <v>1665</v>
      </c>
      <c r="O246" s="395" t="s">
        <v>246</v>
      </c>
      <c r="P246" s="196"/>
      <c r="Q246" s="373"/>
      <c r="R246" s="371" t="s">
        <v>1666</v>
      </c>
    </row>
    <row r="247" spans="1:18" s="370" customFormat="1" ht="16.899999999999999">
      <c r="A247" s="355"/>
      <c r="B247" s="262" t="s">
        <v>1552</v>
      </c>
      <c r="C247" s="262" t="s">
        <v>1667</v>
      </c>
      <c r="D247" s="223" t="s">
        <v>1294</v>
      </c>
      <c r="E247" s="76" t="s">
        <v>132</v>
      </c>
      <c r="F247" s="277"/>
      <c r="G247" s="261"/>
      <c r="H247" s="320"/>
      <c r="I247" s="261"/>
      <c r="J247" s="362">
        <v>45859</v>
      </c>
      <c r="K247" s="362">
        <v>45860</v>
      </c>
      <c r="L247" s="362" t="s">
        <v>38</v>
      </c>
      <c r="M247" s="262" t="s">
        <v>1290</v>
      </c>
      <c r="N247" s="76">
        <v>114528962</v>
      </c>
      <c r="O247" s="437"/>
      <c r="P247" s="76"/>
      <c r="Q247" s="373"/>
    </row>
    <row r="248" spans="1:18" s="387" customFormat="1" ht="16.899999999999999">
      <c r="A248" s="384" t="s">
        <v>1668</v>
      </c>
      <c r="B248" s="336" t="s">
        <v>43</v>
      </c>
      <c r="C248" s="336" t="s">
        <v>189</v>
      </c>
      <c r="D248" s="467" t="s">
        <v>1669</v>
      </c>
      <c r="E248" s="468" t="s">
        <v>132</v>
      </c>
      <c r="F248" s="337">
        <v>5699.25</v>
      </c>
      <c r="G248" s="469">
        <v>45757</v>
      </c>
      <c r="H248" s="470">
        <v>45835</v>
      </c>
      <c r="I248" s="469">
        <v>45838</v>
      </c>
      <c r="J248" s="385">
        <v>45839</v>
      </c>
      <c r="K248" s="385">
        <v>45842</v>
      </c>
      <c r="L248" s="385" t="s">
        <v>724</v>
      </c>
      <c r="M248" s="336" t="s">
        <v>39</v>
      </c>
      <c r="N248" s="471" t="s">
        <v>1670</v>
      </c>
      <c r="O248" s="472">
        <v>45868</v>
      </c>
      <c r="P248" s="468" t="s">
        <v>1671</v>
      </c>
      <c r="Q248" s="478"/>
      <c r="R248" s="386" t="s">
        <v>1672</v>
      </c>
    </row>
    <row r="249" spans="1:18" s="387" customFormat="1" ht="16.899999999999999">
      <c r="A249" s="384" t="s">
        <v>1673</v>
      </c>
      <c r="B249" s="336" t="s">
        <v>150</v>
      </c>
      <c r="C249" s="336" t="s">
        <v>189</v>
      </c>
      <c r="D249" s="467" t="s">
        <v>1674</v>
      </c>
      <c r="E249" s="468" t="s">
        <v>132</v>
      </c>
      <c r="F249" s="337">
        <v>8925</v>
      </c>
      <c r="G249" s="469">
        <v>45833</v>
      </c>
      <c r="H249" s="470"/>
      <c r="I249" s="469">
        <v>45838</v>
      </c>
      <c r="J249" s="385">
        <v>45839</v>
      </c>
      <c r="K249" s="385">
        <v>45842</v>
      </c>
      <c r="L249" s="385" t="s">
        <v>724</v>
      </c>
      <c r="M249" s="336" t="s">
        <v>39</v>
      </c>
      <c r="N249" s="468" t="s">
        <v>1675</v>
      </c>
      <c r="O249" s="472">
        <v>45868</v>
      </c>
      <c r="P249" s="468" t="s">
        <v>1676</v>
      </c>
      <c r="Q249" s="478"/>
      <c r="R249" s="386" t="s">
        <v>1677</v>
      </c>
    </row>
    <row r="250" spans="1:18" s="489" customFormat="1" ht="16.899999999999999">
      <c r="A250" s="473" t="s">
        <v>1678</v>
      </c>
      <c r="B250" s="347" t="s">
        <v>1679</v>
      </c>
      <c r="C250" s="347" t="s">
        <v>1221</v>
      </c>
      <c r="D250" s="474" t="s">
        <v>1680</v>
      </c>
      <c r="E250" s="475" t="s">
        <v>132</v>
      </c>
      <c r="F250" s="348">
        <v>1795.5</v>
      </c>
      <c r="G250" s="476">
        <v>45821</v>
      </c>
      <c r="H250" s="487" t="s">
        <v>964</v>
      </c>
      <c r="I250" s="476"/>
      <c r="J250" s="488"/>
      <c r="K250" s="488"/>
      <c r="L250" s="488"/>
      <c r="M250" s="347" t="s">
        <v>39</v>
      </c>
      <c r="N250" s="475" t="s">
        <v>1681</v>
      </c>
      <c r="O250" s="477">
        <v>45868</v>
      </c>
      <c r="P250" s="475"/>
      <c r="Q250" s="478"/>
      <c r="R250" s="386" t="s">
        <v>1682</v>
      </c>
    </row>
    <row r="251" spans="1:18" s="489" customFormat="1" ht="16.899999999999999">
      <c r="A251" s="473" t="s">
        <v>1683</v>
      </c>
      <c r="B251" s="347" t="s">
        <v>1684</v>
      </c>
      <c r="C251" s="347" t="s">
        <v>1362</v>
      </c>
      <c r="D251" s="474" t="s">
        <v>1685</v>
      </c>
      <c r="E251" s="475" t="s">
        <v>132</v>
      </c>
      <c r="F251" s="348">
        <v>1046.25</v>
      </c>
      <c r="G251" s="476">
        <v>45842</v>
      </c>
      <c r="H251" s="487" t="s">
        <v>964</v>
      </c>
      <c r="I251" s="476"/>
      <c r="J251" s="488"/>
      <c r="K251" s="488"/>
      <c r="L251" s="488"/>
      <c r="M251" s="347" t="s">
        <v>39</v>
      </c>
      <c r="N251" s="475">
        <v>1137</v>
      </c>
      <c r="O251" s="477">
        <v>45875</v>
      </c>
      <c r="P251" s="475"/>
      <c r="Q251" s="478"/>
      <c r="R251" s="386" t="s">
        <v>1686</v>
      </c>
    </row>
    <row r="252" spans="1:18" s="387" customFormat="1" ht="16.899999999999999">
      <c r="A252" s="384" t="s">
        <v>1340</v>
      </c>
      <c r="B252" s="336" t="s">
        <v>1687</v>
      </c>
      <c r="C252" s="336" t="s">
        <v>1521</v>
      </c>
      <c r="D252" s="467" t="s">
        <v>1688</v>
      </c>
      <c r="E252" s="468" t="s">
        <v>132</v>
      </c>
      <c r="F252" s="337">
        <v>2350</v>
      </c>
      <c r="G252" s="469">
        <v>45832</v>
      </c>
      <c r="H252" s="470"/>
      <c r="I252" s="469">
        <v>45853</v>
      </c>
      <c r="J252" s="469">
        <v>45854</v>
      </c>
      <c r="K252" s="385">
        <v>45855</v>
      </c>
      <c r="L252" s="385" t="s">
        <v>38</v>
      </c>
      <c r="M252" s="336" t="s">
        <v>39</v>
      </c>
      <c r="N252" s="468" t="s">
        <v>1689</v>
      </c>
      <c r="O252" s="472">
        <v>45879</v>
      </c>
      <c r="P252" s="468"/>
      <c r="Q252" s="478"/>
      <c r="R252" s="386" t="s">
        <v>1690</v>
      </c>
    </row>
    <row r="253" spans="1:18" s="370" customFormat="1" ht="16.899999999999999">
      <c r="A253" s="355" t="s">
        <v>1691</v>
      </c>
      <c r="B253" s="262" t="s">
        <v>1692</v>
      </c>
      <c r="C253" s="262" t="s">
        <v>1693</v>
      </c>
      <c r="D253" s="223" t="s">
        <v>1694</v>
      </c>
      <c r="E253" s="76" t="s">
        <v>132</v>
      </c>
      <c r="F253" s="277"/>
      <c r="G253" s="261"/>
      <c r="H253" s="320"/>
      <c r="I253" s="261">
        <v>45817</v>
      </c>
      <c r="J253" s="362">
        <v>45818</v>
      </c>
      <c r="K253" s="362">
        <v>45820</v>
      </c>
      <c r="L253" s="362" t="s">
        <v>724</v>
      </c>
      <c r="M253" s="262" t="s">
        <v>1695</v>
      </c>
      <c r="N253" s="196"/>
      <c r="O253" s="395"/>
      <c r="P253" s="76"/>
      <c r="Q253" s="373"/>
    </row>
    <row r="254" spans="1:18" s="387" customFormat="1" ht="16.899999999999999">
      <c r="A254" s="384"/>
      <c r="B254" s="336" t="s">
        <v>134</v>
      </c>
      <c r="C254" s="336" t="s">
        <v>135</v>
      </c>
      <c r="D254" s="467" t="s">
        <v>1696</v>
      </c>
      <c r="E254" s="468" t="s">
        <v>132</v>
      </c>
      <c r="F254" s="337">
        <v>551.25</v>
      </c>
      <c r="G254" s="469">
        <v>45819</v>
      </c>
      <c r="H254" s="470">
        <v>45847</v>
      </c>
      <c r="I254" s="469">
        <v>45859</v>
      </c>
      <c r="J254" s="385">
        <v>45860</v>
      </c>
      <c r="K254" s="385">
        <v>45863</v>
      </c>
      <c r="L254" s="385" t="s">
        <v>38</v>
      </c>
      <c r="M254" s="336" t="s">
        <v>191</v>
      </c>
      <c r="N254" s="468" t="s">
        <v>1697</v>
      </c>
      <c r="O254" s="472">
        <v>45884</v>
      </c>
      <c r="P254" s="468" t="s">
        <v>1698</v>
      </c>
      <c r="Q254" s="478"/>
      <c r="R254" s="386" t="s">
        <v>1699</v>
      </c>
    </row>
    <row r="255" spans="1:18" s="387" customFormat="1" ht="16.899999999999999">
      <c r="A255" s="384" t="s">
        <v>1700</v>
      </c>
      <c r="B255" s="336" t="s">
        <v>43</v>
      </c>
      <c r="C255" s="336" t="s">
        <v>151</v>
      </c>
      <c r="D255" s="467" t="s">
        <v>1701</v>
      </c>
      <c r="E255" s="468" t="s">
        <v>132</v>
      </c>
      <c r="F255" s="337">
        <v>9108</v>
      </c>
      <c r="G255" s="469">
        <v>45828</v>
      </c>
      <c r="H255" s="470">
        <v>45877</v>
      </c>
      <c r="I255" s="469">
        <v>45870</v>
      </c>
      <c r="J255" s="385">
        <v>45873</v>
      </c>
      <c r="K255" s="385">
        <v>45876</v>
      </c>
      <c r="L255" s="385" t="s">
        <v>38</v>
      </c>
      <c r="M255" s="336" t="s">
        <v>39</v>
      </c>
      <c r="N255" s="468" t="s">
        <v>1702</v>
      </c>
      <c r="O255" s="472">
        <v>45900</v>
      </c>
      <c r="P255" s="468" t="s">
        <v>1703</v>
      </c>
      <c r="Q255" s="373"/>
      <c r="R255" s="386" t="s">
        <v>1704</v>
      </c>
    </row>
    <row r="256" spans="1:18" s="387" customFormat="1" ht="31.5">
      <c r="A256" s="384" t="s">
        <v>1705</v>
      </c>
      <c r="B256" s="336" t="s">
        <v>1706</v>
      </c>
      <c r="C256" s="336" t="s">
        <v>135</v>
      </c>
      <c r="D256" s="467" t="s">
        <v>1707</v>
      </c>
      <c r="E256" s="468" t="s">
        <v>132</v>
      </c>
      <c r="F256" s="337">
        <v>2075.9299999999998</v>
      </c>
      <c r="G256" s="469">
        <v>45835</v>
      </c>
      <c r="H256" s="470">
        <v>45865</v>
      </c>
      <c r="I256" s="469">
        <v>45859</v>
      </c>
      <c r="J256" s="385">
        <v>45860</v>
      </c>
      <c r="K256" s="385">
        <v>45863</v>
      </c>
      <c r="L256" s="385" t="s">
        <v>38</v>
      </c>
      <c r="M256" s="336" t="s">
        <v>39</v>
      </c>
      <c r="N256" s="468" t="s">
        <v>1708</v>
      </c>
      <c r="O256" s="472">
        <v>45884</v>
      </c>
      <c r="P256" s="468" t="s">
        <v>1709</v>
      </c>
      <c r="Q256" s="478"/>
      <c r="R256" s="386" t="s">
        <v>1710</v>
      </c>
    </row>
    <row r="257" spans="1:18" s="489" customFormat="1" ht="16.899999999999999">
      <c r="A257" s="473" t="s">
        <v>1711</v>
      </c>
      <c r="B257" s="347" t="s">
        <v>993</v>
      </c>
      <c r="C257" s="347" t="s">
        <v>151</v>
      </c>
      <c r="D257" s="474" t="s">
        <v>1712</v>
      </c>
      <c r="E257" s="475" t="s">
        <v>132</v>
      </c>
      <c r="F257" s="348">
        <v>1118</v>
      </c>
      <c r="G257" s="476">
        <v>45842</v>
      </c>
      <c r="H257" s="487">
        <v>45861</v>
      </c>
      <c r="I257" s="476">
        <v>45856</v>
      </c>
      <c r="J257" s="488">
        <v>45859</v>
      </c>
      <c r="K257" s="488">
        <v>45861</v>
      </c>
      <c r="L257" s="488" t="s">
        <v>724</v>
      </c>
      <c r="M257" s="347" t="s">
        <v>39</v>
      </c>
      <c r="N257" s="475" t="s">
        <v>1713</v>
      </c>
      <c r="O257" s="477">
        <v>45885</v>
      </c>
      <c r="P257" s="475"/>
      <c r="Q257" s="478"/>
      <c r="R257" s="386" t="s">
        <v>1714</v>
      </c>
    </row>
    <row r="258" spans="1:18" s="387" customFormat="1" ht="16.899999999999999">
      <c r="A258" s="384" t="s">
        <v>1715</v>
      </c>
      <c r="B258" s="336" t="s">
        <v>43</v>
      </c>
      <c r="C258" s="336" t="s">
        <v>1716</v>
      </c>
      <c r="D258" s="467" t="s">
        <v>1717</v>
      </c>
      <c r="E258" s="468" t="s">
        <v>132</v>
      </c>
      <c r="F258" s="337">
        <v>2437.5</v>
      </c>
      <c r="G258" s="469">
        <v>45842</v>
      </c>
      <c r="H258" s="470">
        <v>45870</v>
      </c>
      <c r="I258" s="469">
        <v>45852</v>
      </c>
      <c r="J258" s="385">
        <v>45853</v>
      </c>
      <c r="K258" s="385">
        <v>45856</v>
      </c>
      <c r="L258" s="385" t="s">
        <v>724</v>
      </c>
      <c r="M258" s="336" t="s">
        <v>47</v>
      </c>
      <c r="N258" s="468">
        <v>18488</v>
      </c>
      <c r="O258" s="472">
        <v>45882</v>
      </c>
      <c r="P258" s="468">
        <v>8252</v>
      </c>
      <c r="Q258" s="386"/>
      <c r="R258" s="386" t="s">
        <v>1718</v>
      </c>
    </row>
    <row r="259" spans="1:18" s="387" customFormat="1" ht="16.899999999999999">
      <c r="A259" s="384" t="s">
        <v>1719</v>
      </c>
      <c r="B259" s="336" t="s">
        <v>1720</v>
      </c>
      <c r="C259" s="336" t="s">
        <v>1721</v>
      </c>
      <c r="D259" s="467" t="s">
        <v>1722</v>
      </c>
      <c r="E259" s="468" t="s">
        <v>132</v>
      </c>
      <c r="F259" s="337">
        <v>22010</v>
      </c>
      <c r="G259" s="469">
        <v>45848</v>
      </c>
      <c r="H259" s="470">
        <v>45849</v>
      </c>
      <c r="I259" s="469">
        <v>45854</v>
      </c>
      <c r="J259" s="385">
        <v>45855</v>
      </c>
      <c r="K259" s="385">
        <v>45859</v>
      </c>
      <c r="L259" s="385" t="s">
        <v>38</v>
      </c>
      <c r="M259" s="336" t="s">
        <v>146</v>
      </c>
      <c r="N259" s="468">
        <v>90199161</v>
      </c>
      <c r="O259" s="472">
        <v>45882</v>
      </c>
      <c r="P259" s="468">
        <v>87952</v>
      </c>
      <c r="Q259" s="478"/>
      <c r="R259" s="386" t="s">
        <v>1723</v>
      </c>
    </row>
    <row r="260" spans="1:18" s="370" customFormat="1" ht="16.899999999999999">
      <c r="A260" s="355" t="s">
        <v>1535</v>
      </c>
      <c r="B260" s="262" t="s">
        <v>43</v>
      </c>
      <c r="C260" s="262" t="s">
        <v>1724</v>
      </c>
      <c r="D260" s="223" t="s">
        <v>1725</v>
      </c>
      <c r="E260" s="76" t="s">
        <v>132</v>
      </c>
      <c r="F260" s="277"/>
      <c r="G260" s="261">
        <v>45875</v>
      </c>
      <c r="H260" s="320"/>
      <c r="I260" s="261"/>
      <c r="J260" s="362">
        <v>45877</v>
      </c>
      <c r="K260" s="362">
        <v>45880</v>
      </c>
      <c r="L260" s="362" t="s">
        <v>38</v>
      </c>
      <c r="M260" s="262" t="s">
        <v>1248</v>
      </c>
      <c r="N260" s="76">
        <v>189515</v>
      </c>
      <c r="O260" s="437" t="s">
        <v>1258</v>
      </c>
      <c r="P260" s="76"/>
      <c r="Q260" s="382"/>
    </row>
    <row r="261" spans="1:18" s="387" customFormat="1" ht="31.5">
      <c r="A261" s="384" t="s">
        <v>1726</v>
      </c>
      <c r="B261" s="336" t="s">
        <v>1727</v>
      </c>
      <c r="C261" s="336" t="s">
        <v>158</v>
      </c>
      <c r="D261" s="467" t="s">
        <v>1728</v>
      </c>
      <c r="E261" s="468" t="s">
        <v>132</v>
      </c>
      <c r="F261" s="337">
        <v>21744</v>
      </c>
      <c r="G261" s="469">
        <v>45791</v>
      </c>
      <c r="H261" s="470">
        <v>45856</v>
      </c>
      <c r="I261" s="469">
        <v>45859</v>
      </c>
      <c r="J261" s="385">
        <v>45860</v>
      </c>
      <c r="K261" s="385">
        <v>45862</v>
      </c>
      <c r="L261" s="385" t="s">
        <v>38</v>
      </c>
      <c r="M261" s="336" t="s">
        <v>146</v>
      </c>
      <c r="N261" s="468">
        <v>21572</v>
      </c>
      <c r="O261" s="472">
        <v>45889</v>
      </c>
      <c r="P261" s="468"/>
      <c r="Q261" s="478"/>
      <c r="R261" s="386" t="s">
        <v>1729</v>
      </c>
    </row>
    <row r="262" spans="1:18" s="387" customFormat="1" ht="16.899999999999999">
      <c r="A262" s="384" t="s">
        <v>1730</v>
      </c>
      <c r="B262" s="336" t="s">
        <v>1731</v>
      </c>
      <c r="C262" s="336" t="s">
        <v>1221</v>
      </c>
      <c r="D262" s="467" t="s">
        <v>1732</v>
      </c>
      <c r="E262" s="468" t="s">
        <v>132</v>
      </c>
      <c r="F262" s="337">
        <v>5867.5</v>
      </c>
      <c r="G262" s="469">
        <v>45833</v>
      </c>
      <c r="H262" s="470">
        <v>45869</v>
      </c>
      <c r="I262" s="469">
        <v>45862</v>
      </c>
      <c r="J262" s="469">
        <v>45863</v>
      </c>
      <c r="K262" s="385">
        <v>45866</v>
      </c>
      <c r="L262" s="385" t="s">
        <v>38</v>
      </c>
      <c r="M262" s="336" t="s">
        <v>39</v>
      </c>
      <c r="N262" s="468" t="s">
        <v>1733</v>
      </c>
      <c r="O262" s="472">
        <v>45893</v>
      </c>
      <c r="P262" s="468" t="s">
        <v>1734</v>
      </c>
      <c r="Q262" s="478"/>
      <c r="R262" s="386" t="s">
        <v>1735</v>
      </c>
    </row>
    <row r="263" spans="1:18" s="489" customFormat="1" ht="16.899999999999999">
      <c r="A263" s="473" t="s">
        <v>1736</v>
      </c>
      <c r="B263" s="347" t="s">
        <v>1679</v>
      </c>
      <c r="C263" s="347" t="s">
        <v>1221</v>
      </c>
      <c r="D263" s="474" t="s">
        <v>1737</v>
      </c>
      <c r="E263" s="475" t="s">
        <v>132</v>
      </c>
      <c r="F263" s="348">
        <v>1795.5</v>
      </c>
      <c r="G263" s="476">
        <v>45863</v>
      </c>
      <c r="H263" s="487" t="s">
        <v>964</v>
      </c>
      <c r="I263" s="476"/>
      <c r="J263" s="488"/>
      <c r="K263" s="488"/>
      <c r="L263" s="488"/>
      <c r="M263" s="347" t="s">
        <v>39</v>
      </c>
      <c r="N263" s="475" t="s">
        <v>1738</v>
      </c>
      <c r="O263" s="477">
        <v>45898</v>
      </c>
      <c r="P263" s="475"/>
      <c r="Q263" s="373"/>
      <c r="R263" s="386" t="s">
        <v>1739</v>
      </c>
    </row>
    <row r="264" spans="1:18" s="489" customFormat="1" ht="16.899999999999999">
      <c r="A264" s="473"/>
      <c r="B264" s="347"/>
      <c r="C264" s="347" t="s">
        <v>1740</v>
      </c>
      <c r="D264" s="474" t="s">
        <v>1741</v>
      </c>
      <c r="E264" s="475" t="s">
        <v>132</v>
      </c>
      <c r="F264" s="348">
        <v>5715.88</v>
      </c>
      <c r="G264" s="476"/>
      <c r="H264" s="487"/>
      <c r="I264" s="476"/>
      <c r="J264" s="488"/>
      <c r="K264" s="488"/>
      <c r="L264" s="488"/>
      <c r="M264" s="347" t="s">
        <v>1742</v>
      </c>
      <c r="N264" s="475"/>
      <c r="O264" s="477">
        <v>45899</v>
      </c>
      <c r="P264" s="475"/>
      <c r="Q264" s="478"/>
      <c r="R264" s="386" t="s">
        <v>1743</v>
      </c>
    </row>
    <row r="265" spans="1:18" s="387" customFormat="1" ht="16.899999999999999">
      <c r="A265" s="384" t="s">
        <v>1744</v>
      </c>
      <c r="B265" s="336" t="s">
        <v>1148</v>
      </c>
      <c r="C265" s="336" t="s">
        <v>195</v>
      </c>
      <c r="D265" s="467" t="s">
        <v>1745</v>
      </c>
      <c r="E265" s="468" t="s">
        <v>132</v>
      </c>
      <c r="F265" s="337">
        <v>7650</v>
      </c>
      <c r="G265" s="469">
        <v>45800</v>
      </c>
      <c r="H265" s="470">
        <v>45870</v>
      </c>
      <c r="I265" s="469">
        <v>45870</v>
      </c>
      <c r="J265" s="385">
        <v>45873</v>
      </c>
      <c r="K265" s="385">
        <v>45874</v>
      </c>
      <c r="L265" s="385" t="s">
        <v>38</v>
      </c>
      <c r="M265" s="336" t="s">
        <v>39</v>
      </c>
      <c r="N265" s="468" t="s">
        <v>1746</v>
      </c>
      <c r="O265" s="472">
        <v>45900</v>
      </c>
      <c r="P265" s="468" t="s">
        <v>1747</v>
      </c>
      <c r="Q265" s="478"/>
    </row>
    <row r="266" spans="1:18" s="387" customFormat="1" ht="16.899999999999999">
      <c r="A266" s="384" t="s">
        <v>1748</v>
      </c>
      <c r="B266" s="336" t="s">
        <v>1201</v>
      </c>
      <c r="C266" s="336" t="s">
        <v>195</v>
      </c>
      <c r="D266" s="467" t="s">
        <v>1749</v>
      </c>
      <c r="E266" s="468" t="s">
        <v>132</v>
      </c>
      <c r="F266" s="337">
        <v>10183</v>
      </c>
      <c r="G266" s="469">
        <v>45817</v>
      </c>
      <c r="H266" s="470">
        <v>45880</v>
      </c>
      <c r="I266" s="469">
        <v>45868</v>
      </c>
      <c r="J266" s="469">
        <v>45869</v>
      </c>
      <c r="K266" s="385">
        <v>45873</v>
      </c>
      <c r="L266" s="385" t="s">
        <v>724</v>
      </c>
      <c r="M266" s="336" t="s">
        <v>39</v>
      </c>
      <c r="N266" s="468" t="s">
        <v>1750</v>
      </c>
      <c r="O266" s="472">
        <v>45897</v>
      </c>
      <c r="P266" s="468" t="s">
        <v>1751</v>
      </c>
      <c r="Q266" s="478"/>
    </row>
    <row r="267" spans="1:18" s="387" customFormat="1" ht="16.899999999999999">
      <c r="A267" s="384" t="s">
        <v>870</v>
      </c>
      <c r="B267" s="336" t="s">
        <v>1752</v>
      </c>
      <c r="C267" s="336" t="s">
        <v>195</v>
      </c>
      <c r="D267" s="467" t="s">
        <v>1753</v>
      </c>
      <c r="E267" s="468" t="s">
        <v>132</v>
      </c>
      <c r="F267" s="337">
        <f>4998.85+628.94+36.5</f>
        <v>5664.2900000000009</v>
      </c>
      <c r="G267" s="469"/>
      <c r="H267" s="470"/>
      <c r="I267" s="469"/>
      <c r="J267" s="469"/>
      <c r="K267" s="385"/>
      <c r="L267" s="385"/>
      <c r="M267" s="336"/>
      <c r="N267" s="468"/>
      <c r="O267" s="472">
        <v>45900</v>
      </c>
      <c r="P267" s="468"/>
      <c r="Q267" s="478"/>
    </row>
    <row r="268" spans="1:18" s="489" customFormat="1" ht="16.899999999999999">
      <c r="A268" s="473" t="s">
        <v>1754</v>
      </c>
      <c r="B268" s="347" t="s">
        <v>1755</v>
      </c>
      <c r="C268" s="347" t="s">
        <v>1568</v>
      </c>
      <c r="D268" s="474" t="s">
        <v>1756</v>
      </c>
      <c r="E268" s="475" t="s">
        <v>132</v>
      </c>
      <c r="F268" s="348">
        <v>25786.75</v>
      </c>
      <c r="G268" s="476">
        <v>45840</v>
      </c>
      <c r="H268" s="487">
        <v>45866</v>
      </c>
      <c r="I268" s="476">
        <v>45867</v>
      </c>
      <c r="J268" s="488">
        <v>45873</v>
      </c>
      <c r="K268" s="488">
        <v>45874</v>
      </c>
      <c r="L268" s="488" t="s">
        <v>38</v>
      </c>
      <c r="M268" s="347" t="s">
        <v>146</v>
      </c>
      <c r="N268" s="475">
        <v>4828</v>
      </c>
      <c r="O268" s="477">
        <v>45898</v>
      </c>
      <c r="P268" s="475">
        <v>105175</v>
      </c>
      <c r="Q268" s="478"/>
      <c r="R268" s="489" t="s">
        <v>1757</v>
      </c>
    </row>
    <row r="269" spans="1:18" s="387" customFormat="1" ht="16.899999999999999">
      <c r="A269" s="384" t="s">
        <v>1758</v>
      </c>
      <c r="B269" s="336" t="s">
        <v>43</v>
      </c>
      <c r="C269" s="336" t="s">
        <v>1759</v>
      </c>
      <c r="D269" s="467" t="s">
        <v>1760</v>
      </c>
      <c r="E269" s="468" t="s">
        <v>132</v>
      </c>
      <c r="F269" s="337">
        <v>3322.73</v>
      </c>
      <c r="G269" s="469">
        <v>45848</v>
      </c>
      <c r="H269" s="470">
        <v>45866</v>
      </c>
      <c r="I269" s="469">
        <v>45866</v>
      </c>
      <c r="J269" s="385">
        <v>45867</v>
      </c>
      <c r="K269" s="385">
        <v>45868</v>
      </c>
      <c r="L269" s="385" t="s">
        <v>724</v>
      </c>
      <c r="M269" s="336" t="s">
        <v>146</v>
      </c>
      <c r="N269" s="468" t="s">
        <v>1761</v>
      </c>
      <c r="O269" s="472">
        <v>45898</v>
      </c>
      <c r="P269" s="468" t="s">
        <v>1762</v>
      </c>
      <c r="Q269" s="478"/>
    </row>
    <row r="270" spans="1:18" s="387" customFormat="1" ht="16.899999999999999">
      <c r="A270" s="384" t="s">
        <v>1763</v>
      </c>
      <c r="B270" s="336" t="s">
        <v>43</v>
      </c>
      <c r="C270" s="336" t="s">
        <v>1481</v>
      </c>
      <c r="D270" s="467" t="s">
        <v>1764</v>
      </c>
      <c r="E270" s="468" t="s">
        <v>132</v>
      </c>
      <c r="F270" s="337">
        <v>21304.17</v>
      </c>
      <c r="G270" s="469">
        <v>45863</v>
      </c>
      <c r="H270" s="470">
        <v>45873</v>
      </c>
      <c r="I270" s="469">
        <v>45877</v>
      </c>
      <c r="J270" s="385">
        <v>45880</v>
      </c>
      <c r="K270" s="385">
        <v>45881</v>
      </c>
      <c r="L270" s="385" t="s">
        <v>38</v>
      </c>
      <c r="M270" s="336" t="s">
        <v>39</v>
      </c>
      <c r="N270" s="468" t="s">
        <v>1765</v>
      </c>
      <c r="O270" s="472">
        <v>45897</v>
      </c>
      <c r="P270" s="468"/>
      <c r="Q270" s="478"/>
    </row>
    <row r="271" spans="1:18" s="370" customFormat="1" ht="16.899999999999999">
      <c r="A271" s="355" t="s">
        <v>1535</v>
      </c>
      <c r="B271" s="262" t="s">
        <v>43</v>
      </c>
      <c r="C271" s="262" t="s">
        <v>1766</v>
      </c>
      <c r="D271" s="223" t="s">
        <v>1767</v>
      </c>
      <c r="E271" s="76" t="s">
        <v>132</v>
      </c>
      <c r="F271" s="277"/>
      <c r="G271" s="261">
        <v>45877</v>
      </c>
      <c r="H271" s="320"/>
      <c r="I271" s="261">
        <v>45891</v>
      </c>
      <c r="J271" s="362">
        <v>45894</v>
      </c>
      <c r="K271" s="362">
        <v>45895</v>
      </c>
      <c r="L271" s="362" t="s">
        <v>38</v>
      </c>
      <c r="M271" s="262" t="s">
        <v>1248</v>
      </c>
      <c r="N271" s="76" t="s">
        <v>1768</v>
      </c>
      <c r="O271" s="437" t="s">
        <v>1258</v>
      </c>
      <c r="P271" s="76"/>
      <c r="Q271" s="373"/>
    </row>
    <row r="272" spans="1:18" s="370" customFormat="1" ht="16.899999999999999">
      <c r="A272" s="355" t="s">
        <v>1535</v>
      </c>
      <c r="B272" s="262" t="s">
        <v>43</v>
      </c>
      <c r="C272" s="262" t="s">
        <v>1769</v>
      </c>
      <c r="D272" s="223" t="s">
        <v>1770</v>
      </c>
      <c r="E272" s="76" t="s">
        <v>132</v>
      </c>
      <c r="F272" s="277"/>
      <c r="G272" s="261">
        <v>45877</v>
      </c>
      <c r="H272" s="320"/>
      <c r="I272" s="261">
        <v>45881</v>
      </c>
      <c r="J272" s="362">
        <v>45882</v>
      </c>
      <c r="K272" s="360">
        <v>45887</v>
      </c>
      <c r="L272" s="360" t="s">
        <v>38</v>
      </c>
      <c r="M272" s="262" t="s">
        <v>1248</v>
      </c>
      <c r="N272" s="76" t="s">
        <v>1771</v>
      </c>
      <c r="O272" s="437" t="s">
        <v>1258</v>
      </c>
      <c r="P272" s="76"/>
      <c r="Q272" s="373"/>
    </row>
    <row r="273" spans="1:18" s="387" customFormat="1" ht="16.899999999999999">
      <c r="A273" s="384" t="s">
        <v>1772</v>
      </c>
      <c r="B273" s="336" t="s">
        <v>43</v>
      </c>
      <c r="C273" s="336" t="s">
        <v>1759</v>
      </c>
      <c r="D273" s="467" t="s">
        <v>1773</v>
      </c>
      <c r="E273" s="468" t="s">
        <v>132</v>
      </c>
      <c r="F273" s="337">
        <v>25000</v>
      </c>
      <c r="G273" s="469">
        <v>45754</v>
      </c>
      <c r="H273" s="470">
        <v>45835</v>
      </c>
      <c r="I273" s="469">
        <v>45848</v>
      </c>
      <c r="J273" s="385">
        <v>45856</v>
      </c>
      <c r="K273" s="385">
        <v>45857</v>
      </c>
      <c r="L273" s="385" t="s">
        <v>43</v>
      </c>
      <c r="M273" s="336" t="s">
        <v>146</v>
      </c>
      <c r="N273" s="475" t="s">
        <v>1774</v>
      </c>
      <c r="O273" s="477">
        <v>45903</v>
      </c>
      <c r="P273" s="468" t="s">
        <v>1775</v>
      </c>
      <c r="Q273" s="478"/>
      <c r="R273" s="386" t="s">
        <v>1776</v>
      </c>
    </row>
    <row r="274" spans="1:18" s="387" customFormat="1" ht="16.899999999999999">
      <c r="A274" s="384" t="s">
        <v>1777</v>
      </c>
      <c r="B274" s="336" t="s">
        <v>1778</v>
      </c>
      <c r="C274" s="336" t="s">
        <v>1759</v>
      </c>
      <c r="D274" s="467" t="s">
        <v>1779</v>
      </c>
      <c r="E274" s="468" t="s">
        <v>132</v>
      </c>
      <c r="F274" s="337">
        <v>3395.75</v>
      </c>
      <c r="G274" s="469">
        <v>45854</v>
      </c>
      <c r="H274" s="470">
        <v>45868</v>
      </c>
      <c r="I274" s="469">
        <v>45867</v>
      </c>
      <c r="J274" s="385">
        <v>45868</v>
      </c>
      <c r="K274" s="385">
        <v>45874</v>
      </c>
      <c r="L274" s="385" t="s">
        <v>38</v>
      </c>
      <c r="M274" s="336" t="s">
        <v>39</v>
      </c>
      <c r="N274" s="468" t="s">
        <v>1780</v>
      </c>
      <c r="O274" s="472">
        <v>45903</v>
      </c>
      <c r="P274" s="468" t="s">
        <v>1781</v>
      </c>
      <c r="Q274" s="478"/>
      <c r="R274" s="386" t="s">
        <v>1782</v>
      </c>
    </row>
    <row r="275" spans="1:18" s="387" customFormat="1" ht="16.899999999999999">
      <c r="A275" s="384" t="s">
        <v>870</v>
      </c>
      <c r="B275" s="336" t="s">
        <v>1505</v>
      </c>
      <c r="C275" s="336" t="s">
        <v>1783</v>
      </c>
      <c r="D275" s="467" t="s">
        <v>1784</v>
      </c>
      <c r="E275" s="468" t="s">
        <v>132</v>
      </c>
      <c r="F275" s="337">
        <v>138.30000000000001</v>
      </c>
      <c r="G275" s="469">
        <v>45874</v>
      </c>
      <c r="H275" s="470"/>
      <c r="I275" s="469">
        <v>45874</v>
      </c>
      <c r="J275" s="469">
        <v>45875</v>
      </c>
      <c r="K275" s="385">
        <v>45880</v>
      </c>
      <c r="L275" s="385" t="s">
        <v>38</v>
      </c>
      <c r="M275" s="336" t="s">
        <v>146</v>
      </c>
      <c r="N275" s="468" t="s">
        <v>1785</v>
      </c>
      <c r="O275" s="472">
        <v>45905</v>
      </c>
      <c r="P275" s="468"/>
      <c r="Q275" s="478"/>
      <c r="R275" s="386" t="s">
        <v>1786</v>
      </c>
    </row>
    <row r="276" spans="1:18" s="370" customFormat="1" ht="16.899999999999999">
      <c r="A276" s="355" t="s">
        <v>1535</v>
      </c>
      <c r="B276" s="262" t="s">
        <v>43</v>
      </c>
      <c r="C276" s="262" t="s">
        <v>1724</v>
      </c>
      <c r="D276" s="223" t="s">
        <v>1787</v>
      </c>
      <c r="E276" s="76" t="s">
        <v>132</v>
      </c>
      <c r="F276" s="277"/>
      <c r="G276" s="261">
        <v>45877</v>
      </c>
      <c r="H276" s="320"/>
      <c r="I276" s="261"/>
      <c r="J276" s="362">
        <v>45880</v>
      </c>
      <c r="K276" s="362">
        <v>45881</v>
      </c>
      <c r="L276" s="362" t="s">
        <v>38</v>
      </c>
      <c r="M276" s="262" t="s">
        <v>1248</v>
      </c>
      <c r="N276" s="76"/>
      <c r="O276" s="437"/>
      <c r="P276" s="76"/>
      <c r="Q276" s="373"/>
    </row>
    <row r="277" spans="1:18" s="370" customFormat="1" ht="16.899999999999999">
      <c r="A277" s="355" t="s">
        <v>1535</v>
      </c>
      <c r="B277" s="262" t="s">
        <v>43</v>
      </c>
      <c r="C277" s="262" t="s">
        <v>1724</v>
      </c>
      <c r="D277" s="223" t="s">
        <v>1788</v>
      </c>
      <c r="E277" s="76" t="s">
        <v>132</v>
      </c>
      <c r="F277" s="277"/>
      <c r="G277" s="261">
        <v>45877</v>
      </c>
      <c r="H277" s="320"/>
      <c r="I277" s="261"/>
      <c r="J277" s="362">
        <v>45882</v>
      </c>
      <c r="K277" s="360">
        <v>45887</v>
      </c>
      <c r="L277" s="360" t="s">
        <v>38</v>
      </c>
      <c r="M277" s="262" t="s">
        <v>1248</v>
      </c>
      <c r="N277" s="76"/>
      <c r="O277" s="437"/>
      <c r="P277" s="76"/>
      <c r="Q277" s="373"/>
    </row>
    <row r="278" spans="1:18" s="489" customFormat="1" ht="16.899999999999999">
      <c r="A278" s="473" t="s">
        <v>1007</v>
      </c>
      <c r="B278" s="347" t="s">
        <v>801</v>
      </c>
      <c r="C278" s="347" t="s">
        <v>151</v>
      </c>
      <c r="D278" s="474" t="s">
        <v>1789</v>
      </c>
      <c r="E278" s="475" t="s">
        <v>132</v>
      </c>
      <c r="F278" s="348">
        <v>815.4</v>
      </c>
      <c r="G278" s="476">
        <v>45874</v>
      </c>
      <c r="H278" s="487">
        <v>45905</v>
      </c>
      <c r="I278" s="476">
        <v>45884</v>
      </c>
      <c r="J278" s="488">
        <v>45887</v>
      </c>
      <c r="K278" s="488">
        <v>45888</v>
      </c>
      <c r="L278" s="488" t="s">
        <v>38</v>
      </c>
      <c r="M278" s="347" t="s">
        <v>39</v>
      </c>
      <c r="N278" s="475" t="s">
        <v>1790</v>
      </c>
      <c r="O278" s="477">
        <v>45912</v>
      </c>
      <c r="P278" s="475" t="s">
        <v>1791</v>
      </c>
      <c r="Q278" s="478"/>
      <c r="R278" s="478" t="s">
        <v>1792</v>
      </c>
    </row>
    <row r="279" spans="1:18" s="402" customFormat="1" ht="16.899999999999999">
      <c r="A279" s="418" t="s">
        <v>1793</v>
      </c>
      <c r="B279" s="311" t="s">
        <v>43</v>
      </c>
      <c r="C279" s="311" t="s">
        <v>189</v>
      </c>
      <c r="D279" s="266" t="s">
        <v>1794</v>
      </c>
      <c r="E279" s="222" t="s">
        <v>132</v>
      </c>
      <c r="F279" s="315">
        <v>9545.5</v>
      </c>
      <c r="G279" s="444">
        <v>45784</v>
      </c>
      <c r="H279" s="445">
        <v>45899</v>
      </c>
      <c r="I279" s="444">
        <v>45896</v>
      </c>
      <c r="J279" s="399">
        <v>45901</v>
      </c>
      <c r="K279" s="399">
        <v>45902</v>
      </c>
      <c r="L279" s="399" t="s">
        <v>724</v>
      </c>
      <c r="M279" s="311" t="s">
        <v>39</v>
      </c>
      <c r="N279" s="222" t="s">
        <v>1795</v>
      </c>
      <c r="O279" s="400">
        <v>45926</v>
      </c>
      <c r="P279" s="222" t="s">
        <v>1796</v>
      </c>
      <c r="Q279" s="412"/>
      <c r="R279" s="401" t="s">
        <v>1797</v>
      </c>
    </row>
    <row r="280" spans="1:18" s="402" customFormat="1" ht="31.5">
      <c r="A280" s="418" t="s">
        <v>1798</v>
      </c>
      <c r="B280" s="311" t="s">
        <v>1799</v>
      </c>
      <c r="C280" s="311" t="s">
        <v>189</v>
      </c>
      <c r="D280" s="266" t="s">
        <v>1800</v>
      </c>
      <c r="E280" s="222" t="s">
        <v>132</v>
      </c>
      <c r="F280" s="315">
        <v>9073.75</v>
      </c>
      <c r="G280" s="444">
        <v>45804</v>
      </c>
      <c r="H280" s="445">
        <v>45891</v>
      </c>
      <c r="I280" s="444">
        <v>45891</v>
      </c>
      <c r="J280" s="399">
        <v>45895</v>
      </c>
      <c r="K280" s="399">
        <v>45896</v>
      </c>
      <c r="L280" s="399" t="s">
        <v>724</v>
      </c>
      <c r="M280" s="311" t="s">
        <v>39</v>
      </c>
      <c r="N280" s="222" t="s">
        <v>1801</v>
      </c>
      <c r="O280" s="400">
        <v>45921</v>
      </c>
      <c r="P280" s="222" t="s">
        <v>1802</v>
      </c>
      <c r="Q280" s="412"/>
      <c r="R280" s="401" t="s">
        <v>1803</v>
      </c>
    </row>
    <row r="281" spans="1:18" s="450" customFormat="1" ht="16.899999999999999">
      <c r="A281" s="364" t="s">
        <v>1804</v>
      </c>
      <c r="B281" s="314" t="s">
        <v>1805</v>
      </c>
      <c r="C281" s="314" t="s">
        <v>143</v>
      </c>
      <c r="D281" s="218" t="s">
        <v>1806</v>
      </c>
      <c r="E281" s="212" t="s">
        <v>132</v>
      </c>
      <c r="F281" s="292">
        <v>1500</v>
      </c>
      <c r="G281" s="448">
        <v>45888</v>
      </c>
      <c r="H281" s="449" t="s">
        <v>964</v>
      </c>
      <c r="I281" s="448"/>
      <c r="J281" s="365"/>
      <c r="K281" s="365"/>
      <c r="L281" s="365"/>
      <c r="M281" s="314" t="s">
        <v>146</v>
      </c>
      <c r="N281" s="212">
        <v>90205917</v>
      </c>
      <c r="O281" s="436">
        <v>45919</v>
      </c>
      <c r="P281" s="212">
        <v>89726</v>
      </c>
      <c r="Q281" s="412"/>
      <c r="R281" s="401" t="s">
        <v>1807</v>
      </c>
    </row>
    <row r="282" spans="1:18" s="450" customFormat="1" ht="16.899999999999999">
      <c r="A282" s="364" t="s">
        <v>1808</v>
      </c>
      <c r="B282" s="314" t="s">
        <v>1679</v>
      </c>
      <c r="C282" s="314" t="s">
        <v>1221</v>
      </c>
      <c r="D282" s="218" t="s">
        <v>1737</v>
      </c>
      <c r="E282" s="212" t="s">
        <v>132</v>
      </c>
      <c r="F282" s="292">
        <v>1795.5</v>
      </c>
      <c r="G282" s="448">
        <v>45890</v>
      </c>
      <c r="H282" s="449" t="s">
        <v>964</v>
      </c>
      <c r="I282" s="448"/>
      <c r="J282" s="365"/>
      <c r="K282" s="365"/>
      <c r="L282" s="365"/>
      <c r="M282" s="314" t="s">
        <v>39</v>
      </c>
      <c r="N282" s="212" t="s">
        <v>1809</v>
      </c>
      <c r="O282" s="436">
        <v>45920</v>
      </c>
      <c r="P282" s="212"/>
      <c r="Q282" s="412"/>
      <c r="R282" s="401" t="s">
        <v>1810</v>
      </c>
    </row>
    <row r="283" spans="1:18" s="450" customFormat="1" ht="16.899999999999999">
      <c r="A283" s="364"/>
      <c r="B283" s="314" t="s">
        <v>134</v>
      </c>
      <c r="C283" s="314" t="s">
        <v>143</v>
      </c>
      <c r="D283" s="218" t="s">
        <v>1811</v>
      </c>
      <c r="E283" s="212" t="s">
        <v>132</v>
      </c>
      <c r="F283" s="292">
        <v>2000</v>
      </c>
      <c r="G283" s="448">
        <v>45904</v>
      </c>
      <c r="H283" s="449" t="s">
        <v>964</v>
      </c>
      <c r="I283" s="448"/>
      <c r="J283" s="365"/>
      <c r="K283" s="365"/>
      <c r="L283" s="365"/>
      <c r="M283" s="314" t="s">
        <v>146</v>
      </c>
      <c r="N283" s="212">
        <v>90208570</v>
      </c>
      <c r="O283" s="436">
        <v>45935</v>
      </c>
      <c r="P283" s="212">
        <v>90522</v>
      </c>
      <c r="Q283" s="412"/>
      <c r="R283" s="401" t="s">
        <v>1812</v>
      </c>
    </row>
    <row r="284" spans="1:18" s="371" customFormat="1" ht="16.899999999999999">
      <c r="A284" s="353"/>
      <c r="B284" s="289" t="s">
        <v>1293</v>
      </c>
      <c r="C284" s="289" t="s">
        <v>1667</v>
      </c>
      <c r="D284" s="224" t="s">
        <v>1813</v>
      </c>
      <c r="E284" s="196" t="s">
        <v>132</v>
      </c>
      <c r="F284" s="272"/>
      <c r="G284" s="424"/>
      <c r="H284" s="425"/>
      <c r="I284" s="424"/>
      <c r="J284" s="358">
        <v>45916</v>
      </c>
      <c r="K284" s="388">
        <v>45917</v>
      </c>
      <c r="L284" s="388" t="s">
        <v>38</v>
      </c>
      <c r="M284" s="289" t="s">
        <v>1290</v>
      </c>
      <c r="N284" s="196" t="s">
        <v>1814</v>
      </c>
      <c r="O284" s="395"/>
      <c r="P284" s="196"/>
      <c r="Q284" s="373"/>
    </row>
    <row r="285" spans="1:18" s="402" customFormat="1" ht="16.899999999999999">
      <c r="A285" s="418" t="s">
        <v>1715</v>
      </c>
      <c r="B285" s="311" t="s">
        <v>43</v>
      </c>
      <c r="C285" s="311" t="s">
        <v>1716</v>
      </c>
      <c r="D285" s="266" t="s">
        <v>1815</v>
      </c>
      <c r="E285" s="222" t="s">
        <v>132</v>
      </c>
      <c r="F285" s="315">
        <v>2947.5</v>
      </c>
      <c r="G285" s="444">
        <v>45876</v>
      </c>
      <c r="H285" s="445">
        <v>45904</v>
      </c>
      <c r="I285" s="444">
        <v>45913</v>
      </c>
      <c r="J285" s="399">
        <v>45915</v>
      </c>
      <c r="K285" s="399">
        <v>45916</v>
      </c>
      <c r="L285" s="399" t="s">
        <v>724</v>
      </c>
      <c r="M285" s="311" t="s">
        <v>47</v>
      </c>
      <c r="N285" s="222">
        <v>8272</v>
      </c>
      <c r="O285" s="400">
        <v>45941</v>
      </c>
      <c r="P285" s="222">
        <v>8272</v>
      </c>
      <c r="Q285" s="412"/>
      <c r="R285" s="401" t="s">
        <v>1816</v>
      </c>
    </row>
    <row r="286" spans="1:18" s="402" customFormat="1" ht="16.899999999999999">
      <c r="A286" s="418" t="s">
        <v>1002</v>
      </c>
      <c r="B286" s="311" t="s">
        <v>801</v>
      </c>
      <c r="C286" s="311" t="s">
        <v>135</v>
      </c>
      <c r="D286" s="266" t="s">
        <v>1817</v>
      </c>
      <c r="E286" s="222" t="s">
        <v>132</v>
      </c>
      <c r="F286" s="315">
        <v>249</v>
      </c>
      <c r="G286" s="444">
        <v>45890</v>
      </c>
      <c r="H286" s="445">
        <v>45904</v>
      </c>
      <c r="I286" s="444">
        <v>45903</v>
      </c>
      <c r="J286" s="399">
        <v>45904</v>
      </c>
      <c r="K286" s="399">
        <v>45908</v>
      </c>
      <c r="L286" s="399" t="s">
        <v>38</v>
      </c>
      <c r="M286" s="311" t="s">
        <v>39</v>
      </c>
      <c r="N286" s="222" t="s">
        <v>1818</v>
      </c>
      <c r="O286" s="400">
        <v>45932</v>
      </c>
      <c r="P286" s="222" t="s">
        <v>1818</v>
      </c>
      <c r="Q286" s="412"/>
      <c r="R286" s="401" t="s">
        <v>1819</v>
      </c>
    </row>
    <row r="287" spans="1:18" s="450" customFormat="1" ht="31.5">
      <c r="A287" s="364" t="s">
        <v>1820</v>
      </c>
      <c r="B287" s="314" t="s">
        <v>1159</v>
      </c>
      <c r="C287" s="314" t="s">
        <v>1362</v>
      </c>
      <c r="D287" s="218" t="s">
        <v>1821</v>
      </c>
      <c r="E287" s="212" t="s">
        <v>132</v>
      </c>
      <c r="F287" s="292">
        <v>3592.5</v>
      </c>
      <c r="G287" s="448">
        <v>45905</v>
      </c>
      <c r="H287" s="449" t="s">
        <v>964</v>
      </c>
      <c r="I287" s="448"/>
      <c r="J287" s="365"/>
      <c r="K287" s="365"/>
      <c r="L287" s="365"/>
      <c r="M287" s="314" t="s">
        <v>191</v>
      </c>
      <c r="N287" s="212">
        <v>1252</v>
      </c>
      <c r="O287" s="436">
        <v>45934</v>
      </c>
      <c r="P287" s="212"/>
      <c r="Q287" s="412"/>
      <c r="R287" s="401" t="s">
        <v>1822</v>
      </c>
    </row>
    <row r="288" spans="1:18" s="450" customFormat="1" ht="16.899999999999999">
      <c r="A288" s="364"/>
      <c r="B288" s="314"/>
      <c r="C288" s="314" t="s">
        <v>1823</v>
      </c>
      <c r="D288" s="218" t="s">
        <v>1824</v>
      </c>
      <c r="E288" s="212" t="s">
        <v>132</v>
      </c>
      <c r="F288" s="292">
        <v>2072.9299999999998</v>
      </c>
      <c r="G288" s="448"/>
      <c r="H288" s="449"/>
      <c r="I288" s="448"/>
      <c r="J288" s="365"/>
      <c r="K288" s="365"/>
      <c r="L288" s="365"/>
      <c r="M288" s="314"/>
      <c r="N288" s="212"/>
      <c r="O288" s="436">
        <v>45930</v>
      </c>
      <c r="P288" s="212"/>
      <c r="Q288" s="412"/>
      <c r="R288" s="401" t="s">
        <v>1825</v>
      </c>
    </row>
    <row r="289" spans="1:18" s="450" customFormat="1" ht="16.899999999999999">
      <c r="A289" s="314"/>
      <c r="B289" s="314" t="s">
        <v>1826</v>
      </c>
      <c r="C289" s="212" t="s">
        <v>195</v>
      </c>
      <c r="D289" s="218" t="s">
        <v>1824</v>
      </c>
      <c r="E289" s="212" t="s">
        <v>132</v>
      </c>
      <c r="F289" s="292">
        <v>6285.57</v>
      </c>
      <c r="G289" s="448"/>
      <c r="H289" s="449"/>
      <c r="I289" s="448"/>
      <c r="J289" s="365"/>
      <c r="K289" s="365"/>
      <c r="L289" s="365"/>
      <c r="M289" s="314"/>
      <c r="N289" s="212"/>
      <c r="O289" s="436">
        <v>45930</v>
      </c>
      <c r="P289" s="212"/>
      <c r="Q289" s="412"/>
      <c r="R289" s="401" t="s">
        <v>1827</v>
      </c>
    </row>
    <row r="290" spans="1:18" s="366" customFormat="1" ht="16.899999999999999">
      <c r="A290" s="433"/>
      <c r="B290" s="294"/>
      <c r="C290" s="294" t="s">
        <v>1459</v>
      </c>
      <c r="D290" s="167" t="s">
        <v>1294</v>
      </c>
      <c r="E290" s="2" t="s">
        <v>132</v>
      </c>
      <c r="F290" s="295"/>
      <c r="G290" s="3"/>
      <c r="H290" s="434"/>
      <c r="I290" s="3"/>
      <c r="J290" s="388">
        <v>45925</v>
      </c>
      <c r="K290" s="388"/>
      <c r="L290" s="388" t="s">
        <v>38</v>
      </c>
      <c r="M290" s="294" t="s">
        <v>1290</v>
      </c>
      <c r="N290" s="2"/>
      <c r="O290" s="435"/>
      <c r="P290" s="2"/>
      <c r="Q290" s="423"/>
      <c r="R290" s="389"/>
    </row>
    <row r="291" spans="1:18" s="152" customFormat="1" ht="16.899999999999999">
      <c r="A291" s="589" t="s">
        <v>1828</v>
      </c>
      <c r="B291" s="242" t="s">
        <v>1829</v>
      </c>
      <c r="C291" s="242" t="s">
        <v>1830</v>
      </c>
      <c r="D291" s="179" t="s">
        <v>1831</v>
      </c>
      <c r="E291" s="131" t="s">
        <v>132</v>
      </c>
      <c r="F291" s="286">
        <v>16862</v>
      </c>
      <c r="G291" s="147">
        <v>45901</v>
      </c>
      <c r="H291" s="263">
        <v>45902</v>
      </c>
      <c r="I291" s="147">
        <v>45909</v>
      </c>
      <c r="J291" s="331">
        <v>45911</v>
      </c>
      <c r="K291" s="331">
        <v>45927</v>
      </c>
      <c r="L291" s="331" t="s">
        <v>38</v>
      </c>
      <c r="M291" s="242" t="s">
        <v>39</v>
      </c>
      <c r="N291" s="131" t="s">
        <v>1832</v>
      </c>
      <c r="O291" s="394" t="s">
        <v>1217</v>
      </c>
      <c r="P291" s="131"/>
      <c r="Q291" s="383"/>
      <c r="R291" s="381" t="s">
        <v>1833</v>
      </c>
    </row>
    <row r="292" spans="1:18" s="152" customFormat="1" ht="16.899999999999999">
      <c r="A292" s="359"/>
      <c r="B292" s="242" t="s">
        <v>180</v>
      </c>
      <c r="C292" s="242" t="s">
        <v>1830</v>
      </c>
      <c r="D292" s="179" t="s">
        <v>1834</v>
      </c>
      <c r="E292" s="131" t="s">
        <v>132</v>
      </c>
      <c r="F292" s="286">
        <v>16792</v>
      </c>
      <c r="G292" s="147">
        <v>45912</v>
      </c>
      <c r="H292" s="263">
        <v>45931</v>
      </c>
      <c r="I292" s="147">
        <v>45922</v>
      </c>
      <c r="J292" s="147">
        <v>45924</v>
      </c>
      <c r="K292" s="331">
        <v>45927</v>
      </c>
      <c r="L292" s="331" t="s">
        <v>38</v>
      </c>
      <c r="M292" s="242" t="s">
        <v>39</v>
      </c>
      <c r="N292" s="131" t="s">
        <v>1835</v>
      </c>
      <c r="O292" s="394" t="s">
        <v>1217</v>
      </c>
      <c r="P292" s="131" t="s">
        <v>1411</v>
      </c>
      <c r="Q292" s="383"/>
      <c r="R292" s="381" t="s">
        <v>1836</v>
      </c>
    </row>
    <row r="293" spans="1:18" s="402" customFormat="1" ht="16.899999999999999">
      <c r="A293" s="418" t="s">
        <v>1837</v>
      </c>
      <c r="B293" s="311" t="s">
        <v>1838</v>
      </c>
      <c r="C293" s="311" t="s">
        <v>1481</v>
      </c>
      <c r="D293" s="266" t="s">
        <v>1839</v>
      </c>
      <c r="E293" s="222" t="s">
        <v>132</v>
      </c>
      <c r="F293" s="315">
        <v>16507.7</v>
      </c>
      <c r="G293" s="444">
        <v>45905</v>
      </c>
      <c r="H293" s="445">
        <v>45919</v>
      </c>
      <c r="I293" s="444">
        <v>45917</v>
      </c>
      <c r="J293" s="399">
        <v>45923</v>
      </c>
      <c r="K293" s="399">
        <v>45925</v>
      </c>
      <c r="L293" s="399" t="s">
        <v>38</v>
      </c>
      <c r="M293" s="311" t="s">
        <v>39</v>
      </c>
      <c r="N293" s="222" t="s">
        <v>1840</v>
      </c>
      <c r="O293" s="400">
        <v>45948</v>
      </c>
      <c r="P293" s="222" t="s">
        <v>1841</v>
      </c>
      <c r="Q293" s="412"/>
      <c r="R293" s="412" t="s">
        <v>1842</v>
      </c>
    </row>
    <row r="294" spans="1:18" s="432" customFormat="1" ht="47.25">
      <c r="A294" s="426" t="s">
        <v>1023</v>
      </c>
      <c r="B294" s="297" t="s">
        <v>43</v>
      </c>
      <c r="C294" s="297" t="s">
        <v>1843</v>
      </c>
      <c r="D294" s="223" t="s">
        <v>1844</v>
      </c>
      <c r="E294" s="1" t="s">
        <v>132</v>
      </c>
      <c r="F294" s="301"/>
      <c r="G294" s="427">
        <v>45930</v>
      </c>
      <c r="H294" s="428"/>
      <c r="I294" s="427">
        <v>45939</v>
      </c>
      <c r="J294" s="360">
        <v>45944</v>
      </c>
      <c r="K294" s="360">
        <v>45945</v>
      </c>
      <c r="L294" s="360" t="s">
        <v>38</v>
      </c>
      <c r="M294" s="297" t="s">
        <v>1248</v>
      </c>
      <c r="N294" s="1"/>
      <c r="O294" s="393"/>
      <c r="P294" s="1"/>
      <c r="Q294" s="423"/>
      <c r="R294" s="389"/>
    </row>
    <row r="295" spans="1:18" s="432" customFormat="1" ht="16.899999999999999">
      <c r="A295" s="426" t="s">
        <v>1845</v>
      </c>
      <c r="B295" s="297" t="s">
        <v>1846</v>
      </c>
      <c r="C295" s="297" t="s">
        <v>1213</v>
      </c>
      <c r="D295" s="223" t="s">
        <v>1847</v>
      </c>
      <c r="E295" s="1" t="s">
        <v>132</v>
      </c>
      <c r="F295" s="301">
        <v>1151</v>
      </c>
      <c r="G295" s="427">
        <v>45932</v>
      </c>
      <c r="H295" s="428">
        <v>45932</v>
      </c>
      <c r="I295" s="427">
        <v>45940</v>
      </c>
      <c r="J295" s="360">
        <v>45943</v>
      </c>
      <c r="K295" s="360">
        <v>45944</v>
      </c>
      <c r="L295" s="360" t="s">
        <v>38</v>
      </c>
      <c r="M295" s="297" t="s">
        <v>39</v>
      </c>
      <c r="N295" s="1" t="s">
        <v>1848</v>
      </c>
      <c r="O295" s="393"/>
      <c r="P295" s="1"/>
      <c r="Q295" s="423"/>
      <c r="R295" s="389" t="s">
        <v>1849</v>
      </c>
    </row>
    <row r="296" spans="1:18" s="152" customFormat="1" ht="16.899999999999999">
      <c r="A296" s="359" t="s">
        <v>1850</v>
      </c>
      <c r="B296" s="242" t="s">
        <v>43</v>
      </c>
      <c r="C296" s="242" t="s">
        <v>189</v>
      </c>
      <c r="D296" s="179" t="s">
        <v>1851</v>
      </c>
      <c r="E296" s="131" t="s">
        <v>132</v>
      </c>
      <c r="F296" s="286">
        <v>24395</v>
      </c>
      <c r="G296" s="147">
        <v>45831</v>
      </c>
      <c r="H296" s="263" t="s">
        <v>6</v>
      </c>
      <c r="I296" s="147">
        <v>45926</v>
      </c>
      <c r="J296" s="331">
        <v>45930</v>
      </c>
      <c r="K296" s="331">
        <v>45932</v>
      </c>
      <c r="L296" s="331" t="s">
        <v>724</v>
      </c>
      <c r="M296" s="242" t="s">
        <v>39</v>
      </c>
      <c r="N296" s="131" t="s">
        <v>1852</v>
      </c>
      <c r="O296" s="394">
        <v>45955</v>
      </c>
      <c r="P296" s="131" t="s">
        <v>1853</v>
      </c>
      <c r="Q296" s="383"/>
      <c r="R296" s="381" t="s">
        <v>1854</v>
      </c>
    </row>
    <row r="297" spans="1:18" s="152" customFormat="1" ht="16.899999999999999">
      <c r="A297" s="359"/>
      <c r="B297" s="242" t="s">
        <v>180</v>
      </c>
      <c r="C297" s="242" t="s">
        <v>1855</v>
      </c>
      <c r="D297" s="179" t="s">
        <v>1856</v>
      </c>
      <c r="E297" s="131" t="s">
        <v>132</v>
      </c>
      <c r="F297" s="286">
        <v>51740.2</v>
      </c>
      <c r="G297" s="147">
        <v>45868</v>
      </c>
      <c r="H297" s="263">
        <v>45922</v>
      </c>
      <c r="I297" s="147">
        <v>45925</v>
      </c>
      <c r="J297" s="331">
        <v>45926</v>
      </c>
      <c r="K297" s="331">
        <v>45929</v>
      </c>
      <c r="L297" s="331" t="s">
        <v>38</v>
      </c>
      <c r="M297" s="242" t="s">
        <v>39</v>
      </c>
      <c r="N297" s="131">
        <v>29311</v>
      </c>
      <c r="O297" s="394">
        <v>45953</v>
      </c>
      <c r="P297" s="131"/>
      <c r="Q297" s="383"/>
      <c r="R297" s="381" t="s">
        <v>1857</v>
      </c>
    </row>
    <row r="298" spans="1:18" s="370" customFormat="1" ht="16.899999999999999">
      <c r="A298" s="355" t="s">
        <v>1858</v>
      </c>
      <c r="B298" s="243" t="s">
        <v>1859</v>
      </c>
      <c r="C298" s="262" t="s">
        <v>1860</v>
      </c>
      <c r="D298" s="223" t="s">
        <v>1861</v>
      </c>
      <c r="E298" s="76" t="s">
        <v>132</v>
      </c>
      <c r="F298" s="277"/>
      <c r="G298" s="261">
        <v>45946</v>
      </c>
      <c r="H298" s="320">
        <v>45947</v>
      </c>
      <c r="I298" s="261">
        <v>45947</v>
      </c>
      <c r="J298" s="362">
        <v>45950</v>
      </c>
      <c r="K298" s="362">
        <v>45953</v>
      </c>
      <c r="L298" s="362" t="s">
        <v>1106</v>
      </c>
      <c r="M298" s="262" t="s">
        <v>39</v>
      </c>
      <c r="N298" s="76">
        <v>3394</v>
      </c>
      <c r="O298" s="437" t="s">
        <v>1862</v>
      </c>
      <c r="P298" s="76"/>
      <c r="Q298" s="373"/>
      <c r="R298" s="382" t="s">
        <v>1863</v>
      </c>
    </row>
    <row r="299" spans="1:18" s="432" customFormat="1" ht="16.899999999999999">
      <c r="A299" s="426"/>
      <c r="B299" s="297" t="s">
        <v>1293</v>
      </c>
      <c r="C299" s="297" t="s">
        <v>1459</v>
      </c>
      <c r="D299" s="223" t="s">
        <v>1864</v>
      </c>
      <c r="E299" s="1" t="s">
        <v>132</v>
      </c>
      <c r="F299" s="301"/>
      <c r="G299" s="427"/>
      <c r="H299" s="428"/>
      <c r="I299" s="427"/>
      <c r="J299" s="360">
        <v>45932</v>
      </c>
      <c r="K299" s="360">
        <v>45943</v>
      </c>
      <c r="L299" s="360" t="s">
        <v>38</v>
      </c>
      <c r="M299" s="297" t="s">
        <v>1290</v>
      </c>
      <c r="N299" s="1"/>
      <c r="O299" s="393"/>
      <c r="P299" s="1"/>
      <c r="Q299" s="423"/>
      <c r="R299" s="389"/>
    </row>
    <row r="300" spans="1:18" s="370" customFormat="1" ht="16.899999999999999">
      <c r="A300" s="355"/>
      <c r="B300" s="262"/>
      <c r="C300" s="262" t="s">
        <v>1459</v>
      </c>
      <c r="D300" s="223" t="s">
        <v>1864</v>
      </c>
      <c r="E300" s="76" t="s">
        <v>132</v>
      </c>
      <c r="F300" s="277"/>
      <c r="G300" s="261"/>
      <c r="H300" s="320"/>
      <c r="I300" s="261"/>
      <c r="J300" s="320">
        <v>45952</v>
      </c>
      <c r="K300" s="320"/>
      <c r="L300" s="320"/>
      <c r="M300" s="262" t="s">
        <v>1290</v>
      </c>
      <c r="N300" s="76"/>
      <c r="O300" s="437"/>
      <c r="P300" s="76"/>
      <c r="Q300" s="373"/>
      <c r="R300" s="382"/>
    </row>
    <row r="301" spans="1:18" s="450" customFormat="1" ht="16.899999999999999">
      <c r="A301" s="364" t="s">
        <v>1865</v>
      </c>
      <c r="B301" s="314" t="s">
        <v>1679</v>
      </c>
      <c r="C301" s="314" t="s">
        <v>1221</v>
      </c>
      <c r="D301" s="218" t="s">
        <v>1866</v>
      </c>
      <c r="E301" s="212" t="s">
        <v>132</v>
      </c>
      <c r="F301" s="292">
        <v>1855.35</v>
      </c>
      <c r="G301" s="448">
        <v>45930</v>
      </c>
      <c r="H301" s="449" t="s">
        <v>964</v>
      </c>
      <c r="I301" s="448"/>
      <c r="J301" s="365"/>
      <c r="K301" s="365"/>
      <c r="L301" s="365"/>
      <c r="M301" s="314" t="s">
        <v>39</v>
      </c>
      <c r="N301" s="212" t="s">
        <v>1867</v>
      </c>
      <c r="O301" s="436">
        <v>45959</v>
      </c>
      <c r="P301" s="212"/>
      <c r="Q301" s="412"/>
      <c r="R301" s="401" t="s">
        <v>1868</v>
      </c>
    </row>
    <row r="302" spans="1:18" s="450" customFormat="1" ht="16.899999999999999">
      <c r="A302" s="364" t="s">
        <v>1869</v>
      </c>
      <c r="B302" s="314" t="s">
        <v>165</v>
      </c>
      <c r="C302" s="314" t="s">
        <v>1221</v>
      </c>
      <c r="D302" s="218" t="s">
        <v>1870</v>
      </c>
      <c r="E302" s="212" t="s">
        <v>132</v>
      </c>
      <c r="F302" s="292">
        <v>2385.4499999999998</v>
      </c>
      <c r="G302" s="448">
        <v>45932</v>
      </c>
      <c r="H302" s="449" t="s">
        <v>964</v>
      </c>
      <c r="I302" s="448"/>
      <c r="J302" s="365"/>
      <c r="K302" s="365"/>
      <c r="L302" s="365"/>
      <c r="M302" s="314" t="s">
        <v>39</v>
      </c>
      <c r="N302" s="212" t="s">
        <v>1871</v>
      </c>
      <c r="O302" s="436">
        <v>45975</v>
      </c>
      <c r="P302" s="212"/>
      <c r="Q302" s="423"/>
      <c r="R302" s="401" t="s">
        <v>1872</v>
      </c>
    </row>
    <row r="303" spans="1:18" s="387" customFormat="1" ht="16.899999999999999">
      <c r="A303" s="384" t="s">
        <v>1535</v>
      </c>
      <c r="B303" s="336" t="s">
        <v>1873</v>
      </c>
      <c r="C303" s="336" t="s">
        <v>1874</v>
      </c>
      <c r="D303" s="467" t="s">
        <v>1511</v>
      </c>
      <c r="E303" s="468" t="s">
        <v>132</v>
      </c>
      <c r="F303" s="337">
        <v>7242</v>
      </c>
      <c r="G303" s="469">
        <v>45942</v>
      </c>
      <c r="H303" s="470">
        <v>45957</v>
      </c>
      <c r="I303" s="385">
        <v>45946</v>
      </c>
      <c r="J303" s="385">
        <v>45946</v>
      </c>
      <c r="K303" s="385">
        <v>45950</v>
      </c>
      <c r="L303" s="385" t="s">
        <v>724</v>
      </c>
      <c r="M303" s="336" t="s">
        <v>39</v>
      </c>
      <c r="N303" s="468" t="s">
        <v>1875</v>
      </c>
      <c r="O303" s="472"/>
      <c r="P303" s="468" t="s">
        <v>1876</v>
      </c>
      <c r="Q303" s="478"/>
      <c r="R303" s="401" t="s">
        <v>1877</v>
      </c>
    </row>
    <row r="304" spans="1:18" s="489" customFormat="1" ht="16.899999999999999">
      <c r="A304" s="473"/>
      <c r="B304" s="347" t="s">
        <v>1878</v>
      </c>
      <c r="C304" s="347" t="s">
        <v>1332</v>
      </c>
      <c r="D304" s="474" t="s">
        <v>1879</v>
      </c>
      <c r="E304" s="475" t="s">
        <v>132</v>
      </c>
      <c r="F304" s="348">
        <f>620.38+6071.27</f>
        <v>6691.6500000000005</v>
      </c>
      <c r="G304" s="476"/>
      <c r="H304" s="487"/>
      <c r="I304" s="476"/>
      <c r="J304" s="488"/>
      <c r="K304" s="488"/>
      <c r="L304" s="488"/>
      <c r="M304" s="347" t="s">
        <v>1742</v>
      </c>
      <c r="N304" s="475" t="s">
        <v>1880</v>
      </c>
      <c r="O304" s="477">
        <v>45961</v>
      </c>
      <c r="P304" s="475"/>
      <c r="Q304" s="478"/>
      <c r="R304" s="401" t="s">
        <v>1881</v>
      </c>
    </row>
    <row r="305" spans="1:18" s="489" customFormat="1" ht="16.899999999999999">
      <c r="A305" s="473"/>
      <c r="B305" s="347" t="s">
        <v>371</v>
      </c>
      <c r="C305" s="347" t="s">
        <v>1823</v>
      </c>
      <c r="D305" s="474" t="s">
        <v>1879</v>
      </c>
      <c r="E305" s="475" t="s">
        <v>132</v>
      </c>
      <c r="F305" s="348">
        <f>2284.5+33.75</f>
        <v>2318.25</v>
      </c>
      <c r="G305" s="476"/>
      <c r="H305" s="487"/>
      <c r="I305" s="476"/>
      <c r="J305" s="487"/>
      <c r="K305" s="487"/>
      <c r="L305" s="487"/>
      <c r="M305" s="347" t="s">
        <v>1742</v>
      </c>
      <c r="N305" s="475" t="s">
        <v>1882</v>
      </c>
      <c r="O305" s="477">
        <v>45961</v>
      </c>
      <c r="P305" s="475"/>
      <c r="Q305" s="478"/>
      <c r="R305" s="401" t="s">
        <v>1883</v>
      </c>
    </row>
    <row r="306" spans="1:18" s="387" customFormat="1" ht="16.899999999999999">
      <c r="A306" s="384" t="s">
        <v>1884</v>
      </c>
      <c r="B306" s="336" t="s">
        <v>43</v>
      </c>
      <c r="C306" s="336" t="s">
        <v>151</v>
      </c>
      <c r="D306" s="467" t="s">
        <v>1885</v>
      </c>
      <c r="E306" s="468" t="s">
        <v>132</v>
      </c>
      <c r="F306" s="337">
        <v>815.4</v>
      </c>
      <c r="G306" s="469">
        <v>45926</v>
      </c>
      <c r="H306" s="470">
        <v>45943</v>
      </c>
      <c r="I306" s="469">
        <v>45940</v>
      </c>
      <c r="J306" s="385">
        <v>45943</v>
      </c>
      <c r="K306" s="385">
        <v>45945</v>
      </c>
      <c r="L306" s="385" t="s">
        <v>724</v>
      </c>
      <c r="M306" s="336" t="s">
        <v>191</v>
      </c>
      <c r="N306" s="468" t="s">
        <v>1886</v>
      </c>
      <c r="O306" s="472">
        <v>45968</v>
      </c>
      <c r="P306" s="468" t="s">
        <v>1887</v>
      </c>
      <c r="Q306" s="478"/>
      <c r="R306" s="386" t="s">
        <v>1888</v>
      </c>
    </row>
    <row r="307" spans="1:18" s="386" customFormat="1" ht="15.75" customHeight="1">
      <c r="A307" s="384" t="s">
        <v>870</v>
      </c>
      <c r="B307" s="336" t="s">
        <v>735</v>
      </c>
      <c r="C307" s="336" t="s">
        <v>736</v>
      </c>
      <c r="D307" s="467" t="s">
        <v>1889</v>
      </c>
      <c r="E307" s="468" t="s">
        <v>132</v>
      </c>
      <c r="F307" s="337">
        <v>1176.4000000000001</v>
      </c>
      <c r="G307" s="469">
        <v>45912</v>
      </c>
      <c r="H307" s="470">
        <v>45932</v>
      </c>
      <c r="I307" s="470">
        <v>45939</v>
      </c>
      <c r="J307" s="469">
        <v>45944</v>
      </c>
      <c r="K307" s="469">
        <v>45945</v>
      </c>
      <c r="L307" s="469" t="s">
        <v>38</v>
      </c>
      <c r="M307" s="336" t="s">
        <v>39</v>
      </c>
      <c r="N307" s="336" t="s">
        <v>1890</v>
      </c>
      <c r="O307" s="472">
        <v>45967</v>
      </c>
      <c r="P307" s="468" t="s">
        <v>1891</v>
      </c>
      <c r="Q307" s="475"/>
      <c r="R307" s="386" t="s">
        <v>1892</v>
      </c>
    </row>
    <row r="308" spans="1:18" s="478" customFormat="1" ht="15.75" customHeight="1">
      <c r="A308" s="473" t="s">
        <v>1893</v>
      </c>
      <c r="B308" s="347" t="s">
        <v>735</v>
      </c>
      <c r="C308" s="347" t="s">
        <v>736</v>
      </c>
      <c r="D308" s="474" t="s">
        <v>1894</v>
      </c>
      <c r="E308" s="475" t="s">
        <v>132</v>
      </c>
      <c r="F308" s="348">
        <v>10488.02</v>
      </c>
      <c r="G308" s="476">
        <v>45917</v>
      </c>
      <c r="H308" s="487">
        <v>45954</v>
      </c>
      <c r="I308" s="487">
        <v>45953</v>
      </c>
      <c r="J308" s="476">
        <v>45954</v>
      </c>
      <c r="K308" s="476">
        <v>45959</v>
      </c>
      <c r="L308" s="476" t="s">
        <v>38</v>
      </c>
      <c r="M308" s="347" t="s">
        <v>39</v>
      </c>
      <c r="N308" s="347" t="s">
        <v>1895</v>
      </c>
      <c r="O308" s="477">
        <v>45982</v>
      </c>
      <c r="P308" s="475" t="s">
        <v>1896</v>
      </c>
      <c r="Q308" s="475"/>
      <c r="R308" s="386" t="s">
        <v>1897</v>
      </c>
    </row>
    <row r="309" spans="1:18" s="370" customFormat="1" ht="31.5">
      <c r="A309" s="355" t="s">
        <v>1898</v>
      </c>
      <c r="B309" s="262" t="s">
        <v>43</v>
      </c>
      <c r="C309" s="262" t="s">
        <v>151</v>
      </c>
      <c r="D309" s="223" t="s">
        <v>1899</v>
      </c>
      <c r="E309" s="76" t="s">
        <v>132</v>
      </c>
      <c r="F309" s="277">
        <v>3417.3</v>
      </c>
      <c r="G309" s="261">
        <v>45950</v>
      </c>
      <c r="H309" s="320">
        <v>45974</v>
      </c>
      <c r="I309" s="261">
        <v>45960</v>
      </c>
      <c r="J309" s="320">
        <v>45961</v>
      </c>
      <c r="K309" s="320">
        <v>45964</v>
      </c>
      <c r="L309" s="320" t="s">
        <v>724</v>
      </c>
      <c r="M309" s="262" t="s">
        <v>191</v>
      </c>
      <c r="N309" s="76" t="s">
        <v>1900</v>
      </c>
      <c r="O309" s="437">
        <v>45989</v>
      </c>
      <c r="P309" s="76" t="s">
        <v>1901</v>
      </c>
      <c r="Q309" s="373"/>
      <c r="R309" s="382" t="s">
        <v>1902</v>
      </c>
    </row>
    <row r="310" spans="1:18" s="432" customFormat="1" ht="16.899999999999999">
      <c r="A310" s="355" t="s">
        <v>770</v>
      </c>
      <c r="B310" s="262" t="s">
        <v>1133</v>
      </c>
      <c r="C310" s="590" t="s">
        <v>1903</v>
      </c>
      <c r="D310" s="223" t="s">
        <v>1904</v>
      </c>
      <c r="E310" s="1" t="s">
        <v>132</v>
      </c>
      <c r="F310" s="301"/>
      <c r="G310" s="427">
        <v>45944</v>
      </c>
      <c r="H310" s="428"/>
      <c r="I310" s="427">
        <v>45964</v>
      </c>
      <c r="J310" s="360">
        <v>45965</v>
      </c>
      <c r="K310" s="360">
        <v>45966</v>
      </c>
      <c r="L310" s="360" t="s">
        <v>38</v>
      </c>
      <c r="M310" s="297" t="s">
        <v>1905</v>
      </c>
      <c r="N310" s="1" t="s">
        <v>1906</v>
      </c>
      <c r="O310" s="393" t="s">
        <v>246</v>
      </c>
      <c r="P310" s="1"/>
      <c r="Q310" s="423"/>
      <c r="R310" s="389" t="s">
        <v>1907</v>
      </c>
    </row>
    <row r="311" spans="1:18" s="402" customFormat="1" ht="16.899999999999999">
      <c r="A311" s="418" t="s">
        <v>1908</v>
      </c>
      <c r="B311" s="311" t="s">
        <v>1909</v>
      </c>
      <c r="C311" s="311" t="s">
        <v>1607</v>
      </c>
      <c r="D311" s="266" t="s">
        <v>1910</v>
      </c>
      <c r="E311" s="222" t="s">
        <v>132</v>
      </c>
      <c r="F311" s="315">
        <v>92198.05</v>
      </c>
      <c r="G311" s="444">
        <v>45901</v>
      </c>
      <c r="H311" s="445">
        <v>45979</v>
      </c>
      <c r="I311" s="444">
        <v>45945</v>
      </c>
      <c r="J311" s="444">
        <v>45947</v>
      </c>
      <c r="K311" s="399">
        <v>45950</v>
      </c>
      <c r="L311" s="399" t="s">
        <v>38</v>
      </c>
      <c r="M311" s="311" t="s">
        <v>146</v>
      </c>
      <c r="N311" s="591" t="s">
        <v>1911</v>
      </c>
      <c r="O311" s="400">
        <v>45975</v>
      </c>
      <c r="P311" s="222">
        <v>6857</v>
      </c>
      <c r="Q311" s="412"/>
      <c r="R311" s="401" t="s">
        <v>1912</v>
      </c>
    </row>
    <row r="312" spans="1:18" s="402" customFormat="1" ht="16.899999999999999">
      <c r="A312" s="418" t="s">
        <v>1913</v>
      </c>
      <c r="B312" s="311" t="s">
        <v>735</v>
      </c>
      <c r="C312" s="311" t="s">
        <v>1568</v>
      </c>
      <c r="D312" s="266" t="s">
        <v>1914</v>
      </c>
      <c r="E312" s="222" t="s">
        <v>132</v>
      </c>
      <c r="F312" s="315">
        <v>13472.5</v>
      </c>
      <c r="G312" s="444">
        <v>45919</v>
      </c>
      <c r="H312" s="445">
        <v>45940</v>
      </c>
      <c r="I312" s="444">
        <v>45943</v>
      </c>
      <c r="J312" s="399">
        <v>45947</v>
      </c>
      <c r="K312" s="399">
        <v>45951</v>
      </c>
      <c r="L312" s="399" t="s">
        <v>38</v>
      </c>
      <c r="M312" s="311" t="s">
        <v>39</v>
      </c>
      <c r="N312" s="222">
        <v>4847</v>
      </c>
      <c r="O312" s="400">
        <v>45974</v>
      </c>
      <c r="P312" s="222">
        <v>105212</v>
      </c>
      <c r="Q312" s="401"/>
      <c r="R312" s="401" t="s">
        <v>1915</v>
      </c>
    </row>
    <row r="313" spans="1:18" s="402" customFormat="1" ht="16.899999999999999">
      <c r="A313" s="418" t="s">
        <v>1916</v>
      </c>
      <c r="B313" s="311" t="s">
        <v>43</v>
      </c>
      <c r="C313" s="311" t="s">
        <v>1759</v>
      </c>
      <c r="D313" s="266" t="s">
        <v>1917</v>
      </c>
      <c r="E313" s="222" t="s">
        <v>132</v>
      </c>
      <c r="F313" s="315">
        <v>6645.47</v>
      </c>
      <c r="G313" s="444">
        <v>45860</v>
      </c>
      <c r="H313" s="445">
        <v>45953</v>
      </c>
      <c r="I313" s="444">
        <v>45953</v>
      </c>
      <c r="J313" s="399">
        <v>45954</v>
      </c>
      <c r="K313" s="399">
        <v>45957</v>
      </c>
      <c r="L313" s="399" t="s">
        <v>724</v>
      </c>
      <c r="M313" s="311" t="s">
        <v>146</v>
      </c>
      <c r="N313" s="222" t="s">
        <v>1918</v>
      </c>
      <c r="O313" s="400">
        <v>45983</v>
      </c>
      <c r="P313" s="222" t="s">
        <v>1919</v>
      </c>
      <c r="Q313" s="412"/>
      <c r="R313" s="401" t="s">
        <v>1920</v>
      </c>
    </row>
    <row r="314" spans="1:18" s="402" customFormat="1" ht="16.899999999999999">
      <c r="A314" s="418" t="s">
        <v>1921</v>
      </c>
      <c r="B314" s="311" t="s">
        <v>43</v>
      </c>
      <c r="C314" s="311" t="s">
        <v>1759</v>
      </c>
      <c r="D314" s="266" t="s">
        <v>1922</v>
      </c>
      <c r="E314" s="222" t="s">
        <v>132</v>
      </c>
      <c r="F314" s="315">
        <v>2926.14</v>
      </c>
      <c r="G314" s="444">
        <v>45911</v>
      </c>
      <c r="H314" s="445">
        <v>45939</v>
      </c>
      <c r="I314" s="444">
        <v>45946</v>
      </c>
      <c r="J314" s="399">
        <v>45947</v>
      </c>
      <c r="K314" s="399">
        <v>45950</v>
      </c>
      <c r="L314" s="399" t="s">
        <v>724</v>
      </c>
      <c r="M314" s="311" t="s">
        <v>55</v>
      </c>
      <c r="N314" s="212" t="s">
        <v>1923</v>
      </c>
      <c r="O314" s="400">
        <v>45980</v>
      </c>
      <c r="P314" s="222" t="s">
        <v>1924</v>
      </c>
      <c r="Q314" s="412"/>
      <c r="R314" s="401" t="s">
        <v>1925</v>
      </c>
    </row>
    <row r="315" spans="1:18" s="401" customFormat="1" ht="15.75" customHeight="1">
      <c r="A315" s="418" t="s">
        <v>1926</v>
      </c>
      <c r="B315" s="311" t="s">
        <v>876</v>
      </c>
      <c r="C315" s="311" t="s">
        <v>1362</v>
      </c>
      <c r="D315" s="266" t="s">
        <v>1927</v>
      </c>
      <c r="E315" s="222" t="s">
        <v>132</v>
      </c>
      <c r="F315" s="315">
        <v>8346.25</v>
      </c>
      <c r="G315" s="444">
        <v>45960</v>
      </c>
      <c r="H315" s="445">
        <v>45971</v>
      </c>
      <c r="I315" s="445">
        <v>45973</v>
      </c>
      <c r="J315" s="444">
        <v>45974</v>
      </c>
      <c r="K315" s="444">
        <v>45978</v>
      </c>
      <c r="L315" s="444" t="s">
        <v>724</v>
      </c>
      <c r="M315" s="311" t="s">
        <v>146</v>
      </c>
      <c r="N315" s="311" t="s">
        <v>1928</v>
      </c>
      <c r="O315" s="400">
        <v>45990</v>
      </c>
      <c r="P315" s="222"/>
      <c r="Q315" s="212"/>
      <c r="R315" s="401" t="s">
        <v>1929</v>
      </c>
    </row>
    <row r="316" spans="1:18" s="401" customFormat="1" ht="15.75" customHeight="1">
      <c r="A316" s="418" t="s">
        <v>1930</v>
      </c>
      <c r="B316" s="311" t="s">
        <v>43</v>
      </c>
      <c r="C316" s="311" t="s">
        <v>135</v>
      </c>
      <c r="D316" s="266" t="s">
        <v>1931</v>
      </c>
      <c r="E316" s="222" t="s">
        <v>132</v>
      </c>
      <c r="F316" s="315">
        <v>334</v>
      </c>
      <c r="G316" s="444">
        <v>45961</v>
      </c>
      <c r="H316" s="445">
        <v>45968</v>
      </c>
      <c r="I316" s="445">
        <v>45970</v>
      </c>
      <c r="J316" s="444">
        <v>45971</v>
      </c>
      <c r="K316" s="444">
        <v>45972</v>
      </c>
      <c r="L316" s="444" t="s">
        <v>38</v>
      </c>
      <c r="M316" s="311" t="s">
        <v>146</v>
      </c>
      <c r="N316" s="311" t="s">
        <v>1932</v>
      </c>
      <c r="O316" s="400">
        <v>45991</v>
      </c>
      <c r="P316" s="222"/>
      <c r="Q316" s="212"/>
      <c r="R316" s="401" t="s">
        <v>1933</v>
      </c>
    </row>
    <row r="317" spans="1:18" s="401" customFormat="1" ht="15.75" customHeight="1">
      <c r="A317" s="418" t="s">
        <v>1934</v>
      </c>
      <c r="B317" s="311" t="s">
        <v>43</v>
      </c>
      <c r="C317" s="311" t="s">
        <v>143</v>
      </c>
      <c r="D317" s="266" t="s">
        <v>144</v>
      </c>
      <c r="E317" s="222" t="s">
        <v>132</v>
      </c>
      <c r="F317" s="315">
        <v>6794.39</v>
      </c>
      <c r="G317" s="444">
        <v>45961</v>
      </c>
      <c r="H317" s="445">
        <v>45961</v>
      </c>
      <c r="I317" s="445">
        <v>45965</v>
      </c>
      <c r="J317" s="444">
        <v>45966</v>
      </c>
      <c r="K317" s="444">
        <v>45972</v>
      </c>
      <c r="L317" s="444" t="s">
        <v>724</v>
      </c>
      <c r="M317" s="311" t="s">
        <v>146</v>
      </c>
      <c r="N317" s="311" t="s">
        <v>1935</v>
      </c>
      <c r="O317" s="400">
        <v>45991</v>
      </c>
      <c r="P317" s="222">
        <v>93553</v>
      </c>
      <c r="Q317" s="212"/>
      <c r="R317" s="401" t="s">
        <v>1936</v>
      </c>
    </row>
    <row r="318" spans="1:18" s="412" customFormat="1" ht="15.75" customHeight="1">
      <c r="A318" s="364" t="s">
        <v>1153</v>
      </c>
      <c r="B318" s="314" t="s">
        <v>729</v>
      </c>
      <c r="C318" s="314" t="s">
        <v>135</v>
      </c>
      <c r="D318" s="218" t="s">
        <v>1937</v>
      </c>
      <c r="E318" s="212" t="s">
        <v>132</v>
      </c>
      <c r="F318" s="292">
        <v>208</v>
      </c>
      <c r="G318" s="448">
        <v>45979</v>
      </c>
      <c r="H318" s="449">
        <v>45986</v>
      </c>
      <c r="I318" s="449">
        <v>45981</v>
      </c>
      <c r="J318" s="448">
        <v>45982</v>
      </c>
      <c r="K318" s="448">
        <v>45982</v>
      </c>
      <c r="L318" s="448" t="s">
        <v>38</v>
      </c>
      <c r="M318" s="314" t="s">
        <v>55</v>
      </c>
      <c r="N318" s="314" t="s">
        <v>1938</v>
      </c>
      <c r="O318" s="436">
        <v>46008</v>
      </c>
      <c r="P318" s="212" t="s">
        <v>1938</v>
      </c>
      <c r="Q318" s="196"/>
    </row>
    <row r="319" spans="1:18" s="383" customFormat="1" ht="15.75" customHeight="1">
      <c r="A319" s="356" t="s">
        <v>1939</v>
      </c>
      <c r="B319" s="288" t="s">
        <v>1940</v>
      </c>
      <c r="C319" s="288" t="s">
        <v>1332</v>
      </c>
      <c r="D319" s="164" t="s">
        <v>1941</v>
      </c>
      <c r="E319" s="132" t="s">
        <v>132</v>
      </c>
      <c r="F319" s="273">
        <v>6769.01</v>
      </c>
      <c r="G319" s="455"/>
      <c r="H319" s="166"/>
      <c r="I319" s="166"/>
      <c r="J319" s="455"/>
      <c r="K319" s="455"/>
      <c r="L319" s="455"/>
      <c r="M319" s="288"/>
      <c r="N319" s="288"/>
      <c r="O319" s="456">
        <v>45991</v>
      </c>
      <c r="P319" s="132"/>
      <c r="Q319" s="132"/>
      <c r="R319" s="401" t="s">
        <v>1942</v>
      </c>
    </row>
    <row r="320" spans="1:18" s="402" customFormat="1" ht="47.25">
      <c r="A320" s="418" t="s">
        <v>1943</v>
      </c>
      <c r="B320" s="311" t="s">
        <v>1944</v>
      </c>
      <c r="C320" s="311" t="s">
        <v>1541</v>
      </c>
      <c r="D320" s="266" t="s">
        <v>1945</v>
      </c>
      <c r="E320" s="222" t="s">
        <v>132</v>
      </c>
      <c r="F320" s="315">
        <v>88332.58</v>
      </c>
      <c r="G320" s="444">
        <v>45813</v>
      </c>
      <c r="H320" s="445">
        <v>45959</v>
      </c>
      <c r="I320" s="444">
        <v>45960</v>
      </c>
      <c r="J320" s="399">
        <v>45966</v>
      </c>
      <c r="K320" s="399">
        <v>45967</v>
      </c>
      <c r="L320" s="399" t="s">
        <v>38</v>
      </c>
      <c r="M320" s="311" t="s">
        <v>39</v>
      </c>
      <c r="N320" s="466" t="s">
        <v>1946</v>
      </c>
      <c r="O320" s="592" t="s">
        <v>1947</v>
      </c>
      <c r="P320" s="222" t="s">
        <v>1948</v>
      </c>
      <c r="Q320" s="412"/>
      <c r="R320" s="458" t="s">
        <v>1949</v>
      </c>
    </row>
    <row r="321" spans="1:18" s="402" customFormat="1" ht="16.899999999999999">
      <c r="A321" s="418" t="s">
        <v>1950</v>
      </c>
      <c r="B321" s="311" t="s">
        <v>43</v>
      </c>
      <c r="C321" s="311" t="s">
        <v>195</v>
      </c>
      <c r="D321" s="266" t="s">
        <v>1951</v>
      </c>
      <c r="E321" s="222" t="s">
        <v>132</v>
      </c>
      <c r="F321" s="315">
        <v>12325</v>
      </c>
      <c r="G321" s="444">
        <v>45930</v>
      </c>
      <c r="H321" s="445">
        <v>45979</v>
      </c>
      <c r="I321" s="444">
        <v>45968</v>
      </c>
      <c r="J321" s="399">
        <v>45971</v>
      </c>
      <c r="K321" s="399">
        <v>45972</v>
      </c>
      <c r="L321" s="399" t="s">
        <v>724</v>
      </c>
      <c r="M321" s="311" t="s">
        <v>191</v>
      </c>
      <c r="N321" s="222">
        <v>11361</v>
      </c>
      <c r="O321" s="400">
        <v>45997</v>
      </c>
      <c r="P321" s="222" t="s">
        <v>1952</v>
      </c>
      <c r="Q321" s="412"/>
      <c r="R321" s="401" t="s">
        <v>1953</v>
      </c>
    </row>
    <row r="322" spans="1:18" s="402" customFormat="1" ht="16.899999999999999">
      <c r="A322" s="418" t="s">
        <v>1954</v>
      </c>
      <c r="B322" s="311" t="s">
        <v>801</v>
      </c>
      <c r="C322" s="311" t="s">
        <v>151</v>
      </c>
      <c r="D322" s="266" t="s">
        <v>1955</v>
      </c>
      <c r="E322" s="222" t="s">
        <v>132</v>
      </c>
      <c r="F322" s="315">
        <v>3166</v>
      </c>
      <c r="G322" s="444">
        <v>45942</v>
      </c>
      <c r="H322" s="445">
        <v>45964</v>
      </c>
      <c r="I322" s="444">
        <v>45965</v>
      </c>
      <c r="J322" s="399">
        <v>45967</v>
      </c>
      <c r="K322" s="399">
        <v>45971</v>
      </c>
      <c r="L322" s="399" t="s">
        <v>38</v>
      </c>
      <c r="M322" s="311" t="s">
        <v>39</v>
      </c>
      <c r="N322" s="222" t="s">
        <v>1956</v>
      </c>
      <c r="O322" s="400">
        <v>45995</v>
      </c>
      <c r="P322" s="222"/>
      <c r="Q322" s="401"/>
      <c r="R322" s="401" t="s">
        <v>1957</v>
      </c>
    </row>
    <row r="323" spans="1:18" s="401" customFormat="1" ht="15.75" customHeight="1">
      <c r="A323" s="420" t="s">
        <v>1958</v>
      </c>
      <c r="B323" s="349" t="s">
        <v>1959</v>
      </c>
      <c r="C323" s="349" t="s">
        <v>1960</v>
      </c>
      <c r="D323" s="309" t="s">
        <v>1839</v>
      </c>
      <c r="E323" s="421" t="s">
        <v>132</v>
      </c>
      <c r="F323" s="350">
        <v>12038.79</v>
      </c>
      <c r="G323" s="444">
        <v>45959</v>
      </c>
      <c r="H323" s="445">
        <v>45969</v>
      </c>
      <c r="I323" s="445">
        <v>45969</v>
      </c>
      <c r="J323" s="444">
        <v>45972</v>
      </c>
      <c r="K323" s="444">
        <v>45974</v>
      </c>
      <c r="L323" s="444" t="s">
        <v>38</v>
      </c>
      <c r="M323" s="311" t="s">
        <v>39</v>
      </c>
      <c r="N323" s="311" t="s">
        <v>1961</v>
      </c>
      <c r="O323" s="400">
        <v>46000</v>
      </c>
      <c r="P323" s="222"/>
      <c r="Q323" s="212"/>
      <c r="R323" s="401" t="s">
        <v>1962</v>
      </c>
    </row>
    <row r="324" spans="1:18" s="401" customFormat="1" ht="15.75" customHeight="1" thickBot="1">
      <c r="A324" s="446" t="s">
        <v>1958</v>
      </c>
      <c r="B324" s="312" t="s">
        <v>1959</v>
      </c>
      <c r="C324" s="312" t="s">
        <v>1960</v>
      </c>
      <c r="D324" s="310" t="s">
        <v>1963</v>
      </c>
      <c r="E324" s="451" t="s">
        <v>132</v>
      </c>
      <c r="F324" s="313">
        <v>2939.52</v>
      </c>
      <c r="G324" s="444">
        <v>45959</v>
      </c>
      <c r="H324" s="445">
        <v>45969</v>
      </c>
      <c r="I324" s="445">
        <v>45969</v>
      </c>
      <c r="J324" s="444">
        <v>45972</v>
      </c>
      <c r="K324" s="444">
        <v>45974</v>
      </c>
      <c r="L324" s="444" t="s">
        <v>38</v>
      </c>
      <c r="M324" s="311" t="s">
        <v>39</v>
      </c>
      <c r="N324" s="311" t="s">
        <v>1964</v>
      </c>
      <c r="O324" s="400">
        <v>46000</v>
      </c>
      <c r="P324" s="222"/>
      <c r="Q324" s="212"/>
      <c r="R324" s="401" t="s">
        <v>1965</v>
      </c>
    </row>
    <row r="325" spans="1:18" s="382" customFormat="1" ht="15.75" customHeight="1">
      <c r="A325" s="355"/>
      <c r="B325" s="262" t="s">
        <v>1966</v>
      </c>
      <c r="C325" s="262" t="s">
        <v>1967</v>
      </c>
      <c r="D325" s="223" t="s">
        <v>1968</v>
      </c>
      <c r="E325" s="76" t="s">
        <v>132</v>
      </c>
      <c r="F325" s="277"/>
      <c r="G325" s="261">
        <v>45989</v>
      </c>
      <c r="H325" s="606"/>
      <c r="I325" s="320">
        <v>45993</v>
      </c>
      <c r="J325" s="261">
        <v>45994</v>
      </c>
      <c r="K325" s="261">
        <v>45995</v>
      </c>
      <c r="L325" s="261" t="s">
        <v>38</v>
      </c>
      <c r="M325" s="262" t="s">
        <v>1591</v>
      </c>
      <c r="N325" s="262" t="s">
        <v>1969</v>
      </c>
      <c r="O325" s="437" t="s">
        <v>246</v>
      </c>
      <c r="P325" s="76"/>
      <c r="Q325" s="196"/>
      <c r="R325" s="382" t="s">
        <v>1970</v>
      </c>
    </row>
    <row r="326" spans="1:18" s="382" customFormat="1" ht="15.75" customHeight="1">
      <c r="A326" s="355" t="s">
        <v>1535</v>
      </c>
      <c r="B326" s="262" t="s">
        <v>1971</v>
      </c>
      <c r="C326" s="262" t="s">
        <v>1972</v>
      </c>
      <c r="D326" s="223" t="s">
        <v>1973</v>
      </c>
      <c r="E326" s="76" t="s">
        <v>132</v>
      </c>
      <c r="F326" s="277"/>
      <c r="G326" s="261">
        <v>45986</v>
      </c>
      <c r="H326" s="320"/>
      <c r="I326" s="320">
        <v>45992</v>
      </c>
      <c r="J326" s="261">
        <v>45992</v>
      </c>
      <c r="K326" s="261">
        <v>45993</v>
      </c>
      <c r="L326" s="261" t="s">
        <v>38</v>
      </c>
      <c r="M326" s="262" t="s">
        <v>1974</v>
      </c>
      <c r="N326" s="262" t="s">
        <v>1975</v>
      </c>
      <c r="O326" s="437"/>
      <c r="P326" s="76"/>
      <c r="Q326" s="196"/>
    </row>
    <row r="327" spans="1:18" s="373" customFormat="1" ht="15.75" customHeight="1">
      <c r="A327" s="353" t="s">
        <v>1535</v>
      </c>
      <c r="B327" s="289" t="s">
        <v>1971</v>
      </c>
      <c r="C327" s="289" t="s">
        <v>1976</v>
      </c>
      <c r="D327" s="224" t="s">
        <v>1977</v>
      </c>
      <c r="E327" s="196" t="s">
        <v>132</v>
      </c>
      <c r="F327" s="272"/>
      <c r="G327" s="424"/>
      <c r="H327" s="425"/>
      <c r="I327" s="425"/>
      <c r="J327" s="424"/>
      <c r="K327" s="424">
        <v>45999</v>
      </c>
      <c r="L327" s="424" t="s">
        <v>38</v>
      </c>
      <c r="M327" s="289" t="s">
        <v>1591</v>
      </c>
      <c r="N327" s="289"/>
      <c r="O327" s="395">
        <v>46007</v>
      </c>
      <c r="P327" s="196"/>
      <c r="Q327" s="196"/>
      <c r="R327" s="382"/>
    </row>
    <row r="328" spans="1:18" s="402" customFormat="1" ht="16.899999999999999">
      <c r="A328" s="418" t="s">
        <v>1978</v>
      </c>
      <c r="B328" s="311" t="s">
        <v>43</v>
      </c>
      <c r="C328" s="311" t="s">
        <v>1388</v>
      </c>
      <c r="D328" s="266" t="s">
        <v>1979</v>
      </c>
      <c r="E328" s="222" t="s">
        <v>132</v>
      </c>
      <c r="F328" s="315">
        <v>15000</v>
      </c>
      <c r="G328" s="444">
        <v>45946</v>
      </c>
      <c r="H328" s="445">
        <v>45946</v>
      </c>
      <c r="I328" s="444">
        <v>45947</v>
      </c>
      <c r="J328" s="399">
        <v>45950</v>
      </c>
      <c r="K328" s="399">
        <v>45953</v>
      </c>
      <c r="L328" s="399" t="s">
        <v>38</v>
      </c>
      <c r="M328" s="311" t="s">
        <v>146</v>
      </c>
      <c r="N328" s="222">
        <v>4770</v>
      </c>
      <c r="O328" s="400">
        <v>46001</v>
      </c>
      <c r="P328" s="222"/>
      <c r="Q328" s="401"/>
      <c r="R328" s="401" t="s">
        <v>1980</v>
      </c>
    </row>
    <row r="329" spans="1:18" s="402" customFormat="1" ht="16.899999999999999">
      <c r="A329" s="418" t="s">
        <v>1981</v>
      </c>
      <c r="B329" s="311" t="s">
        <v>1982</v>
      </c>
      <c r="C329" s="311" t="s">
        <v>1983</v>
      </c>
      <c r="D329" s="266" t="s">
        <v>1984</v>
      </c>
      <c r="E329" s="222" t="s">
        <v>132</v>
      </c>
      <c r="F329" s="315">
        <v>1288</v>
      </c>
      <c r="G329" s="444">
        <v>45946</v>
      </c>
      <c r="H329" s="445">
        <v>45974</v>
      </c>
      <c r="I329" s="444">
        <v>45975</v>
      </c>
      <c r="J329" s="399">
        <v>45978</v>
      </c>
      <c r="K329" s="399">
        <v>45979</v>
      </c>
      <c r="L329" s="399" t="s">
        <v>38</v>
      </c>
      <c r="M329" s="311" t="s">
        <v>146</v>
      </c>
      <c r="N329" s="222">
        <v>133985</v>
      </c>
      <c r="O329" s="400">
        <v>46004</v>
      </c>
      <c r="P329" s="222"/>
      <c r="Q329" s="412"/>
      <c r="R329" s="401" t="s">
        <v>1985</v>
      </c>
    </row>
    <row r="330" spans="1:18" s="402" customFormat="1" ht="16.899999999999999">
      <c r="A330" s="418" t="s">
        <v>1986</v>
      </c>
      <c r="B330" s="311" t="s">
        <v>1679</v>
      </c>
      <c r="C330" s="311" t="s">
        <v>1221</v>
      </c>
      <c r="D330" s="266" t="s">
        <v>1987</v>
      </c>
      <c r="E330" s="222" t="s">
        <v>132</v>
      </c>
      <c r="F330" s="315">
        <v>17124</v>
      </c>
      <c r="G330" s="444">
        <v>45946</v>
      </c>
      <c r="H330" s="445">
        <v>45978</v>
      </c>
      <c r="I330" s="444">
        <v>45981</v>
      </c>
      <c r="J330" s="399">
        <v>45982</v>
      </c>
      <c r="K330" s="399">
        <v>45986</v>
      </c>
      <c r="L330" s="399" t="s">
        <v>38</v>
      </c>
      <c r="M330" s="311" t="s">
        <v>39</v>
      </c>
      <c r="N330" s="222" t="s">
        <v>1988</v>
      </c>
      <c r="O330" s="400">
        <v>46011</v>
      </c>
      <c r="P330" s="222" t="s">
        <v>1989</v>
      </c>
      <c r="Q330" s="412"/>
      <c r="R330" s="401" t="s">
        <v>1990</v>
      </c>
    </row>
    <row r="331" spans="1:18" s="412" customFormat="1" ht="15.75" customHeight="1">
      <c r="A331" s="364" t="s">
        <v>1991</v>
      </c>
      <c r="B331" s="314" t="s">
        <v>1679</v>
      </c>
      <c r="C331" s="314" t="s">
        <v>1221</v>
      </c>
      <c r="D331" s="218" t="s">
        <v>1992</v>
      </c>
      <c r="E331" s="212" t="s">
        <v>132</v>
      </c>
      <c r="F331" s="292">
        <v>1795.5</v>
      </c>
      <c r="G331" s="448">
        <v>45973</v>
      </c>
      <c r="H331" s="449" t="s">
        <v>964</v>
      </c>
      <c r="I331" s="449"/>
      <c r="J331" s="448"/>
      <c r="K331" s="448"/>
      <c r="L331" s="448"/>
      <c r="M331" s="314" t="s">
        <v>1239</v>
      </c>
      <c r="N331" s="314" t="s">
        <v>1993</v>
      </c>
      <c r="O331" s="436">
        <v>46004</v>
      </c>
      <c r="P331" s="212"/>
      <c r="Q331" s="212"/>
      <c r="R331" s="401" t="s">
        <v>1994</v>
      </c>
    </row>
    <row r="332" spans="1:18" s="382" customFormat="1" ht="15.75" customHeight="1">
      <c r="A332" s="355" t="s">
        <v>1535</v>
      </c>
      <c r="B332" s="262" t="s">
        <v>1971</v>
      </c>
      <c r="C332" s="262" t="s">
        <v>1995</v>
      </c>
      <c r="D332" s="223" t="s">
        <v>1996</v>
      </c>
      <c r="E332" s="76" t="s">
        <v>132</v>
      </c>
      <c r="F332" s="277"/>
      <c r="G332" s="261"/>
      <c r="H332" s="320"/>
      <c r="I332" s="320"/>
      <c r="J332" s="261">
        <v>45999</v>
      </c>
      <c r="K332" s="261">
        <v>46000</v>
      </c>
      <c r="L332" s="261" t="s">
        <v>38</v>
      </c>
      <c r="M332" s="262" t="s">
        <v>1591</v>
      </c>
      <c r="N332" s="262"/>
      <c r="O332" s="437"/>
      <c r="P332" s="76"/>
      <c r="Q332" s="196"/>
    </row>
    <row r="333" spans="1:18" s="387" customFormat="1" ht="31.5">
      <c r="A333" s="384" t="s">
        <v>1997</v>
      </c>
      <c r="B333" s="336" t="s">
        <v>801</v>
      </c>
      <c r="C333" s="336" t="s">
        <v>151</v>
      </c>
      <c r="D333" s="467" t="s">
        <v>1998</v>
      </c>
      <c r="E333" s="468" t="s">
        <v>132</v>
      </c>
      <c r="F333" s="337">
        <v>63853.2</v>
      </c>
      <c r="G333" s="469">
        <v>45923</v>
      </c>
      <c r="H333" s="470">
        <v>45975</v>
      </c>
      <c r="I333" s="469">
        <v>45981</v>
      </c>
      <c r="J333" s="385">
        <v>45982</v>
      </c>
      <c r="K333" s="385">
        <v>45985</v>
      </c>
      <c r="L333" s="385" t="s">
        <v>38</v>
      </c>
      <c r="M333" s="336" t="s">
        <v>39</v>
      </c>
      <c r="N333" s="468" t="s">
        <v>1999</v>
      </c>
      <c r="O333" s="472">
        <v>46010</v>
      </c>
      <c r="P333" s="468" t="s">
        <v>2000</v>
      </c>
      <c r="Q333" s="478"/>
      <c r="R333" s="387" t="s">
        <v>1757</v>
      </c>
    </row>
    <row r="334" spans="1:18" s="386" customFormat="1" ht="15.75" customHeight="1">
      <c r="A334" s="384" t="s">
        <v>2001</v>
      </c>
      <c r="B334" s="336" t="s">
        <v>735</v>
      </c>
      <c r="C334" s="336" t="s">
        <v>2002</v>
      </c>
      <c r="D334" s="467" t="s">
        <v>2003</v>
      </c>
      <c r="E334" s="468" t="s">
        <v>132</v>
      </c>
      <c r="F334" s="337">
        <v>20341.5</v>
      </c>
      <c r="G334" s="469">
        <v>45973</v>
      </c>
      <c r="H334" s="470">
        <v>45988</v>
      </c>
      <c r="I334" s="470">
        <v>45983</v>
      </c>
      <c r="J334" s="469">
        <v>45985</v>
      </c>
      <c r="K334" s="469">
        <v>45992</v>
      </c>
      <c r="L334" s="469" t="s">
        <v>724</v>
      </c>
      <c r="M334" s="336" t="s">
        <v>47</v>
      </c>
      <c r="N334" s="336" t="s">
        <v>2004</v>
      </c>
      <c r="O334" s="472">
        <v>46011</v>
      </c>
      <c r="P334" s="468">
        <v>105235</v>
      </c>
      <c r="Q334" s="475"/>
    </row>
    <row r="335" spans="1:18" s="478" customFormat="1" ht="15.75" customHeight="1">
      <c r="A335" s="473" t="s">
        <v>2005</v>
      </c>
      <c r="B335" s="347" t="s">
        <v>43</v>
      </c>
      <c r="C335" s="347" t="s">
        <v>170</v>
      </c>
      <c r="D335" s="474" t="s">
        <v>2006</v>
      </c>
      <c r="E335" s="475" t="s">
        <v>132</v>
      </c>
      <c r="F335" s="348">
        <v>604.44000000000005</v>
      </c>
      <c r="G335" s="476">
        <v>45978</v>
      </c>
      <c r="H335" s="487" t="s">
        <v>964</v>
      </c>
      <c r="I335" s="487"/>
      <c r="J335" s="476"/>
      <c r="K335" s="476"/>
      <c r="L335" s="476"/>
      <c r="M335" s="347" t="s">
        <v>39</v>
      </c>
      <c r="N335" s="347" t="s">
        <v>2007</v>
      </c>
      <c r="O335" s="477">
        <v>46026</v>
      </c>
      <c r="P335" s="475"/>
      <c r="Q335" s="475"/>
    </row>
    <row r="336" spans="1:18" s="478" customFormat="1" ht="15.75" customHeight="1">
      <c r="A336" s="473" t="s">
        <v>1939</v>
      </c>
      <c r="B336" s="347" t="s">
        <v>1826</v>
      </c>
      <c r="C336" s="347" t="s">
        <v>1332</v>
      </c>
      <c r="D336" s="474" t="s">
        <v>2008</v>
      </c>
      <c r="E336" s="475" t="s">
        <v>132</v>
      </c>
      <c r="F336" s="348">
        <f>5185.9+471.75</f>
        <v>5657.65</v>
      </c>
      <c r="G336" s="476"/>
      <c r="H336" s="487"/>
      <c r="I336" s="487"/>
      <c r="J336" s="476"/>
      <c r="K336" s="476"/>
      <c r="L336" s="476"/>
      <c r="M336" s="347"/>
      <c r="N336" s="347"/>
      <c r="O336" s="477">
        <v>46022</v>
      </c>
      <c r="P336" s="475"/>
      <c r="Q336" s="196"/>
      <c r="R336" s="386" t="s">
        <v>2009</v>
      </c>
    </row>
    <row r="337" spans="1:18" s="386" customFormat="1" ht="15.75" customHeight="1">
      <c r="A337" s="384" t="s">
        <v>2010</v>
      </c>
      <c r="B337" s="336" t="s">
        <v>43</v>
      </c>
      <c r="C337" s="336" t="s">
        <v>1388</v>
      </c>
      <c r="D337" s="467" t="s">
        <v>1979</v>
      </c>
      <c r="E337" s="468" t="s">
        <v>132</v>
      </c>
      <c r="F337" s="337">
        <v>15000</v>
      </c>
      <c r="G337" s="469">
        <v>46002</v>
      </c>
      <c r="H337" s="470">
        <v>46007</v>
      </c>
      <c r="I337" s="470">
        <v>46009</v>
      </c>
      <c r="J337" s="469">
        <v>46010</v>
      </c>
      <c r="K337" s="469">
        <v>46013</v>
      </c>
      <c r="L337" s="469" t="s">
        <v>38</v>
      </c>
      <c r="M337" s="336" t="s">
        <v>146</v>
      </c>
      <c r="N337" s="336"/>
      <c r="O337" s="472"/>
      <c r="P337" s="468"/>
      <c r="Q337" s="196"/>
      <c r="R337" s="386" t="s">
        <v>2011</v>
      </c>
    </row>
    <row r="338" spans="1:18" s="386" customFormat="1" ht="15.75" customHeight="1">
      <c r="A338" s="384"/>
      <c r="B338" s="336" t="s">
        <v>180</v>
      </c>
      <c r="C338" s="336" t="s">
        <v>135</v>
      </c>
      <c r="D338" s="467" t="s">
        <v>1931</v>
      </c>
      <c r="E338" s="468" t="s">
        <v>132</v>
      </c>
      <c r="F338" s="337">
        <v>334</v>
      </c>
      <c r="G338" s="469">
        <v>45992</v>
      </c>
      <c r="H338" s="470">
        <v>46014</v>
      </c>
      <c r="I338" s="470">
        <v>46003</v>
      </c>
      <c r="J338" s="469">
        <v>46006</v>
      </c>
      <c r="K338" s="469">
        <v>46007</v>
      </c>
      <c r="L338" s="469" t="s">
        <v>38</v>
      </c>
      <c r="M338" s="336" t="s">
        <v>146</v>
      </c>
      <c r="N338" s="336" t="s">
        <v>2012</v>
      </c>
      <c r="O338" s="472">
        <v>46013</v>
      </c>
      <c r="P338" s="468" t="s">
        <v>2012</v>
      </c>
      <c r="Q338" s="475"/>
      <c r="R338" s="386" t="s">
        <v>2013</v>
      </c>
    </row>
    <row r="339" spans="1:18" s="386" customFormat="1" ht="15.75" customHeight="1">
      <c r="A339" s="384"/>
      <c r="B339" s="336" t="s">
        <v>180</v>
      </c>
      <c r="C339" s="336" t="s">
        <v>1213</v>
      </c>
      <c r="D339" s="467" t="s">
        <v>2014</v>
      </c>
      <c r="E339" s="468" t="s">
        <v>132</v>
      </c>
      <c r="F339" s="337">
        <v>4784.66</v>
      </c>
      <c r="G339" s="469">
        <v>45994</v>
      </c>
      <c r="H339" s="470">
        <v>46003</v>
      </c>
      <c r="I339" s="470">
        <v>46006</v>
      </c>
      <c r="J339" s="469">
        <v>46007</v>
      </c>
      <c r="K339" s="469">
        <v>46010</v>
      </c>
      <c r="L339" s="469" t="s">
        <v>38</v>
      </c>
      <c r="M339" s="336" t="s">
        <v>47</v>
      </c>
      <c r="N339" s="336" t="s">
        <v>2015</v>
      </c>
      <c r="O339" s="472" t="s">
        <v>1217</v>
      </c>
      <c r="P339" s="468" t="s">
        <v>2016</v>
      </c>
      <c r="Q339" s="475"/>
      <c r="R339" s="386" t="s">
        <v>2017</v>
      </c>
    </row>
    <row r="340" spans="1:18" s="386" customFormat="1" ht="15.75" customHeight="1">
      <c r="A340" s="384" t="s">
        <v>2018</v>
      </c>
      <c r="B340" s="336" t="s">
        <v>2019</v>
      </c>
      <c r="C340" s="336" t="s">
        <v>195</v>
      </c>
      <c r="D340" s="467" t="s">
        <v>2020</v>
      </c>
      <c r="E340" s="468" t="s">
        <v>132</v>
      </c>
      <c r="F340" s="337">
        <v>1615</v>
      </c>
      <c r="G340" s="469">
        <v>45964</v>
      </c>
      <c r="H340" s="470">
        <v>46010</v>
      </c>
      <c r="I340" s="470">
        <v>46003</v>
      </c>
      <c r="J340" s="469">
        <v>46003</v>
      </c>
      <c r="K340" s="469">
        <v>46006</v>
      </c>
      <c r="L340" s="469" t="s">
        <v>724</v>
      </c>
      <c r="M340" s="336" t="s">
        <v>55</v>
      </c>
      <c r="N340" s="336" t="s">
        <v>2021</v>
      </c>
      <c r="O340" s="472">
        <v>46032</v>
      </c>
      <c r="P340" s="468" t="s">
        <v>2022</v>
      </c>
      <c r="Q340" s="475"/>
      <c r="R340" s="386" t="s">
        <v>2023</v>
      </c>
    </row>
    <row r="341" spans="1:18" s="386" customFormat="1" ht="15.75" customHeight="1">
      <c r="A341" s="384" t="s">
        <v>2024</v>
      </c>
      <c r="B341" s="336" t="s">
        <v>43</v>
      </c>
      <c r="C341" s="336" t="s">
        <v>1388</v>
      </c>
      <c r="D341" s="467" t="s">
        <v>2025</v>
      </c>
      <c r="E341" s="468" t="s">
        <v>132</v>
      </c>
      <c r="F341" s="337">
        <v>7641.61</v>
      </c>
      <c r="G341" s="469">
        <v>45972</v>
      </c>
      <c r="H341" s="610">
        <v>46152</v>
      </c>
      <c r="I341" s="470">
        <v>46000</v>
      </c>
      <c r="J341" s="469">
        <v>46002</v>
      </c>
      <c r="K341" s="469">
        <v>46006</v>
      </c>
      <c r="L341" s="469" t="s">
        <v>724</v>
      </c>
      <c r="M341" s="336" t="s">
        <v>146</v>
      </c>
      <c r="N341" s="336" t="s">
        <v>2026</v>
      </c>
      <c r="O341" s="472">
        <v>46038</v>
      </c>
      <c r="P341" s="468" t="s">
        <v>2027</v>
      </c>
      <c r="Q341" s="196"/>
      <c r="R341" s="386" t="s">
        <v>2028</v>
      </c>
    </row>
    <row r="342" spans="1:18" s="387" customFormat="1" ht="16.899999999999999">
      <c r="A342" s="384" t="s">
        <v>2029</v>
      </c>
      <c r="B342" s="336" t="s">
        <v>2030</v>
      </c>
      <c r="C342" s="336" t="s">
        <v>189</v>
      </c>
      <c r="D342" s="467" t="s">
        <v>2031</v>
      </c>
      <c r="E342" s="468" t="s">
        <v>132</v>
      </c>
      <c r="F342" s="337">
        <v>7055</v>
      </c>
      <c r="G342" s="469">
        <v>45902</v>
      </c>
      <c r="H342" s="470" t="s">
        <v>2032</v>
      </c>
      <c r="I342" s="469">
        <v>45986</v>
      </c>
      <c r="J342" s="385">
        <v>45988</v>
      </c>
      <c r="K342" s="385">
        <v>45989</v>
      </c>
      <c r="L342" s="385" t="s">
        <v>724</v>
      </c>
      <c r="M342" s="336" t="s">
        <v>2033</v>
      </c>
      <c r="N342" s="468" t="s">
        <v>2034</v>
      </c>
      <c r="O342" s="472">
        <v>46015</v>
      </c>
      <c r="P342" s="468" t="s">
        <v>2035</v>
      </c>
      <c r="Q342" s="386"/>
      <c r="R342" s="386" t="s">
        <v>2036</v>
      </c>
    </row>
    <row r="343" spans="1:18" s="387" customFormat="1" ht="16.899999999999999">
      <c r="A343" s="384"/>
      <c r="B343" s="336" t="s">
        <v>180</v>
      </c>
      <c r="C343" s="336" t="s">
        <v>1759</v>
      </c>
      <c r="D343" s="467" t="s">
        <v>2037</v>
      </c>
      <c r="E343" s="468" t="s">
        <v>132</v>
      </c>
      <c r="F343" s="337">
        <v>5852.3</v>
      </c>
      <c r="G343" s="469">
        <v>45925</v>
      </c>
      <c r="H343" s="470">
        <v>45961</v>
      </c>
      <c r="I343" s="469">
        <v>45994</v>
      </c>
      <c r="J343" s="385">
        <v>45995</v>
      </c>
      <c r="K343" s="385">
        <v>45999</v>
      </c>
      <c r="L343" s="385" t="s">
        <v>724</v>
      </c>
      <c r="M343" s="336" t="s">
        <v>146</v>
      </c>
      <c r="N343" s="468" t="s">
        <v>2038</v>
      </c>
      <c r="O343" s="472">
        <v>46029</v>
      </c>
      <c r="P343" s="468" t="s">
        <v>2039</v>
      </c>
      <c r="Q343" s="478"/>
      <c r="R343" s="386" t="s">
        <v>2040</v>
      </c>
    </row>
    <row r="344" spans="1:18" s="386" customFormat="1" ht="15.75" customHeight="1">
      <c r="A344" s="384"/>
      <c r="B344" s="336" t="s">
        <v>180</v>
      </c>
      <c r="C344" s="336" t="s">
        <v>181</v>
      </c>
      <c r="D344" s="467" t="s">
        <v>2041</v>
      </c>
      <c r="E344" s="468" t="s">
        <v>132</v>
      </c>
      <c r="F344" s="337">
        <v>42660.1</v>
      </c>
      <c r="G344" s="469">
        <v>45980</v>
      </c>
      <c r="H344" s="470">
        <v>46022</v>
      </c>
      <c r="I344" s="470">
        <v>46013</v>
      </c>
      <c r="J344" s="469">
        <v>46015</v>
      </c>
      <c r="K344" s="469">
        <v>46020</v>
      </c>
      <c r="L344" s="469" t="s">
        <v>38</v>
      </c>
      <c r="M344" s="336" t="s">
        <v>39</v>
      </c>
      <c r="N344" s="336" t="s">
        <v>2042</v>
      </c>
      <c r="O344" s="472">
        <v>46045</v>
      </c>
      <c r="P344" s="468">
        <v>29430</v>
      </c>
      <c r="Q344" s="475"/>
      <c r="R344" s="386" t="s">
        <v>2043</v>
      </c>
    </row>
    <row r="345" spans="1:18" s="401" customFormat="1" ht="15.75" customHeight="1">
      <c r="A345" s="418"/>
      <c r="B345" s="311" t="s">
        <v>134</v>
      </c>
      <c r="C345" s="311" t="s">
        <v>170</v>
      </c>
      <c r="D345" s="266" t="s">
        <v>2044</v>
      </c>
      <c r="E345" s="222" t="s">
        <v>132</v>
      </c>
      <c r="F345" s="315">
        <v>269563</v>
      </c>
      <c r="G345" s="444">
        <v>45981</v>
      </c>
      <c r="H345" s="445">
        <v>46010</v>
      </c>
      <c r="I345" s="445">
        <v>46010</v>
      </c>
      <c r="J345" s="444">
        <v>46027</v>
      </c>
      <c r="K345" s="444">
        <v>46028</v>
      </c>
      <c r="L345" s="444" t="s">
        <v>1106</v>
      </c>
      <c r="M345" s="311" t="s">
        <v>55</v>
      </c>
      <c r="N345" s="311" t="s">
        <v>2045</v>
      </c>
      <c r="O345" s="400">
        <v>46038</v>
      </c>
      <c r="P345" s="222"/>
      <c r="Q345" s="212"/>
      <c r="R345" s="401" t="s">
        <v>2046</v>
      </c>
    </row>
    <row r="346" spans="1:18" s="401" customFormat="1" ht="15.75" customHeight="1">
      <c r="A346" s="418" t="s">
        <v>2047</v>
      </c>
      <c r="B346" s="311" t="s">
        <v>2048</v>
      </c>
      <c r="C346" s="311" t="s">
        <v>2049</v>
      </c>
      <c r="D346" s="266" t="s">
        <v>2050</v>
      </c>
      <c r="E346" s="222" t="s">
        <v>132</v>
      </c>
      <c r="F346" s="315">
        <v>91.91</v>
      </c>
      <c r="G346" s="444">
        <v>46008</v>
      </c>
      <c r="H346" s="445">
        <v>46009</v>
      </c>
      <c r="I346" s="445">
        <v>46009</v>
      </c>
      <c r="J346" s="444">
        <v>46013</v>
      </c>
      <c r="K346" s="444">
        <v>46015</v>
      </c>
      <c r="L346" s="444" t="s">
        <v>38</v>
      </c>
      <c r="M346" s="311" t="s">
        <v>47</v>
      </c>
      <c r="N346" s="311" t="s">
        <v>2051</v>
      </c>
      <c r="O346" s="400">
        <v>46052</v>
      </c>
      <c r="P346" s="222"/>
      <c r="Q346" s="212"/>
      <c r="R346" s="401" t="s">
        <v>2052</v>
      </c>
    </row>
    <row r="347" spans="1:18" s="412" customFormat="1" ht="15.75" customHeight="1">
      <c r="A347" s="364" t="s">
        <v>2053</v>
      </c>
      <c r="B347" s="314" t="s">
        <v>2054</v>
      </c>
      <c r="C347" s="314" t="s">
        <v>1332</v>
      </c>
      <c r="D347" s="218" t="s">
        <v>2055</v>
      </c>
      <c r="E347" s="212" t="s">
        <v>132</v>
      </c>
      <c r="F347" s="292">
        <f>5237.65+801.25</f>
        <v>6038.9</v>
      </c>
      <c r="G347" s="448"/>
      <c r="H347" s="449"/>
      <c r="I347" s="449"/>
      <c r="J347" s="448"/>
      <c r="K347" s="448"/>
      <c r="L347" s="448"/>
      <c r="M347" s="314" t="s">
        <v>1742</v>
      </c>
      <c r="N347" s="314"/>
      <c r="O347" s="436">
        <v>46053</v>
      </c>
      <c r="P347" s="212"/>
      <c r="Q347" s="212"/>
      <c r="R347" s="401" t="s">
        <v>2056</v>
      </c>
    </row>
    <row r="348" spans="1:18" s="631" customFormat="1" ht="78.75">
      <c r="A348" s="619"/>
      <c r="B348" s="620" t="s">
        <v>134</v>
      </c>
      <c r="C348" s="620" t="s">
        <v>2057</v>
      </c>
      <c r="D348" s="621" t="s">
        <v>2058</v>
      </c>
      <c r="E348" s="622" t="s">
        <v>132</v>
      </c>
      <c r="F348" s="623">
        <v>37798.800000000003</v>
      </c>
      <c r="G348" s="624">
        <v>45713</v>
      </c>
      <c r="H348" s="625" t="s">
        <v>2059</v>
      </c>
      <c r="I348" s="626" t="s">
        <v>2060</v>
      </c>
      <c r="J348" s="625" t="s">
        <v>2061</v>
      </c>
      <c r="K348" s="625" t="s">
        <v>2062</v>
      </c>
      <c r="L348" s="625" t="s">
        <v>1106</v>
      </c>
      <c r="M348" s="620" t="s">
        <v>39</v>
      </c>
      <c r="N348" s="627" t="s">
        <v>2063</v>
      </c>
      <c r="O348" s="628" t="s">
        <v>2064</v>
      </c>
      <c r="P348" s="622"/>
      <c r="Q348" s="629"/>
      <c r="R348" s="630" t="s">
        <v>2065</v>
      </c>
    </row>
    <row r="349" spans="1:18" s="401" customFormat="1" ht="15.75" customHeight="1">
      <c r="A349" s="418" t="s">
        <v>2066</v>
      </c>
      <c r="B349" s="311" t="s">
        <v>1331</v>
      </c>
      <c r="C349" s="311" t="s">
        <v>195</v>
      </c>
      <c r="D349" s="266" t="s">
        <v>2067</v>
      </c>
      <c r="E349" s="222" t="s">
        <v>132</v>
      </c>
      <c r="F349" s="315">
        <v>13130</v>
      </c>
      <c r="G349" s="444">
        <v>45953</v>
      </c>
      <c r="H349" s="618">
        <v>46031</v>
      </c>
      <c r="I349" s="445">
        <v>46040</v>
      </c>
      <c r="J349" s="444">
        <v>46031</v>
      </c>
      <c r="K349" s="444">
        <v>46035</v>
      </c>
      <c r="L349" s="444" t="s">
        <v>38</v>
      </c>
      <c r="M349" s="311" t="s">
        <v>39</v>
      </c>
      <c r="N349" s="311" t="s">
        <v>2068</v>
      </c>
      <c r="O349" s="400">
        <v>46059</v>
      </c>
      <c r="P349" s="222" t="s">
        <v>2069</v>
      </c>
      <c r="Q349" s="212"/>
      <c r="R349" s="401" t="s">
        <v>2070</v>
      </c>
    </row>
    <row r="350" spans="1:18" s="401" customFormat="1" ht="15.75" customHeight="1">
      <c r="A350" s="418" t="s">
        <v>1167</v>
      </c>
      <c r="B350" s="311" t="s">
        <v>1706</v>
      </c>
      <c r="C350" s="311" t="s">
        <v>135</v>
      </c>
      <c r="D350" s="266" t="s">
        <v>2071</v>
      </c>
      <c r="E350" s="222" t="s">
        <v>132</v>
      </c>
      <c r="F350" s="315">
        <v>270</v>
      </c>
      <c r="G350" s="444">
        <v>46029</v>
      </c>
      <c r="H350" s="445">
        <v>46042</v>
      </c>
      <c r="I350" s="445">
        <v>46036</v>
      </c>
      <c r="J350" s="444">
        <v>46037</v>
      </c>
      <c r="K350" s="444">
        <v>46038</v>
      </c>
      <c r="L350" s="444" t="s">
        <v>38</v>
      </c>
      <c r="M350" s="311" t="s">
        <v>39</v>
      </c>
      <c r="N350" s="311" t="s">
        <v>2072</v>
      </c>
      <c r="O350" s="400">
        <v>46061</v>
      </c>
      <c r="P350" s="222" t="s">
        <v>2073</v>
      </c>
      <c r="Q350" s="212"/>
      <c r="R350" s="401" t="s">
        <v>2074</v>
      </c>
    </row>
    <row r="351" spans="1:18" s="401" customFormat="1" ht="15.75" customHeight="1">
      <c r="A351" s="418" t="s">
        <v>2075</v>
      </c>
      <c r="B351" s="311" t="s">
        <v>2076</v>
      </c>
      <c r="C351" s="311" t="s">
        <v>143</v>
      </c>
      <c r="D351" s="266" t="s">
        <v>225</v>
      </c>
      <c r="E351" s="222" t="s">
        <v>132</v>
      </c>
      <c r="F351" s="315">
        <v>20995</v>
      </c>
      <c r="G351" s="444">
        <v>46029</v>
      </c>
      <c r="H351" s="445"/>
      <c r="I351" s="445">
        <v>46031</v>
      </c>
      <c r="J351" s="444">
        <v>46034</v>
      </c>
      <c r="K351" s="444">
        <v>46036</v>
      </c>
      <c r="L351" s="444" t="s">
        <v>38</v>
      </c>
      <c r="M351" s="311" t="s">
        <v>146</v>
      </c>
      <c r="N351" s="311" t="s">
        <v>2077</v>
      </c>
      <c r="O351" s="400">
        <v>46060</v>
      </c>
      <c r="P351" s="222">
        <v>96799</v>
      </c>
      <c r="Q351" s="212"/>
      <c r="R351" s="401" t="s">
        <v>2078</v>
      </c>
    </row>
    <row r="352" spans="1:18" s="412" customFormat="1" ht="15" customHeight="1">
      <c r="A352" s="364" t="s">
        <v>2079</v>
      </c>
      <c r="B352" s="314" t="s">
        <v>722</v>
      </c>
      <c r="C352" s="314" t="s">
        <v>1362</v>
      </c>
      <c r="D352" s="218" t="s">
        <v>2080</v>
      </c>
      <c r="E352" s="212" t="s">
        <v>132</v>
      </c>
      <c r="F352" s="292">
        <v>7593</v>
      </c>
      <c r="G352" s="448">
        <v>46031</v>
      </c>
      <c r="H352" s="449" t="s">
        <v>964</v>
      </c>
      <c r="I352" s="449"/>
      <c r="J352" s="448"/>
      <c r="K352" s="448"/>
      <c r="L352" s="448"/>
      <c r="M352" s="314" t="s">
        <v>39</v>
      </c>
      <c r="N352" s="314" t="s">
        <v>2081</v>
      </c>
      <c r="O352" s="436">
        <v>46066</v>
      </c>
      <c r="P352" s="212"/>
      <c r="Q352" s="212"/>
      <c r="R352" s="458" t="s">
        <v>2082</v>
      </c>
    </row>
    <row r="353" spans="1:18" s="382" customFormat="1" ht="15.75" customHeight="1">
      <c r="A353" s="355" t="s">
        <v>2083</v>
      </c>
      <c r="B353" s="262" t="s">
        <v>2084</v>
      </c>
      <c r="C353" s="262" t="s">
        <v>2085</v>
      </c>
      <c r="D353" s="223" t="s">
        <v>2086</v>
      </c>
      <c r="E353" s="76" t="s">
        <v>132</v>
      </c>
      <c r="F353" s="277"/>
      <c r="G353" s="261">
        <v>46042</v>
      </c>
      <c r="H353" s="320"/>
      <c r="I353" s="320">
        <v>46055</v>
      </c>
      <c r="J353" s="261">
        <v>46056</v>
      </c>
      <c r="K353" s="261">
        <v>46057</v>
      </c>
      <c r="L353" s="261" t="s">
        <v>38</v>
      </c>
      <c r="M353" s="262" t="s">
        <v>1290</v>
      </c>
      <c r="N353" s="262" t="s">
        <v>2087</v>
      </c>
      <c r="O353" s="437" t="s">
        <v>246</v>
      </c>
      <c r="P353" s="76"/>
      <c r="Q353" s="196"/>
      <c r="R353" s="382" t="s">
        <v>2088</v>
      </c>
    </row>
    <row r="354" spans="1:18" s="382" customFormat="1" ht="15.75" customHeight="1">
      <c r="A354" s="355" t="s">
        <v>2083</v>
      </c>
      <c r="B354" s="262" t="s">
        <v>2084</v>
      </c>
      <c r="C354" s="262" t="s">
        <v>2089</v>
      </c>
      <c r="D354" s="223" t="s">
        <v>2086</v>
      </c>
      <c r="E354" s="76" t="s">
        <v>132</v>
      </c>
      <c r="F354" s="277"/>
      <c r="G354" s="261">
        <v>46044</v>
      </c>
      <c r="H354" s="320"/>
      <c r="I354" s="320">
        <v>46055</v>
      </c>
      <c r="J354" s="261">
        <v>46056</v>
      </c>
      <c r="K354" s="261">
        <v>46057</v>
      </c>
      <c r="L354" s="261" t="s">
        <v>38</v>
      </c>
      <c r="M354" s="262" t="s">
        <v>1290</v>
      </c>
      <c r="N354" s="262" t="s">
        <v>2090</v>
      </c>
      <c r="O354" s="437" t="s">
        <v>246</v>
      </c>
      <c r="P354" s="76"/>
      <c r="Q354" s="196"/>
      <c r="R354" s="382" t="s">
        <v>2091</v>
      </c>
    </row>
    <row r="355" spans="1:18" s="382" customFormat="1" ht="15.75" customHeight="1">
      <c r="A355" s="355" t="s">
        <v>2083</v>
      </c>
      <c r="B355" s="262" t="s">
        <v>2084</v>
      </c>
      <c r="C355" s="262" t="s">
        <v>1459</v>
      </c>
      <c r="D355" s="223" t="s">
        <v>2086</v>
      </c>
      <c r="E355" s="76" t="s">
        <v>132</v>
      </c>
      <c r="F355" s="277"/>
      <c r="G355" s="261">
        <v>46051</v>
      </c>
      <c r="H355" s="320"/>
      <c r="I355" s="320"/>
      <c r="J355" s="261">
        <v>46055</v>
      </c>
      <c r="K355" s="261">
        <v>46056</v>
      </c>
      <c r="L355" s="261" t="s">
        <v>38</v>
      </c>
      <c r="M355" s="262" t="s">
        <v>1290</v>
      </c>
      <c r="N355" s="262"/>
      <c r="O355" s="437" t="s">
        <v>246</v>
      </c>
      <c r="P355" s="76"/>
      <c r="Q355" s="196"/>
      <c r="R355" s="382" t="s">
        <v>2092</v>
      </c>
    </row>
    <row r="356" spans="1:18" s="382" customFormat="1" ht="15.75" customHeight="1">
      <c r="A356" s="355" t="s">
        <v>2093</v>
      </c>
      <c r="B356" s="262" t="s">
        <v>2094</v>
      </c>
      <c r="C356" s="262" t="s">
        <v>2095</v>
      </c>
      <c r="D356" s="223" t="s">
        <v>1294</v>
      </c>
      <c r="E356" s="76" t="s">
        <v>132</v>
      </c>
      <c r="F356" s="277">
        <v>600</v>
      </c>
      <c r="G356" s="261"/>
      <c r="H356" s="320"/>
      <c r="I356" s="320"/>
      <c r="J356" s="261">
        <v>46043</v>
      </c>
      <c r="K356" s="261">
        <v>46048</v>
      </c>
      <c r="L356" s="261" t="s">
        <v>38</v>
      </c>
      <c r="M356" s="262" t="s">
        <v>1290</v>
      </c>
      <c r="N356" s="262"/>
      <c r="O356" s="437"/>
      <c r="P356" s="76"/>
      <c r="Q356" s="196"/>
    </row>
    <row r="357" spans="1:18" s="401" customFormat="1" ht="15.75" customHeight="1" thickBot="1">
      <c r="A357" s="418" t="s">
        <v>2024</v>
      </c>
      <c r="B357" s="311" t="s">
        <v>43</v>
      </c>
      <c r="C357" s="311" t="s">
        <v>1388</v>
      </c>
      <c r="D357" s="266" t="s">
        <v>2096</v>
      </c>
      <c r="E357" s="222" t="s">
        <v>132</v>
      </c>
      <c r="F357" s="315">
        <v>915.8</v>
      </c>
      <c r="G357" s="444">
        <v>46002</v>
      </c>
      <c r="H357" s="445">
        <v>46038</v>
      </c>
      <c r="I357" s="445">
        <v>46038</v>
      </c>
      <c r="J357" s="445">
        <v>46038</v>
      </c>
      <c r="K357" s="444">
        <v>46042</v>
      </c>
      <c r="L357" s="444" t="s">
        <v>1170</v>
      </c>
      <c r="M357" s="311" t="s">
        <v>146</v>
      </c>
      <c r="N357" s="311" t="s">
        <v>2097</v>
      </c>
      <c r="O357" s="400">
        <v>46074</v>
      </c>
      <c r="P357" s="222"/>
      <c r="Q357" s="212"/>
      <c r="R357" s="401" t="s">
        <v>2098</v>
      </c>
    </row>
    <row r="358" spans="1:18" s="412" customFormat="1" ht="15.75" customHeight="1">
      <c r="A358" s="638" t="s">
        <v>2099</v>
      </c>
      <c r="B358" s="639" t="s">
        <v>722</v>
      </c>
      <c r="C358" s="639" t="s">
        <v>1221</v>
      </c>
      <c r="D358" s="640" t="s">
        <v>2100</v>
      </c>
      <c r="E358" s="641" t="s">
        <v>132</v>
      </c>
      <c r="F358" s="642">
        <v>1890.5</v>
      </c>
      <c r="G358" s="448">
        <v>46031</v>
      </c>
      <c r="H358" s="449" t="s">
        <v>964</v>
      </c>
      <c r="I358" s="449"/>
      <c r="J358" s="448"/>
      <c r="K358" s="448"/>
      <c r="L358" s="448"/>
      <c r="M358" s="314" t="s">
        <v>39</v>
      </c>
      <c r="N358" s="314" t="s">
        <v>2101</v>
      </c>
      <c r="O358" s="436">
        <v>46074</v>
      </c>
      <c r="P358" s="212"/>
      <c r="Q358" s="212"/>
      <c r="R358" s="401" t="s">
        <v>2102</v>
      </c>
    </row>
    <row r="359" spans="1:18" s="412" customFormat="1" ht="15.75" customHeight="1">
      <c r="A359" s="364" t="s">
        <v>2103</v>
      </c>
      <c r="B359" s="314" t="s">
        <v>722</v>
      </c>
      <c r="C359" s="314" t="s">
        <v>1221</v>
      </c>
      <c r="D359" s="218" t="s">
        <v>2104</v>
      </c>
      <c r="E359" s="212" t="s">
        <v>132</v>
      </c>
      <c r="F359" s="292">
        <v>945.25</v>
      </c>
      <c r="G359" s="448">
        <v>46057</v>
      </c>
      <c r="H359" s="449" t="s">
        <v>964</v>
      </c>
      <c r="I359" s="449"/>
      <c r="J359" s="448"/>
      <c r="K359" s="448"/>
      <c r="L359" s="448"/>
      <c r="M359" s="314" t="s">
        <v>39</v>
      </c>
      <c r="N359" s="314" t="s">
        <v>2105</v>
      </c>
      <c r="O359" s="436">
        <v>46089</v>
      </c>
      <c r="P359" s="212"/>
      <c r="Q359" s="196"/>
      <c r="R359" s="401" t="s">
        <v>2106</v>
      </c>
    </row>
    <row r="360" spans="1:18" s="401" customFormat="1" ht="15.75" customHeight="1">
      <c r="A360" s="418" t="s">
        <v>2107</v>
      </c>
      <c r="B360" s="311" t="s">
        <v>846</v>
      </c>
      <c r="C360" s="311" t="s">
        <v>151</v>
      </c>
      <c r="D360" s="266" t="s">
        <v>2108</v>
      </c>
      <c r="E360" s="222" t="s">
        <v>132</v>
      </c>
      <c r="F360" s="315">
        <v>880.2</v>
      </c>
      <c r="G360" s="444">
        <v>46044</v>
      </c>
      <c r="H360" s="445">
        <v>46051</v>
      </c>
      <c r="I360" s="445">
        <v>46052</v>
      </c>
      <c r="J360" s="444">
        <v>46055</v>
      </c>
      <c r="K360" s="444">
        <v>46056</v>
      </c>
      <c r="L360" s="444" t="s">
        <v>38</v>
      </c>
      <c r="M360" s="311" t="s">
        <v>39</v>
      </c>
      <c r="N360" s="311" t="s">
        <v>2109</v>
      </c>
      <c r="O360" s="400">
        <v>46082</v>
      </c>
      <c r="P360" s="222" t="s">
        <v>2110</v>
      </c>
      <c r="Q360" s="222"/>
      <c r="R360" s="401" t="s">
        <v>2111</v>
      </c>
    </row>
    <row r="361" spans="1:18" s="401" customFormat="1" ht="15.75" customHeight="1">
      <c r="A361" s="418" t="s">
        <v>2112</v>
      </c>
      <c r="B361" s="311" t="s">
        <v>2113</v>
      </c>
      <c r="C361" s="311" t="s">
        <v>135</v>
      </c>
      <c r="D361" s="266" t="s">
        <v>2114</v>
      </c>
      <c r="E361" s="222" t="s">
        <v>132</v>
      </c>
      <c r="F361" s="315">
        <v>1148</v>
      </c>
      <c r="G361" s="444">
        <v>46048</v>
      </c>
      <c r="H361" s="445">
        <v>46062</v>
      </c>
      <c r="I361" s="445">
        <v>46059</v>
      </c>
      <c r="J361" s="444">
        <v>46062</v>
      </c>
      <c r="K361" s="444">
        <v>46063</v>
      </c>
      <c r="L361" s="444" t="s">
        <v>38</v>
      </c>
      <c r="M361" s="311" t="s">
        <v>39</v>
      </c>
      <c r="N361" s="311" t="s">
        <v>2115</v>
      </c>
      <c r="O361" s="400">
        <v>46084</v>
      </c>
      <c r="P361" s="222" t="s">
        <v>2116</v>
      </c>
      <c r="Q361" s="212"/>
      <c r="R361" s="401" t="s">
        <v>2117</v>
      </c>
    </row>
    <row r="362" spans="1:18" s="401" customFormat="1" ht="15.75" customHeight="1">
      <c r="A362" s="418"/>
      <c r="B362" s="311" t="s">
        <v>180</v>
      </c>
      <c r="C362" s="311" t="s">
        <v>135</v>
      </c>
      <c r="D362" s="266" t="s">
        <v>2118</v>
      </c>
      <c r="E362" s="222" t="s">
        <v>132</v>
      </c>
      <c r="F362" s="315">
        <v>352</v>
      </c>
      <c r="G362" s="444">
        <v>46055</v>
      </c>
      <c r="H362" s="445">
        <v>46062</v>
      </c>
      <c r="I362" s="445">
        <v>46059</v>
      </c>
      <c r="J362" s="444">
        <v>46062</v>
      </c>
      <c r="K362" s="444">
        <v>46063</v>
      </c>
      <c r="L362" s="444" t="s">
        <v>38</v>
      </c>
      <c r="M362" s="311" t="s">
        <v>39</v>
      </c>
      <c r="N362" s="311" t="s">
        <v>2115</v>
      </c>
      <c r="O362" s="400">
        <v>46084</v>
      </c>
      <c r="P362" s="222" t="s">
        <v>2119</v>
      </c>
      <c r="Q362" s="212"/>
      <c r="R362" s="401" t="s">
        <v>2120</v>
      </c>
    </row>
    <row r="363" spans="1:18" s="412" customFormat="1" ht="15.75" customHeight="1">
      <c r="A363" s="364" t="s">
        <v>2053</v>
      </c>
      <c r="B363" s="314" t="s">
        <v>1331</v>
      </c>
      <c r="C363" s="314" t="s">
        <v>195</v>
      </c>
      <c r="D363" s="218" t="s">
        <v>2121</v>
      </c>
      <c r="E363" s="212" t="s">
        <v>132</v>
      </c>
      <c r="F363" s="292">
        <v>5134.1499999999996</v>
      </c>
      <c r="G363" s="448"/>
      <c r="H363" s="449"/>
      <c r="I363" s="449"/>
      <c r="J363" s="448"/>
      <c r="K363" s="448"/>
      <c r="L363" s="448"/>
      <c r="M363" s="314" t="s">
        <v>1239</v>
      </c>
      <c r="N363" s="314"/>
      <c r="O363" s="436">
        <v>46081</v>
      </c>
      <c r="P363" s="212"/>
      <c r="Q363" s="212"/>
      <c r="R363" s="401" t="s">
        <v>2122</v>
      </c>
    </row>
    <row r="364" spans="1:18" s="389" customFormat="1" ht="59.25" customHeight="1">
      <c r="A364" s="426" t="s">
        <v>1365</v>
      </c>
      <c r="B364" s="297" t="s">
        <v>1366</v>
      </c>
      <c r="C364" s="297" t="s">
        <v>166</v>
      </c>
      <c r="D364" s="168" t="s">
        <v>2123</v>
      </c>
      <c r="E364" s="1" t="s">
        <v>132</v>
      </c>
      <c r="F364" s="301">
        <v>44881</v>
      </c>
      <c r="G364" s="430">
        <v>45655</v>
      </c>
      <c r="H364" s="500">
        <v>45672</v>
      </c>
      <c r="I364" s="500">
        <v>45674</v>
      </c>
      <c r="J364" s="351">
        <v>45677</v>
      </c>
      <c r="K364" s="201">
        <v>45678</v>
      </c>
      <c r="L364" s="431" t="s">
        <v>38</v>
      </c>
      <c r="M364" s="15" t="s">
        <v>719</v>
      </c>
      <c r="N364" s="429" t="s">
        <v>2124</v>
      </c>
      <c r="O364" s="457" t="s">
        <v>2125</v>
      </c>
      <c r="P364" s="1">
        <v>9711853</v>
      </c>
      <c r="Q364" s="2"/>
      <c r="R364" s="447" t="s">
        <v>2126</v>
      </c>
    </row>
    <row r="365" spans="1:18" s="382" customFormat="1" ht="15.75" customHeight="1">
      <c r="A365" s="355" t="s">
        <v>2083</v>
      </c>
      <c r="B365" s="262" t="s">
        <v>2084</v>
      </c>
      <c r="C365" s="262" t="s">
        <v>2127</v>
      </c>
      <c r="D365" s="223" t="s">
        <v>2128</v>
      </c>
      <c r="E365" s="76" t="s">
        <v>132</v>
      </c>
      <c r="F365" s="277"/>
      <c r="G365" s="261">
        <v>46044</v>
      </c>
      <c r="H365" s="320"/>
      <c r="I365" s="320"/>
      <c r="J365" s="320">
        <v>46065</v>
      </c>
      <c r="K365" s="261">
        <v>46072</v>
      </c>
      <c r="L365" s="261" t="s">
        <v>38</v>
      </c>
      <c r="M365" s="262" t="s">
        <v>1290</v>
      </c>
      <c r="N365" s="262" t="s">
        <v>2129</v>
      </c>
      <c r="O365" s="437" t="s">
        <v>246</v>
      </c>
      <c r="P365" s="76"/>
      <c r="Q365" s="76"/>
      <c r="R365" s="382" t="s">
        <v>2130</v>
      </c>
    </row>
    <row r="366" spans="1:18" s="382" customFormat="1" ht="15.75" customHeight="1">
      <c r="A366" s="355" t="s">
        <v>2131</v>
      </c>
      <c r="B366" s="262" t="s">
        <v>1133</v>
      </c>
      <c r="C366" s="262" t="s">
        <v>2132</v>
      </c>
      <c r="D366" s="223" t="s">
        <v>2133</v>
      </c>
      <c r="E366" s="76" t="s">
        <v>132</v>
      </c>
      <c r="F366" s="277"/>
      <c r="G366" s="261"/>
      <c r="H366" s="320"/>
      <c r="I366" s="320"/>
      <c r="J366" s="261">
        <v>46064</v>
      </c>
      <c r="K366" s="261">
        <v>46065</v>
      </c>
      <c r="L366" s="261" t="s">
        <v>38</v>
      </c>
      <c r="M366" s="262" t="s">
        <v>2134</v>
      </c>
      <c r="N366" s="262"/>
      <c r="O366" s="437"/>
      <c r="P366" s="76"/>
      <c r="Q366" s="76"/>
    </row>
    <row r="367" spans="1:18" s="382" customFormat="1" ht="15.75" customHeight="1">
      <c r="A367" s="355" t="s">
        <v>1535</v>
      </c>
      <c r="B367" s="262" t="s">
        <v>1578</v>
      </c>
      <c r="C367" s="262" t="s">
        <v>2135</v>
      </c>
      <c r="D367" s="223" t="s">
        <v>2136</v>
      </c>
      <c r="E367" s="76" t="s">
        <v>132</v>
      </c>
      <c r="F367" s="277"/>
      <c r="G367" s="261"/>
      <c r="H367" s="320"/>
      <c r="I367" s="320"/>
      <c r="J367" s="509">
        <v>46079</v>
      </c>
      <c r="K367" s="261"/>
      <c r="L367" s="261"/>
      <c r="M367" s="262" t="s">
        <v>2137</v>
      </c>
      <c r="N367" s="262"/>
      <c r="O367" s="437"/>
      <c r="P367" s="76"/>
      <c r="Q367" s="76"/>
    </row>
    <row r="368" spans="1:18" s="382" customFormat="1" ht="15.75" customHeight="1">
      <c r="A368" s="355"/>
      <c r="B368" s="262" t="s">
        <v>180</v>
      </c>
      <c r="C368" s="262" t="s">
        <v>1213</v>
      </c>
      <c r="D368" s="223" t="s">
        <v>2138</v>
      </c>
      <c r="E368" s="76" t="s">
        <v>132</v>
      </c>
      <c r="F368" s="277">
        <v>1485</v>
      </c>
      <c r="G368" s="261">
        <v>46021</v>
      </c>
      <c r="H368" s="320">
        <v>46080</v>
      </c>
      <c r="I368" s="320">
        <v>46072</v>
      </c>
      <c r="J368" s="261">
        <v>46072</v>
      </c>
      <c r="K368" s="261">
        <v>46077</v>
      </c>
      <c r="L368" s="261" t="s">
        <v>38</v>
      </c>
      <c r="M368" s="262" t="s">
        <v>39</v>
      </c>
      <c r="N368" s="644" t="s">
        <v>2139</v>
      </c>
      <c r="O368" s="437">
        <v>46098</v>
      </c>
      <c r="P368" s="76" t="s">
        <v>2140</v>
      </c>
      <c r="Q368" s="196"/>
      <c r="R368" s="382" t="s">
        <v>2141</v>
      </c>
    </row>
    <row r="369" spans="1:18" s="412" customFormat="1" ht="15.75" customHeight="1">
      <c r="A369" s="364" t="s">
        <v>2142</v>
      </c>
      <c r="B369" s="314" t="s">
        <v>84</v>
      </c>
      <c r="C369" s="314" t="s">
        <v>2002</v>
      </c>
      <c r="D369" s="218" t="s">
        <v>2143</v>
      </c>
      <c r="E369" s="212" t="s">
        <v>132</v>
      </c>
      <c r="F369" s="292">
        <v>5165</v>
      </c>
      <c r="G369" s="448">
        <v>46056</v>
      </c>
      <c r="H369" s="449">
        <v>46065</v>
      </c>
      <c r="I369" s="449">
        <v>46065</v>
      </c>
      <c r="J369" s="449">
        <v>46065</v>
      </c>
      <c r="K369" s="448">
        <v>46072</v>
      </c>
      <c r="L369" s="448" t="s">
        <v>724</v>
      </c>
      <c r="M369" s="314" t="s">
        <v>55</v>
      </c>
      <c r="N369" s="314" t="s">
        <v>2144</v>
      </c>
      <c r="O369" s="436">
        <v>46091</v>
      </c>
      <c r="P369" s="212">
        <v>105255</v>
      </c>
      <c r="Q369" s="212"/>
      <c r="R369" s="401" t="s">
        <v>2145</v>
      </c>
    </row>
    <row r="370" spans="1:18" s="373" customFormat="1" ht="15.75" customHeight="1">
      <c r="A370" s="353" t="s">
        <v>2083</v>
      </c>
      <c r="B370" s="289" t="s">
        <v>2084</v>
      </c>
      <c r="C370" s="289" t="s">
        <v>2127</v>
      </c>
      <c r="D370" s="224" t="s">
        <v>2128</v>
      </c>
      <c r="E370" s="196" t="s">
        <v>132</v>
      </c>
      <c r="F370" s="272"/>
      <c r="G370" s="424">
        <v>46057</v>
      </c>
      <c r="H370" s="425"/>
      <c r="I370" s="425"/>
      <c r="J370" s="424"/>
      <c r="K370" s="424"/>
      <c r="L370" s="424"/>
      <c r="M370" s="289" t="s">
        <v>1290</v>
      </c>
      <c r="N370" s="289" t="s">
        <v>2146</v>
      </c>
      <c r="O370" s="395" t="s">
        <v>1592</v>
      </c>
      <c r="P370" s="196"/>
      <c r="Q370" s="196"/>
      <c r="R370" s="382"/>
    </row>
    <row r="371" spans="1:18" s="381" customFormat="1" ht="15.75" customHeight="1">
      <c r="A371" s="359" t="s">
        <v>2147</v>
      </c>
      <c r="B371" s="242" t="s">
        <v>785</v>
      </c>
      <c r="C371" s="242" t="s">
        <v>736</v>
      </c>
      <c r="D371" s="179" t="s">
        <v>2148</v>
      </c>
      <c r="E371" s="131" t="s">
        <v>132</v>
      </c>
      <c r="F371" s="286">
        <v>646</v>
      </c>
      <c r="G371" s="147">
        <v>46063</v>
      </c>
      <c r="H371" s="263">
        <v>46071</v>
      </c>
      <c r="I371" s="263">
        <v>46071</v>
      </c>
      <c r="J371" s="263">
        <v>46072</v>
      </c>
      <c r="K371" s="147">
        <v>46073</v>
      </c>
      <c r="L371" s="147" t="s">
        <v>38</v>
      </c>
      <c r="M371" s="242" t="s">
        <v>39</v>
      </c>
      <c r="N371" s="242" t="s">
        <v>2149</v>
      </c>
      <c r="O371" s="394">
        <v>46096</v>
      </c>
      <c r="P371" s="131" t="s">
        <v>2150</v>
      </c>
      <c r="Q371" s="132"/>
      <c r="R371" s="381" t="s">
        <v>2151</v>
      </c>
    </row>
    <row r="372" spans="1:18" s="401" customFormat="1" ht="15.75" customHeight="1">
      <c r="A372" s="418" t="s">
        <v>149</v>
      </c>
      <c r="B372" s="311" t="s">
        <v>150</v>
      </c>
      <c r="C372" s="311" t="s">
        <v>195</v>
      </c>
      <c r="D372" s="266" t="s">
        <v>2152</v>
      </c>
      <c r="E372" s="222" t="s">
        <v>132</v>
      </c>
      <c r="F372" s="315">
        <v>18826.650000000001</v>
      </c>
      <c r="G372" s="444">
        <v>45986</v>
      </c>
      <c r="H372" s="445">
        <v>46073</v>
      </c>
      <c r="I372" s="445">
        <v>46073</v>
      </c>
      <c r="J372" s="444">
        <v>46073</v>
      </c>
      <c r="K372" s="444">
        <v>46077</v>
      </c>
      <c r="L372" s="444" t="s">
        <v>724</v>
      </c>
      <c r="M372" s="311" t="s">
        <v>55</v>
      </c>
      <c r="N372" s="658" t="s">
        <v>2153</v>
      </c>
      <c r="O372" s="400">
        <v>46102</v>
      </c>
      <c r="P372" s="222" t="s">
        <v>2154</v>
      </c>
      <c r="Q372" s="212"/>
      <c r="R372" s="401" t="s">
        <v>2155</v>
      </c>
    </row>
    <row r="373" spans="1:18" s="412" customFormat="1" ht="15.75" customHeight="1" thickBot="1">
      <c r="A373" s="659" t="s">
        <v>2099</v>
      </c>
      <c r="B373" s="660" t="s">
        <v>722</v>
      </c>
      <c r="C373" s="660" t="s">
        <v>1221</v>
      </c>
      <c r="D373" s="661" t="s">
        <v>2156</v>
      </c>
      <c r="E373" s="662" t="s">
        <v>132</v>
      </c>
      <c r="F373" s="663">
        <v>945.25</v>
      </c>
      <c r="G373" s="448">
        <v>46031</v>
      </c>
      <c r="H373" s="449" t="s">
        <v>964</v>
      </c>
      <c r="I373" s="449"/>
      <c r="J373" s="448"/>
      <c r="K373" s="448"/>
      <c r="L373" s="448"/>
      <c r="M373" s="314" t="s">
        <v>39</v>
      </c>
      <c r="N373" s="314" t="s">
        <v>2157</v>
      </c>
      <c r="O373" s="436">
        <v>46114</v>
      </c>
      <c r="P373" s="212"/>
      <c r="Q373" s="196"/>
      <c r="R373" s="401" t="s">
        <v>2158</v>
      </c>
    </row>
    <row r="374" spans="1:18" s="401" customFormat="1" ht="15.75" customHeight="1">
      <c r="A374" s="418" t="s">
        <v>2024</v>
      </c>
      <c r="B374" s="311" t="s">
        <v>165</v>
      </c>
      <c r="C374" s="311" t="s">
        <v>213</v>
      </c>
      <c r="D374" s="266" t="s">
        <v>2159</v>
      </c>
      <c r="E374" s="222" t="s">
        <v>132</v>
      </c>
      <c r="F374" s="315">
        <v>3467</v>
      </c>
      <c r="G374" s="444">
        <v>46050</v>
      </c>
      <c r="H374" s="445">
        <v>46065</v>
      </c>
      <c r="I374" s="444">
        <v>46065</v>
      </c>
      <c r="J374" s="444">
        <v>46072</v>
      </c>
      <c r="K374" s="444">
        <v>46073</v>
      </c>
      <c r="L374" s="444" t="s">
        <v>724</v>
      </c>
      <c r="M374" s="311" t="s">
        <v>47</v>
      </c>
      <c r="N374" s="311" t="s">
        <v>2160</v>
      </c>
      <c r="O374" s="400">
        <v>46101</v>
      </c>
      <c r="P374" s="222"/>
      <c r="Q374" s="212"/>
      <c r="R374" s="401" t="s">
        <v>2158</v>
      </c>
    </row>
    <row r="375" spans="1:18" s="412" customFormat="1" ht="15.75" customHeight="1">
      <c r="A375" s="364" t="s">
        <v>2161</v>
      </c>
      <c r="B375" s="314" t="s">
        <v>722</v>
      </c>
      <c r="C375" s="314" t="s">
        <v>1221</v>
      </c>
      <c r="D375" s="218" t="s">
        <v>2162</v>
      </c>
      <c r="E375" s="212" t="s">
        <v>132</v>
      </c>
      <c r="F375" s="292">
        <v>945.25</v>
      </c>
      <c r="G375" s="448">
        <v>46063</v>
      </c>
      <c r="H375" s="449" t="s">
        <v>964</v>
      </c>
      <c r="I375" s="449"/>
      <c r="J375" s="448"/>
      <c r="K375" s="448"/>
      <c r="L375" s="448"/>
      <c r="M375" s="314" t="s">
        <v>39</v>
      </c>
      <c r="N375" s="314" t="s">
        <v>2163</v>
      </c>
      <c r="O375" s="436">
        <v>46099</v>
      </c>
      <c r="P375" s="212"/>
      <c r="Q375" s="212"/>
      <c r="R375" s="401" t="s">
        <v>2158</v>
      </c>
    </row>
    <row r="376" spans="1:18" s="412" customFormat="1" ht="15.75" customHeight="1">
      <c r="A376" s="364" t="s">
        <v>2164</v>
      </c>
      <c r="B376" s="314" t="s">
        <v>2165</v>
      </c>
      <c r="C376" s="314" t="s">
        <v>235</v>
      </c>
      <c r="D376" s="218" t="s">
        <v>1992</v>
      </c>
      <c r="E376" s="212" t="s">
        <v>200</v>
      </c>
      <c r="F376" s="292">
        <v>1795.5</v>
      </c>
      <c r="G376" s="448">
        <v>46079</v>
      </c>
      <c r="H376" s="448" t="s">
        <v>237</v>
      </c>
      <c r="I376" s="449"/>
      <c r="J376" s="448"/>
      <c r="K376" s="448"/>
      <c r="L376" s="448"/>
      <c r="M376" s="314" t="s">
        <v>106</v>
      </c>
      <c r="N376" s="314" t="s">
        <v>2166</v>
      </c>
      <c r="O376" s="436">
        <v>46114</v>
      </c>
      <c r="P376" s="212"/>
      <c r="Q376" s="196"/>
      <c r="R376" s="401" t="s">
        <v>2158</v>
      </c>
    </row>
    <row r="377" spans="1:18" s="412" customFormat="1" ht="15.75" customHeight="1">
      <c r="A377" s="364" t="s">
        <v>2167</v>
      </c>
      <c r="B377" s="314" t="s">
        <v>109</v>
      </c>
      <c r="C377" s="314" t="s">
        <v>235</v>
      </c>
      <c r="D377" s="218" t="s">
        <v>1992</v>
      </c>
      <c r="E377" s="212" t="s">
        <v>200</v>
      </c>
      <c r="F377" s="292">
        <v>1154.25</v>
      </c>
      <c r="G377" s="448">
        <v>46079</v>
      </c>
      <c r="H377" s="448" t="s">
        <v>237</v>
      </c>
      <c r="I377" s="449"/>
      <c r="J377" s="448"/>
      <c r="K377" s="448"/>
      <c r="L377" s="448"/>
      <c r="M377" s="314" t="s">
        <v>106</v>
      </c>
      <c r="N377" s="314" t="s">
        <v>2168</v>
      </c>
      <c r="O377" s="436">
        <v>46117</v>
      </c>
      <c r="P377" s="212"/>
      <c r="Q377" s="196"/>
      <c r="R377" s="401" t="s">
        <v>2158</v>
      </c>
    </row>
    <row r="378" spans="1:18" s="412" customFormat="1" ht="15.75" customHeight="1">
      <c r="A378" s="664" t="s">
        <v>2169</v>
      </c>
      <c r="B378" s="448" t="s">
        <v>234</v>
      </c>
      <c r="C378" s="448" t="s">
        <v>235</v>
      </c>
      <c r="D378" s="448" t="s">
        <v>2170</v>
      </c>
      <c r="E378" s="448" t="s">
        <v>200</v>
      </c>
      <c r="F378" s="292">
        <v>945.25</v>
      </c>
      <c r="G378" s="448">
        <v>46080</v>
      </c>
      <c r="H378" s="448" t="s">
        <v>237</v>
      </c>
      <c r="I378" s="448"/>
      <c r="J378" s="448"/>
      <c r="K378" s="448"/>
      <c r="L378" s="448"/>
      <c r="M378" s="314" t="s">
        <v>106</v>
      </c>
      <c r="N378" s="314" t="s">
        <v>2171</v>
      </c>
      <c r="O378" s="436">
        <v>46122</v>
      </c>
      <c r="P378" s="212"/>
      <c r="Q378" s="196"/>
      <c r="R378" s="401" t="s">
        <v>2158</v>
      </c>
    </row>
    <row r="379" spans="1:18" s="412" customFormat="1" ht="15.75" customHeight="1">
      <c r="A379" s="664"/>
      <c r="B379" s="448" t="s">
        <v>2054</v>
      </c>
      <c r="C379" s="448" t="s">
        <v>1332</v>
      </c>
      <c r="D379" s="448" t="s">
        <v>2172</v>
      </c>
      <c r="E379" s="448" t="s">
        <v>200</v>
      </c>
      <c r="F379" s="292">
        <f>6680.89+685.72</f>
        <v>7366.6100000000006</v>
      </c>
      <c r="G379" s="448"/>
      <c r="H379" s="448"/>
      <c r="I379" s="448"/>
      <c r="J379" s="448"/>
      <c r="K379" s="448"/>
      <c r="L379" s="448"/>
      <c r="M379" s="314"/>
      <c r="N379" s="314"/>
      <c r="O379" s="436"/>
      <c r="P379" s="314"/>
      <c r="Q379" s="212"/>
      <c r="R379" s="401" t="s">
        <v>2173</v>
      </c>
    </row>
    <row r="380" spans="1:18" s="382" customFormat="1" ht="15.75" customHeight="1">
      <c r="A380" s="355"/>
      <c r="B380" s="262"/>
      <c r="C380" s="262"/>
      <c r="D380" s="223"/>
      <c r="E380" s="76"/>
      <c r="F380" s="277"/>
      <c r="G380" s="261"/>
      <c r="H380" s="320"/>
      <c r="I380" s="320"/>
      <c r="J380" s="261"/>
      <c r="K380" s="261"/>
      <c r="L380" s="261"/>
      <c r="M380" s="262"/>
      <c r="N380" s="262"/>
      <c r="O380" s="437"/>
      <c r="P380" s="76"/>
      <c r="Q380" s="196"/>
    </row>
    <row r="381" spans="1:18" s="382" customFormat="1" ht="15.75" customHeight="1">
      <c r="A381" s="355"/>
      <c r="B381" s="262"/>
      <c r="C381" s="262"/>
      <c r="D381" s="223"/>
      <c r="E381" s="76"/>
      <c r="F381" s="277"/>
      <c r="G381" s="261"/>
      <c r="H381" s="320"/>
      <c r="I381" s="320"/>
      <c r="J381" s="261"/>
      <c r="K381" s="261"/>
      <c r="L381" s="261"/>
      <c r="M381" s="262"/>
      <c r="N381" s="262"/>
      <c r="O381" s="437"/>
      <c r="P381" s="76"/>
      <c r="Q381" s="196"/>
    </row>
    <row r="382" spans="1:18" s="382" customFormat="1" ht="15.75" customHeight="1">
      <c r="A382" s="355"/>
      <c r="B382" s="262"/>
      <c r="C382" s="262"/>
      <c r="D382" s="223"/>
      <c r="E382" s="76"/>
      <c r="F382" s="277"/>
      <c r="G382" s="261"/>
      <c r="H382" s="320"/>
      <c r="I382" s="320"/>
      <c r="J382" s="261"/>
      <c r="K382" s="261"/>
      <c r="L382" s="261"/>
      <c r="M382" s="262"/>
      <c r="N382" s="262"/>
      <c r="O382" s="437"/>
      <c r="P382" s="76"/>
      <c r="Q382" s="196"/>
    </row>
    <row r="383" spans="1:18" s="382" customFormat="1" ht="15.75" customHeight="1">
      <c r="A383" s="355"/>
      <c r="B383" s="262"/>
      <c r="C383" s="262"/>
      <c r="D383" s="223"/>
      <c r="E383" s="76"/>
      <c r="F383" s="277"/>
      <c r="G383" s="261"/>
      <c r="H383" s="320"/>
      <c r="I383" s="320"/>
      <c r="J383" s="261"/>
      <c r="K383" s="261"/>
      <c r="L383" s="261"/>
      <c r="M383" s="262"/>
      <c r="N383" s="262"/>
      <c r="O383" s="437"/>
      <c r="P383" s="76"/>
      <c r="Q383" s="196"/>
    </row>
    <row r="384" spans="1:18" s="382" customFormat="1" ht="15.75" customHeight="1">
      <c r="A384" s="355"/>
      <c r="B384" s="262"/>
      <c r="C384" s="262"/>
      <c r="D384" s="223"/>
      <c r="E384" s="76"/>
      <c r="F384" s="277"/>
      <c r="G384" s="261"/>
      <c r="H384" s="320"/>
      <c r="I384" s="320"/>
      <c r="J384" s="261"/>
      <c r="K384" s="261"/>
      <c r="L384" s="261"/>
      <c r="M384" s="262"/>
      <c r="N384" s="262"/>
      <c r="O384" s="437"/>
      <c r="P384" s="76"/>
      <c r="Q384" s="196"/>
    </row>
    <row r="385" spans="1:18" s="382" customFormat="1" ht="15.75" customHeight="1">
      <c r="A385" s="355"/>
      <c r="B385" s="262"/>
      <c r="C385" s="262"/>
      <c r="D385" s="223"/>
      <c r="E385" s="76"/>
      <c r="F385" s="277"/>
      <c r="G385" s="261"/>
      <c r="H385" s="320"/>
      <c r="I385" s="320"/>
      <c r="J385" s="261"/>
      <c r="K385" s="261"/>
      <c r="L385" s="261"/>
      <c r="M385" s="262"/>
      <c r="N385" s="262"/>
      <c r="O385" s="437"/>
      <c r="P385" s="76"/>
      <c r="Q385" s="196"/>
    </row>
    <row r="386" spans="1:18" s="382" customFormat="1" ht="15.75" customHeight="1">
      <c r="A386" s="355"/>
      <c r="B386" s="262"/>
      <c r="C386" s="262"/>
      <c r="D386" s="223"/>
      <c r="E386" s="76"/>
      <c r="F386" s="277"/>
      <c r="G386" s="261"/>
      <c r="H386" s="320"/>
      <c r="I386" s="320"/>
      <c r="J386" s="261"/>
      <c r="K386" s="261"/>
      <c r="L386" s="261"/>
      <c r="M386" s="262"/>
      <c r="N386" s="262"/>
      <c r="O386" s="437"/>
      <c r="P386" s="76"/>
      <c r="Q386" s="196"/>
    </row>
    <row r="387" spans="1:18" s="382" customFormat="1" ht="15.75" customHeight="1">
      <c r="A387" s="355"/>
      <c r="B387" s="262"/>
      <c r="C387" s="262"/>
      <c r="D387" s="223"/>
      <c r="E387" s="76"/>
      <c r="F387" s="277"/>
      <c r="G387" s="261"/>
      <c r="H387" s="320"/>
      <c r="I387" s="320"/>
      <c r="J387" s="261"/>
      <c r="K387" s="261"/>
      <c r="L387" s="261"/>
      <c r="M387" s="262"/>
      <c r="N387" s="262"/>
      <c r="O387" s="437"/>
      <c r="P387" s="76"/>
      <c r="Q387" s="196"/>
    </row>
    <row r="397" spans="1:18" ht="34.9">
      <c r="A397" s="60"/>
      <c r="B397" s="60"/>
      <c r="C397" s="60"/>
      <c r="D397" s="61" t="s">
        <v>276</v>
      </c>
      <c r="E397" s="72" t="s">
        <v>283</v>
      </c>
      <c r="F397" s="60"/>
      <c r="G397" s="62">
        <v>36526</v>
      </c>
      <c r="H397" s="9"/>
      <c r="I397" s="9"/>
      <c r="J397" s="41"/>
      <c r="K397" s="41"/>
      <c r="L397" s="60"/>
      <c r="M397" s="60"/>
      <c r="N397" s="63"/>
      <c r="O397" s="60"/>
      <c r="P397" s="65"/>
      <c r="Q397" s="73"/>
      <c r="R397" s="64"/>
    </row>
    <row r="398" spans="1:18" ht="34.9">
      <c r="A398" s="60"/>
      <c r="B398" s="60"/>
      <c r="C398" s="60"/>
      <c r="D398" s="61" t="s">
        <v>263</v>
      </c>
      <c r="E398" s="72" t="s">
        <v>282</v>
      </c>
      <c r="F398" s="60"/>
      <c r="G398" s="62">
        <v>36526</v>
      </c>
      <c r="H398" s="9"/>
      <c r="I398" s="9"/>
      <c r="J398" s="41"/>
      <c r="K398" s="41"/>
      <c r="L398" s="60"/>
      <c r="M398" s="60"/>
      <c r="N398" s="63"/>
      <c r="O398" s="60"/>
      <c r="P398" s="65"/>
      <c r="Q398" s="19"/>
      <c r="R398" s="60"/>
    </row>
    <row r="399" spans="1:18" s="402" customFormat="1" ht="16.899999999999999">
      <c r="A399" s="418" t="s">
        <v>2174</v>
      </c>
      <c r="B399" s="311" t="s">
        <v>43</v>
      </c>
      <c r="C399" s="311" t="s">
        <v>2175</v>
      </c>
      <c r="D399" s="266" t="s">
        <v>2176</v>
      </c>
      <c r="E399" s="222" t="s">
        <v>263</v>
      </c>
      <c r="F399" s="315">
        <v>340</v>
      </c>
      <c r="G399" s="444">
        <v>45709</v>
      </c>
      <c r="H399" s="445">
        <v>45716</v>
      </c>
      <c r="I399" s="522">
        <v>45716</v>
      </c>
      <c r="J399" s="399">
        <v>45720</v>
      </c>
      <c r="K399" s="399">
        <v>45723</v>
      </c>
      <c r="L399" s="399" t="s">
        <v>38</v>
      </c>
      <c r="M399" s="311" t="s">
        <v>39</v>
      </c>
      <c r="N399" s="419" t="s">
        <v>2177</v>
      </c>
      <c r="O399" s="400">
        <v>45749</v>
      </c>
      <c r="P399" s="222"/>
      <c r="Q399" s="212"/>
      <c r="R399" s="401" t="s">
        <v>2178</v>
      </c>
    </row>
    <row r="400" spans="1:18" s="387" customFormat="1" ht="16.899999999999999">
      <c r="A400" s="384"/>
      <c r="B400" s="336" t="s">
        <v>1178</v>
      </c>
      <c r="C400" s="336" t="s">
        <v>2175</v>
      </c>
      <c r="D400" s="467" t="s">
        <v>2179</v>
      </c>
      <c r="E400" s="468" t="s">
        <v>263</v>
      </c>
      <c r="F400" s="337">
        <v>212.5</v>
      </c>
      <c r="G400" s="469">
        <v>45842</v>
      </c>
      <c r="H400" s="470">
        <v>45868</v>
      </c>
      <c r="I400" s="469">
        <v>45880</v>
      </c>
      <c r="J400" s="385">
        <v>45882</v>
      </c>
      <c r="K400" s="385">
        <v>45887</v>
      </c>
      <c r="L400" s="385" t="s">
        <v>38</v>
      </c>
      <c r="M400" s="336" t="s">
        <v>39</v>
      </c>
      <c r="N400" s="468" t="s">
        <v>2180</v>
      </c>
      <c r="O400" s="472">
        <v>45911</v>
      </c>
      <c r="P400" s="468"/>
      <c r="Q400" s="478"/>
      <c r="R400" s="478" t="s">
        <v>2181</v>
      </c>
    </row>
    <row r="401" spans="1:19" s="450" customFormat="1" ht="16.899999999999999">
      <c r="A401" s="364"/>
      <c r="B401" s="314" t="s">
        <v>43</v>
      </c>
      <c r="C401" s="314" t="s">
        <v>2175</v>
      </c>
      <c r="D401" s="218" t="s">
        <v>2182</v>
      </c>
      <c r="E401" s="212" t="s">
        <v>263</v>
      </c>
      <c r="F401" s="292">
        <v>280.5</v>
      </c>
      <c r="G401" s="448">
        <v>45923</v>
      </c>
      <c r="H401" s="449">
        <v>45952</v>
      </c>
      <c r="I401" s="448">
        <v>45952</v>
      </c>
      <c r="J401" s="365">
        <v>45954</v>
      </c>
      <c r="K401" s="365">
        <v>45957</v>
      </c>
      <c r="L401" s="365" t="s">
        <v>724</v>
      </c>
      <c r="M401" s="314" t="s">
        <v>47</v>
      </c>
      <c r="N401" s="212" t="s">
        <v>2183</v>
      </c>
      <c r="O401" s="436">
        <v>45988</v>
      </c>
      <c r="P401" s="212"/>
      <c r="Q401" s="412"/>
      <c r="R401" s="401" t="s">
        <v>2184</v>
      </c>
    </row>
    <row r="402" spans="1:19" s="378" customFormat="1" ht="16.899999999999999">
      <c r="A402" s="593"/>
      <c r="B402" s="594"/>
      <c r="C402" s="594"/>
      <c r="D402" s="595"/>
      <c r="E402" s="596"/>
      <c r="F402" s="597"/>
      <c r="G402" s="598"/>
      <c r="H402" s="599"/>
      <c r="I402" s="599"/>
      <c r="J402" s="600"/>
      <c r="K402" s="601"/>
      <c r="L402" s="602"/>
      <c r="M402" s="307"/>
      <c r="N402" s="603"/>
      <c r="O402" s="604"/>
      <c r="P402" s="603"/>
      <c r="Q402" s="352"/>
    </row>
    <row r="403" spans="1:19" s="378" customFormat="1" ht="16.899999999999999">
      <c r="A403" s="593"/>
      <c r="B403" s="594"/>
      <c r="C403" s="594"/>
      <c r="D403" s="595"/>
      <c r="E403" s="596"/>
      <c r="F403" s="597"/>
      <c r="G403" s="598"/>
      <c r="H403" s="599"/>
      <c r="I403" s="599"/>
      <c r="J403" s="600"/>
      <c r="K403" s="601"/>
      <c r="L403" s="602"/>
      <c r="M403" s="307"/>
      <c r="N403" s="603"/>
      <c r="O403" s="604"/>
      <c r="P403" s="603"/>
      <c r="Q403" s="352"/>
    </row>
    <row r="404" spans="1:19" s="378" customFormat="1" ht="16.899999999999999">
      <c r="A404" s="593"/>
      <c r="B404" s="594"/>
      <c r="C404" s="594"/>
      <c r="D404" s="595"/>
      <c r="E404" s="596"/>
      <c r="F404" s="597"/>
      <c r="G404" s="598"/>
      <c r="H404" s="599"/>
      <c r="I404" s="599"/>
      <c r="J404" s="600"/>
      <c r="K404" s="601"/>
      <c r="L404" s="602"/>
      <c r="M404" s="307"/>
      <c r="N404" s="603"/>
      <c r="O404" s="604"/>
      <c r="P404" s="603"/>
      <c r="Q404" s="352"/>
    </row>
    <row r="405" spans="1:19" s="130" customFormat="1" ht="16.5" customHeight="1">
      <c r="A405" s="22"/>
      <c r="B405" s="22"/>
      <c r="C405" s="22"/>
      <c r="D405" s="214"/>
      <c r="E405" s="215"/>
      <c r="F405" s="22"/>
      <c r="G405" s="216"/>
      <c r="H405" s="7"/>
      <c r="I405" s="7"/>
      <c r="J405" s="43"/>
      <c r="K405" s="43"/>
      <c r="L405" s="22"/>
      <c r="M405" s="22"/>
      <c r="N405" s="39"/>
      <c r="O405" s="22"/>
      <c r="P405" s="180"/>
      <c r="Q405" s="8"/>
      <c r="R405" s="22"/>
    </row>
    <row r="406" spans="1:19" ht="34.9">
      <c r="A406" s="60"/>
      <c r="B406" s="60"/>
      <c r="C406" s="60"/>
      <c r="D406" s="61" t="s">
        <v>279</v>
      </c>
      <c r="E406" s="72" t="s">
        <v>284</v>
      </c>
      <c r="F406" s="60"/>
      <c r="G406" s="62">
        <v>36526</v>
      </c>
      <c r="H406" s="9"/>
      <c r="I406" s="9"/>
      <c r="J406" s="41"/>
      <c r="K406" s="41"/>
      <c r="L406" s="60"/>
      <c r="M406" s="60"/>
      <c r="N406" s="63"/>
      <c r="O406" s="60"/>
      <c r="P406" s="65"/>
      <c r="Q406" s="73"/>
      <c r="R406" s="64"/>
    </row>
    <row r="407" spans="1:19" ht="38.25" customHeight="1">
      <c r="A407" s="50"/>
      <c r="B407" s="155"/>
      <c r="C407" s="155"/>
      <c r="D407" s="114" t="s">
        <v>287</v>
      </c>
      <c r="E407" s="116"/>
      <c r="F407" s="143"/>
      <c r="G407" s="57"/>
      <c r="H407" s="57"/>
      <c r="I407" s="57"/>
      <c r="J407" s="47"/>
      <c r="K407" s="47"/>
      <c r="L407" s="47"/>
      <c r="M407" s="51"/>
      <c r="N407" s="97"/>
      <c r="O407" s="98"/>
      <c r="P407" s="51"/>
      <c r="Q407" s="174"/>
      <c r="R407" s="54"/>
    </row>
    <row r="408" spans="1:19" s="370" customFormat="1" ht="16.899999999999999">
      <c r="A408" s="355"/>
      <c r="B408" s="262" t="s">
        <v>1026</v>
      </c>
      <c r="C408" s="262" t="s">
        <v>1459</v>
      </c>
      <c r="D408" s="223" t="s">
        <v>1294</v>
      </c>
      <c r="E408" s="76" t="s">
        <v>287</v>
      </c>
      <c r="F408" s="277"/>
      <c r="G408" s="261">
        <v>45825</v>
      </c>
      <c r="H408" s="320"/>
      <c r="I408" s="261">
        <v>45825</v>
      </c>
      <c r="J408" s="362">
        <v>45826</v>
      </c>
      <c r="K408" s="362">
        <v>45831</v>
      </c>
      <c r="L408" s="362" t="s">
        <v>38</v>
      </c>
      <c r="M408" s="262" t="s">
        <v>2134</v>
      </c>
      <c r="N408" s="76"/>
      <c r="O408" s="437"/>
      <c r="P408" s="76"/>
      <c r="Q408" s="382"/>
    </row>
    <row r="409" spans="1:19" s="366" customFormat="1" ht="16.899999999999999">
      <c r="A409" s="433"/>
      <c r="B409" s="294" t="s">
        <v>1026</v>
      </c>
      <c r="C409" s="294" t="s">
        <v>1459</v>
      </c>
      <c r="D409" s="167" t="s">
        <v>1864</v>
      </c>
      <c r="E409" s="2" t="s">
        <v>287</v>
      </c>
      <c r="F409" s="295"/>
      <c r="G409" s="3">
        <v>45902</v>
      </c>
      <c r="H409" s="434"/>
      <c r="I409" s="3"/>
      <c r="J409" s="388">
        <v>45903</v>
      </c>
      <c r="K409" s="388"/>
      <c r="L409" s="388"/>
      <c r="M409" s="294" t="s">
        <v>2134</v>
      </c>
      <c r="N409" s="2"/>
      <c r="O409" s="435"/>
      <c r="P409" s="2">
        <v>8687</v>
      </c>
      <c r="Q409" s="423"/>
    </row>
    <row r="410" spans="1:19" s="432" customFormat="1" ht="16.899999999999999">
      <c r="A410" s="426"/>
      <c r="B410" s="297" t="s">
        <v>1293</v>
      </c>
      <c r="C410" s="297" t="s">
        <v>2185</v>
      </c>
      <c r="D410" s="168" t="s">
        <v>1294</v>
      </c>
      <c r="E410" s="1" t="s">
        <v>287</v>
      </c>
      <c r="F410" s="298"/>
      <c r="G410" s="427"/>
      <c r="H410" s="428"/>
      <c r="I410" s="427"/>
      <c r="J410" s="360">
        <v>45967</v>
      </c>
      <c r="K410" s="360">
        <v>45968</v>
      </c>
      <c r="L410" s="360" t="s">
        <v>38</v>
      </c>
      <c r="M410" s="297" t="s">
        <v>47</v>
      </c>
      <c r="P410" s="1"/>
      <c r="Q410" s="423"/>
    </row>
    <row r="411" spans="1:19" s="366" customFormat="1" ht="16.899999999999999">
      <c r="A411" s="433"/>
      <c r="B411" s="289" t="s">
        <v>1966</v>
      </c>
      <c r="C411" s="294" t="s">
        <v>2186</v>
      </c>
      <c r="D411" s="167" t="s">
        <v>2187</v>
      </c>
      <c r="E411" s="2" t="s">
        <v>287</v>
      </c>
      <c r="F411" s="295">
        <v>475675.8</v>
      </c>
      <c r="G411" s="3">
        <v>45986</v>
      </c>
      <c r="H411" s="434"/>
      <c r="I411" s="3">
        <v>45993</v>
      </c>
      <c r="J411" s="388">
        <v>45996</v>
      </c>
      <c r="K411" s="388">
        <v>45999</v>
      </c>
      <c r="L411" s="388" t="s">
        <v>38</v>
      </c>
      <c r="M411" s="294" t="s">
        <v>1591</v>
      </c>
      <c r="P411" s="2"/>
      <c r="Q411" s="423"/>
    </row>
    <row r="412" spans="1:19" s="432" customFormat="1" ht="16.899999999999999">
      <c r="A412" s="426" t="s">
        <v>2188</v>
      </c>
      <c r="B412" s="297" t="s">
        <v>2189</v>
      </c>
      <c r="C412" s="297" t="s">
        <v>1459</v>
      </c>
      <c r="D412" s="168" t="s">
        <v>2190</v>
      </c>
      <c r="E412" s="1" t="s">
        <v>287</v>
      </c>
      <c r="F412" s="301"/>
      <c r="G412" s="427"/>
      <c r="H412" s="635"/>
      <c r="I412" s="427"/>
      <c r="J412" s="360">
        <v>46062</v>
      </c>
      <c r="K412" s="360">
        <v>46063</v>
      </c>
      <c r="L412" s="360" t="s">
        <v>38</v>
      </c>
      <c r="M412" s="297" t="s">
        <v>2191</v>
      </c>
      <c r="N412" s="636">
        <v>120633618</v>
      </c>
      <c r="O412" s="1" t="s">
        <v>2192</v>
      </c>
      <c r="P412" s="1"/>
      <c r="Q412" s="423"/>
      <c r="R412" s="637"/>
    </row>
    <row r="413" spans="1:19" s="2" customFormat="1" ht="15.75">
      <c r="A413" s="645" t="s">
        <v>2131</v>
      </c>
      <c r="B413" s="2" t="s">
        <v>1133</v>
      </c>
      <c r="C413" s="2" t="s">
        <v>1459</v>
      </c>
      <c r="E413" s="2" t="s">
        <v>287</v>
      </c>
      <c r="J413" s="435">
        <v>46073</v>
      </c>
      <c r="K413" s="435">
        <v>46076</v>
      </c>
      <c r="L413" s="2" t="s">
        <v>69</v>
      </c>
      <c r="M413" s="2" t="s">
        <v>2134</v>
      </c>
    </row>
    <row r="414" spans="1:19" s="432" customFormat="1" ht="16.899999999999999">
      <c r="A414" s="426"/>
      <c r="B414" s="297"/>
      <c r="C414" s="297"/>
      <c r="D414" s="168"/>
      <c r="E414" s="1"/>
      <c r="F414" s="298"/>
      <c r="G414" s="427"/>
      <c r="H414" s="428"/>
      <c r="I414" s="427"/>
      <c r="J414" s="360"/>
      <c r="K414" s="360"/>
      <c r="L414" s="360"/>
      <c r="M414" s="297"/>
      <c r="P414" s="1"/>
      <c r="Q414" s="423"/>
    </row>
    <row r="415" spans="1:19" ht="34.9">
      <c r="A415" s="60"/>
      <c r="B415" s="60"/>
      <c r="C415" s="60"/>
      <c r="D415" s="61" t="s">
        <v>124</v>
      </c>
      <c r="E415" s="72" t="s">
        <v>125</v>
      </c>
      <c r="F415" s="60"/>
      <c r="G415" s="62">
        <v>36526</v>
      </c>
      <c r="H415" s="9"/>
      <c r="I415" s="9"/>
      <c r="J415" s="41"/>
      <c r="K415" s="41"/>
      <c r="L415" s="60"/>
      <c r="M415" s="60"/>
      <c r="N415" s="63"/>
      <c r="O415" s="60"/>
      <c r="P415" s="65"/>
      <c r="Q415" s="19"/>
      <c r="R415" s="60"/>
      <c r="S415" s="24"/>
    </row>
    <row r="416" spans="1:19" s="386" customFormat="1" ht="15.75">
      <c r="A416" s="384" t="s">
        <v>2193</v>
      </c>
      <c r="B416" s="336" t="s">
        <v>1505</v>
      </c>
      <c r="C416" s="336" t="s">
        <v>2194</v>
      </c>
      <c r="D416" s="467" t="s">
        <v>2195</v>
      </c>
      <c r="E416" s="468" t="s">
        <v>124</v>
      </c>
      <c r="F416" s="337">
        <v>2167</v>
      </c>
      <c r="G416" s="469">
        <v>45695</v>
      </c>
      <c r="H416" s="470">
        <v>45700</v>
      </c>
      <c r="I416" s="470">
        <v>45701</v>
      </c>
      <c r="J416" s="469">
        <v>45702</v>
      </c>
      <c r="K416" s="469">
        <v>45705</v>
      </c>
      <c r="L416" s="469" t="s">
        <v>38</v>
      </c>
      <c r="M416" s="336" t="s">
        <v>39</v>
      </c>
      <c r="N416" s="490" t="s">
        <v>2196</v>
      </c>
      <c r="O416" s="472">
        <v>45727</v>
      </c>
      <c r="P416" s="468">
        <v>46687</v>
      </c>
      <c r="Q416" s="475"/>
      <c r="R416" s="386" t="s">
        <v>2197</v>
      </c>
    </row>
    <row r="417" spans="1:18" s="386" customFormat="1" ht="15.75">
      <c r="A417" s="384"/>
      <c r="B417" s="336" t="s">
        <v>2198</v>
      </c>
      <c r="C417" s="336" t="s">
        <v>2194</v>
      </c>
      <c r="D417" s="467" t="s">
        <v>2199</v>
      </c>
      <c r="E417" s="468" t="s">
        <v>124</v>
      </c>
      <c r="F417" s="337">
        <v>1945</v>
      </c>
      <c r="G417" s="469">
        <v>45706</v>
      </c>
      <c r="H417" s="470">
        <v>45712</v>
      </c>
      <c r="I417" s="470">
        <v>45708</v>
      </c>
      <c r="J417" s="469">
        <v>45712</v>
      </c>
      <c r="K417" s="469">
        <v>45713</v>
      </c>
      <c r="L417" s="469" t="s">
        <v>38</v>
      </c>
      <c r="M417" s="336" t="s">
        <v>146</v>
      </c>
      <c r="N417" s="490"/>
      <c r="O417" s="472">
        <v>45740</v>
      </c>
      <c r="P417" s="468">
        <v>46751</v>
      </c>
      <c r="Q417" s="475"/>
      <c r="R417" s="386" t="s">
        <v>2200</v>
      </c>
    </row>
    <row r="418" spans="1:18" s="382" customFormat="1" ht="16.5" customHeight="1">
      <c r="A418" s="426" t="s">
        <v>728</v>
      </c>
      <c r="B418" s="297" t="s">
        <v>729</v>
      </c>
      <c r="C418" s="297" t="s">
        <v>2201</v>
      </c>
      <c r="D418" s="168" t="s">
        <v>2202</v>
      </c>
      <c r="E418" s="1" t="s">
        <v>124</v>
      </c>
      <c r="F418" s="301"/>
      <c r="G418" s="261">
        <v>45665</v>
      </c>
      <c r="H418" s="320">
        <v>45751</v>
      </c>
      <c r="I418" s="320">
        <v>45761</v>
      </c>
      <c r="J418" s="261">
        <v>45763</v>
      </c>
      <c r="K418" s="261">
        <v>45769</v>
      </c>
      <c r="L418" s="261" t="s">
        <v>38</v>
      </c>
      <c r="M418" s="262" t="s">
        <v>39</v>
      </c>
      <c r="N418" s="492" t="s">
        <v>2203</v>
      </c>
      <c r="O418" s="437" t="s">
        <v>246</v>
      </c>
      <c r="P418" s="76">
        <v>8495</v>
      </c>
      <c r="Q418" s="76"/>
      <c r="R418" s="382" t="s">
        <v>2204</v>
      </c>
    </row>
    <row r="419" spans="1:18" s="386" customFormat="1" ht="15.75">
      <c r="A419" s="384" t="s">
        <v>1375</v>
      </c>
      <c r="B419" s="336" t="s">
        <v>43</v>
      </c>
      <c r="C419" s="336" t="s">
        <v>2205</v>
      </c>
      <c r="D419" s="467" t="s">
        <v>2206</v>
      </c>
      <c r="E419" s="468" t="s">
        <v>124</v>
      </c>
      <c r="F419" s="337">
        <v>17496</v>
      </c>
      <c r="G419" s="469">
        <v>45733</v>
      </c>
      <c r="H419" s="470">
        <v>45777</v>
      </c>
      <c r="I419" s="470">
        <v>45779</v>
      </c>
      <c r="J419" s="469">
        <v>45784</v>
      </c>
      <c r="K419" s="469">
        <v>45786</v>
      </c>
      <c r="L419" s="469" t="s">
        <v>38</v>
      </c>
      <c r="M419" s="336" t="s">
        <v>39</v>
      </c>
      <c r="N419" s="490" t="s">
        <v>2207</v>
      </c>
      <c r="O419" s="472">
        <v>45816</v>
      </c>
      <c r="P419" s="468">
        <v>468</v>
      </c>
      <c r="Q419" s="475"/>
      <c r="R419" s="386" t="s">
        <v>2208</v>
      </c>
    </row>
    <row r="420" spans="1:18" s="582" customFormat="1" ht="15.75">
      <c r="A420" s="574"/>
      <c r="B420" s="575" t="s">
        <v>43</v>
      </c>
      <c r="C420" s="575" t="s">
        <v>2209</v>
      </c>
      <c r="D420" s="512" t="s">
        <v>2210</v>
      </c>
      <c r="E420" s="576" t="s">
        <v>124</v>
      </c>
      <c r="F420" s="577"/>
      <c r="G420" s="578">
        <v>45796</v>
      </c>
      <c r="H420" s="579">
        <v>45824</v>
      </c>
      <c r="I420" s="579">
        <v>45831</v>
      </c>
      <c r="J420" s="578">
        <v>45832</v>
      </c>
      <c r="K420" s="578">
        <v>45833</v>
      </c>
      <c r="L420" s="578" t="s">
        <v>38</v>
      </c>
      <c r="M420" s="575" t="s">
        <v>39</v>
      </c>
      <c r="N420" s="580" t="s">
        <v>2211</v>
      </c>
      <c r="O420" s="581" t="s">
        <v>246</v>
      </c>
      <c r="P420" s="576"/>
      <c r="Q420" s="572"/>
      <c r="R420" s="582" t="s">
        <v>2212</v>
      </c>
    </row>
    <row r="421" spans="1:18" s="386" customFormat="1" ht="15.75" customHeight="1">
      <c r="A421" s="384" t="s">
        <v>2213</v>
      </c>
      <c r="B421" s="336" t="s">
        <v>722</v>
      </c>
      <c r="C421" s="336" t="s">
        <v>2214</v>
      </c>
      <c r="D421" s="467" t="s">
        <v>2215</v>
      </c>
      <c r="E421" s="468" t="s">
        <v>124</v>
      </c>
      <c r="F421" s="337">
        <v>2228</v>
      </c>
      <c r="G421" s="469">
        <v>45846</v>
      </c>
      <c r="H421" s="470">
        <v>45848</v>
      </c>
      <c r="I421" s="470">
        <v>45848</v>
      </c>
      <c r="J421" s="469">
        <v>45849</v>
      </c>
      <c r="K421" s="469">
        <v>45852</v>
      </c>
      <c r="L421" s="469" t="s">
        <v>724</v>
      </c>
      <c r="M421" s="336" t="s">
        <v>47</v>
      </c>
      <c r="N421" s="336" t="s">
        <v>2216</v>
      </c>
      <c r="O421" s="472">
        <v>45877</v>
      </c>
      <c r="P421" s="468"/>
      <c r="Q421" s="475"/>
      <c r="R421" s="386" t="s">
        <v>2217</v>
      </c>
    </row>
    <row r="422" spans="1:18" s="478" customFormat="1" ht="15.75" customHeight="1">
      <c r="A422" s="473" t="s">
        <v>2218</v>
      </c>
      <c r="B422" s="347" t="s">
        <v>722</v>
      </c>
      <c r="C422" s="347" t="s">
        <v>2214</v>
      </c>
      <c r="D422" s="474" t="s">
        <v>2219</v>
      </c>
      <c r="E422" s="475" t="s">
        <v>124</v>
      </c>
      <c r="F422" s="348">
        <v>4447</v>
      </c>
      <c r="G422" s="476">
        <v>45854</v>
      </c>
      <c r="H422" s="487"/>
      <c r="I422" s="487">
        <v>45859</v>
      </c>
      <c r="J422" s="476">
        <v>45860</v>
      </c>
      <c r="K422" s="476">
        <v>45861</v>
      </c>
      <c r="L422" s="476" t="s">
        <v>724</v>
      </c>
      <c r="M422" s="347" t="s">
        <v>47</v>
      </c>
      <c r="N422" s="347" t="s">
        <v>2220</v>
      </c>
      <c r="O422" s="477">
        <v>45886</v>
      </c>
      <c r="P422" s="475"/>
      <c r="Q422" s="475"/>
      <c r="R422" s="386" t="s">
        <v>2221</v>
      </c>
    </row>
    <row r="423" spans="1:18" s="402" customFormat="1" ht="16.899999999999999">
      <c r="A423" s="418" t="s">
        <v>2222</v>
      </c>
      <c r="B423" s="311" t="s">
        <v>722</v>
      </c>
      <c r="C423" s="311" t="s">
        <v>2214</v>
      </c>
      <c r="D423" s="266" t="s">
        <v>2223</v>
      </c>
      <c r="E423" s="222" t="s">
        <v>124</v>
      </c>
      <c r="F423" s="315">
        <v>7488</v>
      </c>
      <c r="G423" s="444">
        <v>45908</v>
      </c>
      <c r="H423" s="445">
        <v>45910</v>
      </c>
      <c r="I423" s="444">
        <v>45919</v>
      </c>
      <c r="J423" s="399">
        <v>45921</v>
      </c>
      <c r="K423" s="399">
        <v>45925</v>
      </c>
      <c r="L423" s="399" t="s">
        <v>724</v>
      </c>
      <c r="M423" s="311" t="s">
        <v>47</v>
      </c>
      <c r="N423" s="222">
        <v>16575</v>
      </c>
      <c r="O423" s="400">
        <v>45945</v>
      </c>
      <c r="P423" s="222"/>
      <c r="Q423" s="412"/>
      <c r="R423" s="412" t="s">
        <v>2224</v>
      </c>
    </row>
    <row r="424" spans="1:18" s="402" customFormat="1" ht="16.899999999999999">
      <c r="A424" s="418" t="s">
        <v>2225</v>
      </c>
      <c r="B424" s="311" t="s">
        <v>722</v>
      </c>
      <c r="C424" s="311" t="s">
        <v>2214</v>
      </c>
      <c r="D424" s="266" t="s">
        <v>2226</v>
      </c>
      <c r="E424" s="222" t="s">
        <v>124</v>
      </c>
      <c r="F424" s="315">
        <v>1672</v>
      </c>
      <c r="G424" s="444">
        <v>45909</v>
      </c>
      <c r="H424" s="445">
        <v>45910</v>
      </c>
      <c r="I424" s="444">
        <v>45919</v>
      </c>
      <c r="J424" s="399">
        <v>45921</v>
      </c>
      <c r="K424" s="399">
        <v>45925</v>
      </c>
      <c r="L424" s="399" t="s">
        <v>724</v>
      </c>
      <c r="M424" s="311" t="s">
        <v>47</v>
      </c>
      <c r="N424" s="222">
        <v>16574</v>
      </c>
      <c r="O424" s="400">
        <v>45945</v>
      </c>
      <c r="P424" s="222"/>
      <c r="Q424" s="412"/>
      <c r="R424" s="412" t="s">
        <v>2227</v>
      </c>
    </row>
    <row r="425" spans="1:18" s="402" customFormat="1" ht="16.899999999999999">
      <c r="A425" s="418" t="s">
        <v>2228</v>
      </c>
      <c r="B425" s="311" t="s">
        <v>801</v>
      </c>
      <c r="C425" s="311" t="s">
        <v>2229</v>
      </c>
      <c r="D425" s="266" t="s">
        <v>2230</v>
      </c>
      <c r="E425" s="222" t="s">
        <v>124</v>
      </c>
      <c r="F425" s="315">
        <v>952</v>
      </c>
      <c r="G425" s="444">
        <v>45926</v>
      </c>
      <c r="H425" s="445">
        <v>45943</v>
      </c>
      <c r="I425" s="444">
        <v>45943</v>
      </c>
      <c r="J425" s="399">
        <v>45946</v>
      </c>
      <c r="K425" s="399">
        <v>45950</v>
      </c>
      <c r="L425" s="399" t="s">
        <v>38</v>
      </c>
      <c r="M425" s="311" t="s">
        <v>146</v>
      </c>
      <c r="N425" s="212" t="s">
        <v>2231</v>
      </c>
      <c r="O425" s="436">
        <v>45988</v>
      </c>
      <c r="P425" s="222" t="s">
        <v>2232</v>
      </c>
      <c r="Q425" s="412"/>
    </row>
    <row r="426" spans="1:18" s="402" customFormat="1" ht="16.899999999999999">
      <c r="A426" s="418" t="s">
        <v>2131</v>
      </c>
      <c r="B426" s="311" t="s">
        <v>2233</v>
      </c>
      <c r="C426" s="311" t="s">
        <v>2205</v>
      </c>
      <c r="D426" s="266" t="s">
        <v>2234</v>
      </c>
      <c r="E426" s="222" t="s">
        <v>124</v>
      </c>
      <c r="F426" s="315">
        <v>18038</v>
      </c>
      <c r="G426" s="444">
        <v>45923</v>
      </c>
      <c r="H426" s="445">
        <v>45968</v>
      </c>
      <c r="I426" s="444">
        <v>45969</v>
      </c>
      <c r="J426" s="399">
        <v>45972</v>
      </c>
      <c r="K426" s="399">
        <v>45974</v>
      </c>
      <c r="L426" s="399" t="s">
        <v>38</v>
      </c>
      <c r="M426" s="311" t="s">
        <v>39</v>
      </c>
      <c r="N426" s="222">
        <v>2670</v>
      </c>
      <c r="O426" s="400">
        <v>46004</v>
      </c>
      <c r="P426" s="222">
        <v>508</v>
      </c>
      <c r="Q426" s="401"/>
      <c r="R426" s="401" t="s">
        <v>2235</v>
      </c>
    </row>
    <row r="427" spans="1:18" s="432" customFormat="1" ht="16.899999999999999">
      <c r="A427" s="426" t="s">
        <v>2236</v>
      </c>
      <c r="B427" s="297" t="s">
        <v>729</v>
      </c>
      <c r="C427" s="297" t="s">
        <v>2237</v>
      </c>
      <c r="D427" s="168" t="s">
        <v>2238</v>
      </c>
      <c r="E427" s="1" t="s">
        <v>124</v>
      </c>
      <c r="F427" s="301"/>
      <c r="G427" s="427">
        <v>45897</v>
      </c>
      <c r="H427" s="635">
        <v>46048</v>
      </c>
      <c r="I427" s="427">
        <v>46065</v>
      </c>
      <c r="J427" s="360">
        <v>46072</v>
      </c>
      <c r="K427" s="360">
        <v>46073</v>
      </c>
      <c r="L427" s="360" t="s">
        <v>38</v>
      </c>
      <c r="M427" s="297" t="s">
        <v>39</v>
      </c>
      <c r="N427" s="636" t="s">
        <v>2239</v>
      </c>
      <c r="O427" s="1" t="s">
        <v>246</v>
      </c>
      <c r="P427" s="1"/>
      <c r="Q427" s="423"/>
      <c r="R427" s="637" t="s">
        <v>2240</v>
      </c>
    </row>
    <row r="428" spans="1:18" s="370" customFormat="1" ht="16.899999999999999">
      <c r="A428" s="355"/>
      <c r="B428" s="262"/>
      <c r="C428" s="262"/>
      <c r="D428" s="223"/>
      <c r="E428" s="76"/>
      <c r="F428" s="277"/>
      <c r="G428" s="261"/>
      <c r="H428" s="320"/>
      <c r="I428" s="261"/>
      <c r="J428" s="320"/>
      <c r="K428" s="320"/>
      <c r="L428" s="320"/>
      <c r="M428" s="262"/>
      <c r="N428" s="196"/>
      <c r="O428" s="395"/>
      <c r="P428" s="76"/>
      <c r="Q428" s="373"/>
    </row>
    <row r="429" spans="1:18" s="370" customFormat="1" ht="16.899999999999999">
      <c r="A429" s="355"/>
      <c r="B429" s="262"/>
      <c r="C429" s="262"/>
      <c r="D429" s="223"/>
      <c r="E429" s="76"/>
      <c r="F429" s="277"/>
      <c r="G429" s="261"/>
      <c r="H429" s="320"/>
      <c r="I429" s="261"/>
      <c r="J429" s="320"/>
      <c r="K429" s="320"/>
      <c r="L429" s="320"/>
      <c r="M429" s="262"/>
      <c r="N429" s="196"/>
      <c r="O429" s="395"/>
      <c r="P429" s="76"/>
      <c r="Q429" s="373"/>
    </row>
    <row r="430" spans="1:18" s="370" customFormat="1" ht="16.899999999999999">
      <c r="A430" s="355"/>
      <c r="B430" s="262"/>
      <c r="C430" s="262"/>
      <c r="D430" s="223"/>
      <c r="E430" s="76"/>
      <c r="F430" s="277"/>
      <c r="G430" s="261"/>
      <c r="H430" s="320"/>
      <c r="I430" s="261"/>
      <c r="J430" s="320"/>
      <c r="K430" s="320"/>
      <c r="L430" s="320"/>
      <c r="M430" s="262"/>
      <c r="N430" s="196"/>
      <c r="O430" s="395"/>
      <c r="P430" s="76"/>
      <c r="Q430" s="373"/>
    </row>
    <row r="431" spans="1:18" s="370" customFormat="1" ht="16.899999999999999">
      <c r="A431" s="355"/>
      <c r="B431" s="262"/>
      <c r="C431" s="262"/>
      <c r="D431" s="223"/>
      <c r="E431" s="76"/>
      <c r="F431" s="277"/>
      <c r="G431" s="261"/>
      <c r="H431" s="320"/>
      <c r="I431" s="261"/>
      <c r="J431" s="320"/>
      <c r="K431" s="320"/>
      <c r="L431" s="320"/>
      <c r="M431" s="262"/>
      <c r="N431" s="196"/>
      <c r="O431" s="395"/>
      <c r="P431" s="76"/>
      <c r="Q431" s="373"/>
    </row>
    <row r="432" spans="1:18" s="370" customFormat="1" ht="16.899999999999999">
      <c r="A432" s="355"/>
      <c r="B432" s="262"/>
      <c r="C432" s="262"/>
      <c r="D432" s="223"/>
      <c r="E432" s="76"/>
      <c r="F432" s="277"/>
      <c r="G432" s="261"/>
      <c r="H432" s="320"/>
      <c r="I432" s="261"/>
      <c r="J432" s="320"/>
      <c r="K432" s="320"/>
      <c r="L432" s="320"/>
      <c r="M432" s="262"/>
      <c r="N432" s="196"/>
      <c r="O432" s="395"/>
      <c r="P432" s="76"/>
      <c r="Q432" s="373"/>
    </row>
    <row r="433" spans="1:17" s="370" customFormat="1" ht="16.899999999999999">
      <c r="A433" s="355"/>
      <c r="B433" s="262"/>
      <c r="C433" s="262"/>
      <c r="D433" s="223"/>
      <c r="E433" s="76"/>
      <c r="F433" s="277"/>
      <c r="G433" s="261"/>
      <c r="H433" s="320"/>
      <c r="I433" s="261"/>
      <c r="J433" s="320"/>
      <c r="K433" s="320"/>
      <c r="L433" s="320"/>
      <c r="M433" s="262"/>
      <c r="N433" s="196"/>
      <c r="O433" s="395"/>
      <c r="P433" s="76"/>
      <c r="Q433" s="373"/>
    </row>
    <row r="434" spans="1:17" s="370" customFormat="1" ht="16.899999999999999">
      <c r="A434" s="355"/>
      <c r="B434" s="262"/>
      <c r="C434" s="262"/>
      <c r="D434" s="223"/>
      <c r="E434" s="76"/>
      <c r="F434" s="277"/>
      <c r="G434" s="261"/>
      <c r="H434" s="320"/>
      <c r="I434" s="261"/>
      <c r="J434" s="320"/>
      <c r="K434" s="320"/>
      <c r="L434" s="320"/>
      <c r="M434" s="262"/>
      <c r="N434" s="196"/>
      <c r="O434" s="395"/>
      <c r="P434" s="76"/>
      <c r="Q434" s="373"/>
    </row>
    <row r="435" spans="1:17" s="370" customFormat="1" ht="16.899999999999999">
      <c r="A435" s="355"/>
      <c r="B435" s="262"/>
      <c r="C435" s="262"/>
      <c r="D435" s="223"/>
      <c r="E435" s="76"/>
      <c r="F435" s="277"/>
      <c r="G435" s="261"/>
      <c r="H435" s="320"/>
      <c r="I435" s="261"/>
      <c r="J435" s="320"/>
      <c r="K435" s="320"/>
      <c r="L435" s="320"/>
      <c r="M435" s="262"/>
      <c r="N435" s="196"/>
      <c r="O435" s="395"/>
      <c r="P435" s="76"/>
      <c r="Q435" s="373"/>
    </row>
    <row r="436" spans="1:17" s="370" customFormat="1" ht="16.899999999999999">
      <c r="A436" s="355"/>
      <c r="B436" s="262"/>
      <c r="C436" s="262"/>
      <c r="D436" s="223"/>
      <c r="E436" s="76"/>
      <c r="F436" s="277"/>
      <c r="G436" s="261"/>
      <c r="H436" s="320"/>
      <c r="I436" s="261"/>
      <c r="J436" s="320"/>
      <c r="K436" s="320"/>
      <c r="L436" s="320"/>
      <c r="M436" s="262"/>
      <c r="N436" s="196"/>
      <c r="O436" s="395"/>
      <c r="P436" s="76"/>
      <c r="Q436" s="373"/>
    </row>
    <row r="437" spans="1:17" s="370" customFormat="1" ht="16.899999999999999">
      <c r="A437" s="355"/>
      <c r="B437" s="262"/>
      <c r="C437" s="262"/>
      <c r="D437" s="223"/>
      <c r="E437" s="76"/>
      <c r="F437" s="277"/>
      <c r="G437" s="261"/>
      <c r="H437" s="320"/>
      <c r="I437" s="261"/>
      <c r="J437" s="320"/>
      <c r="K437" s="320"/>
      <c r="L437" s="320"/>
      <c r="M437" s="262"/>
      <c r="N437" s="196"/>
      <c r="O437" s="395"/>
      <c r="P437" s="76"/>
      <c r="Q437" s="373"/>
    </row>
    <row r="438" spans="1:17" s="370" customFormat="1" ht="16.899999999999999">
      <c r="A438" s="355"/>
      <c r="B438" s="262"/>
      <c r="C438" s="262"/>
      <c r="D438" s="223"/>
      <c r="E438" s="76"/>
      <c r="F438" s="277"/>
      <c r="G438" s="261"/>
      <c r="H438" s="320"/>
      <c r="I438" s="261"/>
      <c r="J438" s="320"/>
      <c r="K438" s="320"/>
      <c r="L438" s="320"/>
      <c r="M438" s="262"/>
      <c r="N438" s="196"/>
      <c r="O438" s="395"/>
      <c r="P438" s="76"/>
      <c r="Q438" s="373"/>
    </row>
    <row r="439" spans="1:17" s="370" customFormat="1" ht="16.899999999999999">
      <c r="A439" s="355"/>
      <c r="B439" s="262"/>
      <c r="C439" s="262"/>
      <c r="D439" s="223"/>
      <c r="E439" s="76"/>
      <c r="F439" s="277"/>
      <c r="G439" s="261"/>
      <c r="H439" s="320"/>
      <c r="I439" s="261"/>
      <c r="J439" s="320"/>
      <c r="K439" s="320"/>
      <c r="L439" s="320"/>
      <c r="M439" s="262"/>
      <c r="N439" s="196"/>
      <c r="O439" s="395"/>
      <c r="P439" s="76"/>
      <c r="Q439" s="373"/>
    </row>
    <row r="440" spans="1:17" s="370" customFormat="1" ht="16.899999999999999">
      <c r="A440" s="355"/>
      <c r="B440" s="262"/>
      <c r="C440" s="262"/>
      <c r="D440" s="223"/>
      <c r="E440" s="76"/>
      <c r="F440" s="277"/>
      <c r="G440" s="261"/>
      <c r="H440" s="320"/>
      <c r="I440" s="261"/>
      <c r="J440" s="320"/>
      <c r="K440" s="320"/>
      <c r="L440" s="320"/>
      <c r="M440" s="262"/>
      <c r="N440" s="196"/>
      <c r="O440" s="395"/>
      <c r="P440" s="76"/>
      <c r="Q440" s="373"/>
    </row>
    <row r="441" spans="1:17" s="571" customFormat="1" ht="15.75">
      <c r="A441" s="562"/>
      <c r="B441" s="563"/>
      <c r="C441" s="563"/>
      <c r="D441" s="564"/>
      <c r="E441" s="565"/>
      <c r="F441" s="566"/>
      <c r="G441" s="567"/>
      <c r="H441" s="567"/>
      <c r="I441" s="567"/>
      <c r="J441" s="567"/>
      <c r="K441" s="567"/>
      <c r="L441" s="568"/>
      <c r="M441" s="563"/>
      <c r="N441" s="569"/>
      <c r="O441" s="570"/>
      <c r="P441" s="565"/>
      <c r="Q441" s="565"/>
    </row>
    <row r="442" spans="1:17" s="571" customFormat="1" ht="15.75">
      <c r="A442" s="562"/>
      <c r="B442" s="563"/>
      <c r="C442" s="563"/>
      <c r="D442" s="564"/>
      <c r="E442" s="565"/>
      <c r="F442" s="566"/>
      <c r="G442" s="567"/>
      <c r="H442" s="567"/>
      <c r="I442" s="567"/>
      <c r="J442" s="567"/>
      <c r="K442" s="567"/>
      <c r="L442" s="568"/>
      <c r="M442" s="563"/>
      <c r="N442" s="569"/>
      <c r="O442" s="570"/>
      <c r="P442" s="565"/>
      <c r="Q442" s="565"/>
    </row>
    <row r="443" spans="1:17" s="571" customFormat="1" ht="15.75">
      <c r="A443" s="562"/>
      <c r="B443" s="563"/>
      <c r="C443" s="563"/>
      <c r="D443" s="564"/>
      <c r="E443" s="565"/>
      <c r="F443" s="566"/>
      <c r="G443" s="567"/>
      <c r="H443" s="567"/>
      <c r="I443" s="567"/>
      <c r="J443" s="567"/>
      <c r="K443" s="567"/>
      <c r="L443" s="568"/>
      <c r="M443" s="563"/>
      <c r="N443" s="569"/>
      <c r="O443" s="570"/>
      <c r="P443" s="565"/>
      <c r="Q443" s="565"/>
    </row>
    <row r="449" spans="1:18" ht="34.9">
      <c r="A449" s="252"/>
      <c r="B449" s="253"/>
      <c r="C449" s="253"/>
      <c r="D449" s="114" t="s">
        <v>2241</v>
      </c>
      <c r="E449" s="254"/>
      <c r="F449" s="213"/>
      <c r="G449" s="229"/>
      <c r="H449" s="229"/>
      <c r="I449" s="229"/>
      <c r="J449" s="47"/>
      <c r="K449" s="47"/>
      <c r="L449" s="47"/>
      <c r="M449" s="51"/>
    </row>
    <row r="450" spans="1:18" s="432" customFormat="1" ht="16.899999999999999">
      <c r="A450" s="355" t="s">
        <v>2242</v>
      </c>
      <c r="B450" s="262" t="s">
        <v>834</v>
      </c>
      <c r="C450" s="262" t="s">
        <v>2243</v>
      </c>
      <c r="D450" s="168" t="s">
        <v>2244</v>
      </c>
      <c r="E450" s="76" t="s">
        <v>2241</v>
      </c>
      <c r="F450" s="277"/>
      <c r="G450" s="261">
        <v>45594</v>
      </c>
      <c r="H450" s="362"/>
      <c r="I450" s="362"/>
      <c r="J450" s="362"/>
      <c r="K450" s="362"/>
      <c r="L450" s="362" t="s">
        <v>38</v>
      </c>
      <c r="M450" s="262" t="s">
        <v>2245</v>
      </c>
      <c r="N450" s="361"/>
      <c r="O450" s="437"/>
      <c r="P450" s="76"/>
      <c r="Q450" s="196"/>
      <c r="R450" s="382" t="s">
        <v>2246</v>
      </c>
    </row>
    <row r="451" spans="1:18" s="382" customFormat="1" ht="15.75" customHeight="1">
      <c r="A451" s="355"/>
      <c r="B451" s="262" t="s">
        <v>180</v>
      </c>
      <c r="C451" s="262" t="s">
        <v>2247</v>
      </c>
      <c r="D451" s="223" t="s">
        <v>2248</v>
      </c>
      <c r="E451" s="76" t="s">
        <v>2241</v>
      </c>
      <c r="F451" s="277"/>
      <c r="G451" s="261"/>
      <c r="H451" s="320"/>
      <c r="I451" s="320"/>
      <c r="J451" s="261">
        <v>45959</v>
      </c>
      <c r="K451" s="261">
        <v>45960</v>
      </c>
      <c r="L451" s="261" t="s">
        <v>38</v>
      </c>
      <c r="M451" s="262" t="s">
        <v>47</v>
      </c>
      <c r="N451" s="262"/>
      <c r="O451" s="437"/>
      <c r="P451" s="76"/>
      <c r="Q451" s="196"/>
    </row>
    <row r="459" spans="1:18" ht="34.9">
      <c r="A459" s="252"/>
      <c r="B459" s="253"/>
      <c r="C459" s="253"/>
      <c r="D459" s="114" t="s">
        <v>287</v>
      </c>
      <c r="E459" s="254"/>
      <c r="F459" s="213"/>
      <c r="G459" s="229"/>
      <c r="H459" s="229"/>
      <c r="I459" s="229"/>
      <c r="J459" s="47"/>
      <c r="K459" s="47"/>
      <c r="L459" s="47"/>
      <c r="M459" s="51"/>
    </row>
    <row r="460" spans="1:18" s="211" customFormat="1" ht="15.75">
      <c r="A460" s="355" t="s">
        <v>2249</v>
      </c>
      <c r="B460" s="262" t="s">
        <v>2250</v>
      </c>
      <c r="C460" s="262" t="s">
        <v>2185</v>
      </c>
      <c r="D460" s="245" t="s">
        <v>2251</v>
      </c>
      <c r="E460" s="221" t="s">
        <v>287</v>
      </c>
      <c r="F460" s="277"/>
      <c r="G460" s="267"/>
      <c r="H460" s="360"/>
      <c r="I460" s="360"/>
      <c r="J460" s="328">
        <v>45174</v>
      </c>
      <c r="K460" s="241">
        <v>45175</v>
      </c>
      <c r="L460" s="329" t="s">
        <v>38</v>
      </c>
      <c r="M460" s="240" t="s">
        <v>47</v>
      </c>
    </row>
    <row r="461" spans="1:18" s="389" customFormat="1" ht="15.75">
      <c r="A461" s="391"/>
      <c r="B461" s="1"/>
      <c r="C461" s="1" t="s">
        <v>1459</v>
      </c>
      <c r="D461" s="1" t="s">
        <v>1294</v>
      </c>
      <c r="E461" s="1" t="s">
        <v>287</v>
      </c>
      <c r="F461" s="392">
        <v>917857.5</v>
      </c>
      <c r="G461" s="267"/>
      <c r="H461" s="1"/>
      <c r="I461" s="1"/>
      <c r="J461" s="393">
        <v>45261</v>
      </c>
      <c r="K461" s="1"/>
      <c r="L461" s="1"/>
      <c r="M461" s="1" t="s">
        <v>1290</v>
      </c>
    </row>
    <row r="462" spans="1:18" s="432" customFormat="1" ht="16.899999999999999">
      <c r="A462" s="355" t="s">
        <v>2252</v>
      </c>
      <c r="B462" s="262" t="s">
        <v>43</v>
      </c>
      <c r="C462" s="262" t="s">
        <v>1667</v>
      </c>
      <c r="D462" s="168" t="s">
        <v>2253</v>
      </c>
      <c r="E462" s="76" t="s">
        <v>287</v>
      </c>
      <c r="F462" s="277"/>
      <c r="G462" s="261">
        <v>45622</v>
      </c>
      <c r="H462" s="362"/>
      <c r="I462" s="362"/>
      <c r="J462" s="362"/>
      <c r="K462" s="362">
        <v>45636</v>
      </c>
      <c r="L462" s="362" t="s">
        <v>38</v>
      </c>
      <c r="M462" s="262" t="s">
        <v>39</v>
      </c>
      <c r="N462" s="361"/>
      <c r="O462" s="437"/>
      <c r="P462" s="76"/>
      <c r="Q462" s="196"/>
      <c r="R462" s="382"/>
    </row>
    <row r="463" spans="1:18" s="432" customFormat="1" ht="16.899999999999999">
      <c r="A463" s="426"/>
      <c r="B463" s="297"/>
      <c r="C463" s="297" t="s">
        <v>1459</v>
      </c>
      <c r="D463" s="168" t="s">
        <v>2254</v>
      </c>
      <c r="E463" s="1" t="s">
        <v>287</v>
      </c>
      <c r="F463" s="301"/>
      <c r="G463" s="427"/>
      <c r="H463" s="428"/>
      <c r="I463" s="427"/>
      <c r="J463" s="360">
        <v>45978</v>
      </c>
      <c r="K463" s="360">
        <v>45979</v>
      </c>
      <c r="L463" s="360" t="s">
        <v>38</v>
      </c>
      <c r="M463" s="297" t="s">
        <v>2134</v>
      </c>
      <c r="P463" s="1"/>
      <c r="Q463" s="423"/>
    </row>
    <row r="464" spans="1:18" s="366" customFormat="1" ht="16.899999999999999">
      <c r="A464" s="433" t="s">
        <v>1954</v>
      </c>
      <c r="B464" s="294" t="s">
        <v>801</v>
      </c>
      <c r="C464" s="294" t="s">
        <v>1459</v>
      </c>
      <c r="D464" s="167" t="s">
        <v>2255</v>
      </c>
      <c r="E464" s="2" t="s">
        <v>287</v>
      </c>
      <c r="F464" s="295"/>
      <c r="G464" s="3">
        <v>45979</v>
      </c>
      <c r="H464" s="434">
        <v>45980</v>
      </c>
      <c r="I464" s="3">
        <v>45980</v>
      </c>
      <c r="J464" s="388">
        <v>45980</v>
      </c>
      <c r="K464" s="388">
        <v>45981</v>
      </c>
      <c r="L464" s="388" t="s">
        <v>38</v>
      </c>
      <c r="M464" s="294" t="s">
        <v>39</v>
      </c>
      <c r="P464" s="2"/>
      <c r="Q464" s="423"/>
    </row>
    <row r="764" spans="4:6" ht="15.75">
      <c r="D764" s="66" t="s">
        <v>0</v>
      </c>
    </row>
    <row r="768" spans="4:6">
      <c r="F768">
        <f>61750+5558+6793</f>
        <v>74101</v>
      </c>
    </row>
    <row r="769" spans="4:6">
      <c r="D769">
        <f>2600*0.85</f>
        <v>2210</v>
      </c>
      <c r="F769">
        <f>74101*0.85</f>
        <v>62985.85</v>
      </c>
    </row>
    <row r="770" spans="4:6">
      <c r="D770">
        <f>2210+110.5</f>
        <v>2320.5</v>
      </c>
    </row>
    <row r="774" spans="4:6">
      <c r="D774">
        <f>2600*0.15</f>
        <v>390</v>
      </c>
    </row>
  </sheetData>
  <autoFilter ref="C1:C774" xr:uid="{00000000-0001-0000-0200-000000000000}"/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C180F9547173C4284F14C554D49AA3D" ma:contentTypeVersion="3" ma:contentTypeDescription="새 문서를 만듭니다." ma:contentTypeScope="" ma:versionID="2995c1258ac91008cbba014211074b3e">
  <xsd:schema xmlns:xsd="http://www.w3.org/2001/XMLSchema" xmlns:xs="http://www.w3.org/2001/XMLSchema" xmlns:p="http://schemas.microsoft.com/office/2006/metadata/properties" xmlns:ns2="9c4c25ca-da0d-4414-8e25-fe1b99090ed7" targetNamespace="http://schemas.microsoft.com/office/2006/metadata/properties" ma:root="true" ma:fieldsID="3e0fb426258482b28f8706e4758a67fa" ns2:_="">
    <xsd:import namespace="9c4c25ca-da0d-4414-8e25-fe1b99090e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c25ca-da0d-4414-8e25-fe1b99090e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723D29-178E-434C-A568-FA6844826112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c4c25ca-da0d-4414-8e25-fe1b99090ed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FA01744-C805-4C91-81D4-8DDDE7E4E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c25ca-da0d-4414-8e25-fe1b99090e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8DEB64-0C31-4FF4-A87B-766CDB467F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총괄</vt:lpstr>
      <vt:lpstr>Sheet1</vt:lpstr>
      <vt:lpstr>무환통관</vt:lpstr>
      <vt:lpstr>송금완료 (2025-현재 )</vt:lpstr>
      <vt:lpstr>총괄!Print_Area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이상미</dc:creator>
  <cp:keywords/>
  <dc:description/>
  <cp:lastModifiedBy>심 윤송</cp:lastModifiedBy>
  <cp:revision/>
  <dcterms:created xsi:type="dcterms:W3CDTF">2005-11-03T08:23:42Z</dcterms:created>
  <dcterms:modified xsi:type="dcterms:W3CDTF">2026-04-09T08:38:26Z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0x0101006C180F9547173C4284F14C554D49AA3D</vt:lpwstr>
  </property>
</Properties>
</file>